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ladimirnovikov/Desktop/Helios Systems/EnergyIntel/SHIA DD package/"/>
    </mc:Choice>
  </mc:AlternateContent>
  <xr:revisionPtr revIDLastSave="0" documentId="8_{0E8E6E14-2C34-E14B-A6D6-EEF3A263F080}" xr6:coauthVersionLast="47" xr6:coauthVersionMax="47" xr10:uidLastSave="{00000000-0000-0000-0000-000000000000}"/>
  <bookViews>
    <workbookView xWindow="11300" yWindow="1340" windowWidth="24120" windowHeight="14700" xr2:uid="{00000000-000D-0000-FFFF-FFFF00000000}"/>
  </bookViews>
  <sheets>
    <sheet name="Assumptions" sheetId="1" r:id="rId1"/>
    <sheet name="Depr" sheetId="2" r:id="rId2"/>
    <sheet name="Rep.forms_Financing" sheetId="3" r:id="rId3"/>
    <sheet name="P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1" l="1"/>
  <c r="L29" i="1"/>
  <c r="M29" i="1" s="1"/>
  <c r="N29" i="1" s="1"/>
  <c r="I29" i="1"/>
  <c r="J29" i="1" s="1"/>
  <c r="K29" i="1" s="1"/>
  <c r="H29" i="1"/>
  <c r="F74" i="1" l="1"/>
  <c r="F67" i="1" l="1"/>
  <c r="D67" i="1" s="1"/>
  <c r="F15" i="1"/>
  <c r="F16" i="1" l="1"/>
  <c r="E89" i="1"/>
  <c r="E86" i="1"/>
  <c r="F72" i="1"/>
  <c r="E87" i="1" s="1"/>
  <c r="E88" i="1" l="1"/>
  <c r="F77" i="1"/>
  <c r="E90" i="1"/>
  <c r="F2" i="4"/>
  <c r="F1" i="4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AI101" i="3"/>
  <c r="D77" i="3"/>
  <c r="AJ72" i="3"/>
  <c r="F72" i="3"/>
  <c r="AJ71" i="3"/>
  <c r="AJ68" i="3" s="1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E70" i="3"/>
  <c r="G64" i="3"/>
  <c r="E61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AJ58" i="3"/>
  <c r="AJ49" i="3"/>
  <c r="D45" i="3"/>
  <c r="Q51" i="3" s="1"/>
  <c r="D44" i="3"/>
  <c r="Y36" i="3"/>
  <c r="E20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E19" i="3" s="1"/>
  <c r="P19" i="3"/>
  <c r="O19" i="3"/>
  <c r="N19" i="3"/>
  <c r="M19" i="3"/>
  <c r="L19" i="3"/>
  <c r="K19" i="3"/>
  <c r="J19" i="3"/>
  <c r="I19" i="3"/>
  <c r="H19" i="3"/>
  <c r="G19" i="3"/>
  <c r="F19" i="3"/>
  <c r="AJ18" i="3"/>
  <c r="AJ15" i="3"/>
  <c r="AI15" i="3"/>
  <c r="AH15" i="3"/>
  <c r="AG15" i="3"/>
  <c r="AF15" i="3"/>
  <c r="AE15" i="3"/>
  <c r="D7" i="3"/>
  <c r="F5" i="3"/>
  <c r="F76" i="3" s="1"/>
  <c r="F2" i="3"/>
  <c r="E15" i="2"/>
  <c r="E14" i="2"/>
  <c r="E17" i="2" s="1"/>
  <c r="AI13" i="2"/>
  <c r="AH13" i="2"/>
  <c r="AG13" i="2"/>
  <c r="AF13" i="2"/>
  <c r="AE13" i="2"/>
  <c r="AD13" i="2"/>
  <c r="AC13" i="2"/>
  <c r="AD15" i="3" s="1"/>
  <c r="AB13" i="2"/>
  <c r="AC15" i="3" s="1"/>
  <c r="AA13" i="2"/>
  <c r="AB15" i="3" s="1"/>
  <c r="Z13" i="2"/>
  <c r="AA15" i="3" s="1"/>
  <c r="Y13" i="2"/>
  <c r="Z15" i="3" s="1"/>
  <c r="X13" i="2"/>
  <c r="Y15" i="3" s="1"/>
  <c r="W13" i="2"/>
  <c r="X15" i="3" s="1"/>
  <c r="V13" i="2"/>
  <c r="W15" i="3" s="1"/>
  <c r="U13" i="2"/>
  <c r="V15" i="3" s="1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E10" i="2"/>
  <c r="E2" i="2"/>
  <c r="G76" i="1"/>
  <c r="E76" i="1" s="1"/>
  <c r="D76" i="1"/>
  <c r="G75" i="1"/>
  <c r="E75" i="1" s="1"/>
  <c r="D75" i="1"/>
  <c r="G74" i="1"/>
  <c r="E74" i="1" s="1"/>
  <c r="D74" i="1"/>
  <c r="G73" i="1"/>
  <c r="E73" i="1" s="1"/>
  <c r="D73" i="1"/>
  <c r="D72" i="1"/>
  <c r="G70" i="1"/>
  <c r="E70" i="1" s="1"/>
  <c r="G69" i="1"/>
  <c r="E69" i="1" s="1"/>
  <c r="D69" i="1"/>
  <c r="G68" i="1"/>
  <c r="E68" i="1" s="1"/>
  <c r="D68" i="1"/>
  <c r="G66" i="1"/>
  <c r="H66" i="1" s="1"/>
  <c r="I66" i="1" s="1"/>
  <c r="D66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H46" i="1"/>
  <c r="H40" i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G39" i="1"/>
  <c r="AA39" i="1" s="1"/>
  <c r="N31" i="1"/>
  <c r="N7" i="3" s="1"/>
  <c r="M31" i="1"/>
  <c r="M7" i="3" s="1"/>
  <c r="L31" i="1"/>
  <c r="L7" i="3" s="1"/>
  <c r="K31" i="1"/>
  <c r="K7" i="3" s="1"/>
  <c r="J31" i="1"/>
  <c r="J7" i="3" s="1"/>
  <c r="I31" i="1"/>
  <c r="I7" i="3" s="1"/>
  <c r="H31" i="1"/>
  <c r="H7" i="3" s="1"/>
  <c r="G31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Z23" i="1"/>
  <c r="F22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I16" i="1"/>
  <c r="I15" i="1"/>
  <c r="G12" i="1"/>
  <c r="H12" i="1" s="1"/>
  <c r="I11" i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H6" i="1"/>
  <c r="F6" i="1"/>
  <c r="H5" i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H4" i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G1" i="1"/>
  <c r="G2" i="3" s="1"/>
  <c r="F2" i="2" l="1"/>
  <c r="M39" i="1"/>
  <c r="AD39" i="1"/>
  <c r="G41" i="1"/>
  <c r="L51" i="3"/>
  <c r="AF39" i="1"/>
  <c r="AE39" i="1"/>
  <c r="O51" i="3"/>
  <c r="N39" i="1"/>
  <c r="P51" i="3"/>
  <c r="AC36" i="3"/>
  <c r="AC72" i="3" s="1"/>
  <c r="AC68" i="3" s="1"/>
  <c r="R51" i="3"/>
  <c r="R39" i="1"/>
  <c r="AD36" i="3"/>
  <c r="AD72" i="3" s="1"/>
  <c r="AD68" i="3" s="1"/>
  <c r="U51" i="3"/>
  <c r="I12" i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G7" i="3"/>
  <c r="E84" i="1"/>
  <c r="AG39" i="1"/>
  <c r="AA36" i="3"/>
  <c r="AA72" i="3" s="1"/>
  <c r="AA68" i="3" s="1"/>
  <c r="AB36" i="3"/>
  <c r="AB72" i="3" s="1"/>
  <c r="AB68" i="3" s="1"/>
  <c r="Q39" i="1"/>
  <c r="I17" i="1"/>
  <c r="F17" i="1" s="1"/>
  <c r="F14" i="1" s="1"/>
  <c r="G25" i="1" s="1"/>
  <c r="AB39" i="1"/>
  <c r="AE36" i="3"/>
  <c r="AE72" i="3" s="1"/>
  <c r="AE68" i="3" s="1"/>
  <c r="Z36" i="3"/>
  <c r="Z72" i="3" s="1"/>
  <c r="Z68" i="3" s="1"/>
  <c r="O39" i="1"/>
  <c r="P39" i="1"/>
  <c r="AC39" i="1"/>
  <c r="S39" i="1"/>
  <c r="AH39" i="1"/>
  <c r="T39" i="1"/>
  <c r="AI39" i="1"/>
  <c r="I39" i="1"/>
  <c r="V39" i="1"/>
  <c r="AJ39" i="1"/>
  <c r="L39" i="1"/>
  <c r="Y39" i="1"/>
  <c r="AL39" i="1"/>
  <c r="AH23" i="1"/>
  <c r="AL23" i="1"/>
  <c r="D70" i="1"/>
  <c r="D77" i="1" s="1"/>
  <c r="AI23" i="1"/>
  <c r="AJ23" i="1"/>
  <c r="AK23" i="1"/>
  <c r="L23" i="1"/>
  <c r="R23" i="1"/>
  <c r="S23" i="1"/>
  <c r="N23" i="1"/>
  <c r="Q23" i="1"/>
  <c r="T23" i="1"/>
  <c r="E66" i="1"/>
  <c r="E6" i="2"/>
  <c r="Y72" i="3"/>
  <c r="Y68" i="3" s="1"/>
  <c r="E18" i="2"/>
  <c r="E13" i="2"/>
  <c r="F15" i="3" s="1"/>
  <c r="D71" i="1"/>
  <c r="G71" i="1"/>
  <c r="E71" i="1" s="1"/>
  <c r="E16" i="2"/>
  <c r="I6" i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H32" i="1"/>
  <c r="O29" i="1"/>
  <c r="P29" i="1" s="1"/>
  <c r="U23" i="1"/>
  <c r="G72" i="1"/>
  <c r="E72" i="1" s="1"/>
  <c r="V23" i="1"/>
  <c r="W23" i="1"/>
  <c r="G44" i="1"/>
  <c r="G43" i="1"/>
  <c r="X23" i="1"/>
  <c r="Y23" i="1"/>
  <c r="AF23" i="1"/>
  <c r="P23" i="1"/>
  <c r="AE23" i="1"/>
  <c r="O23" i="1"/>
  <c r="AC23" i="1"/>
  <c r="M23" i="1"/>
  <c r="E21" i="2"/>
  <c r="E20" i="2" s="1"/>
  <c r="F12" i="3" s="1"/>
  <c r="F10" i="3" s="1"/>
  <c r="AA23" i="1"/>
  <c r="G23" i="1"/>
  <c r="H23" i="1"/>
  <c r="I46" i="1"/>
  <c r="H36" i="1"/>
  <c r="I23" i="1"/>
  <c r="AB23" i="1"/>
  <c r="J23" i="1"/>
  <c r="AD23" i="1"/>
  <c r="K23" i="1"/>
  <c r="AG23" i="1"/>
  <c r="U39" i="1"/>
  <c r="AK39" i="1"/>
  <c r="W39" i="1"/>
  <c r="H39" i="1"/>
  <c r="X39" i="1"/>
  <c r="G2" i="4"/>
  <c r="J39" i="1"/>
  <c r="Z39" i="1"/>
  <c r="H1" i="1"/>
  <c r="K39" i="1"/>
  <c r="AJ51" i="3"/>
  <c r="T51" i="3"/>
  <c r="AI51" i="3"/>
  <c r="S51" i="3"/>
  <c r="AD51" i="3"/>
  <c r="N51" i="3"/>
  <c r="AC51" i="3"/>
  <c r="M51" i="3"/>
  <c r="AA51" i="3"/>
  <c r="K51" i="3"/>
  <c r="AH51" i="3"/>
  <c r="J51" i="3"/>
  <c r="X36" i="3"/>
  <c r="AG51" i="3"/>
  <c r="I51" i="3"/>
  <c r="W36" i="3"/>
  <c r="AF51" i="3"/>
  <c r="H51" i="3"/>
  <c r="V36" i="3"/>
  <c r="AE51" i="3"/>
  <c r="G51" i="3"/>
  <c r="U36" i="3"/>
  <c r="AB51" i="3"/>
  <c r="F51" i="3"/>
  <c r="Z51" i="3"/>
  <c r="AI36" i="3"/>
  <c r="Y51" i="3"/>
  <c r="AH36" i="3"/>
  <c r="X51" i="3"/>
  <c r="AG36" i="3"/>
  <c r="W51" i="3"/>
  <c r="AF36" i="3"/>
  <c r="V51" i="3"/>
  <c r="E59" i="3"/>
  <c r="F82" i="1" l="1"/>
  <c r="G82" i="1" s="1"/>
  <c r="F80" i="1"/>
  <c r="G80" i="1" s="1"/>
  <c r="H67" i="1"/>
  <c r="D78" i="1"/>
  <c r="G67" i="1"/>
  <c r="G77" i="1" s="1"/>
  <c r="I32" i="1"/>
  <c r="H2" i="4"/>
  <c r="H2" i="3"/>
  <c r="H41" i="1"/>
  <c r="I1" i="1"/>
  <c r="G2" i="2"/>
  <c r="H43" i="1"/>
  <c r="H44" i="1"/>
  <c r="G35" i="1"/>
  <c r="J46" i="1"/>
  <c r="I36" i="1"/>
  <c r="AF72" i="3"/>
  <c r="AF68" i="3" s="1"/>
  <c r="V72" i="3"/>
  <c r="V68" i="3" s="1"/>
  <c r="F14" i="3"/>
  <c r="U72" i="3"/>
  <c r="U68" i="3" s="1"/>
  <c r="O31" i="1"/>
  <c r="O7" i="3" s="1"/>
  <c r="AI72" i="3"/>
  <c r="AI68" i="3" s="1"/>
  <c r="X72" i="3"/>
  <c r="X68" i="3" s="1"/>
  <c r="AG72" i="3"/>
  <c r="AG68" i="3" s="1"/>
  <c r="W72" i="3"/>
  <c r="W68" i="3" s="1"/>
  <c r="AH72" i="3"/>
  <c r="AH68" i="3" s="1"/>
  <c r="E67" i="1" l="1"/>
  <c r="E77" i="1" s="1"/>
  <c r="E78" i="1" s="1"/>
  <c r="G45" i="1"/>
  <c r="G37" i="1" s="1"/>
  <c r="F81" i="1"/>
  <c r="G81" i="1" s="1"/>
  <c r="H72" i="1"/>
  <c r="H71" i="1"/>
  <c r="F78" i="1"/>
  <c r="H75" i="1"/>
  <c r="H76" i="1"/>
  <c r="I43" i="1"/>
  <c r="H34" i="1"/>
  <c r="F57" i="3"/>
  <c r="F17" i="3"/>
  <c r="Q29" i="1"/>
  <c r="P31" i="1"/>
  <c r="P7" i="3" s="1"/>
  <c r="J36" i="1"/>
  <c r="K46" i="1"/>
  <c r="I44" i="1"/>
  <c r="H35" i="1"/>
  <c r="I2" i="4"/>
  <c r="I41" i="1"/>
  <c r="J1" i="1"/>
  <c r="H2" i="2"/>
  <c r="I2" i="3"/>
  <c r="J32" i="1"/>
  <c r="G78" i="1" l="1"/>
  <c r="E7" i="2"/>
  <c r="E77" i="3" s="1"/>
  <c r="R29" i="1"/>
  <c r="Q31" i="1"/>
  <c r="Q7" i="3" s="1"/>
  <c r="I34" i="1"/>
  <c r="J43" i="1"/>
  <c r="I35" i="1"/>
  <c r="J44" i="1"/>
  <c r="K32" i="1"/>
  <c r="J2" i="4"/>
  <c r="J41" i="1"/>
  <c r="I2" i="2"/>
  <c r="J2" i="3"/>
  <c r="K1" i="1"/>
  <c r="L46" i="1"/>
  <c r="K36" i="1"/>
  <c r="H45" i="1"/>
  <c r="G33" i="1"/>
  <c r="G42" i="1"/>
  <c r="G11" i="3" s="1"/>
  <c r="F53" i="1" l="1"/>
  <c r="G51" i="1" s="1"/>
  <c r="L70" i="1" s="1"/>
  <c r="F34" i="3"/>
  <c r="F37" i="3" s="1"/>
  <c r="E5" i="2"/>
  <c r="D25" i="2" s="1"/>
  <c r="F91" i="3"/>
  <c r="G65" i="3"/>
  <c r="I45" i="1"/>
  <c r="H37" i="1"/>
  <c r="H33" i="1" s="1"/>
  <c r="H42" i="1"/>
  <c r="H11" i="3" s="1"/>
  <c r="J34" i="1"/>
  <c r="K43" i="1"/>
  <c r="K44" i="1"/>
  <c r="J35" i="1"/>
  <c r="M46" i="1"/>
  <c r="L36" i="1"/>
  <c r="K2" i="4"/>
  <c r="K41" i="1"/>
  <c r="J2" i="2"/>
  <c r="L1" i="1"/>
  <c r="K2" i="3"/>
  <c r="L32" i="1"/>
  <c r="S29" i="1"/>
  <c r="R31" i="1"/>
  <c r="R7" i="3" s="1"/>
  <c r="G53" i="1" l="1"/>
  <c r="F64" i="3"/>
  <c r="F11" i="2"/>
  <c r="F12" i="2" s="1"/>
  <c r="L15" i="2" s="1"/>
  <c r="D24" i="2"/>
  <c r="E34" i="3"/>
  <c r="E43" i="3" s="1"/>
  <c r="F71" i="3"/>
  <c r="E71" i="3" s="1"/>
  <c r="F63" i="3"/>
  <c r="E64" i="3"/>
  <c r="L43" i="1"/>
  <c r="K34" i="1"/>
  <c r="T29" i="1"/>
  <c r="S31" i="1"/>
  <c r="S7" i="3" s="1"/>
  <c r="L44" i="1"/>
  <c r="K35" i="1"/>
  <c r="J45" i="1"/>
  <c r="I37" i="1"/>
  <c r="I33" i="1" s="1"/>
  <c r="I42" i="1"/>
  <c r="I11" i="3" s="1"/>
  <c r="M32" i="1"/>
  <c r="L41" i="1"/>
  <c r="L2" i="4"/>
  <c r="K2" i="2"/>
  <c r="M1" i="1"/>
  <c r="L2" i="3"/>
  <c r="F39" i="3"/>
  <c r="F50" i="3"/>
  <c r="G33" i="3"/>
  <c r="G35" i="3"/>
  <c r="G63" i="3"/>
  <c r="N46" i="1"/>
  <c r="M36" i="1"/>
  <c r="H65" i="3"/>
  <c r="G14" i="2" l="1"/>
  <c r="H14" i="2"/>
  <c r="H15" i="2"/>
  <c r="M15" i="2"/>
  <c r="R15" i="2"/>
  <c r="R13" i="2" s="1"/>
  <c r="S15" i="3" s="1"/>
  <c r="Q15" i="2"/>
  <c r="Q13" i="2" s="1"/>
  <c r="R15" i="3" s="1"/>
  <c r="S15" i="2"/>
  <c r="S13" i="2" s="1"/>
  <c r="T15" i="3" s="1"/>
  <c r="I14" i="2"/>
  <c r="T15" i="2"/>
  <c r="T13" i="2" s="1"/>
  <c r="U15" i="3" s="1"/>
  <c r="J14" i="2"/>
  <c r="L14" i="2"/>
  <c r="L13" i="2" s="1"/>
  <c r="M15" i="3" s="1"/>
  <c r="K15" i="2"/>
  <c r="M14" i="2"/>
  <c r="N15" i="2"/>
  <c r="O15" i="2"/>
  <c r="P15" i="2"/>
  <c r="P13" i="2" s="1"/>
  <c r="Q15" i="3" s="1"/>
  <c r="F15" i="2"/>
  <c r="F18" i="2" s="1"/>
  <c r="G15" i="2"/>
  <c r="J15" i="2"/>
  <c r="I15" i="2"/>
  <c r="N14" i="2"/>
  <c r="O14" i="2"/>
  <c r="K14" i="2"/>
  <c r="F10" i="2"/>
  <c r="F84" i="3"/>
  <c r="F83" i="3" s="1"/>
  <c r="F14" i="2"/>
  <c r="F17" i="2" s="1"/>
  <c r="F21" i="2" s="1"/>
  <c r="F20" i="2" s="1"/>
  <c r="G12" i="3" s="1"/>
  <c r="G10" i="3" s="1"/>
  <c r="H35" i="3"/>
  <c r="H36" i="3" s="1"/>
  <c r="H63" i="3"/>
  <c r="I65" i="3"/>
  <c r="J65" i="3" s="1"/>
  <c r="U29" i="1"/>
  <c r="T31" i="1"/>
  <c r="T7" i="3" s="1"/>
  <c r="F40" i="3"/>
  <c r="F49" i="3"/>
  <c r="M2" i="4"/>
  <c r="L2" i="2"/>
  <c r="M41" i="1"/>
  <c r="M2" i="3"/>
  <c r="N1" i="1"/>
  <c r="J37" i="1"/>
  <c r="J33" i="1" s="1"/>
  <c r="K45" i="1"/>
  <c r="J42" i="1"/>
  <c r="J11" i="3" s="1"/>
  <c r="N32" i="1"/>
  <c r="L34" i="1"/>
  <c r="M43" i="1"/>
  <c r="N36" i="1"/>
  <c r="O46" i="1"/>
  <c r="L35" i="1"/>
  <c r="M44" i="1"/>
  <c r="F101" i="3"/>
  <c r="N36" i="3"/>
  <c r="O36" i="3"/>
  <c r="R36" i="3"/>
  <c r="G36" i="3"/>
  <c r="G37" i="3" s="1"/>
  <c r="Q36" i="3"/>
  <c r="P36" i="3"/>
  <c r="S36" i="3"/>
  <c r="T36" i="3"/>
  <c r="G13" i="2" l="1"/>
  <c r="H15" i="3" s="1"/>
  <c r="H13" i="2"/>
  <c r="I15" i="3" s="1"/>
  <c r="M13" i="2"/>
  <c r="N15" i="3" s="1"/>
  <c r="F13" i="2"/>
  <c r="G15" i="3" s="1"/>
  <c r="I13" i="2"/>
  <c r="J15" i="3" s="1"/>
  <c r="K13" i="2"/>
  <c r="L15" i="3" s="1"/>
  <c r="N13" i="2"/>
  <c r="O15" i="3" s="1"/>
  <c r="J13" i="2"/>
  <c r="K15" i="3" s="1"/>
  <c r="G18" i="2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O13" i="2"/>
  <c r="P15" i="3" s="1"/>
  <c r="F16" i="2"/>
  <c r="G84" i="3" s="1"/>
  <c r="G83" i="3" s="1"/>
  <c r="G17" i="2"/>
  <c r="G21" i="2" s="1"/>
  <c r="G20" i="2" s="1"/>
  <c r="H12" i="3" s="1"/>
  <c r="H10" i="3" s="1"/>
  <c r="H33" i="3"/>
  <c r="G39" i="3"/>
  <c r="G40" i="3" s="1"/>
  <c r="N72" i="3"/>
  <c r="N68" i="3" s="1"/>
  <c r="N2" i="4"/>
  <c r="M2" i="2"/>
  <c r="N41" i="1"/>
  <c r="N2" i="3"/>
  <c r="O1" i="1"/>
  <c r="N43" i="1"/>
  <c r="M34" i="1"/>
  <c r="F18" i="3"/>
  <c r="F58" i="3"/>
  <c r="V29" i="1"/>
  <c r="U31" i="1"/>
  <c r="H72" i="3"/>
  <c r="H68" i="3" s="1"/>
  <c r="J63" i="3"/>
  <c r="J35" i="3"/>
  <c r="J36" i="3" s="1"/>
  <c r="T72" i="3"/>
  <c r="T68" i="3" s="1"/>
  <c r="K65" i="3"/>
  <c r="S72" i="3"/>
  <c r="S68" i="3" s="1"/>
  <c r="N44" i="1"/>
  <c r="M35" i="1"/>
  <c r="I35" i="3"/>
  <c r="I63" i="3"/>
  <c r="P72" i="3"/>
  <c r="P68" i="3" s="1"/>
  <c r="O32" i="1"/>
  <c r="Q72" i="3"/>
  <c r="Q68" i="3" s="1"/>
  <c r="G72" i="3"/>
  <c r="R72" i="3"/>
  <c r="R68" i="3" s="1"/>
  <c r="O36" i="1"/>
  <c r="P46" i="1"/>
  <c r="L45" i="1"/>
  <c r="K37" i="1"/>
  <c r="K33" i="1" s="1"/>
  <c r="K42" i="1"/>
  <c r="K11" i="3" s="1"/>
  <c r="O72" i="3"/>
  <c r="O68" i="3" s="1"/>
  <c r="E15" i="3" l="1"/>
  <c r="G16" i="2"/>
  <c r="H84" i="3" s="1"/>
  <c r="H83" i="3" s="1"/>
  <c r="H17" i="2"/>
  <c r="H21" i="2" s="1"/>
  <c r="H20" i="2" s="1"/>
  <c r="I12" i="3" s="1"/>
  <c r="I10" i="3" s="1"/>
  <c r="G49" i="3"/>
  <c r="G42" i="3"/>
  <c r="U7" i="3"/>
  <c r="O44" i="1"/>
  <c r="N35" i="1"/>
  <c r="P32" i="1"/>
  <c r="N34" i="1"/>
  <c r="O43" i="1"/>
  <c r="K63" i="3"/>
  <c r="K35" i="3"/>
  <c r="K36" i="3" s="1"/>
  <c r="L37" i="1"/>
  <c r="L33" i="1" s="1"/>
  <c r="M45" i="1"/>
  <c r="L42" i="1"/>
  <c r="L11" i="3" s="1"/>
  <c r="I36" i="3"/>
  <c r="V31" i="1"/>
  <c r="V7" i="3" s="1"/>
  <c r="W29" i="1"/>
  <c r="J72" i="3"/>
  <c r="J68" i="3" s="1"/>
  <c r="G58" i="3"/>
  <c r="G18" i="3"/>
  <c r="H37" i="3"/>
  <c r="H39" i="3" s="1"/>
  <c r="G101" i="3"/>
  <c r="O2" i="4"/>
  <c r="N2" i="2"/>
  <c r="O2" i="3"/>
  <c r="O41" i="1"/>
  <c r="P1" i="1"/>
  <c r="G68" i="3"/>
  <c r="P36" i="1"/>
  <c r="Q46" i="1"/>
  <c r="L65" i="3"/>
  <c r="M65" i="3" s="1"/>
  <c r="F102" i="3"/>
  <c r="F100" i="3" s="1"/>
  <c r="F22" i="3"/>
  <c r="I17" i="2" l="1"/>
  <c r="I21" i="2" s="1"/>
  <c r="I20" i="2" s="1"/>
  <c r="J12" i="3" s="1"/>
  <c r="J10" i="3" s="1"/>
  <c r="H16" i="2"/>
  <c r="I84" i="3" s="1"/>
  <c r="I83" i="3" s="1"/>
  <c r="G102" i="3"/>
  <c r="G100" i="3" s="1"/>
  <c r="P2" i="4"/>
  <c r="O2" i="2"/>
  <c r="P2" i="3"/>
  <c r="P41" i="1"/>
  <c r="Q1" i="1"/>
  <c r="M63" i="3"/>
  <c r="M35" i="3"/>
  <c r="M36" i="3" s="1"/>
  <c r="X29" i="1"/>
  <c r="W31" i="1"/>
  <c r="W7" i="3" s="1"/>
  <c r="I72" i="3"/>
  <c r="Q32" i="1"/>
  <c r="F24" i="3"/>
  <c r="H40" i="3"/>
  <c r="H49" i="3"/>
  <c r="H42" i="3"/>
  <c r="N45" i="1"/>
  <c r="M37" i="1"/>
  <c r="M33" i="1" s="1"/>
  <c r="M42" i="1"/>
  <c r="M11" i="3" s="1"/>
  <c r="O34" i="1"/>
  <c r="P43" i="1"/>
  <c r="I33" i="3"/>
  <c r="L63" i="3"/>
  <c r="L35" i="3"/>
  <c r="N65" i="3"/>
  <c r="O65" i="3" s="1"/>
  <c r="Q36" i="1"/>
  <c r="R46" i="1"/>
  <c r="K72" i="3"/>
  <c r="K68" i="3" s="1"/>
  <c r="P44" i="1"/>
  <c r="O35" i="1"/>
  <c r="I16" i="2" l="1"/>
  <c r="J84" i="3" s="1"/>
  <c r="J83" i="3" s="1"/>
  <c r="J17" i="2"/>
  <c r="J21" i="2" s="1"/>
  <c r="J20" i="2" s="1"/>
  <c r="K12" i="3" s="1"/>
  <c r="K10" i="3" s="1"/>
  <c r="R36" i="1"/>
  <c r="S46" i="1"/>
  <c r="Q2" i="4"/>
  <c r="Q2" i="3"/>
  <c r="Q41" i="1"/>
  <c r="P2" i="2"/>
  <c r="R1" i="1"/>
  <c r="P34" i="1"/>
  <c r="Q43" i="1"/>
  <c r="Y29" i="1"/>
  <c r="X31" i="1"/>
  <c r="X7" i="3" s="1"/>
  <c r="O63" i="3"/>
  <c r="P65" i="3"/>
  <c r="F60" i="3"/>
  <c r="F48" i="3"/>
  <c r="F47" i="3" s="1"/>
  <c r="I68" i="3"/>
  <c r="K17" i="2"/>
  <c r="K21" i="2" s="1"/>
  <c r="K20" i="2" s="1"/>
  <c r="L12" i="3" s="1"/>
  <c r="L10" i="3" s="1"/>
  <c r="J16" i="2"/>
  <c r="K84" i="3" s="1"/>
  <c r="K83" i="3" s="1"/>
  <c r="M72" i="3"/>
  <c r="M68" i="3" s="1"/>
  <c r="F26" i="3"/>
  <c r="R32" i="1"/>
  <c r="H18" i="3"/>
  <c r="H58" i="3"/>
  <c r="N63" i="3"/>
  <c r="L36" i="3"/>
  <c r="E35" i="3"/>
  <c r="I37" i="3"/>
  <c r="I39" i="3" s="1"/>
  <c r="H101" i="3"/>
  <c r="Q44" i="1"/>
  <c r="P35" i="1"/>
  <c r="N37" i="1"/>
  <c r="N33" i="1" s="1"/>
  <c r="O45" i="1"/>
  <c r="N42" i="1"/>
  <c r="N11" i="3" s="1"/>
  <c r="Y31" i="1" l="1"/>
  <c r="Y7" i="3" s="1"/>
  <c r="Z29" i="1"/>
  <c r="F98" i="3"/>
  <c r="G52" i="1"/>
  <c r="P45" i="1"/>
  <c r="O37" i="1"/>
  <c r="O33" i="1" s="1"/>
  <c r="O42" i="1"/>
  <c r="O11" i="3" s="1"/>
  <c r="R44" i="1"/>
  <c r="Q35" i="1"/>
  <c r="S32" i="1"/>
  <c r="S36" i="1"/>
  <c r="T46" i="1"/>
  <c r="J33" i="3"/>
  <c r="I40" i="3"/>
  <c r="I49" i="3"/>
  <c r="I42" i="3"/>
  <c r="R2" i="4"/>
  <c r="R2" i="3"/>
  <c r="Q2" i="2"/>
  <c r="S1" i="1"/>
  <c r="R41" i="1"/>
  <c r="Q34" i="1"/>
  <c r="R43" i="1"/>
  <c r="L72" i="3"/>
  <c r="E36" i="3"/>
  <c r="F5" i="4"/>
  <c r="F56" i="3"/>
  <c r="H102" i="3"/>
  <c r="H100" i="3" s="1"/>
  <c r="K16" i="2"/>
  <c r="L84" i="3" s="1"/>
  <c r="L83" i="3" s="1"/>
  <c r="L17" i="2"/>
  <c r="P63" i="3"/>
  <c r="Q65" i="3"/>
  <c r="Q63" i="3" l="1"/>
  <c r="R65" i="3"/>
  <c r="I91" i="3" s="1"/>
  <c r="I18" i="3"/>
  <c r="I58" i="3"/>
  <c r="L16" i="2"/>
  <c r="M84" i="3" s="1"/>
  <c r="M83" i="3" s="1"/>
  <c r="M17" i="2"/>
  <c r="S44" i="1"/>
  <c r="R35" i="1"/>
  <c r="I101" i="3"/>
  <c r="J37" i="3"/>
  <c r="J39" i="3" s="1"/>
  <c r="R34" i="1"/>
  <c r="S43" i="1"/>
  <c r="G50" i="1"/>
  <c r="H51" i="1"/>
  <c r="H50" i="1" s="1"/>
  <c r="F50" i="1" s="1"/>
  <c r="L21" i="2"/>
  <c r="L20" i="2" s="1"/>
  <c r="M12" i="3" s="1"/>
  <c r="M10" i="3" s="1"/>
  <c r="U46" i="1"/>
  <c r="T36" i="1"/>
  <c r="T32" i="1"/>
  <c r="L68" i="3"/>
  <c r="E72" i="3"/>
  <c r="Q45" i="1"/>
  <c r="P37" i="1"/>
  <c r="P33" i="1" s="1"/>
  <c r="P42" i="1"/>
  <c r="P11" i="3" s="1"/>
  <c r="F6" i="4"/>
  <c r="Z31" i="1"/>
  <c r="Z7" i="3" s="1"/>
  <c r="AA29" i="1"/>
  <c r="S2" i="4"/>
  <c r="S2" i="3"/>
  <c r="R2" i="2"/>
  <c r="T1" i="1"/>
  <c r="S41" i="1"/>
  <c r="M16" i="2" l="1"/>
  <c r="N84" i="3" s="1"/>
  <c r="N83" i="3" s="1"/>
  <c r="N17" i="2"/>
  <c r="AA31" i="1"/>
  <c r="AA7" i="3" s="1"/>
  <c r="AB29" i="1"/>
  <c r="I102" i="3"/>
  <c r="I100" i="3" s="1"/>
  <c r="M21" i="2"/>
  <c r="M20" i="2" s="1"/>
  <c r="N12" i="3" s="1"/>
  <c r="N10" i="3" s="1"/>
  <c r="T44" i="1"/>
  <c r="S35" i="1"/>
  <c r="S34" i="1"/>
  <c r="T43" i="1"/>
  <c r="T2" i="4"/>
  <c r="T2" i="3"/>
  <c r="U1" i="1"/>
  <c r="S2" i="2"/>
  <c r="T41" i="1"/>
  <c r="J40" i="3"/>
  <c r="J42" i="3"/>
  <c r="J49" i="3"/>
  <c r="R63" i="3"/>
  <c r="S65" i="3"/>
  <c r="G91" i="3"/>
  <c r="H91" i="3"/>
  <c r="U32" i="1"/>
  <c r="V46" i="1"/>
  <c r="U36" i="1"/>
  <c r="Q37" i="1"/>
  <c r="Q33" i="1" s="1"/>
  <c r="R45" i="1"/>
  <c r="Q42" i="1"/>
  <c r="Q11" i="3" s="1"/>
  <c r="K33" i="3"/>
  <c r="F51" i="1"/>
  <c r="D43" i="3" s="1"/>
  <c r="F69" i="3"/>
  <c r="E10" i="4" l="1"/>
  <c r="J101" i="3"/>
  <c r="K37" i="3"/>
  <c r="J18" i="3"/>
  <c r="J58" i="3"/>
  <c r="U2" i="3"/>
  <c r="V1" i="1"/>
  <c r="T2" i="2"/>
  <c r="U41" i="1"/>
  <c r="U2" i="4"/>
  <c r="U44" i="1"/>
  <c r="T35" i="1"/>
  <c r="AB31" i="1"/>
  <c r="AB7" i="3" s="1"/>
  <c r="AC29" i="1"/>
  <c r="R37" i="1"/>
  <c r="R33" i="1" s="1"/>
  <c r="S45" i="1"/>
  <c r="R42" i="1"/>
  <c r="R11" i="3" s="1"/>
  <c r="W46" i="1"/>
  <c r="V36" i="1"/>
  <c r="N16" i="2"/>
  <c r="O84" i="3" s="1"/>
  <c r="O83" i="3" s="1"/>
  <c r="O17" i="2"/>
  <c r="O21" i="2" s="1"/>
  <c r="O20" i="2" s="1"/>
  <c r="P12" i="3" s="1"/>
  <c r="P10" i="3" s="1"/>
  <c r="V32" i="1"/>
  <c r="F97" i="3"/>
  <c r="E69" i="3"/>
  <c r="G23" i="3"/>
  <c r="F68" i="3"/>
  <c r="N21" i="2"/>
  <c r="N20" i="2" s="1"/>
  <c r="O12" i="3" s="1"/>
  <c r="O10" i="3" s="1"/>
  <c r="S63" i="3"/>
  <c r="T65" i="3"/>
  <c r="K91" i="3" s="1"/>
  <c r="J91" i="3"/>
  <c r="U43" i="1"/>
  <c r="T34" i="1"/>
  <c r="G97" i="3" l="1"/>
  <c r="F96" i="3"/>
  <c r="F94" i="3" s="1"/>
  <c r="J102" i="3"/>
  <c r="J100" i="3" s="1"/>
  <c r="V44" i="1"/>
  <c r="U35" i="1"/>
  <c r="H23" i="3"/>
  <c r="L33" i="3"/>
  <c r="AC31" i="1"/>
  <c r="AC7" i="3" s="1"/>
  <c r="AD29" i="1"/>
  <c r="P17" i="2"/>
  <c r="P21" i="2" s="1"/>
  <c r="P20" i="2" s="1"/>
  <c r="Q12" i="3" s="1"/>
  <c r="Q10" i="3" s="1"/>
  <c r="O16" i="2"/>
  <c r="P84" i="3" s="1"/>
  <c r="P83" i="3" s="1"/>
  <c r="T63" i="3"/>
  <c r="U65" i="3"/>
  <c r="K39" i="3"/>
  <c r="W32" i="1"/>
  <c r="V2" i="4"/>
  <c r="V2" i="3"/>
  <c r="W1" i="1"/>
  <c r="V41" i="1"/>
  <c r="U2" i="2"/>
  <c r="F7" i="4"/>
  <c r="S37" i="1"/>
  <c r="S33" i="1" s="1"/>
  <c r="T45" i="1"/>
  <c r="S42" i="1"/>
  <c r="S11" i="3" s="1"/>
  <c r="V43" i="1"/>
  <c r="U34" i="1"/>
  <c r="E68" i="3"/>
  <c r="F74" i="3"/>
  <c r="X46" i="1"/>
  <c r="W36" i="1"/>
  <c r="K40" i="3" l="1"/>
  <c r="K42" i="3"/>
  <c r="K49" i="3"/>
  <c r="W43" i="1"/>
  <c r="V34" i="1"/>
  <c r="U45" i="1"/>
  <c r="T37" i="1"/>
  <c r="T33" i="1" s="1"/>
  <c r="T42" i="1"/>
  <c r="T11" i="3" s="1"/>
  <c r="F8" i="4"/>
  <c r="P16" i="2"/>
  <c r="Q84" i="3" s="1"/>
  <c r="Q83" i="3" s="1"/>
  <c r="Q17" i="2"/>
  <c r="Y46" i="1"/>
  <c r="X36" i="1"/>
  <c r="AE29" i="1"/>
  <c r="AD31" i="1"/>
  <c r="AD7" i="3" s="1"/>
  <c r="U63" i="3"/>
  <c r="V65" i="3"/>
  <c r="M91" i="3" s="1"/>
  <c r="L91" i="3"/>
  <c r="X32" i="1"/>
  <c r="H97" i="3"/>
  <c r="F75" i="3"/>
  <c r="F17" i="4"/>
  <c r="I23" i="3"/>
  <c r="W44" i="1"/>
  <c r="V35" i="1"/>
  <c r="W2" i="3"/>
  <c r="X1" i="1"/>
  <c r="W41" i="1"/>
  <c r="V2" i="2"/>
  <c r="W2" i="4"/>
  <c r="L37" i="3"/>
  <c r="L39" i="3" s="1"/>
  <c r="K101" i="3"/>
  <c r="AF29" i="1" l="1"/>
  <c r="AG29" i="1" s="1"/>
  <c r="AH29" i="1" s="1"/>
  <c r="AI29" i="1" s="1"/>
  <c r="AJ29" i="1" s="1"/>
  <c r="AK29" i="1" s="1"/>
  <c r="AL29" i="1" s="1"/>
  <c r="AE31" i="1"/>
  <c r="V45" i="1"/>
  <c r="U37" i="1"/>
  <c r="U33" i="1" s="1"/>
  <c r="U42" i="1"/>
  <c r="U11" i="3" s="1"/>
  <c r="F18" i="4"/>
  <c r="F19" i="4"/>
  <c r="X2" i="4"/>
  <c r="X2" i="3"/>
  <c r="X41" i="1"/>
  <c r="W2" i="2"/>
  <c r="Y1" i="1"/>
  <c r="Y36" i="1"/>
  <c r="Z46" i="1"/>
  <c r="F92" i="3"/>
  <c r="F88" i="3" s="1"/>
  <c r="F81" i="3" s="1"/>
  <c r="F110" i="3" s="1"/>
  <c r="I97" i="3"/>
  <c r="R17" i="2"/>
  <c r="R21" i="2" s="1"/>
  <c r="R20" i="2" s="1"/>
  <c r="S12" i="3" s="1"/>
  <c r="S10" i="3" s="1"/>
  <c r="Q16" i="2"/>
  <c r="R84" i="3" s="1"/>
  <c r="R83" i="3" s="1"/>
  <c r="X44" i="1"/>
  <c r="W35" i="1"/>
  <c r="X43" i="1"/>
  <c r="W34" i="1"/>
  <c r="J23" i="3"/>
  <c r="L40" i="3"/>
  <c r="L49" i="3"/>
  <c r="L42" i="3"/>
  <c r="K58" i="3"/>
  <c r="K18" i="3"/>
  <c r="Q21" i="2"/>
  <c r="Q20" i="2" s="1"/>
  <c r="R12" i="3" s="1"/>
  <c r="R10" i="3" s="1"/>
  <c r="Y32" i="1"/>
  <c r="V63" i="3"/>
  <c r="E63" i="3" s="1"/>
  <c r="W65" i="3"/>
  <c r="M33" i="3"/>
  <c r="W63" i="3" l="1"/>
  <c r="X65" i="3"/>
  <c r="N91" i="3"/>
  <c r="J97" i="3"/>
  <c r="S17" i="2"/>
  <c r="S21" i="2" s="1"/>
  <c r="S20" i="2" s="1"/>
  <c r="T12" i="3" s="1"/>
  <c r="T10" i="3" s="1"/>
  <c r="R16" i="2"/>
  <c r="S84" i="3" s="1"/>
  <c r="S83" i="3" s="1"/>
  <c r="Z32" i="1"/>
  <c r="Z36" i="1"/>
  <c r="AA46" i="1"/>
  <c r="W45" i="1"/>
  <c r="V37" i="1"/>
  <c r="V33" i="1" s="1"/>
  <c r="V42" i="1"/>
  <c r="V11" i="3" s="1"/>
  <c r="AE7" i="3"/>
  <c r="AF31" i="1"/>
  <c r="K102" i="3"/>
  <c r="K100" i="3" s="1"/>
  <c r="L18" i="3"/>
  <c r="L58" i="3"/>
  <c r="Y2" i="4"/>
  <c r="Y2" i="3"/>
  <c r="Y41" i="1"/>
  <c r="Z1" i="1"/>
  <c r="X2" i="2"/>
  <c r="Y44" i="1"/>
  <c r="X35" i="1"/>
  <c r="F20" i="4"/>
  <c r="L101" i="3"/>
  <c r="M37" i="3"/>
  <c r="M39" i="3" s="1"/>
  <c r="K23" i="3"/>
  <c r="Y43" i="1"/>
  <c r="X34" i="1"/>
  <c r="M40" i="3" l="1"/>
  <c r="M42" i="3"/>
  <c r="M49" i="3"/>
  <c r="K97" i="3"/>
  <c r="AF7" i="3"/>
  <c r="AG31" i="1"/>
  <c r="Y35" i="1"/>
  <c r="Z44" i="1"/>
  <c r="Z2" i="4"/>
  <c r="Z2" i="3"/>
  <c r="Y2" i="2"/>
  <c r="AA1" i="1"/>
  <c r="Z41" i="1"/>
  <c r="X63" i="3"/>
  <c r="Y65" i="3"/>
  <c r="O91" i="3"/>
  <c r="N33" i="3"/>
  <c r="X45" i="1"/>
  <c r="W37" i="1"/>
  <c r="W33" i="1" s="1"/>
  <c r="W42" i="1"/>
  <c r="W11" i="3" s="1"/>
  <c r="AA32" i="1"/>
  <c r="AB46" i="1"/>
  <c r="AA36" i="1"/>
  <c r="T17" i="2"/>
  <c r="T21" i="2" s="1"/>
  <c r="T20" i="2" s="1"/>
  <c r="U12" i="3" s="1"/>
  <c r="U10" i="3" s="1"/>
  <c r="S16" i="2"/>
  <c r="T84" i="3" s="1"/>
  <c r="T83" i="3" s="1"/>
  <c r="Z43" i="1"/>
  <c r="Y34" i="1"/>
  <c r="L102" i="3"/>
  <c r="L100" i="3" s="1"/>
  <c r="L23" i="3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B32" i="1" l="1"/>
  <c r="Y63" i="3"/>
  <c r="Z65" i="3"/>
  <c r="P91" i="3"/>
  <c r="AC46" i="1"/>
  <c r="AB36" i="1"/>
  <c r="Z35" i="1"/>
  <c r="AA44" i="1"/>
  <c r="M101" i="3"/>
  <c r="N37" i="3"/>
  <c r="AG7" i="3"/>
  <c r="AH31" i="1"/>
  <c r="L97" i="3"/>
  <c r="E23" i="3"/>
  <c r="U17" i="2"/>
  <c r="U21" i="2" s="1"/>
  <c r="U20" i="2" s="1"/>
  <c r="V12" i="3" s="1"/>
  <c r="V10" i="3" s="1"/>
  <c r="T16" i="2"/>
  <c r="U84" i="3" s="1"/>
  <c r="U83" i="3" s="1"/>
  <c r="AA43" i="1"/>
  <c r="Z34" i="1"/>
  <c r="Y45" i="1"/>
  <c r="X37" i="1"/>
  <c r="X33" i="1" s="1"/>
  <c r="X42" i="1"/>
  <c r="X11" i="3" s="1"/>
  <c r="AA2" i="4"/>
  <c r="AA2" i="3"/>
  <c r="AA41" i="1"/>
  <c r="Z2" i="2"/>
  <c r="AB1" i="1"/>
  <c r="M58" i="3"/>
  <c r="M18" i="3"/>
  <c r="AB2" i="4" l="1"/>
  <c r="AB2" i="3"/>
  <c r="AB41" i="1"/>
  <c r="AA2" i="2"/>
  <c r="AC1" i="1"/>
  <c r="AB43" i="1"/>
  <c r="AA34" i="1"/>
  <c r="E10" i="3"/>
  <c r="Z63" i="3"/>
  <c r="AA65" i="3"/>
  <c r="Q91" i="3"/>
  <c r="M102" i="3"/>
  <c r="M100" i="3" s="1"/>
  <c r="U16" i="2"/>
  <c r="V84" i="3" s="1"/>
  <c r="V83" i="3" s="1"/>
  <c r="V17" i="2"/>
  <c r="V21" i="2" s="1"/>
  <c r="V20" i="2" s="1"/>
  <c r="W12" i="3" s="1"/>
  <c r="W10" i="3" s="1"/>
  <c r="AB44" i="1"/>
  <c r="AA35" i="1"/>
  <c r="M97" i="3"/>
  <c r="O33" i="3"/>
  <c r="N39" i="3"/>
  <c r="AC32" i="1"/>
  <c r="Z45" i="1"/>
  <c r="Y37" i="1"/>
  <c r="Y33" i="1" s="1"/>
  <c r="Y42" i="1"/>
  <c r="Y11" i="3" s="1"/>
  <c r="AD46" i="1"/>
  <c r="AC36" i="1"/>
  <c r="AH7" i="3"/>
  <c r="AI31" i="1"/>
  <c r="AC43" i="1" l="1"/>
  <c r="AB34" i="1"/>
  <c r="AD32" i="1"/>
  <c r="AC2" i="4"/>
  <c r="AB2" i="2"/>
  <c r="AC41" i="1"/>
  <c r="AC2" i="3"/>
  <c r="AD1" i="1"/>
  <c r="AI7" i="3"/>
  <c r="AJ31" i="1"/>
  <c r="N40" i="3"/>
  <c r="N49" i="3"/>
  <c r="N42" i="3"/>
  <c r="AA63" i="3"/>
  <c r="AB65" i="3"/>
  <c r="R91" i="3"/>
  <c r="AE46" i="1"/>
  <c r="AD36" i="1"/>
  <c r="O37" i="3"/>
  <c r="O39" i="3" s="1"/>
  <c r="N101" i="3"/>
  <c r="AA45" i="1"/>
  <c r="Z37" i="1"/>
  <c r="Z33" i="1" s="1"/>
  <c r="Z42" i="1"/>
  <c r="Z11" i="3" s="1"/>
  <c r="AB35" i="1"/>
  <c r="AC44" i="1"/>
  <c r="V16" i="2"/>
  <c r="W84" i="3" s="1"/>
  <c r="W83" i="3" s="1"/>
  <c r="W17" i="2"/>
  <c r="N97" i="3"/>
  <c r="O40" i="3" l="1"/>
  <c r="O42" i="3"/>
  <c r="O49" i="3"/>
  <c r="AD2" i="4"/>
  <c r="AC2" i="2"/>
  <c r="AD2" i="3"/>
  <c r="AD41" i="1"/>
  <c r="AE1" i="1"/>
  <c r="AJ7" i="3"/>
  <c r="AK31" i="1"/>
  <c r="AL31" i="1" s="1"/>
  <c r="AE32" i="1"/>
  <c r="AD43" i="1"/>
  <c r="AC34" i="1"/>
  <c r="N58" i="3"/>
  <c r="N18" i="3"/>
  <c r="W16" i="2"/>
  <c r="X84" i="3" s="1"/>
  <c r="X83" i="3" s="1"/>
  <c r="X17" i="2"/>
  <c r="X21" i="2" s="1"/>
  <c r="X20" i="2" s="1"/>
  <c r="Y12" i="3" s="1"/>
  <c r="Y10" i="3" s="1"/>
  <c r="AB63" i="3"/>
  <c r="AC65" i="3"/>
  <c r="S91" i="3"/>
  <c r="O97" i="3"/>
  <c r="AF46" i="1"/>
  <c r="AE36" i="1"/>
  <c r="AB45" i="1"/>
  <c r="AA37" i="1"/>
  <c r="AA33" i="1" s="1"/>
  <c r="AA42" i="1"/>
  <c r="AA11" i="3" s="1"/>
  <c r="P33" i="3"/>
  <c r="W21" i="2"/>
  <c r="W20" i="2" s="1"/>
  <c r="X12" i="3" s="1"/>
  <c r="X10" i="3" s="1"/>
  <c r="AC35" i="1"/>
  <c r="AD44" i="1"/>
  <c r="N102" i="3" l="1"/>
  <c r="N100" i="3" s="1"/>
  <c r="AE43" i="1"/>
  <c r="AD34" i="1"/>
  <c r="AE2" i="4"/>
  <c r="AD2" i="2"/>
  <c r="AE2" i="3"/>
  <c r="AE41" i="1"/>
  <c r="AF1" i="1"/>
  <c r="P97" i="3"/>
  <c r="AC63" i="3"/>
  <c r="AD65" i="3"/>
  <c r="T91" i="3"/>
  <c r="AD35" i="1"/>
  <c r="AE44" i="1"/>
  <c r="O101" i="3"/>
  <c r="P37" i="3"/>
  <c r="P39" i="3" s="1"/>
  <c r="AC45" i="1"/>
  <c r="AB37" i="1"/>
  <c r="AB33" i="1" s="1"/>
  <c r="AB42" i="1"/>
  <c r="AB11" i="3" s="1"/>
  <c r="Y17" i="2"/>
  <c r="X16" i="2"/>
  <c r="Y84" i="3" s="1"/>
  <c r="Y83" i="3" s="1"/>
  <c r="AF36" i="1"/>
  <c r="AG46" i="1"/>
  <c r="AF32" i="1"/>
  <c r="O58" i="3"/>
  <c r="O18" i="3"/>
  <c r="Z17" i="2" l="1"/>
  <c r="Z21" i="2" s="1"/>
  <c r="Z20" i="2" s="1"/>
  <c r="AA12" i="3" s="1"/>
  <c r="AA10" i="3" s="1"/>
  <c r="Y16" i="2"/>
  <c r="Z84" i="3" s="1"/>
  <c r="Z83" i="3" s="1"/>
  <c r="Y21" i="2"/>
  <c r="Y20" i="2" s="1"/>
  <c r="Z12" i="3" s="1"/>
  <c r="Z10" i="3" s="1"/>
  <c r="AH46" i="1"/>
  <c r="AG36" i="1"/>
  <c r="AG32" i="1"/>
  <c r="AE35" i="1"/>
  <c r="AF44" i="1"/>
  <c r="AF2" i="4"/>
  <c r="AE2" i="2"/>
  <c r="AF2" i="3"/>
  <c r="AF41" i="1"/>
  <c r="AG1" i="1"/>
  <c r="AD45" i="1"/>
  <c r="AC37" i="1"/>
  <c r="AC33" i="1" s="1"/>
  <c r="AC42" i="1"/>
  <c r="AC11" i="3" s="1"/>
  <c r="P40" i="3"/>
  <c r="P42" i="3"/>
  <c r="P49" i="3"/>
  <c r="AD63" i="3"/>
  <c r="AE65" i="3"/>
  <c r="U91" i="3"/>
  <c r="AE34" i="1"/>
  <c r="AF43" i="1"/>
  <c r="Q33" i="3"/>
  <c r="Q97" i="3"/>
  <c r="O102" i="3"/>
  <c r="O100" i="3" s="1"/>
  <c r="AF35" i="1" l="1"/>
  <c r="AG44" i="1"/>
  <c r="AI46" i="1"/>
  <c r="AH36" i="1"/>
  <c r="P58" i="3"/>
  <c r="P18" i="3"/>
  <c r="AF34" i="1"/>
  <c r="AG43" i="1"/>
  <c r="AE45" i="1"/>
  <c r="AD37" i="1"/>
  <c r="AD33" i="1" s="1"/>
  <c r="AD42" i="1"/>
  <c r="AD11" i="3" s="1"/>
  <c r="P101" i="3"/>
  <c r="Q37" i="3"/>
  <c r="R33" i="3"/>
  <c r="AA17" i="2"/>
  <c r="AA21" i="2" s="1"/>
  <c r="AA20" i="2" s="1"/>
  <c r="AB12" i="3" s="1"/>
  <c r="AB10" i="3" s="1"/>
  <c r="Z16" i="2"/>
  <c r="AA84" i="3" s="1"/>
  <c r="AA83" i="3" s="1"/>
  <c r="AE63" i="3"/>
  <c r="AF65" i="3"/>
  <c r="W91" i="3" s="1"/>
  <c r="V91" i="3"/>
  <c r="R97" i="3"/>
  <c r="AG2" i="4"/>
  <c r="AF2" i="2"/>
  <c r="AG2" i="3"/>
  <c r="AG41" i="1"/>
  <c r="AH1" i="1"/>
  <c r="AH32" i="1"/>
  <c r="Q39" i="3" l="1"/>
  <c r="Q40" i="3" s="1"/>
  <c r="P102" i="3"/>
  <c r="P100" i="3" s="1"/>
  <c r="AG35" i="1"/>
  <c r="AH44" i="1"/>
  <c r="AF63" i="3"/>
  <c r="AG65" i="3"/>
  <c r="AB17" i="2"/>
  <c r="AB21" i="2" s="1"/>
  <c r="AB20" i="2" s="1"/>
  <c r="AC12" i="3" s="1"/>
  <c r="AC10" i="3" s="1"/>
  <c r="AA16" i="2"/>
  <c r="AB84" i="3" s="1"/>
  <c r="AB83" i="3" s="1"/>
  <c r="AJ46" i="1"/>
  <c r="AI36" i="1"/>
  <c r="AF45" i="1"/>
  <c r="AE37" i="1"/>
  <c r="AE33" i="1" s="1"/>
  <c r="AE42" i="1"/>
  <c r="AE11" i="3" s="1"/>
  <c r="AG34" i="1"/>
  <c r="AH43" i="1"/>
  <c r="AH2" i="4"/>
  <c r="AH2" i="3"/>
  <c r="AH41" i="1"/>
  <c r="AI1" i="1"/>
  <c r="AG2" i="2"/>
  <c r="Q101" i="3"/>
  <c r="R37" i="3"/>
  <c r="S33" i="3"/>
  <c r="S97" i="3"/>
  <c r="AI32" i="1"/>
  <c r="Q49" i="3" l="1"/>
  <c r="Q42" i="3"/>
  <c r="R39" i="3"/>
  <c r="R40" i="3" s="1"/>
  <c r="AG63" i="3"/>
  <c r="AH65" i="3"/>
  <c r="Y91" i="3" s="1"/>
  <c r="X91" i="3"/>
  <c r="AH34" i="1"/>
  <c r="AI43" i="1"/>
  <c r="AI44" i="1"/>
  <c r="AH35" i="1"/>
  <c r="AG45" i="1"/>
  <c r="AF37" i="1"/>
  <c r="AF33" i="1" s="1"/>
  <c r="AF42" i="1"/>
  <c r="AF11" i="3" s="1"/>
  <c r="AK46" i="1"/>
  <c r="AJ36" i="1"/>
  <c r="R101" i="3"/>
  <c r="S37" i="3"/>
  <c r="T33" i="3"/>
  <c r="AI2" i="4"/>
  <c r="AI2" i="3"/>
  <c r="AH2" i="2"/>
  <c r="AI41" i="1"/>
  <c r="AJ1" i="1"/>
  <c r="AC17" i="2"/>
  <c r="AC21" i="2" s="1"/>
  <c r="AC20" i="2" s="1"/>
  <c r="AD12" i="3" s="1"/>
  <c r="AD10" i="3" s="1"/>
  <c r="AB16" i="2"/>
  <c r="AC84" i="3" s="1"/>
  <c r="AC83" i="3" s="1"/>
  <c r="AJ32" i="1"/>
  <c r="T97" i="3"/>
  <c r="Q58" i="3"/>
  <c r="Q18" i="3"/>
  <c r="R49" i="3" l="1"/>
  <c r="R42" i="3"/>
  <c r="S39" i="3"/>
  <c r="S40" i="3" s="1"/>
  <c r="AI34" i="1"/>
  <c r="AJ43" i="1"/>
  <c r="AH45" i="1"/>
  <c r="AG37" i="1"/>
  <c r="AG33" i="1" s="1"/>
  <c r="AG42" i="1"/>
  <c r="AG11" i="3" s="1"/>
  <c r="U97" i="3"/>
  <c r="S101" i="3"/>
  <c r="T37" i="3"/>
  <c r="U33" i="3"/>
  <c r="AH63" i="3"/>
  <c r="AI65" i="3"/>
  <c r="AK32" i="1"/>
  <c r="AL32" i="1" s="1"/>
  <c r="AD17" i="2"/>
  <c r="AD21" i="2" s="1"/>
  <c r="AD20" i="2" s="1"/>
  <c r="AE12" i="3" s="1"/>
  <c r="AE10" i="3" s="1"/>
  <c r="AC16" i="2"/>
  <c r="AD84" i="3" s="1"/>
  <c r="AD83" i="3" s="1"/>
  <c r="AJ2" i="4"/>
  <c r="AI2" i="2"/>
  <c r="AJ41" i="1"/>
  <c r="AJ2" i="3"/>
  <c r="AK1" i="1"/>
  <c r="Q102" i="3"/>
  <c r="Q100" i="3" s="1"/>
  <c r="R58" i="3"/>
  <c r="R18" i="3"/>
  <c r="AL46" i="1"/>
  <c r="AL36" i="1" s="1"/>
  <c r="AK36" i="1"/>
  <c r="AJ44" i="1"/>
  <c r="AI35" i="1"/>
  <c r="S49" i="3" l="1"/>
  <c r="S42" i="3"/>
  <c r="T39" i="3"/>
  <c r="T49" i="3" s="1"/>
  <c r="AI45" i="1"/>
  <c r="AH37" i="1"/>
  <c r="AH33" i="1" s="1"/>
  <c r="AH42" i="1"/>
  <c r="AH11" i="3" s="1"/>
  <c r="V97" i="3"/>
  <c r="AJ34" i="1"/>
  <c r="AK43" i="1"/>
  <c r="AE17" i="2"/>
  <c r="AE21" i="2" s="1"/>
  <c r="AE20" i="2" s="1"/>
  <c r="AF12" i="3" s="1"/>
  <c r="AF10" i="3" s="1"/>
  <c r="AD16" i="2"/>
  <c r="AE84" i="3" s="1"/>
  <c r="AE83" i="3" s="1"/>
  <c r="R102" i="3"/>
  <c r="R100" i="3" s="1"/>
  <c r="AK41" i="1"/>
  <c r="AL1" i="1"/>
  <c r="AL41" i="1" s="1"/>
  <c r="AI63" i="3"/>
  <c r="AJ65" i="3"/>
  <c r="Z91" i="3"/>
  <c r="S58" i="3"/>
  <c r="S18" i="3"/>
  <c r="AK44" i="1"/>
  <c r="AJ35" i="1"/>
  <c r="T101" i="3"/>
  <c r="U37" i="3"/>
  <c r="V33" i="3"/>
  <c r="T40" i="3" l="1"/>
  <c r="T18" i="3" s="1"/>
  <c r="T42" i="3"/>
  <c r="AJ63" i="3"/>
  <c r="AI91" i="3"/>
  <c r="E65" i="3"/>
  <c r="AC91" i="3"/>
  <c r="AE91" i="3"/>
  <c r="AF91" i="3"/>
  <c r="W97" i="3"/>
  <c r="AH91" i="3"/>
  <c r="AL44" i="1"/>
  <c r="AL35" i="1" s="1"/>
  <c r="AK35" i="1"/>
  <c r="AG91" i="3"/>
  <c r="U39" i="3"/>
  <c r="S102" i="3"/>
  <c r="S100" i="3" s="1"/>
  <c r="AL43" i="1"/>
  <c r="AK34" i="1"/>
  <c r="V37" i="3"/>
  <c r="U101" i="3"/>
  <c r="W33" i="3"/>
  <c r="AB91" i="3"/>
  <c r="AF17" i="2"/>
  <c r="AF21" i="2" s="1"/>
  <c r="AF20" i="2" s="1"/>
  <c r="AG12" i="3" s="1"/>
  <c r="AG10" i="3" s="1"/>
  <c r="AE16" i="2"/>
  <c r="AF84" i="3" s="1"/>
  <c r="AF83" i="3" s="1"/>
  <c r="AA91" i="3"/>
  <c r="AD91" i="3"/>
  <c r="AJ45" i="1"/>
  <c r="AI37" i="1"/>
  <c r="AI33" i="1" s="1"/>
  <c r="AI42" i="1"/>
  <c r="AI11" i="3" s="1"/>
  <c r="T58" i="3" l="1"/>
  <c r="T102" i="3" s="1"/>
  <c r="T100" i="3" s="1"/>
  <c r="V39" i="3"/>
  <c r="V49" i="3" s="1"/>
  <c r="AL34" i="1"/>
  <c r="V101" i="3"/>
  <c r="W37" i="3"/>
  <c r="X33" i="3"/>
  <c r="U40" i="3"/>
  <c r="U49" i="3"/>
  <c r="AG17" i="2"/>
  <c r="AF16" i="2"/>
  <c r="AG84" i="3" s="1"/>
  <c r="AG83" i="3" s="1"/>
  <c r="AK45" i="1"/>
  <c r="AJ37" i="1"/>
  <c r="AJ33" i="1" s="1"/>
  <c r="AJ42" i="1"/>
  <c r="AJ11" i="3" s="1"/>
  <c r="X97" i="3"/>
  <c r="V40" i="3" l="1"/>
  <c r="V18" i="3" s="1"/>
  <c r="AH17" i="2"/>
  <c r="AH21" i="2" s="1"/>
  <c r="AH20" i="2" s="1"/>
  <c r="AI12" i="3" s="1"/>
  <c r="AI10" i="3" s="1"/>
  <c r="AG16" i="2"/>
  <c r="AH84" i="3" s="1"/>
  <c r="AH83" i="3" s="1"/>
  <c r="AL45" i="1"/>
  <c r="AK37" i="1"/>
  <c r="AK33" i="1" s="1"/>
  <c r="AK42" i="1"/>
  <c r="U58" i="3"/>
  <c r="U18" i="3"/>
  <c r="W39" i="3"/>
  <c r="X37" i="3"/>
  <c r="W101" i="3"/>
  <c r="Y33" i="3"/>
  <c r="Y97" i="3"/>
  <c r="AG21" i="2"/>
  <c r="AG20" i="2" s="1"/>
  <c r="AH12" i="3" s="1"/>
  <c r="AH10" i="3" s="1"/>
  <c r="V58" i="3" l="1"/>
  <c r="E58" i="3" s="1"/>
  <c r="Y37" i="3"/>
  <c r="X101" i="3"/>
  <c r="Z33" i="3"/>
  <c r="Z97" i="3"/>
  <c r="AL37" i="1"/>
  <c r="AL33" i="1" s="1"/>
  <c r="AL42" i="1"/>
  <c r="U102" i="3"/>
  <c r="U100" i="3" s="1"/>
  <c r="E18" i="3"/>
  <c r="X39" i="3"/>
  <c r="W40" i="3"/>
  <c r="W49" i="3"/>
  <c r="AI17" i="2"/>
  <c r="AI16" i="2" s="1"/>
  <c r="AH16" i="2"/>
  <c r="AI84" i="3" s="1"/>
  <c r="AI83" i="3" s="1"/>
  <c r="V102" i="3" l="1"/>
  <c r="V100" i="3" s="1"/>
  <c r="Y39" i="3"/>
  <c r="Y40" i="3" s="1"/>
  <c r="AI21" i="2"/>
  <c r="AI20" i="2" s="1"/>
  <c r="AJ12" i="3" s="1"/>
  <c r="AJ10" i="3" s="1"/>
  <c r="Y101" i="3"/>
  <c r="Z37" i="3"/>
  <c r="AA33" i="3"/>
  <c r="AA97" i="3"/>
  <c r="X40" i="3"/>
  <c r="X49" i="3"/>
  <c r="W58" i="3"/>
  <c r="W18" i="3"/>
  <c r="Y49" i="3" l="1"/>
  <c r="X58" i="3"/>
  <c r="X18" i="3"/>
  <c r="Z39" i="3"/>
  <c r="Z101" i="3"/>
  <c r="AA37" i="3"/>
  <c r="AB33" i="3"/>
  <c r="Y58" i="3"/>
  <c r="Y18" i="3"/>
  <c r="W102" i="3"/>
  <c r="W100" i="3" s="1"/>
  <c r="AB97" i="3"/>
  <c r="AA39" i="3" l="1"/>
  <c r="AA49" i="3" s="1"/>
  <c r="AB37" i="3"/>
  <c r="AA101" i="3"/>
  <c r="AC33" i="3"/>
  <c r="X102" i="3"/>
  <c r="X100" i="3" s="1"/>
  <c r="Z40" i="3"/>
  <c r="Z49" i="3"/>
  <c r="AC97" i="3"/>
  <c r="AA40" i="3" l="1"/>
  <c r="AA58" i="3" s="1"/>
  <c r="AB39" i="3"/>
  <c r="AB40" i="3" s="1"/>
  <c r="Y102" i="3"/>
  <c r="Y100" i="3" s="1"/>
  <c r="Z18" i="3"/>
  <c r="Z58" i="3"/>
  <c r="AB101" i="3"/>
  <c r="AD33" i="3"/>
  <c r="AC37" i="3"/>
  <c r="AD97" i="3"/>
  <c r="AA18" i="3" l="1"/>
  <c r="AB49" i="3"/>
  <c r="Z102" i="3"/>
  <c r="Z100" i="3" s="1"/>
  <c r="AC101" i="3"/>
  <c r="AE33" i="3"/>
  <c r="AD37" i="3"/>
  <c r="AB18" i="3"/>
  <c r="AB58" i="3"/>
  <c r="AC39" i="3"/>
  <c r="AE97" i="3"/>
  <c r="AC40" i="3" l="1"/>
  <c r="AC49" i="3"/>
  <c r="AD39" i="3"/>
  <c r="AF33" i="3"/>
  <c r="AD101" i="3"/>
  <c r="AE37" i="3"/>
  <c r="AF97" i="3"/>
  <c r="AA102" i="3"/>
  <c r="AA100" i="3" s="1"/>
  <c r="AB102" i="3" l="1"/>
  <c r="AB100" i="3" s="1"/>
  <c r="AE39" i="3"/>
  <c r="AE49" i="3" s="1"/>
  <c r="AE101" i="3"/>
  <c r="AF37" i="3"/>
  <c r="AG33" i="3"/>
  <c r="AC58" i="3"/>
  <c r="AC18" i="3"/>
  <c r="AD40" i="3"/>
  <c r="AD49" i="3"/>
  <c r="AG97" i="3"/>
  <c r="AE40" i="3" l="1"/>
  <c r="AE18" i="3" s="1"/>
  <c r="AF101" i="3"/>
  <c r="AG37" i="3"/>
  <c r="AH33" i="3"/>
  <c r="AF39" i="3"/>
  <c r="AD58" i="3"/>
  <c r="AD18" i="3"/>
  <c r="AC102" i="3"/>
  <c r="AC100" i="3" s="1"/>
  <c r="AH97" i="3"/>
  <c r="AE58" i="3" l="1"/>
  <c r="AI97" i="3"/>
  <c r="AG101" i="3"/>
  <c r="AH37" i="3"/>
  <c r="AI33" i="3"/>
  <c r="AG39" i="3"/>
  <c r="AD102" i="3"/>
  <c r="AD100" i="3" s="1"/>
  <c r="AF40" i="3"/>
  <c r="AF49" i="3"/>
  <c r="AF58" i="3" l="1"/>
  <c r="AF18" i="3"/>
  <c r="AH101" i="3"/>
  <c r="AI37" i="3"/>
  <c r="AG40" i="3"/>
  <c r="AG49" i="3"/>
  <c r="AH39" i="3"/>
  <c r="AE102" i="3"/>
  <c r="AE100" i="3" s="1"/>
  <c r="AF102" i="3" l="1"/>
  <c r="AF100" i="3" s="1"/>
  <c r="AI39" i="3"/>
  <c r="AG18" i="3"/>
  <c r="AG58" i="3"/>
  <c r="AH40" i="3"/>
  <c r="AH49" i="3"/>
  <c r="AI40" i="3" l="1"/>
  <c r="AI49" i="3"/>
  <c r="AH18" i="3"/>
  <c r="AH58" i="3"/>
  <c r="AG102" i="3"/>
  <c r="AG100" i="3" s="1"/>
  <c r="AH102" i="3" l="1"/>
  <c r="AH100" i="3" s="1"/>
  <c r="AI58" i="3"/>
  <c r="AI18" i="3"/>
  <c r="AI102" i="3" l="1"/>
  <c r="AI100" i="3" s="1"/>
  <c r="G14" i="1"/>
  <c r="E85" i="1" s="1"/>
  <c r="G8" i="3"/>
  <c r="G26" i="1" l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H25" i="1"/>
  <c r="I25" i="1" s="1"/>
  <c r="I8" i="3" s="1"/>
  <c r="G6" i="3"/>
  <c r="G5" i="3" s="1"/>
  <c r="G14" i="3" s="1"/>
  <c r="G57" i="3" s="1"/>
  <c r="I14" i="1"/>
  <c r="J14" i="1" s="1"/>
  <c r="G76" i="3" l="1"/>
  <c r="H8" i="3"/>
  <c r="I6" i="3"/>
  <c r="I5" i="3" s="1"/>
  <c r="I14" i="3" s="1"/>
  <c r="J25" i="1"/>
  <c r="J8" i="3" s="1"/>
  <c r="G17" i="3"/>
  <c r="G22" i="3" s="1"/>
  <c r="G50" i="3"/>
  <c r="H6" i="3"/>
  <c r="I76" i="3" l="1"/>
  <c r="K25" i="1"/>
  <c r="K8" i="3" s="1"/>
  <c r="H5" i="3"/>
  <c r="H76" i="3" s="1"/>
  <c r="J6" i="3"/>
  <c r="J5" i="3" s="1"/>
  <c r="I57" i="3"/>
  <c r="I17" i="3"/>
  <c r="I22" i="3" s="1"/>
  <c r="I50" i="3"/>
  <c r="G24" i="3"/>
  <c r="G26" i="3" s="1"/>
  <c r="L25" i="1" l="1"/>
  <c r="L8" i="3" s="1"/>
  <c r="K6" i="3"/>
  <c r="K5" i="3" s="1"/>
  <c r="K76" i="3" s="1"/>
  <c r="H14" i="3"/>
  <c r="H57" i="3" s="1"/>
  <c r="J14" i="3"/>
  <c r="J57" i="3" s="1"/>
  <c r="J76" i="3"/>
  <c r="G98" i="3"/>
  <c r="G96" i="3" s="1"/>
  <c r="G94" i="3" s="1"/>
  <c r="I24" i="3"/>
  <c r="I26" i="3" s="1"/>
  <c r="G60" i="3"/>
  <c r="G48" i="3"/>
  <c r="G47" i="3" s="1"/>
  <c r="L6" i="3" l="1"/>
  <c r="M25" i="1"/>
  <c r="M6" i="3" s="1"/>
  <c r="H50" i="3"/>
  <c r="J50" i="3"/>
  <c r="H17" i="3"/>
  <c r="H22" i="3" s="1"/>
  <c r="J17" i="3"/>
  <c r="J22" i="3" s="1"/>
  <c r="J24" i="3" s="1"/>
  <c r="J26" i="3" s="1"/>
  <c r="K14" i="3"/>
  <c r="K17" i="3" s="1"/>
  <c r="K22" i="3" s="1"/>
  <c r="G56" i="3"/>
  <c r="L5" i="3"/>
  <c r="I60" i="3"/>
  <c r="I56" i="3" s="1"/>
  <c r="I48" i="3"/>
  <c r="I47" i="3" s="1"/>
  <c r="M8" i="3" l="1"/>
  <c r="N25" i="1"/>
  <c r="K57" i="3"/>
  <c r="K50" i="3"/>
  <c r="M5" i="3"/>
  <c r="M76" i="3" s="1"/>
  <c r="G74" i="3"/>
  <c r="G5" i="4"/>
  <c r="K24" i="3"/>
  <c r="J60" i="3"/>
  <c r="J56" i="3" s="1"/>
  <c r="J48" i="3"/>
  <c r="J47" i="3" s="1"/>
  <c r="L14" i="3"/>
  <c r="L76" i="3"/>
  <c r="H24" i="3"/>
  <c r="H26" i="3" s="1"/>
  <c r="I74" i="3"/>
  <c r="I5" i="4"/>
  <c r="I17" i="4" s="1"/>
  <c r="O25" i="1"/>
  <c r="N8" i="3"/>
  <c r="N6" i="3"/>
  <c r="G17" i="4" l="1"/>
  <c r="M14" i="3"/>
  <c r="M57" i="3" s="1"/>
  <c r="N5" i="3"/>
  <c r="N14" i="3" s="1"/>
  <c r="J5" i="4"/>
  <c r="J17" i="4" s="1"/>
  <c r="J74" i="3"/>
  <c r="K60" i="3"/>
  <c r="K56" i="3" s="1"/>
  <c r="K48" i="3"/>
  <c r="K47" i="3" s="1"/>
  <c r="H98" i="3"/>
  <c r="K26" i="3"/>
  <c r="H60" i="3"/>
  <c r="H48" i="3"/>
  <c r="H47" i="3" s="1"/>
  <c r="G6" i="4"/>
  <c r="G7" i="4"/>
  <c r="P25" i="1"/>
  <c r="O8" i="3"/>
  <c r="O6" i="3"/>
  <c r="G75" i="3"/>
  <c r="I7" i="4"/>
  <c r="I19" i="4"/>
  <c r="L17" i="3"/>
  <c r="L50" i="3"/>
  <c r="L57" i="3"/>
  <c r="M50" i="3" l="1"/>
  <c r="M17" i="3"/>
  <c r="M22" i="3" s="1"/>
  <c r="M24" i="3" s="1"/>
  <c r="M26" i="3" s="1"/>
  <c r="N76" i="3"/>
  <c r="O5" i="3"/>
  <c r="O76" i="3" s="1"/>
  <c r="G92" i="3"/>
  <c r="G88" i="3" s="1"/>
  <c r="G81" i="3" s="1"/>
  <c r="G110" i="3" s="1"/>
  <c r="H96" i="3"/>
  <c r="H94" i="3" s="1"/>
  <c r="I98" i="3"/>
  <c r="K74" i="3"/>
  <c r="K5" i="4"/>
  <c r="K17" i="4" s="1"/>
  <c r="L22" i="3"/>
  <c r="P6" i="3"/>
  <c r="Q25" i="1"/>
  <c r="P8" i="3"/>
  <c r="N57" i="3"/>
  <c r="N50" i="3"/>
  <c r="N17" i="3"/>
  <c r="N22" i="3" s="1"/>
  <c r="J19" i="4"/>
  <c r="J7" i="4"/>
  <c r="G8" i="4"/>
  <c r="H56" i="3"/>
  <c r="G18" i="4"/>
  <c r="G19" i="4"/>
  <c r="P5" i="3" l="1"/>
  <c r="P76" i="3" s="1"/>
  <c r="O14" i="3"/>
  <c r="O17" i="3" s="1"/>
  <c r="O22" i="3" s="1"/>
  <c r="G20" i="4"/>
  <c r="L24" i="3"/>
  <c r="K19" i="4"/>
  <c r="K7" i="4"/>
  <c r="M60" i="3"/>
  <c r="M56" i="3" s="1"/>
  <c r="M48" i="3"/>
  <c r="M47" i="3" s="1"/>
  <c r="Q6" i="3"/>
  <c r="Q8" i="3"/>
  <c r="R25" i="1"/>
  <c r="I96" i="3"/>
  <c r="I94" i="3" s="1"/>
  <c r="J98" i="3"/>
  <c r="H5" i="4"/>
  <c r="H74" i="3"/>
  <c r="N24" i="3"/>
  <c r="H17" i="4" l="1"/>
  <c r="O50" i="3"/>
  <c r="O57" i="3"/>
  <c r="P14" i="3"/>
  <c r="P17" i="3" s="1"/>
  <c r="P22" i="3" s="1"/>
  <c r="N60" i="3"/>
  <c r="N56" i="3" s="1"/>
  <c r="N48" i="3"/>
  <c r="N47" i="3" s="1"/>
  <c r="H75" i="3"/>
  <c r="O24" i="3"/>
  <c r="O26" i="3" s="1"/>
  <c r="H7" i="4"/>
  <c r="H6" i="4"/>
  <c r="I6" i="4" s="1"/>
  <c r="J6" i="4" s="1"/>
  <c r="K6" i="4" s="1"/>
  <c r="L60" i="3"/>
  <c r="L48" i="3"/>
  <c r="L47" i="3" s="1"/>
  <c r="J96" i="3"/>
  <c r="J94" i="3" s="1"/>
  <c r="K98" i="3"/>
  <c r="K96" i="3" s="1"/>
  <c r="K94" i="3" s="1"/>
  <c r="R6" i="3"/>
  <c r="R8" i="3"/>
  <c r="S25" i="1"/>
  <c r="L26" i="3"/>
  <c r="Q5" i="3"/>
  <c r="N26" i="3"/>
  <c r="M74" i="3"/>
  <c r="M5" i="4"/>
  <c r="M17" i="4" s="1"/>
  <c r="P50" i="3" l="1"/>
  <c r="P57" i="3"/>
  <c r="Q14" i="3"/>
  <c r="Q76" i="3"/>
  <c r="H19" i="4"/>
  <c r="H18" i="4"/>
  <c r="I18" i="4" s="1"/>
  <c r="J18" i="4" s="1"/>
  <c r="K18" i="4" s="1"/>
  <c r="T25" i="1"/>
  <c r="S6" i="3"/>
  <c r="S8" i="3"/>
  <c r="H8" i="4"/>
  <c r="I8" i="4" s="1"/>
  <c r="J8" i="4" s="1"/>
  <c r="K8" i="4" s="1"/>
  <c r="O60" i="3"/>
  <c r="O56" i="3" s="1"/>
  <c r="O48" i="3"/>
  <c r="O47" i="3" s="1"/>
  <c r="M7" i="4"/>
  <c r="M19" i="4"/>
  <c r="L98" i="3"/>
  <c r="P24" i="3"/>
  <c r="R5" i="3"/>
  <c r="I75" i="3"/>
  <c r="H92" i="3"/>
  <c r="H88" i="3" s="1"/>
  <c r="H81" i="3" s="1"/>
  <c r="H110" i="3" s="1"/>
  <c r="L56" i="3"/>
  <c r="N74" i="3"/>
  <c r="N5" i="4"/>
  <c r="N17" i="4" s="1"/>
  <c r="P60" i="3" l="1"/>
  <c r="P56" i="3" s="1"/>
  <c r="P48" i="3"/>
  <c r="P47" i="3" s="1"/>
  <c r="I92" i="3"/>
  <c r="I88" i="3" s="1"/>
  <c r="I81" i="3" s="1"/>
  <c r="I110" i="3" s="1"/>
  <c r="J75" i="3"/>
  <c r="U25" i="1"/>
  <c r="T6" i="3"/>
  <c r="T8" i="3"/>
  <c r="N19" i="4"/>
  <c r="N7" i="4"/>
  <c r="R14" i="3"/>
  <c r="R76" i="3"/>
  <c r="P26" i="3"/>
  <c r="O5" i="4"/>
  <c r="O17" i="4" s="1"/>
  <c r="O74" i="3"/>
  <c r="H20" i="4"/>
  <c r="I20" i="4" s="1"/>
  <c r="J20" i="4" s="1"/>
  <c r="K20" i="4" s="1"/>
  <c r="L74" i="3"/>
  <c r="L5" i="4"/>
  <c r="L96" i="3"/>
  <c r="L94" i="3" s="1"/>
  <c r="M98" i="3"/>
  <c r="Q17" i="3"/>
  <c r="Q22" i="3" s="1"/>
  <c r="Q57" i="3"/>
  <c r="Q50" i="3"/>
  <c r="S5" i="3"/>
  <c r="L17" i="4" l="1"/>
  <c r="V25" i="1"/>
  <c r="U8" i="3"/>
  <c r="U6" i="3"/>
  <c r="K75" i="3"/>
  <c r="J92" i="3"/>
  <c r="J88" i="3" s="1"/>
  <c r="J81" i="3" s="1"/>
  <c r="J110" i="3" s="1"/>
  <c r="Q24" i="3"/>
  <c r="Q26" i="3" s="1"/>
  <c r="T5" i="3"/>
  <c r="M96" i="3"/>
  <c r="M94" i="3" s="1"/>
  <c r="N98" i="3"/>
  <c r="L7" i="4"/>
  <c r="L6" i="4"/>
  <c r="M6" i="4" s="1"/>
  <c r="N6" i="4" s="1"/>
  <c r="O6" i="4" s="1"/>
  <c r="O19" i="4"/>
  <c r="O7" i="4"/>
  <c r="S14" i="3"/>
  <c r="S76" i="3"/>
  <c r="R17" i="3"/>
  <c r="R22" i="3" s="1"/>
  <c r="R57" i="3"/>
  <c r="R50" i="3"/>
  <c r="P5" i="4"/>
  <c r="P17" i="4" s="1"/>
  <c r="P74" i="3"/>
  <c r="Q60" i="3" l="1"/>
  <c r="Q48" i="3"/>
  <c r="Q47" i="3" s="1"/>
  <c r="R24" i="3"/>
  <c r="R26" i="3" s="1"/>
  <c r="L19" i="4"/>
  <c r="L18" i="4"/>
  <c r="M18" i="4" s="1"/>
  <c r="N18" i="4" s="1"/>
  <c r="O18" i="4" s="1"/>
  <c r="L8" i="4"/>
  <c r="M8" i="4" s="1"/>
  <c r="N8" i="4" s="1"/>
  <c r="O8" i="4" s="1"/>
  <c r="L75" i="3"/>
  <c r="K92" i="3"/>
  <c r="K88" i="3" s="1"/>
  <c r="K81" i="3" s="1"/>
  <c r="K110" i="3" s="1"/>
  <c r="S57" i="3"/>
  <c r="S17" i="3"/>
  <c r="S22" i="3" s="1"/>
  <c r="S50" i="3"/>
  <c r="N96" i="3"/>
  <c r="N94" i="3" s="1"/>
  <c r="O98" i="3"/>
  <c r="U5" i="3"/>
  <c r="P19" i="4"/>
  <c r="P7" i="4"/>
  <c r="P6" i="4"/>
  <c r="T14" i="3"/>
  <c r="T76" i="3"/>
  <c r="V6" i="3"/>
  <c r="V8" i="3"/>
  <c r="E8" i="3" s="1"/>
  <c r="W25" i="1"/>
  <c r="U14" i="3" l="1"/>
  <c r="U76" i="3"/>
  <c r="O96" i="3"/>
  <c r="O94" i="3" s="1"/>
  <c r="P98" i="3"/>
  <c r="L92" i="3"/>
  <c r="L88" i="3" s="1"/>
  <c r="L81" i="3" s="1"/>
  <c r="L110" i="3" s="1"/>
  <c r="M75" i="3"/>
  <c r="P8" i="4"/>
  <c r="W8" i="3"/>
  <c r="X25" i="1"/>
  <c r="W6" i="3"/>
  <c r="L20" i="4"/>
  <c r="M20" i="4" s="1"/>
  <c r="N20" i="4" s="1"/>
  <c r="O20" i="4" s="1"/>
  <c r="P20" i="4" s="1"/>
  <c r="R60" i="3"/>
  <c r="R56" i="3" s="1"/>
  <c r="R48" i="3"/>
  <c r="R47" i="3" s="1"/>
  <c r="S24" i="3"/>
  <c r="S26" i="3" s="1"/>
  <c r="V5" i="3"/>
  <c r="E6" i="3"/>
  <c r="P18" i="4"/>
  <c r="Q56" i="3"/>
  <c r="T57" i="3"/>
  <c r="T50" i="3"/>
  <c r="T17" i="3"/>
  <c r="T22" i="3" s="1"/>
  <c r="Q74" i="3" l="1"/>
  <c r="Q5" i="4"/>
  <c r="Q17" i="4" s="1"/>
  <c r="S60" i="3"/>
  <c r="S56" i="3" s="1"/>
  <c r="S48" i="3"/>
  <c r="S47" i="3" s="1"/>
  <c r="R5" i="4"/>
  <c r="R17" i="4" s="1"/>
  <c r="R74" i="3"/>
  <c r="P96" i="3"/>
  <c r="P94" i="3" s="1"/>
  <c r="Q98" i="3"/>
  <c r="N75" i="3"/>
  <c r="M92" i="3"/>
  <c r="M88" i="3" s="1"/>
  <c r="M81" i="3" s="1"/>
  <c r="M110" i="3" s="1"/>
  <c r="W5" i="3"/>
  <c r="T24" i="3"/>
  <c r="T26" i="3" s="1"/>
  <c r="X6" i="3"/>
  <c r="X8" i="3"/>
  <c r="Y25" i="1"/>
  <c r="U17" i="3"/>
  <c r="U22" i="3" s="1"/>
  <c r="U57" i="3"/>
  <c r="U50" i="3"/>
  <c r="V14" i="3"/>
  <c r="V76" i="3"/>
  <c r="E5" i="3"/>
  <c r="W14" i="3" l="1"/>
  <c r="W76" i="3"/>
  <c r="X5" i="3"/>
  <c r="T60" i="3"/>
  <c r="T56" i="3" s="1"/>
  <c r="T48" i="3"/>
  <c r="T47" i="3" s="1"/>
  <c r="O75" i="3"/>
  <c r="N92" i="3"/>
  <c r="N88" i="3" s="1"/>
  <c r="N81" i="3" s="1"/>
  <c r="N110" i="3" s="1"/>
  <c r="Q96" i="3"/>
  <c r="Q94" i="3" s="1"/>
  <c r="R98" i="3"/>
  <c r="R7" i="4"/>
  <c r="R19" i="4"/>
  <c r="V57" i="3"/>
  <c r="V50" i="3"/>
  <c r="V17" i="3"/>
  <c r="E14" i="3"/>
  <c r="S5" i="4"/>
  <c r="S17" i="4" s="1"/>
  <c r="S74" i="3"/>
  <c r="Q7" i="4"/>
  <c r="Q8" i="4" s="1"/>
  <c r="Q6" i="4"/>
  <c r="R6" i="4" s="1"/>
  <c r="U24" i="3"/>
  <c r="U26" i="3" s="1"/>
  <c r="Z25" i="1"/>
  <c r="Y6" i="3"/>
  <c r="Y8" i="3"/>
  <c r="Y5" i="3" l="1"/>
  <c r="Y76" i="3" s="1"/>
  <c r="S19" i="4"/>
  <c r="S7" i="4"/>
  <c r="U60" i="3"/>
  <c r="U56" i="3" s="1"/>
  <c r="U48" i="3"/>
  <c r="U47" i="3" s="1"/>
  <c r="S6" i="4"/>
  <c r="V22" i="3"/>
  <c r="E17" i="3"/>
  <c r="P75" i="3"/>
  <c r="O92" i="3"/>
  <c r="O88" i="3" s="1"/>
  <c r="O81" i="3" s="1"/>
  <c r="O110" i="3" s="1"/>
  <c r="T5" i="4"/>
  <c r="T17" i="4" s="1"/>
  <c r="T74" i="3"/>
  <c r="Q19" i="4"/>
  <c r="Q18" i="4"/>
  <c r="R18" i="4" s="1"/>
  <c r="E57" i="3"/>
  <c r="X14" i="3"/>
  <c r="X76" i="3"/>
  <c r="R8" i="4"/>
  <c r="Z8" i="3"/>
  <c r="Z6" i="3"/>
  <c r="AA25" i="1"/>
  <c r="W57" i="3"/>
  <c r="W17" i="3"/>
  <c r="W22" i="3" s="1"/>
  <c r="W50" i="3"/>
  <c r="R96" i="3"/>
  <c r="R94" i="3" s="1"/>
  <c r="S98" i="3"/>
  <c r="Y14" i="3" l="1"/>
  <c r="Y57" i="3" s="1"/>
  <c r="T6" i="4"/>
  <c r="S18" i="4"/>
  <c r="S8" i="4"/>
  <c r="P92" i="3"/>
  <c r="P88" i="3" s="1"/>
  <c r="P81" i="3" s="1"/>
  <c r="P110" i="3" s="1"/>
  <c r="Q75" i="3"/>
  <c r="Z5" i="3"/>
  <c r="AA6" i="3"/>
  <c r="AB25" i="1"/>
  <c r="AA8" i="3"/>
  <c r="V24" i="3"/>
  <c r="E22" i="3"/>
  <c r="S96" i="3"/>
  <c r="S94" i="3" s="1"/>
  <c r="T98" i="3"/>
  <c r="U74" i="3"/>
  <c r="U5" i="4"/>
  <c r="Q20" i="4"/>
  <c r="R20" i="4" s="1"/>
  <c r="S20" i="4" s="1"/>
  <c r="T7" i="4"/>
  <c r="W24" i="3"/>
  <c r="W26" i="3" s="1"/>
  <c r="X50" i="3"/>
  <c r="X57" i="3"/>
  <c r="X17" i="3"/>
  <c r="X22" i="3" s="1"/>
  <c r="U17" i="4" l="1"/>
  <c r="F24" i="4" s="1"/>
  <c r="E92" i="1" s="1"/>
  <c r="F12" i="4"/>
  <c r="E91" i="1" s="1"/>
  <c r="Y50" i="3"/>
  <c r="Y17" i="3"/>
  <c r="Y22" i="3" s="1"/>
  <c r="Y24" i="3" s="1"/>
  <c r="T18" i="4"/>
  <c r="T8" i="4"/>
  <c r="V60" i="3"/>
  <c r="E24" i="3"/>
  <c r="V48" i="3"/>
  <c r="V47" i="3" s="1"/>
  <c r="V26" i="3"/>
  <c r="U19" i="4"/>
  <c r="U7" i="4"/>
  <c r="E7" i="4" s="1"/>
  <c r="T19" i="4"/>
  <c r="T20" i="4" s="1"/>
  <c r="AC25" i="1"/>
  <c r="AB6" i="3"/>
  <c r="AB8" i="3"/>
  <c r="X24" i="3"/>
  <c r="X26" i="3" s="1"/>
  <c r="AA5" i="3"/>
  <c r="T96" i="3"/>
  <c r="T94" i="3" s="1"/>
  <c r="U98" i="3"/>
  <c r="U96" i="3" s="1"/>
  <c r="U94" i="3" s="1"/>
  <c r="Z76" i="3"/>
  <c r="Z14" i="3"/>
  <c r="U6" i="4"/>
  <c r="R75" i="3"/>
  <c r="Q92" i="3"/>
  <c r="Q88" i="3" s="1"/>
  <c r="Q81" i="3" s="1"/>
  <c r="Q110" i="3" s="1"/>
  <c r="W60" i="3"/>
  <c r="W56" i="3" s="1"/>
  <c r="W48" i="3"/>
  <c r="W47" i="3" s="1"/>
  <c r="AA76" i="3" l="1"/>
  <c r="AA14" i="3"/>
  <c r="X60" i="3"/>
  <c r="X56" i="3" s="1"/>
  <c r="X48" i="3"/>
  <c r="X47" i="3" s="1"/>
  <c r="AB5" i="3"/>
  <c r="Z57" i="3"/>
  <c r="Z17" i="3"/>
  <c r="Z22" i="3" s="1"/>
  <c r="Z50" i="3"/>
  <c r="W5" i="4"/>
  <c r="W17" i="4" s="1"/>
  <c r="W74" i="3"/>
  <c r="S75" i="3"/>
  <c r="R92" i="3"/>
  <c r="R88" i="3" s="1"/>
  <c r="R81" i="3" s="1"/>
  <c r="R110" i="3" s="1"/>
  <c r="U18" i="4"/>
  <c r="V98" i="3"/>
  <c r="E26" i="3"/>
  <c r="U20" i="4"/>
  <c r="AC6" i="3"/>
  <c r="AC8" i="3"/>
  <c r="AD25" i="1"/>
  <c r="Y60" i="3"/>
  <c r="Y56" i="3" s="1"/>
  <c r="Y48" i="3"/>
  <c r="Y47" i="3" s="1"/>
  <c r="E60" i="3"/>
  <c r="V56" i="3"/>
  <c r="Y26" i="3"/>
  <c r="U8" i="4"/>
  <c r="V96" i="3" l="1"/>
  <c r="V94" i="3" s="1"/>
  <c r="W98" i="3"/>
  <c r="Y74" i="3"/>
  <c r="Y5" i="4"/>
  <c r="Y17" i="4" s="1"/>
  <c r="AE25" i="1"/>
  <c r="AD6" i="3"/>
  <c r="AD8" i="3"/>
  <c r="Z24" i="3"/>
  <c r="V5" i="4"/>
  <c r="V17" i="4" s="1"/>
  <c r="V74" i="3"/>
  <c r="E56" i="3"/>
  <c r="AB76" i="3"/>
  <c r="AB14" i="3"/>
  <c r="T75" i="3"/>
  <c r="S92" i="3"/>
  <c r="S88" i="3" s="1"/>
  <c r="S81" i="3" s="1"/>
  <c r="S110" i="3" s="1"/>
  <c r="W19" i="4"/>
  <c r="W7" i="4"/>
  <c r="X5" i="4"/>
  <c r="X17" i="4" s="1"/>
  <c r="X74" i="3"/>
  <c r="AC5" i="3"/>
  <c r="AA17" i="3"/>
  <c r="AA22" i="3" s="1"/>
  <c r="AA57" i="3"/>
  <c r="AA50" i="3"/>
  <c r="U75" i="3" l="1"/>
  <c r="T92" i="3"/>
  <c r="T88" i="3" s="1"/>
  <c r="T81" i="3" s="1"/>
  <c r="T110" i="3" s="1"/>
  <c r="AA24" i="3"/>
  <c r="AA26" i="3" s="1"/>
  <c r="AB50" i="3"/>
  <c r="AB57" i="3"/>
  <c r="AB17" i="3"/>
  <c r="AB22" i="3" s="1"/>
  <c r="AD5" i="3"/>
  <c r="X19" i="4"/>
  <c r="X7" i="4"/>
  <c r="AE8" i="3"/>
  <c r="AE6" i="3"/>
  <c r="AF25" i="1"/>
  <c r="AC14" i="3"/>
  <c r="AC76" i="3"/>
  <c r="Y7" i="4"/>
  <c r="Y19" i="4"/>
  <c r="E74" i="3"/>
  <c r="V7" i="4"/>
  <c r="V8" i="4" s="1"/>
  <c r="E5" i="4"/>
  <c r="V6" i="4"/>
  <c r="Z60" i="3"/>
  <c r="Z56" i="3" s="1"/>
  <c r="Z48" i="3"/>
  <c r="Z47" i="3" s="1"/>
  <c r="W96" i="3"/>
  <c r="W94" i="3" s="1"/>
  <c r="X98" i="3"/>
  <c r="Z26" i="3"/>
  <c r="AE5" i="3" l="1"/>
  <c r="AE14" i="3" s="1"/>
  <c r="Z5" i="4"/>
  <c r="Z17" i="4" s="1"/>
  <c r="Z74" i="3"/>
  <c r="E8" i="4"/>
  <c r="W8" i="4"/>
  <c r="X8" i="4" s="1"/>
  <c r="Y8" i="4" s="1"/>
  <c r="W6" i="4"/>
  <c r="X6" i="4" s="1"/>
  <c r="Y6" i="4" s="1"/>
  <c r="E6" i="4"/>
  <c r="AC57" i="3"/>
  <c r="AC17" i="3"/>
  <c r="AC22" i="3" s="1"/>
  <c r="AC50" i="3"/>
  <c r="AF6" i="3"/>
  <c r="AF8" i="3"/>
  <c r="AG25" i="1"/>
  <c r="V19" i="4"/>
  <c r="V20" i="4" s="1"/>
  <c r="W20" i="4" s="1"/>
  <c r="X20" i="4" s="1"/>
  <c r="Y20" i="4" s="1"/>
  <c r="V18" i="4"/>
  <c r="X96" i="3"/>
  <c r="X94" i="3" s="1"/>
  <c r="Y98" i="3"/>
  <c r="Y96" i="3" s="1"/>
  <c r="Y94" i="3" s="1"/>
  <c r="AD14" i="3"/>
  <c r="AD76" i="3"/>
  <c r="AB24" i="3"/>
  <c r="AA60" i="3"/>
  <c r="AA56" i="3" s="1"/>
  <c r="AA48" i="3"/>
  <c r="AA47" i="3" s="1"/>
  <c r="E75" i="3"/>
  <c r="V75" i="3"/>
  <c r="U92" i="3"/>
  <c r="U88" i="3" s="1"/>
  <c r="U81" i="3" s="1"/>
  <c r="U110" i="3" s="1"/>
  <c r="W18" i="4" l="1"/>
  <c r="X18" i="4" s="1"/>
  <c r="Y18" i="4" s="1"/>
  <c r="AE76" i="3"/>
  <c r="Z6" i="4"/>
  <c r="Z98" i="3"/>
  <c r="Z96" i="3" s="1"/>
  <c r="Z94" i="3" s="1"/>
  <c r="AH25" i="1"/>
  <c r="AG8" i="3"/>
  <c r="AG6" i="3"/>
  <c r="AB60" i="3"/>
  <c r="AB56" i="3" s="1"/>
  <c r="AB48" i="3"/>
  <c r="AB47" i="3" s="1"/>
  <c r="AB26" i="3"/>
  <c r="AD17" i="3"/>
  <c r="AD22" i="3" s="1"/>
  <c r="AD57" i="3"/>
  <c r="AD50" i="3"/>
  <c r="AC24" i="3"/>
  <c r="Z19" i="4"/>
  <c r="Z20" i="4" s="1"/>
  <c r="Z7" i="4"/>
  <c r="Z8" i="4" s="1"/>
  <c r="V92" i="3"/>
  <c r="V88" i="3" s="1"/>
  <c r="V81" i="3" s="1"/>
  <c r="V110" i="3" s="1"/>
  <c r="W75" i="3"/>
  <c r="AA74" i="3"/>
  <c r="AA5" i="4"/>
  <c r="AA17" i="4" s="1"/>
  <c r="AE57" i="3"/>
  <c r="AE50" i="3"/>
  <c r="AE17" i="3"/>
  <c r="AE22" i="3" s="1"/>
  <c r="AF5" i="3"/>
  <c r="Z18" i="4" l="1"/>
  <c r="AA98" i="3"/>
  <c r="AA96" i="3" s="1"/>
  <c r="AA94" i="3" s="1"/>
  <c r="AA7" i="4"/>
  <c r="AA8" i="4" s="1"/>
  <c r="AA19" i="4"/>
  <c r="AA20" i="4" s="1"/>
  <c r="W92" i="3"/>
  <c r="W88" i="3" s="1"/>
  <c r="W81" i="3" s="1"/>
  <c r="W110" i="3" s="1"/>
  <c r="X75" i="3"/>
  <c r="AD24" i="3"/>
  <c r="AF14" i="3"/>
  <c r="AF76" i="3"/>
  <c r="AB5" i="4"/>
  <c r="AB17" i="4" s="1"/>
  <c r="AB74" i="3"/>
  <c r="AC60" i="3"/>
  <c r="AC56" i="3" s="1"/>
  <c r="AC48" i="3"/>
  <c r="AC47" i="3" s="1"/>
  <c r="AG5" i="3"/>
  <c r="AE24" i="3"/>
  <c r="AC26" i="3"/>
  <c r="AH8" i="3"/>
  <c r="AH6" i="3"/>
  <c r="AI25" i="1"/>
  <c r="AA6" i="4"/>
  <c r="AA18" i="4" l="1"/>
  <c r="AB98" i="3"/>
  <c r="AB96" i="3" s="1"/>
  <c r="AB94" i="3" s="1"/>
  <c r="AB6" i="4"/>
  <c r="AH5" i="3"/>
  <c r="AH76" i="3" s="1"/>
  <c r="AI8" i="3"/>
  <c r="AI6" i="3"/>
  <c r="AJ25" i="1"/>
  <c r="AD60" i="3"/>
  <c r="AD56" i="3" s="1"/>
  <c r="AD48" i="3"/>
  <c r="AD47" i="3" s="1"/>
  <c r="AE60" i="3"/>
  <c r="AE56" i="3" s="1"/>
  <c r="AE48" i="3"/>
  <c r="AE47" i="3" s="1"/>
  <c r="AG14" i="3"/>
  <c r="AG76" i="3"/>
  <c r="AD26" i="3"/>
  <c r="AC5" i="4"/>
  <c r="AC17" i="4" s="1"/>
  <c r="AC74" i="3"/>
  <c r="Y75" i="3"/>
  <c r="X92" i="3"/>
  <c r="X88" i="3" s="1"/>
  <c r="X81" i="3" s="1"/>
  <c r="X110" i="3" s="1"/>
  <c r="AB7" i="4"/>
  <c r="AB8" i="4" s="1"/>
  <c r="AB19" i="4"/>
  <c r="AB20" i="4" s="1"/>
  <c r="AF17" i="3"/>
  <c r="AF22" i="3" s="1"/>
  <c r="AF57" i="3"/>
  <c r="AF50" i="3"/>
  <c r="AE26" i="3"/>
  <c r="AC98" i="3" l="1"/>
  <c r="AC96" i="3" s="1"/>
  <c r="AC94" i="3" s="1"/>
  <c r="AC6" i="4"/>
  <c r="AI5" i="3"/>
  <c r="AI76" i="3" s="1"/>
  <c r="AH14" i="3"/>
  <c r="AH57" i="3" s="1"/>
  <c r="AB18" i="4"/>
  <c r="AJ8" i="3"/>
  <c r="AJ6" i="3"/>
  <c r="AK25" i="1"/>
  <c r="AL25" i="1" s="1"/>
  <c r="AE5" i="4"/>
  <c r="AE17" i="4" s="1"/>
  <c r="AE74" i="3"/>
  <c r="Z75" i="3"/>
  <c r="Y92" i="3"/>
  <c r="Y88" i="3" s="1"/>
  <c r="Y81" i="3" s="1"/>
  <c r="Y110" i="3" s="1"/>
  <c r="AD74" i="3"/>
  <c r="AD5" i="4"/>
  <c r="AD17" i="4" s="1"/>
  <c r="AC7" i="4"/>
  <c r="AC8" i="4" s="1"/>
  <c r="AC19" i="4"/>
  <c r="AC20" i="4" s="1"/>
  <c r="AF24" i="3"/>
  <c r="AF26" i="3" s="1"/>
  <c r="AG57" i="3"/>
  <c r="AG17" i="3"/>
  <c r="AG22" i="3" s="1"/>
  <c r="AG50" i="3"/>
  <c r="AI14" i="3" l="1"/>
  <c r="AI17" i="3" s="1"/>
  <c r="AI22" i="3" s="1"/>
  <c r="AD98" i="3"/>
  <c r="AD96" i="3" s="1"/>
  <c r="AD94" i="3" s="1"/>
  <c r="AH17" i="3"/>
  <c r="AH22" i="3" s="1"/>
  <c r="AH24" i="3" s="1"/>
  <c r="AH26" i="3" s="1"/>
  <c r="AH50" i="3"/>
  <c r="AJ5" i="3"/>
  <c r="AJ14" i="3" s="1"/>
  <c r="AC18" i="4"/>
  <c r="AD19" i="4"/>
  <c r="AD20" i="4" s="1"/>
  <c r="AD7" i="4"/>
  <c r="AD8" i="4" s="1"/>
  <c r="AG24" i="3"/>
  <c r="AG26" i="3" s="1"/>
  <c r="AA75" i="3"/>
  <c r="Z92" i="3"/>
  <c r="Z88" i="3" s="1"/>
  <c r="Z81" i="3" s="1"/>
  <c r="Z110" i="3" s="1"/>
  <c r="AF60" i="3"/>
  <c r="AF56" i="3" s="1"/>
  <c r="AF48" i="3"/>
  <c r="AF47" i="3" s="1"/>
  <c r="AE7" i="4"/>
  <c r="AD6" i="4"/>
  <c r="AE6" i="4" s="1"/>
  <c r="AI50" i="3" l="1"/>
  <c r="AI57" i="3"/>
  <c r="AE98" i="3"/>
  <c r="AE96" i="3" s="1"/>
  <c r="AE94" i="3" s="1"/>
  <c r="AJ76" i="3"/>
  <c r="E76" i="3" s="1"/>
  <c r="AD18" i="4"/>
  <c r="AE18" i="4" s="1"/>
  <c r="E18" i="4" s="1"/>
  <c r="AE8" i="4"/>
  <c r="AI24" i="3"/>
  <c r="AF74" i="3"/>
  <c r="AF5" i="4"/>
  <c r="AF17" i="4" s="1"/>
  <c r="AB75" i="3"/>
  <c r="AA92" i="3"/>
  <c r="AA88" i="3" s="1"/>
  <c r="AA81" i="3" s="1"/>
  <c r="AA110" i="3" s="1"/>
  <c r="AE19" i="4"/>
  <c r="E19" i="4" s="1"/>
  <c r="E17" i="4"/>
  <c r="AG60" i="3"/>
  <c r="AG56" i="3" s="1"/>
  <c r="AG48" i="3"/>
  <c r="AG47" i="3" s="1"/>
  <c r="AJ17" i="3"/>
  <c r="AJ22" i="3" s="1"/>
  <c r="AJ57" i="3"/>
  <c r="AJ50" i="3"/>
  <c r="AH60" i="3"/>
  <c r="AH56" i="3" s="1"/>
  <c r="AH48" i="3"/>
  <c r="AH47" i="3" s="1"/>
  <c r="AF98" i="3" l="1"/>
  <c r="AF96" i="3" s="1"/>
  <c r="AF94" i="3" s="1"/>
  <c r="AJ24" i="3"/>
  <c r="AF7" i="4"/>
  <c r="AF8" i="4" s="1"/>
  <c r="AI60" i="3"/>
  <c r="AI56" i="3" s="1"/>
  <c r="AI48" i="3"/>
  <c r="AI47" i="3" s="1"/>
  <c r="AH5" i="4"/>
  <c r="AH17" i="4" s="1"/>
  <c r="AH74" i="3"/>
  <c r="AI26" i="3"/>
  <c r="AE20" i="4"/>
  <c r="AB92" i="3"/>
  <c r="AB88" i="3" s="1"/>
  <c r="AB81" i="3" s="1"/>
  <c r="AB110" i="3" s="1"/>
  <c r="AC75" i="3"/>
  <c r="AF6" i="4"/>
  <c r="AG74" i="3"/>
  <c r="AG5" i="4"/>
  <c r="AG17" i="4" s="1"/>
  <c r="AG98" i="3" l="1"/>
  <c r="AG96" i="3" s="1"/>
  <c r="AG94" i="3" s="1"/>
  <c r="AI5" i="4"/>
  <c r="AI17" i="4" s="1"/>
  <c r="AI74" i="3"/>
  <c r="E47" i="3"/>
  <c r="E94" i="1" s="1"/>
  <c r="E95" i="1"/>
  <c r="AH19" i="4"/>
  <c r="AH7" i="4"/>
  <c r="AG7" i="4"/>
  <c r="AG8" i="4" s="1"/>
  <c r="AG19" i="4"/>
  <c r="AG6" i="4"/>
  <c r="AH6" i="4" s="1"/>
  <c r="AF19" i="4"/>
  <c r="AF20" i="4" s="1"/>
  <c r="AF18" i="4"/>
  <c r="AD75" i="3"/>
  <c r="AC92" i="3"/>
  <c r="AC88" i="3" s="1"/>
  <c r="AC81" i="3" s="1"/>
  <c r="AC110" i="3" s="1"/>
  <c r="AJ60" i="3"/>
  <c r="AJ56" i="3" s="1"/>
  <c r="AJ48" i="3"/>
  <c r="E20" i="4"/>
  <c r="AJ26" i="3"/>
  <c r="AH98" i="3" l="1"/>
  <c r="AH96" i="3" s="1"/>
  <c r="AH94" i="3" s="1"/>
  <c r="AH8" i="4"/>
  <c r="AI6" i="4"/>
  <c r="AG20" i="4"/>
  <c r="AH20" i="4" s="1"/>
  <c r="AJ5" i="4"/>
  <c r="AJ17" i="4" s="1"/>
  <c r="E24" i="4" s="1"/>
  <c r="AJ74" i="3"/>
  <c r="AE75" i="3"/>
  <c r="AD92" i="3"/>
  <c r="AD88" i="3" s="1"/>
  <c r="AD81" i="3" s="1"/>
  <c r="AD110" i="3" s="1"/>
  <c r="AG18" i="4"/>
  <c r="AH18" i="4" s="1"/>
  <c r="AI7" i="4"/>
  <c r="AI19" i="4"/>
  <c r="AI98" i="3" l="1"/>
  <c r="AI96" i="3" s="1"/>
  <c r="AI94" i="3" s="1"/>
  <c r="AI8" i="4"/>
  <c r="AJ6" i="4"/>
  <c r="E13" i="4" s="1"/>
  <c r="AI20" i="4"/>
  <c r="AI18" i="4"/>
  <c r="AE92" i="3"/>
  <c r="AE88" i="3" s="1"/>
  <c r="AE81" i="3" s="1"/>
  <c r="AE110" i="3" s="1"/>
  <c r="AF75" i="3"/>
  <c r="AJ7" i="4"/>
  <c r="E11" i="4"/>
  <c r="E14" i="4" s="1"/>
  <c r="E12" i="4"/>
  <c r="AJ8" i="4" l="1"/>
  <c r="AJ19" i="4"/>
  <c r="AJ20" i="4" s="1"/>
  <c r="E23" i="4"/>
  <c r="E26" i="4" s="1"/>
  <c r="E93" i="1" s="1"/>
  <c r="AF92" i="3"/>
  <c r="AF88" i="3" s="1"/>
  <c r="AF81" i="3" s="1"/>
  <c r="AF110" i="3" s="1"/>
  <c r="AG75" i="3"/>
  <c r="AJ18" i="4"/>
  <c r="E25" i="4" s="1"/>
  <c r="AG92" i="3" l="1"/>
  <c r="AG88" i="3" s="1"/>
  <c r="AG81" i="3" s="1"/>
  <c r="AG110" i="3" s="1"/>
  <c r="AH75" i="3"/>
  <c r="AI75" i="3" l="1"/>
  <c r="AH92" i="3"/>
  <c r="AH88" i="3" s="1"/>
  <c r="AH81" i="3" s="1"/>
  <c r="AH110" i="3" s="1"/>
  <c r="AJ75" i="3" l="1"/>
  <c r="AI92" i="3"/>
  <c r="AI88" i="3" s="1"/>
  <c r="AI81" i="3" s="1"/>
  <c r="AI110" i="3" s="1"/>
</calcChain>
</file>

<file path=xl/sharedStrings.xml><?xml version="1.0" encoding="utf-8"?>
<sst xmlns="http://schemas.openxmlformats.org/spreadsheetml/2006/main" count="357" uniqueCount="212">
  <si>
    <t>Assumptions</t>
  </si>
  <si>
    <t>Source</t>
  </si>
  <si>
    <t>Macro</t>
  </si>
  <si>
    <t>Inflation, EUR</t>
  </si>
  <si>
    <t>%</t>
  </si>
  <si>
    <t>Inflation, USD</t>
  </si>
  <si>
    <t>Inflation, Country</t>
  </si>
  <si>
    <t>USD/EUR</t>
  </si>
  <si>
    <t>Tariff Indexation</t>
  </si>
  <si>
    <t>Electricity tariff indexation per year</t>
  </si>
  <si>
    <t>Electricity tariff indexation per year Cumul</t>
  </si>
  <si>
    <t>CUF</t>
  </si>
  <si>
    <t>Fin output</t>
  </si>
  <si>
    <t>Curtailment</t>
  </si>
  <si>
    <t>Av.h per day</t>
  </si>
  <si>
    <t>Av. MWh per day</t>
  </si>
  <si>
    <t>Technical specifications</t>
  </si>
  <si>
    <t>Output culc</t>
  </si>
  <si>
    <t>Nominal CUF</t>
  </si>
  <si>
    <t>Rejected CUF</t>
  </si>
  <si>
    <t>Project start date (funding)</t>
  </si>
  <si>
    <t>DD/MM/YY</t>
  </si>
  <si>
    <t>SPP COD</t>
  </si>
  <si>
    <t>SPP Capacity</t>
  </si>
  <si>
    <t>MWp</t>
  </si>
  <si>
    <t>Nominal Storage capacity</t>
  </si>
  <si>
    <t>MWh</t>
  </si>
  <si>
    <t>Effective Storage capacity</t>
  </si>
  <si>
    <t>Capacity (Invertors)</t>
  </si>
  <si>
    <t>MW</t>
  </si>
  <si>
    <t>Degradation</t>
  </si>
  <si>
    <t>Energy output</t>
  </si>
  <si>
    <t>MWh/year</t>
  </si>
  <si>
    <t>Losses and internal consumption of SPP</t>
  </si>
  <si>
    <t>included in CUF</t>
  </si>
  <si>
    <t>PPA</t>
  </si>
  <si>
    <t>PPA / Sales tenure</t>
  </si>
  <si>
    <t>years</t>
  </si>
  <si>
    <t>Tariff rate</t>
  </si>
  <si>
    <t>USD/kWh</t>
  </si>
  <si>
    <t>GO price</t>
  </si>
  <si>
    <t>EUR/t</t>
  </si>
  <si>
    <t>OPEX</t>
  </si>
  <si>
    <t>kEUR/MW</t>
  </si>
  <si>
    <t>O&amp;M</t>
  </si>
  <si>
    <t>Lease payment</t>
  </si>
  <si>
    <t>Equipment insurance</t>
  </si>
  <si>
    <t>O&amp;M Indexation</t>
  </si>
  <si>
    <t>Lease payment Indexation</t>
  </si>
  <si>
    <t>Total OPEX</t>
  </si>
  <si>
    <t>kEUR/Year</t>
  </si>
  <si>
    <t>Project management</t>
  </si>
  <si>
    <t>Lease payment per year</t>
  </si>
  <si>
    <t>Lease payment indexation</t>
  </si>
  <si>
    <t>Sources of financing</t>
  </si>
  <si>
    <t>Equity share</t>
  </si>
  <si>
    <t>Debt share</t>
  </si>
  <si>
    <t>Loan rate in EUR</t>
  </si>
  <si>
    <t>Loan, per MW</t>
  </si>
  <si>
    <t>Loan term</t>
  </si>
  <si>
    <t>Commission</t>
  </si>
  <si>
    <t>Other expenses</t>
  </si>
  <si>
    <t>kEur</t>
  </si>
  <si>
    <t>Taxes</t>
  </si>
  <si>
    <t xml:space="preserve"> </t>
  </si>
  <si>
    <t>Property tax</t>
  </si>
  <si>
    <t>Corp. tax</t>
  </si>
  <si>
    <t>Cyprus</t>
  </si>
  <si>
    <t>VAT</t>
  </si>
  <si>
    <t xml:space="preserve">	Depreciation period</t>
  </si>
  <si>
    <t>CAPEX</t>
  </si>
  <si>
    <t>$/W</t>
  </si>
  <si>
    <t>Total k$</t>
  </si>
  <si>
    <t>€/W</t>
  </si>
  <si>
    <t>Total k€</t>
  </si>
  <si>
    <t>1. Construction cost + BESS</t>
  </si>
  <si>
    <t>1.1. Project management &amp; supervising</t>
  </si>
  <si>
    <t>1.2. Site preparation, General construction</t>
  </si>
  <si>
    <t>Cost of construction of SPP</t>
  </si>
  <si>
    <t>SPP construction cost + connection to EAC</t>
  </si>
  <si>
    <t>EPC turn key price</t>
  </si>
  <si>
    <t>Output board</t>
  </si>
  <si>
    <t>Tariff rate, €/kWh</t>
  </si>
  <si>
    <t>Generation, kWh/kW</t>
  </si>
  <si>
    <t>Disc.payback</t>
  </si>
  <si>
    <t>av.DSCR</t>
  </si>
  <si>
    <t>min DSCR</t>
  </si>
  <si>
    <t>Depreciation</t>
  </si>
  <si>
    <t>CAPEX (no VAT)</t>
  </si>
  <si>
    <t>kEUR</t>
  </si>
  <si>
    <t>Development cost</t>
  </si>
  <si>
    <t>Fixed assets</t>
  </si>
  <si>
    <t>Input of fixed assets</t>
  </si>
  <si>
    <t>Immovables</t>
  </si>
  <si>
    <t>Movables</t>
  </si>
  <si>
    <t>residual value</t>
  </si>
  <si>
    <t>Tax base for real estate tax</t>
  </si>
  <si>
    <t>Check (CAPEX Eur/Watt)</t>
  </si>
  <si>
    <t>VAT, EUR</t>
  </si>
  <si>
    <t>P&amp;L</t>
  </si>
  <si>
    <t>Total</t>
  </si>
  <si>
    <t>Revenue</t>
  </si>
  <si>
    <t>Energy Output</t>
  </si>
  <si>
    <t>Energy tariff</t>
  </si>
  <si>
    <t>GO Revenue</t>
  </si>
  <si>
    <t>EBITDA</t>
  </si>
  <si>
    <t>EBIT</t>
  </si>
  <si>
    <t>Interests payable</t>
  </si>
  <si>
    <t>Bank commissions</t>
  </si>
  <si>
    <t>Exchange rate differences</t>
  </si>
  <si>
    <t>EBT</t>
  </si>
  <si>
    <t>Nat int on capital</t>
  </si>
  <si>
    <t>7%</t>
  </si>
  <si>
    <t>Corporate Tax</t>
  </si>
  <si>
    <t>Net profit (loss)</t>
  </si>
  <si>
    <t>Debt</t>
  </si>
  <si>
    <t>Loan tenure</t>
  </si>
  <si>
    <t>Repayment, years</t>
  </si>
  <si>
    <t>Bank loan</t>
  </si>
  <si>
    <t>Opening balance</t>
  </si>
  <si>
    <t>Receipt of credit</t>
  </si>
  <si>
    <t>Bank VAT</t>
  </si>
  <si>
    <t>Repayment of credit</t>
  </si>
  <si>
    <t>Closing balance</t>
  </si>
  <si>
    <t>Interests accrued</t>
  </si>
  <si>
    <t>Commissions</t>
  </si>
  <si>
    <t>Аннуитет</t>
  </si>
  <si>
    <t>Rate</t>
  </si>
  <si>
    <t>VAT to bank</t>
  </si>
  <si>
    <t>DSCR</t>
  </si>
  <si>
    <t>average</t>
  </si>
  <si>
    <t>CFADS</t>
  </si>
  <si>
    <t>DEBT SERVICE</t>
  </si>
  <si>
    <t>DEBT/EBITDA</t>
  </si>
  <si>
    <t>Condition</t>
  </si>
  <si>
    <t>Cash flow</t>
  </si>
  <si>
    <t>Operating cash flow</t>
  </si>
  <si>
    <t>Changes in working capital</t>
  </si>
  <si>
    <t>Investment cash flow</t>
  </si>
  <si>
    <t>САРЕХ (including VAT)</t>
  </si>
  <si>
    <t>VAT return</t>
  </si>
  <si>
    <t>Development costs</t>
  </si>
  <si>
    <t>Financial cash flow</t>
  </si>
  <si>
    <t>Shareholder contribution</t>
  </si>
  <si>
    <t>Dividends</t>
  </si>
  <si>
    <t>Loan Receipt $</t>
  </si>
  <si>
    <t>Loan Repayment $</t>
  </si>
  <si>
    <t>Cash flow total</t>
  </si>
  <si>
    <t>Cash flow cumulatively</t>
  </si>
  <si>
    <t>VAT in revenue</t>
  </si>
  <si>
    <t>VAT In CAPEX</t>
  </si>
  <si>
    <t xml:space="preserve">Balance </t>
  </si>
  <si>
    <t xml:space="preserve">Assets </t>
  </si>
  <si>
    <t>Non-current assets</t>
  </si>
  <si>
    <t>Construction in progress</t>
  </si>
  <si>
    <t>Others</t>
  </si>
  <si>
    <t>Current assets</t>
  </si>
  <si>
    <t>Inventories</t>
  </si>
  <si>
    <t>Accounts Receivable</t>
  </si>
  <si>
    <t>Cash funds</t>
  </si>
  <si>
    <t>Equity and Liabilities</t>
  </si>
  <si>
    <t>Equity</t>
  </si>
  <si>
    <t>Shareholders' equity</t>
  </si>
  <si>
    <t xml:space="preserve">Retained earnings </t>
  </si>
  <si>
    <t>Long-term liabilities</t>
  </si>
  <si>
    <t>Long-term loans and borrowings</t>
  </si>
  <si>
    <t>Interest debt</t>
  </si>
  <si>
    <t>Other long-term liabilities</t>
  </si>
  <si>
    <t>Short-term liabilities</t>
  </si>
  <si>
    <t>Accounts Payable</t>
  </si>
  <si>
    <t>Short-term loans and borrowings</t>
  </si>
  <si>
    <t>Other short-term liabilities</t>
  </si>
  <si>
    <t>Check</t>
  </si>
  <si>
    <t>PPI</t>
  </si>
  <si>
    <t>Operation</t>
  </si>
  <si>
    <t>FCFF</t>
  </si>
  <si>
    <t>FCFF Cumulatively</t>
  </si>
  <si>
    <t>DFCFF</t>
  </si>
  <si>
    <t>DFCFF Cumulatively</t>
  </si>
  <si>
    <t>WACC</t>
  </si>
  <si>
    <t>PB</t>
  </si>
  <si>
    <t>DPB</t>
  </si>
  <si>
    <t>FCFE for Investor</t>
  </si>
  <si>
    <t>FCFE</t>
  </si>
  <si>
    <t>FCFE cumulatively</t>
  </si>
  <si>
    <t>DFCFE</t>
  </si>
  <si>
    <t>DFCFE cumulatively</t>
  </si>
  <si>
    <t>Disc. Rate</t>
  </si>
  <si>
    <t>0. Aquisition cost</t>
  </si>
  <si>
    <t>TOTAL CAPEX (w/o acquisition cost)</t>
  </si>
  <si>
    <t>TOTAL CAPEX</t>
  </si>
  <si>
    <t xml:space="preserve">ESS effect on CUF </t>
  </si>
  <si>
    <t>Acquisition cost, € mln</t>
  </si>
  <si>
    <t>Capex for Solar, € mln</t>
  </si>
  <si>
    <t xml:space="preserve">Capex for storage, € mln </t>
  </si>
  <si>
    <t>Connection cost, € mln</t>
  </si>
  <si>
    <t>Total cost, € mln</t>
  </si>
  <si>
    <t>Solar Power Plant</t>
  </si>
  <si>
    <t>2. BESS</t>
  </si>
  <si>
    <t>3. Connection to EAC</t>
  </si>
  <si>
    <t>4. Solar Power plant</t>
  </si>
  <si>
    <t>4.1. Project design &amp; tech control</t>
  </si>
  <si>
    <t>4.2. SPP equipment</t>
  </si>
  <si>
    <t>5. Other expenses/unpredictable</t>
  </si>
  <si>
    <t>6. EPC Margin</t>
  </si>
  <si>
    <t>IRR Project 15Y, %</t>
  </si>
  <si>
    <t>IRR Equity 15Y, %</t>
  </si>
  <si>
    <t>NPV</t>
  </si>
  <si>
    <t>IRR project</t>
  </si>
  <si>
    <t>IRR Equity</t>
  </si>
  <si>
    <t>30 years</t>
  </si>
  <si>
    <t>15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</si>
</sst>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%"/>
    <numFmt numFmtId="165" formatCode="0.0"/>
    <numFmt numFmtId="166" formatCode="&quot; &quot;* #,##0&quot; &quot;;&quot;-&quot;* #,##0&quot; &quot;;&quot; &quot;* &quot;-&quot;??&quot; &quot;"/>
    <numFmt numFmtId="167" formatCode="#,##0.0"/>
    <numFmt numFmtId="168" formatCode="&quot; &quot;[$€-2]&quot; &quot;* #,##0.00&quot; &quot;;&quot;-&quot;[$€-2]&quot; &quot;* #,##0.00&quot; &quot;;&quot; &quot;[$€-2]&quot; &quot;* &quot;-&quot;??&quot; &quot;"/>
    <numFmt numFmtId="169" formatCode="0.000"/>
    <numFmt numFmtId="170" formatCode="&quot; &quot;* #,##0.0&quot;   &quot;;&quot;-&quot;* #,##0.0&quot;   &quot;;&quot; &quot;* &quot;-&quot;?&quot;   &quot;"/>
    <numFmt numFmtId="171" formatCode="&quot; &quot;* #,##0.0&quot; &quot;;&quot;-&quot;* #,##0.0&quot; &quot;;&quot; &quot;* &quot;-&quot;??&quot; &quot;"/>
    <numFmt numFmtId="172" formatCode="&quot; &quot;* #,##0&quot;   &quot;;&quot;-&quot;* #,##0&quot;   &quot;;&quot; &quot;* &quot;-&quot;??&quot;   &quot;"/>
    <numFmt numFmtId="173" formatCode="#,##0.0%"/>
    <numFmt numFmtId="174" formatCode="0.0000"/>
    <numFmt numFmtId="175" formatCode="&quot; &quot;* #,##0.00&quot;   &quot;;&quot;-&quot;* #,##0.00&quot;   &quot;;&quot; &quot;* &quot;-&quot;??&quot;   &quot;"/>
    <numFmt numFmtId="176" formatCode="#,##0.000"/>
    <numFmt numFmtId="177" formatCode="#,##0&quot; &quot;;&quot;-&quot;#,##0&quot; &quot;"/>
  </numFmts>
  <fonts count="23" x14ac:knownFonts="1">
    <font>
      <sz val="11"/>
      <color indexed="8"/>
      <name val="Calibri"/>
    </font>
    <font>
      <b/>
      <sz val="11"/>
      <color indexed="11"/>
      <name val="Calibri"/>
      <family val="2"/>
    </font>
    <font>
      <b/>
      <sz val="11"/>
      <color indexed="8"/>
      <name val="Calibri"/>
      <family val="2"/>
    </font>
    <font>
      <u/>
      <sz val="11"/>
      <color indexed="12"/>
      <name val="Calibri"/>
      <family val="2"/>
    </font>
    <font>
      <b/>
      <sz val="11"/>
      <color indexed="13"/>
      <name val="Calibri"/>
      <family val="2"/>
    </font>
    <font>
      <u/>
      <sz val="11"/>
      <color indexed="8"/>
      <name val="Calibri"/>
      <family val="2"/>
    </font>
    <font>
      <i/>
      <sz val="11"/>
      <color indexed="8"/>
      <name val="Calibri"/>
      <family val="2"/>
    </font>
    <font>
      <sz val="10"/>
      <color indexed="8"/>
      <name val="Calibri"/>
      <family val="2"/>
    </font>
    <font>
      <sz val="8"/>
      <color indexed="8"/>
      <name val="Calibri"/>
      <family val="2"/>
    </font>
    <font>
      <u/>
      <sz val="8"/>
      <color indexed="12"/>
      <name val="Calibri"/>
      <family val="2"/>
    </font>
    <font>
      <b/>
      <i/>
      <sz val="11"/>
      <color indexed="8"/>
      <name val="Calibri"/>
      <family val="2"/>
    </font>
    <font>
      <b/>
      <sz val="11"/>
      <color indexed="18"/>
      <name val="Calibri"/>
      <family val="2"/>
    </font>
    <font>
      <b/>
      <u/>
      <sz val="11"/>
      <color indexed="8"/>
      <name val="Calibri"/>
      <family val="2"/>
    </font>
    <font>
      <b/>
      <u/>
      <sz val="12"/>
      <color indexed="8"/>
      <name val="Calibri"/>
      <family val="2"/>
    </font>
    <font>
      <b/>
      <u/>
      <sz val="14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indexed="22"/>
      <name val="Calibri"/>
      <family val="2"/>
    </font>
    <font>
      <i/>
      <sz val="10"/>
      <color indexed="8"/>
      <name val="Calibri"/>
      <family val="2"/>
    </font>
    <font>
      <i/>
      <sz val="11"/>
      <color indexed="13"/>
      <name val="Calibri"/>
      <family val="2"/>
    </font>
    <font>
      <b/>
      <sz val="11"/>
      <color indexed="3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9"/>
      </right>
      <top style="thin">
        <color indexed="10"/>
      </top>
      <bottom style="thin">
        <color indexed="10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0"/>
      </bottom>
      <diagonal/>
    </border>
    <border>
      <left style="thin">
        <color indexed="1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9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9"/>
      </bottom>
      <diagonal/>
    </border>
    <border>
      <left style="thin">
        <color indexed="19"/>
      </left>
      <right style="thin">
        <color indexed="31"/>
      </right>
      <top style="thin">
        <color indexed="19"/>
      </top>
      <bottom style="thin">
        <color indexed="19"/>
      </bottom>
      <diagonal/>
    </border>
    <border>
      <left style="thin">
        <color indexed="3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9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398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1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/>
    <xf numFmtId="49" fontId="2" fillId="2" borderId="1" xfId="0" applyNumberFormat="1" applyFont="1" applyFill="1" applyBorder="1"/>
    <xf numFmtId="0" fontId="0" fillId="2" borderId="2" xfId="0" applyFill="1" applyBorder="1"/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/>
    <xf numFmtId="0" fontId="3" fillId="2" borderId="1" xfId="0" applyFont="1" applyFill="1" applyBorder="1"/>
    <xf numFmtId="164" fontId="0" fillId="2" borderId="5" xfId="0" applyNumberFormat="1" applyFill="1" applyBorder="1"/>
    <xf numFmtId="164" fontId="0" fillId="2" borderId="1" xfId="0" applyNumberFormat="1" applyFill="1" applyBorder="1"/>
    <xf numFmtId="0" fontId="0" fillId="2" borderId="6" xfId="0" applyFill="1" applyBorder="1"/>
    <xf numFmtId="0" fontId="0" fillId="2" borderId="3" xfId="0" applyFill="1" applyBorder="1"/>
    <xf numFmtId="2" fontId="4" fillId="2" borderId="1" xfId="0" applyNumberFormat="1" applyFont="1" applyFill="1" applyBorder="1"/>
    <xf numFmtId="0" fontId="2" fillId="2" borderId="1" xfId="0" applyFont="1" applyFill="1" applyBorder="1"/>
    <xf numFmtId="49" fontId="5" fillId="2" borderId="1" xfId="0" applyNumberFormat="1" applyFont="1" applyFill="1" applyBorder="1"/>
    <xf numFmtId="10" fontId="4" fillId="2" borderId="5" xfId="0" applyNumberFormat="1" applyFont="1" applyFill="1" applyBorder="1"/>
    <xf numFmtId="10" fontId="4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5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 wrapText="1"/>
    </xf>
    <xf numFmtId="166" fontId="0" fillId="2" borderId="1" xfId="0" applyNumberFormat="1" applyFill="1" applyBorder="1"/>
    <xf numFmtId="3" fontId="0" fillId="2" borderId="1" xfId="0" applyNumberFormat="1" applyFill="1" applyBorder="1"/>
    <xf numFmtId="10" fontId="0" fillId="2" borderId="1" xfId="0" applyNumberFormat="1" applyFill="1" applyBorder="1"/>
    <xf numFmtId="166" fontId="7" fillId="2" borderId="1" xfId="0" applyNumberFormat="1" applyFont="1" applyFill="1" applyBorder="1"/>
    <xf numFmtId="49" fontId="8" fillId="2" borderId="1" xfId="0" applyNumberFormat="1" applyFont="1" applyFill="1" applyBorder="1"/>
    <xf numFmtId="1" fontId="0" fillId="2" borderId="1" xfId="0" applyNumberFormat="1" applyFill="1" applyBorder="1"/>
    <xf numFmtId="9" fontId="0" fillId="2" borderId="1" xfId="0" applyNumberFormat="1" applyFill="1" applyBorder="1"/>
    <xf numFmtId="168" fontId="0" fillId="2" borderId="1" xfId="0" applyNumberFormat="1" applyFill="1" applyBorder="1"/>
    <xf numFmtId="0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9" fontId="4" fillId="3" borderId="7" xfId="0" applyNumberFormat="1" applyFont="1" applyFill="1" applyBorder="1"/>
    <xf numFmtId="169" fontId="4" fillId="3" borderId="5" xfId="0" applyNumberFormat="1" applyFont="1" applyFill="1" applyBorder="1"/>
    <xf numFmtId="0" fontId="0" fillId="2" borderId="8" xfId="0" applyFill="1" applyBorder="1"/>
    <xf numFmtId="49" fontId="0" fillId="2" borderId="8" xfId="0" applyNumberFormat="1" applyFill="1" applyBorder="1" applyAlignment="1">
      <alignment horizontal="left"/>
    </xf>
    <xf numFmtId="49" fontId="0" fillId="2" borderId="8" xfId="0" applyNumberFormat="1" applyFill="1" applyBorder="1"/>
    <xf numFmtId="0" fontId="9" fillId="2" borderId="8" xfId="0" applyFont="1" applyFill="1" applyBorder="1" applyAlignment="1">
      <alignment vertical="center" wrapText="1"/>
    </xf>
    <xf numFmtId="165" fontId="0" fillId="2" borderId="8" xfId="0" applyNumberFormat="1" applyFill="1" applyBorder="1"/>
    <xf numFmtId="0" fontId="0" fillId="2" borderId="10" xfId="0" applyFill="1" applyBorder="1"/>
    <xf numFmtId="49" fontId="2" fillId="2" borderId="11" xfId="0" applyNumberFormat="1" applyFont="1" applyFill="1" applyBorder="1"/>
    <xf numFmtId="49" fontId="0" fillId="2" borderId="12" xfId="0" applyNumberFormat="1" applyFill="1" applyBorder="1"/>
    <xf numFmtId="0" fontId="0" fillId="2" borderId="13" xfId="0" applyFill="1" applyBorder="1"/>
    <xf numFmtId="170" fontId="0" fillId="2" borderId="10" xfId="0" applyNumberFormat="1" applyFill="1" applyBorder="1"/>
    <xf numFmtId="0" fontId="0" fillId="2" borderId="14" xfId="0" applyFill="1" applyBorder="1"/>
    <xf numFmtId="49" fontId="6" fillId="4" borderId="15" xfId="0" applyNumberFormat="1" applyFont="1" applyFill="1" applyBorder="1" applyAlignment="1">
      <alignment horizontal="left"/>
    </xf>
    <xf numFmtId="49" fontId="0" fillId="4" borderId="15" xfId="0" applyNumberFormat="1" applyFill="1" applyBorder="1"/>
    <xf numFmtId="0" fontId="6" fillId="4" borderId="15" xfId="0" applyFont="1" applyFill="1" applyBorder="1"/>
    <xf numFmtId="171" fontId="4" fillId="2" borderId="15" xfId="0" applyNumberFormat="1" applyFont="1" applyFill="1" applyBorder="1"/>
    <xf numFmtId="0" fontId="0" fillId="2" borderId="16" xfId="0" applyFill="1" applyBorder="1"/>
    <xf numFmtId="49" fontId="6" fillId="4" borderId="17" xfId="0" applyNumberFormat="1" applyFont="1" applyFill="1" applyBorder="1" applyAlignment="1">
      <alignment horizontal="left"/>
    </xf>
    <xf numFmtId="49" fontId="0" fillId="4" borderId="17" xfId="0" applyNumberFormat="1" applyFill="1" applyBorder="1"/>
    <xf numFmtId="0" fontId="6" fillId="4" borderId="17" xfId="0" applyFont="1" applyFill="1" applyBorder="1"/>
    <xf numFmtId="171" fontId="4" fillId="2" borderId="17" xfId="0" applyNumberFormat="1" applyFont="1" applyFill="1" applyBorder="1"/>
    <xf numFmtId="0" fontId="6" fillId="2" borderId="18" xfId="0" applyFont="1" applyFill="1" applyBorder="1" applyAlignment="1">
      <alignment horizontal="left"/>
    </xf>
    <xf numFmtId="0" fontId="0" fillId="2" borderId="18" xfId="0" applyFill="1" applyBorder="1"/>
    <xf numFmtId="0" fontId="6" fillId="2" borderId="18" xfId="0" applyFont="1" applyFill="1" applyBorder="1"/>
    <xf numFmtId="166" fontId="0" fillId="2" borderId="18" xfId="0" applyNumberFormat="1" applyFill="1" applyBorder="1"/>
    <xf numFmtId="0" fontId="4" fillId="2" borderId="1" xfId="0" applyFont="1" applyFill="1" applyBorder="1"/>
    <xf numFmtId="0" fontId="0" fillId="2" borderId="20" xfId="0" applyFill="1" applyBorder="1"/>
    <xf numFmtId="0" fontId="0" fillId="2" borderId="20" xfId="0" applyFill="1" applyBorder="1" applyAlignment="1">
      <alignment horizontal="left"/>
    </xf>
    <xf numFmtId="0" fontId="4" fillId="2" borderId="20" xfId="0" applyFont="1" applyFill="1" applyBorder="1"/>
    <xf numFmtId="0" fontId="2" fillId="2" borderId="20" xfId="0" applyNumberFormat="1" applyFont="1" applyFill="1" applyBorder="1"/>
    <xf numFmtId="0" fontId="0" fillId="2" borderId="22" xfId="0" applyFill="1" applyBorder="1"/>
    <xf numFmtId="49" fontId="2" fillId="2" borderId="22" xfId="0" applyNumberFormat="1" applyFont="1" applyFill="1" applyBorder="1" applyAlignment="1">
      <alignment horizontal="left"/>
    </xf>
    <xf numFmtId="49" fontId="10" fillId="2" borderId="22" xfId="0" applyNumberFormat="1" applyFont="1" applyFill="1" applyBorder="1"/>
    <xf numFmtId="0" fontId="10" fillId="2" borderId="22" xfId="0" applyFont="1" applyFill="1" applyBorder="1"/>
    <xf numFmtId="166" fontId="0" fillId="2" borderId="22" xfId="0" applyNumberFormat="1" applyFill="1" applyBorder="1"/>
    <xf numFmtId="49" fontId="0" fillId="2" borderId="18" xfId="0" applyNumberFormat="1" applyFill="1" applyBorder="1" applyAlignment="1">
      <alignment horizontal="left"/>
    </xf>
    <xf numFmtId="49" fontId="6" fillId="2" borderId="22" xfId="0" applyNumberFormat="1" applyFont="1" applyFill="1" applyBorder="1"/>
    <xf numFmtId="49" fontId="6" fillId="2" borderId="1" xfId="0" applyNumberFormat="1" applyFont="1" applyFill="1" applyBorder="1" applyAlignment="1">
      <alignment horizontal="left"/>
    </xf>
    <xf numFmtId="0" fontId="0" fillId="2" borderId="1" xfId="0" applyNumberFormat="1" applyFill="1" applyBorder="1" applyAlignment="1">
      <alignment vertical="center" wrapText="1"/>
    </xf>
    <xf numFmtId="0" fontId="0" fillId="2" borderId="23" xfId="0" applyFill="1" applyBorder="1"/>
    <xf numFmtId="172" fontId="4" fillId="3" borderId="17" xfId="0" applyNumberFormat="1" applyFont="1" applyFill="1" applyBorder="1" applyAlignment="1">
      <alignment horizontal="right" vertical="center"/>
    </xf>
    <xf numFmtId="165" fontId="0" fillId="2" borderId="16" xfId="0" applyNumberFormat="1" applyFill="1" applyBorder="1" applyAlignment="1">
      <alignment horizontal="right"/>
    </xf>
    <xf numFmtId="49" fontId="6" fillId="2" borderId="18" xfId="0" applyNumberFormat="1" applyFont="1" applyFill="1" applyBorder="1"/>
    <xf numFmtId="164" fontId="0" fillId="2" borderId="1" xfId="0" applyNumberFormat="1" applyFill="1" applyBorder="1" applyAlignment="1">
      <alignment vertical="center" wrapText="1"/>
    </xf>
    <xf numFmtId="165" fontId="0" fillId="2" borderId="24" xfId="0" applyNumberFormat="1" applyFill="1" applyBorder="1" applyAlignment="1">
      <alignment horizontal="right"/>
    </xf>
    <xf numFmtId="49" fontId="6" fillId="2" borderId="1" xfId="0" applyNumberFormat="1" applyFont="1" applyFill="1" applyBorder="1"/>
    <xf numFmtId="166" fontId="4" fillId="3" borderId="17" xfId="0" applyNumberFormat="1" applyFont="1" applyFill="1" applyBorder="1" applyAlignment="1">
      <alignment horizontal="right" vertical="center"/>
    </xf>
    <xf numFmtId="166" fontId="0" fillId="2" borderId="25" xfId="0" applyNumberFormat="1" applyFill="1" applyBorder="1" applyAlignment="1">
      <alignment horizontal="right"/>
    </xf>
    <xf numFmtId="166" fontId="0" fillId="2" borderId="2" xfId="0" applyNumberFormat="1" applyFill="1" applyBorder="1" applyAlignment="1">
      <alignment horizontal="right"/>
    </xf>
    <xf numFmtId="166" fontId="0" fillId="2" borderId="20" xfId="0" applyNumberFormat="1" applyFill="1" applyBorder="1" applyAlignment="1">
      <alignment horizontal="right"/>
    </xf>
    <xf numFmtId="0" fontId="0" fillId="2" borderId="1" xfId="0" applyFill="1" applyBorder="1" applyAlignment="1">
      <alignment wrapText="1"/>
    </xf>
    <xf numFmtId="0" fontId="10" fillId="5" borderId="4" xfId="0" applyFont="1" applyFill="1" applyBorder="1" applyAlignment="1">
      <alignment horizontal="left" vertical="center"/>
    </xf>
    <xf numFmtId="0" fontId="10" fillId="5" borderId="26" xfId="0" applyFont="1" applyFill="1" applyBorder="1" applyAlignment="1">
      <alignment horizontal="left" vertical="center"/>
    </xf>
    <xf numFmtId="0" fontId="10" fillId="5" borderId="27" xfId="0" applyFont="1" applyFill="1" applyBorder="1" applyAlignment="1">
      <alignment horizontal="left" vertical="center"/>
    </xf>
    <xf numFmtId="0" fontId="10" fillId="5" borderId="28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/>
    <xf numFmtId="166" fontId="0" fillId="2" borderId="6" xfId="0" applyNumberFormat="1" applyFill="1" applyBorder="1"/>
    <xf numFmtId="0" fontId="6" fillId="2" borderId="3" xfId="0" applyFont="1" applyFill="1" applyBorder="1"/>
    <xf numFmtId="167" fontId="0" fillId="2" borderId="1" xfId="0" applyNumberFormat="1" applyFill="1" applyBorder="1"/>
    <xf numFmtId="173" fontId="0" fillId="2" borderId="1" xfId="0" applyNumberFormat="1" applyFill="1" applyBorder="1"/>
    <xf numFmtId="165" fontId="0" fillId="2" borderId="1" xfId="0" applyNumberFormat="1" applyFill="1" applyBorder="1"/>
    <xf numFmtId="49" fontId="0" fillId="2" borderId="23" xfId="0" applyNumberFormat="1" applyFill="1" applyBorder="1" applyAlignment="1">
      <alignment horizontal="left"/>
    </xf>
    <xf numFmtId="0" fontId="6" fillId="2" borderId="29" xfId="0" applyFont="1" applyFill="1" applyBorder="1"/>
    <xf numFmtId="49" fontId="0" fillId="2" borderId="30" xfId="0" applyNumberFormat="1" applyFill="1" applyBorder="1"/>
    <xf numFmtId="10" fontId="0" fillId="2" borderId="3" xfId="0" applyNumberFormat="1" applyFill="1" applyBorder="1"/>
    <xf numFmtId="10" fontId="0" fillId="6" borderId="31" xfId="0" applyNumberFormat="1" applyFill="1" applyBorder="1"/>
    <xf numFmtId="10" fontId="0" fillId="6" borderId="32" xfId="0" applyNumberFormat="1" applyFill="1" applyBorder="1"/>
    <xf numFmtId="10" fontId="0" fillId="6" borderId="6" xfId="0" applyNumberFormat="1" applyFill="1" applyBorder="1"/>
    <xf numFmtId="49" fontId="6" fillId="2" borderId="3" xfId="0" applyNumberFormat="1" applyFont="1" applyFill="1" applyBorder="1"/>
    <xf numFmtId="0" fontId="0" fillId="2" borderId="1" xfId="0" applyFill="1" applyBorder="1" applyAlignment="1">
      <alignment horizontal="left"/>
    </xf>
    <xf numFmtId="0" fontId="0" fillId="2" borderId="33" xfId="0" applyFill="1" applyBorder="1"/>
    <xf numFmtId="0" fontId="0" fillId="2" borderId="34" xfId="0" applyFill="1" applyBorder="1" applyAlignment="1">
      <alignment horizontal="left"/>
    </xf>
    <xf numFmtId="0" fontId="0" fillId="2" borderId="35" xfId="0" applyFill="1" applyBorder="1"/>
    <xf numFmtId="49" fontId="2" fillId="2" borderId="36" xfId="0" applyNumberFormat="1" applyFont="1" applyFill="1" applyBorder="1" applyAlignment="1">
      <alignment horizontal="left" vertical="center"/>
    </xf>
    <xf numFmtId="49" fontId="11" fillId="4" borderId="12" xfId="0" applyNumberFormat="1" applyFont="1" applyFill="1" applyBorder="1" applyAlignment="1">
      <alignment horizontal="center" vertical="center"/>
    </xf>
    <xf numFmtId="49" fontId="11" fillId="4" borderId="37" xfId="0" applyNumberFormat="1" applyFont="1" applyFill="1" applyBorder="1" applyAlignment="1">
      <alignment horizontal="center" vertical="center" wrapText="1"/>
    </xf>
    <xf numFmtId="49" fontId="11" fillId="4" borderId="36" xfId="0" applyNumberFormat="1" applyFont="1" applyFill="1" applyBorder="1" applyAlignment="1">
      <alignment horizontal="center" vertical="center"/>
    </xf>
    <xf numFmtId="49" fontId="2" fillId="2" borderId="38" xfId="0" applyNumberFormat="1" applyFont="1" applyFill="1" applyBorder="1" applyAlignment="1">
      <alignment horizontal="center"/>
    </xf>
    <xf numFmtId="0" fontId="0" fillId="2" borderId="39" xfId="0" applyFill="1" applyBorder="1"/>
    <xf numFmtId="0" fontId="11" fillId="2" borderId="1" xfId="0" applyFont="1" applyFill="1" applyBorder="1" applyAlignment="1">
      <alignment vertical="center"/>
    </xf>
    <xf numFmtId="0" fontId="0" fillId="2" borderId="40" xfId="0" applyFill="1" applyBorder="1"/>
    <xf numFmtId="49" fontId="2" fillId="4" borderId="36" xfId="0" applyNumberFormat="1" applyFont="1" applyFill="1" applyBorder="1" applyAlignment="1">
      <alignment horizontal="left"/>
    </xf>
    <xf numFmtId="169" fontId="11" fillId="4" borderId="12" xfId="0" applyNumberFormat="1" applyFont="1" applyFill="1" applyBorder="1" applyAlignment="1">
      <alignment vertical="center"/>
    </xf>
    <xf numFmtId="166" fontId="11" fillId="4" borderId="37" xfId="0" applyNumberFormat="1" applyFont="1" applyFill="1" applyBorder="1" applyAlignment="1">
      <alignment vertical="center"/>
    </xf>
    <xf numFmtId="166" fontId="0" fillId="2" borderId="38" xfId="0" applyNumberFormat="1" applyFill="1" applyBorder="1"/>
    <xf numFmtId="0" fontId="12" fillId="2" borderId="1" xfId="0" applyFont="1" applyFill="1" applyBorder="1"/>
    <xf numFmtId="166" fontId="12" fillId="2" borderId="1" xfId="0" applyNumberFormat="1" applyFont="1" applyFill="1" applyBorder="1"/>
    <xf numFmtId="49" fontId="2" fillId="4" borderId="41" xfId="0" applyNumberFormat="1" applyFont="1" applyFill="1" applyBorder="1" applyAlignment="1">
      <alignment horizontal="left"/>
    </xf>
    <xf numFmtId="2" fontId="2" fillId="4" borderId="15" xfId="0" applyNumberFormat="1" applyFont="1" applyFill="1" applyBorder="1" applyAlignment="1">
      <alignment vertical="center"/>
    </xf>
    <xf numFmtId="166" fontId="2" fillId="4" borderId="42" xfId="0" applyNumberFormat="1" applyFont="1" applyFill="1" applyBorder="1" applyAlignment="1">
      <alignment vertical="center"/>
    </xf>
    <xf numFmtId="10" fontId="0" fillId="2" borderId="43" xfId="0" applyNumberFormat="1" applyFill="1" applyBorder="1"/>
    <xf numFmtId="0" fontId="6" fillId="2" borderId="30" xfId="0" applyFont="1" applyFill="1" applyBorder="1"/>
    <xf numFmtId="169" fontId="0" fillId="2" borderId="1" xfId="0" applyNumberFormat="1" applyFill="1" applyBorder="1"/>
    <xf numFmtId="49" fontId="0" fillId="2" borderId="44" xfId="0" applyNumberFormat="1" applyFill="1" applyBorder="1" applyAlignment="1">
      <alignment horizontal="left"/>
    </xf>
    <xf numFmtId="2" fontId="6" fillId="2" borderId="17" xfId="0" applyNumberFormat="1" applyFont="1" applyFill="1" applyBorder="1"/>
    <xf numFmtId="166" fontId="6" fillId="2" borderId="45" xfId="0" applyNumberFormat="1" applyFont="1" applyFill="1" applyBorder="1"/>
    <xf numFmtId="0" fontId="0" fillId="2" borderId="46" xfId="0" applyFill="1" applyBorder="1"/>
    <xf numFmtId="0" fontId="12" fillId="2" borderId="46" xfId="0" applyFont="1" applyFill="1" applyBorder="1"/>
    <xf numFmtId="166" fontId="12" fillId="2" borderId="46" xfId="0" applyNumberFormat="1" applyFont="1" applyFill="1" applyBorder="1"/>
    <xf numFmtId="2" fontId="6" fillId="2" borderId="48" xfId="0" applyNumberFormat="1" applyFont="1" applyFill="1" applyBorder="1" applyAlignment="1">
      <alignment vertical="center"/>
    </xf>
    <xf numFmtId="166" fontId="6" fillId="2" borderId="49" xfId="0" applyNumberFormat="1" applyFont="1" applyFill="1" applyBorder="1" applyAlignment="1">
      <alignment vertical="center"/>
    </xf>
    <xf numFmtId="0" fontId="0" fillId="2" borderId="50" xfId="0" applyFill="1" applyBorder="1"/>
    <xf numFmtId="0" fontId="0" fillId="2" borderId="51" xfId="0" applyFill="1" applyBorder="1"/>
    <xf numFmtId="0" fontId="0" fillId="2" borderId="52" xfId="0" applyFill="1" applyBorder="1"/>
    <xf numFmtId="0" fontId="0" fillId="2" borderId="53" xfId="0" applyFill="1" applyBorder="1"/>
    <xf numFmtId="0" fontId="0" fillId="2" borderId="54" xfId="0" applyFill="1" applyBorder="1"/>
    <xf numFmtId="49" fontId="2" fillId="4" borderId="36" xfId="0" applyNumberFormat="1" applyFont="1" applyFill="1" applyBorder="1" applyAlignment="1">
      <alignment horizontal="left" wrapText="1"/>
    </xf>
    <xf numFmtId="2" fontId="10" fillId="4" borderId="12" xfId="0" applyNumberFormat="1" applyFont="1" applyFill="1" applyBorder="1"/>
    <xf numFmtId="166" fontId="10" fillId="4" borderId="37" xfId="0" applyNumberFormat="1" applyFont="1" applyFill="1" applyBorder="1"/>
    <xf numFmtId="10" fontId="0" fillId="2" borderId="55" xfId="0" applyNumberFormat="1" applyFill="1" applyBorder="1"/>
    <xf numFmtId="0" fontId="0" fillId="2" borderId="56" xfId="0" applyFill="1" applyBorder="1"/>
    <xf numFmtId="49" fontId="6" fillId="2" borderId="44" xfId="0" applyNumberFormat="1" applyFont="1" applyFill="1" applyBorder="1" applyAlignment="1">
      <alignment horizontal="left"/>
    </xf>
    <xf numFmtId="49" fontId="6" fillId="2" borderId="47" xfId="0" applyNumberFormat="1" applyFont="1" applyFill="1" applyBorder="1" applyAlignment="1">
      <alignment horizontal="left"/>
    </xf>
    <xf numFmtId="2" fontId="6" fillId="2" borderId="48" xfId="0" applyNumberFormat="1" applyFont="1" applyFill="1" applyBorder="1"/>
    <xf numFmtId="166" fontId="6" fillId="2" borderId="49" xfId="0" applyNumberFormat="1" applyFont="1" applyFill="1" applyBorder="1"/>
    <xf numFmtId="49" fontId="10" fillId="4" borderId="36" xfId="0" applyNumberFormat="1" applyFont="1" applyFill="1" applyBorder="1" applyAlignment="1">
      <alignment horizontal="left"/>
    </xf>
    <xf numFmtId="2" fontId="6" fillId="4" borderId="12" xfId="0" applyNumberFormat="1" applyFont="1" applyFill="1" applyBorder="1"/>
    <xf numFmtId="166" fontId="6" fillId="4" borderId="37" xfId="0" applyNumberFormat="1" applyFont="1" applyFill="1" applyBorder="1"/>
    <xf numFmtId="0" fontId="0" fillId="2" borderId="57" xfId="0" applyFill="1" applyBorder="1"/>
    <xf numFmtId="49" fontId="13" fillId="4" borderId="36" xfId="0" applyNumberFormat="1" applyFont="1" applyFill="1" applyBorder="1" applyAlignment="1">
      <alignment horizontal="left" vertical="center"/>
    </xf>
    <xf numFmtId="175" fontId="11" fillId="4" borderId="12" xfId="0" applyNumberFormat="1" applyFont="1" applyFill="1" applyBorder="1" applyAlignment="1">
      <alignment horizontal="right" vertical="center"/>
    </xf>
    <xf numFmtId="172" fontId="11" fillId="4" borderId="12" xfId="0" applyNumberFormat="1" applyFont="1" applyFill="1" applyBorder="1" applyAlignment="1">
      <alignment horizontal="right" vertical="center"/>
    </xf>
    <xf numFmtId="0" fontId="14" fillId="2" borderId="1" xfId="0" applyFont="1" applyFill="1" applyBorder="1"/>
    <xf numFmtId="166" fontId="14" fillId="2" borderId="1" xfId="0" applyNumberFormat="1" applyFont="1" applyFill="1" applyBorder="1"/>
    <xf numFmtId="0" fontId="0" fillId="2" borderId="30" xfId="0" applyFill="1" applyBorder="1"/>
    <xf numFmtId="49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49" fontId="0" fillId="2" borderId="39" xfId="0" applyNumberFormat="1" applyFill="1" applyBorder="1" applyAlignment="1">
      <alignment horizontal="left"/>
    </xf>
    <xf numFmtId="0" fontId="5" fillId="2" borderId="1" xfId="0" applyFont="1" applyFill="1" applyBorder="1"/>
    <xf numFmtId="49" fontId="2" fillId="2" borderId="1" xfId="0" applyNumberFormat="1" applyFont="1" applyFill="1" applyBorder="1" applyAlignment="1">
      <alignment horizontal="left"/>
    </xf>
    <xf numFmtId="49" fontId="16" fillId="2" borderId="1" xfId="0" applyNumberFormat="1" applyFont="1" applyFill="1" applyBorder="1" applyAlignment="1">
      <alignment horizontal="left"/>
    </xf>
    <xf numFmtId="2" fontId="16" fillId="2" borderId="1" xfId="0" applyNumberFormat="1" applyFont="1" applyFill="1" applyBorder="1"/>
    <xf numFmtId="49" fontId="17" fillId="2" borderId="1" xfId="0" applyNumberFormat="1" applyFont="1" applyFill="1" applyBorder="1"/>
    <xf numFmtId="49" fontId="1" fillId="2" borderId="63" xfId="0" applyNumberFormat="1" applyFont="1" applyFill="1" applyBorder="1"/>
    <xf numFmtId="0" fontId="0" fillId="2" borderId="64" xfId="0" applyFill="1" applyBorder="1"/>
    <xf numFmtId="0" fontId="0" fillId="2" borderId="65" xfId="0" applyFill="1" applyBorder="1"/>
    <xf numFmtId="0" fontId="0" fillId="2" borderId="28" xfId="0" applyFill="1" applyBorder="1"/>
    <xf numFmtId="0" fontId="1" fillId="2" borderId="66" xfId="0" applyFont="1" applyFill="1" applyBorder="1"/>
    <xf numFmtId="0" fontId="0" fillId="2" borderId="4" xfId="0" applyFill="1" applyBorder="1"/>
    <xf numFmtId="49" fontId="2" fillId="2" borderId="67" xfId="0" applyNumberFormat="1" applyFont="1" applyFill="1" applyBorder="1" applyAlignment="1">
      <alignment horizontal="center"/>
    </xf>
    <xf numFmtId="0" fontId="0" fillId="2" borderId="61" xfId="0" applyNumberFormat="1" applyFill="1" applyBorder="1"/>
    <xf numFmtId="0" fontId="0" fillId="2" borderId="4" xfId="0" applyNumberFormat="1" applyFill="1" applyBorder="1"/>
    <xf numFmtId="0" fontId="0" fillId="2" borderId="27" xfId="0" applyFill="1" applyBorder="1"/>
    <xf numFmtId="0" fontId="0" fillId="2" borderId="66" xfId="0" applyFill="1" applyBorder="1"/>
    <xf numFmtId="0" fontId="0" fillId="2" borderId="67" xfId="0" applyFill="1" applyBorder="1"/>
    <xf numFmtId="176" fontId="0" fillId="2" borderId="28" xfId="0" applyNumberFormat="1" applyFill="1" applyBorder="1"/>
    <xf numFmtId="176" fontId="0" fillId="2" borderId="66" xfId="0" applyNumberFormat="1" applyFill="1" applyBorder="1"/>
    <xf numFmtId="176" fontId="0" fillId="2" borderId="4" xfId="0" applyNumberFormat="1" applyFill="1" applyBorder="1"/>
    <xf numFmtId="176" fontId="0" fillId="2" borderId="67" xfId="0" applyNumberFormat="1" applyFill="1" applyBorder="1"/>
    <xf numFmtId="176" fontId="0" fillId="2" borderId="61" xfId="0" applyNumberFormat="1" applyFill="1" applyBorder="1"/>
    <xf numFmtId="49" fontId="0" fillId="2" borderId="66" xfId="0" applyNumberFormat="1" applyFill="1" applyBorder="1"/>
    <xf numFmtId="49" fontId="0" fillId="2" borderId="4" xfId="0" applyNumberFormat="1" applyFill="1" applyBorder="1"/>
    <xf numFmtId="3" fontId="0" fillId="2" borderId="67" xfId="0" applyNumberFormat="1" applyFill="1" applyBorder="1"/>
    <xf numFmtId="167" fontId="0" fillId="2" borderId="61" xfId="0" applyNumberFormat="1" applyFill="1" applyBorder="1"/>
    <xf numFmtId="3" fontId="0" fillId="2" borderId="4" xfId="0" applyNumberFormat="1" applyFill="1" applyBorder="1"/>
    <xf numFmtId="49" fontId="0" fillId="2" borderId="66" xfId="0" applyNumberFormat="1" applyFill="1" applyBorder="1" applyAlignment="1">
      <alignment horizontal="left"/>
    </xf>
    <xf numFmtId="3" fontId="0" fillId="2" borderId="61" xfId="0" applyNumberFormat="1" applyFill="1" applyBorder="1"/>
    <xf numFmtId="0" fontId="0" fillId="2" borderId="66" xfId="0" applyFill="1" applyBorder="1" applyAlignment="1">
      <alignment horizontal="left"/>
    </xf>
    <xf numFmtId="49" fontId="2" fillId="2" borderId="66" xfId="0" applyNumberFormat="1" applyFont="1" applyFill="1" applyBorder="1" applyAlignment="1">
      <alignment horizontal="left"/>
    </xf>
    <xf numFmtId="49" fontId="1" fillId="2" borderId="66" xfId="0" applyNumberFormat="1" applyFont="1" applyFill="1" applyBorder="1"/>
    <xf numFmtId="0" fontId="2" fillId="2" borderId="4" xfId="0" applyNumberFormat="1" applyFont="1" applyFill="1" applyBorder="1"/>
    <xf numFmtId="49" fontId="0" fillId="2" borderId="67" xfId="0" applyNumberFormat="1" applyFill="1" applyBorder="1"/>
    <xf numFmtId="0" fontId="0" fillId="2" borderId="61" xfId="0" applyFill="1" applyBorder="1"/>
    <xf numFmtId="49" fontId="2" fillId="2" borderId="66" xfId="0" applyNumberFormat="1" applyFont="1" applyFill="1" applyBorder="1"/>
    <xf numFmtId="49" fontId="6" fillId="2" borderId="68" xfId="0" applyNumberFormat="1" applyFont="1" applyFill="1" applyBorder="1"/>
    <xf numFmtId="0" fontId="0" fillId="2" borderId="69" xfId="0" applyFill="1" applyBorder="1"/>
    <xf numFmtId="0" fontId="0" fillId="2" borderId="70" xfId="0" applyFill="1" applyBorder="1"/>
    <xf numFmtId="49" fontId="0" fillId="2" borderId="60" xfId="0" applyNumberFormat="1" applyFill="1" applyBorder="1"/>
    <xf numFmtId="9" fontId="0" fillId="2" borderId="71" xfId="0" applyNumberFormat="1" applyFill="1" applyBorder="1"/>
    <xf numFmtId="0" fontId="0" fillId="2" borderId="70" xfId="0" applyNumberFormat="1" applyFill="1" applyBorder="1"/>
    <xf numFmtId="49" fontId="0" fillId="2" borderId="61" xfId="0" applyNumberFormat="1" applyFill="1" applyBorder="1"/>
    <xf numFmtId="164" fontId="0" fillId="2" borderId="67" xfId="0" applyNumberFormat="1" applyFill="1" applyBorder="1"/>
    <xf numFmtId="49" fontId="0" fillId="2" borderId="62" xfId="0" applyNumberFormat="1" applyFill="1" applyBorder="1"/>
    <xf numFmtId="9" fontId="0" fillId="2" borderId="72" xfId="0" applyNumberFormat="1" applyFill="1" applyBorder="1"/>
    <xf numFmtId="0" fontId="0" fillId="2" borderId="73" xfId="0" applyFill="1" applyBorder="1"/>
    <xf numFmtId="49" fontId="0" fillId="2" borderId="74" xfId="0" applyNumberFormat="1" applyFill="1" applyBorder="1"/>
    <xf numFmtId="49" fontId="0" fillId="2" borderId="75" xfId="0" applyNumberFormat="1" applyFill="1" applyBorder="1"/>
    <xf numFmtId="2" fontId="10" fillId="2" borderId="76" xfId="0" applyNumberFormat="1" applyFont="1" applyFill="1" applyBorder="1"/>
    <xf numFmtId="2" fontId="0" fillId="2" borderId="77" xfId="0" applyNumberFormat="1" applyFill="1" applyBorder="1"/>
    <xf numFmtId="2" fontId="2" fillId="2" borderId="4" xfId="0" applyNumberFormat="1" applyFont="1" applyFill="1" applyBorder="1"/>
    <xf numFmtId="2" fontId="0" fillId="2" borderId="4" xfId="0" applyNumberFormat="1" applyFill="1" applyBorder="1"/>
    <xf numFmtId="0" fontId="0" fillId="2" borderId="78" xfId="0" applyFill="1" applyBorder="1"/>
    <xf numFmtId="167" fontId="0" fillId="2" borderId="4" xfId="0" applyNumberFormat="1" applyFill="1" applyBorder="1"/>
    <xf numFmtId="9" fontId="0" fillId="2" borderId="4" xfId="0" applyNumberFormat="1" applyFill="1" applyBorder="1"/>
    <xf numFmtId="0" fontId="2" fillId="2" borderId="4" xfId="0" applyFont="1" applyFill="1" applyBorder="1"/>
    <xf numFmtId="2" fontId="2" fillId="2" borderId="61" xfId="0" applyNumberFormat="1" applyFont="1" applyFill="1" applyBorder="1" applyAlignment="1">
      <alignment horizontal="left"/>
    </xf>
    <xf numFmtId="49" fontId="2" fillId="2" borderId="4" xfId="0" applyNumberFormat="1" applyFont="1" applyFill="1" applyBorder="1"/>
    <xf numFmtId="3" fontId="2" fillId="2" borderId="67" xfId="0" applyNumberFormat="1" applyFont="1" applyFill="1" applyBorder="1"/>
    <xf numFmtId="3" fontId="2" fillId="2" borderId="61" xfId="0" applyNumberFormat="1" applyFont="1" applyFill="1" applyBorder="1"/>
    <xf numFmtId="3" fontId="2" fillId="2" borderId="4" xfId="0" applyNumberFormat="1" applyFont="1" applyFill="1" applyBorder="1"/>
    <xf numFmtId="3" fontId="0" fillId="6" borderId="61" xfId="0" applyNumberFormat="1" applyFill="1" applyBorder="1"/>
    <xf numFmtId="3" fontId="0" fillId="2" borderId="79" xfId="0" applyNumberFormat="1" applyFill="1" applyBorder="1"/>
    <xf numFmtId="1" fontId="6" fillId="2" borderId="61" xfId="0" applyNumberFormat="1" applyFont="1" applyFill="1" applyBorder="1"/>
    <xf numFmtId="1" fontId="6" fillId="2" borderId="4" xfId="0" applyNumberFormat="1" applyFont="1" applyFill="1" applyBorder="1"/>
    <xf numFmtId="165" fontId="6" fillId="2" borderId="4" xfId="0" applyNumberFormat="1" applyFont="1" applyFill="1" applyBorder="1"/>
    <xf numFmtId="49" fontId="6" fillId="2" borderId="28" xfId="0" applyNumberFormat="1" applyFont="1" applyFill="1" applyBorder="1"/>
    <xf numFmtId="9" fontId="6" fillId="2" borderId="28" xfId="0" applyNumberFormat="1" applyFont="1" applyFill="1" applyBorder="1"/>
    <xf numFmtId="1" fontId="6" fillId="2" borderId="2" xfId="0" applyNumberFormat="1" applyFont="1" applyFill="1" applyBorder="1"/>
    <xf numFmtId="0" fontId="2" fillId="2" borderId="66" xfId="0" applyFont="1" applyFill="1" applyBorder="1"/>
    <xf numFmtId="49" fontId="5" fillId="2" borderId="66" xfId="0" applyNumberFormat="1" applyFont="1" applyFill="1" applyBorder="1"/>
    <xf numFmtId="49" fontId="5" fillId="2" borderId="4" xfId="0" applyNumberFormat="1" applyFont="1" applyFill="1" applyBorder="1"/>
    <xf numFmtId="3" fontId="5" fillId="2" borderId="67" xfId="0" applyNumberFormat="1" applyFont="1" applyFill="1" applyBorder="1"/>
    <xf numFmtId="3" fontId="5" fillId="2" borderId="61" xfId="0" applyNumberFormat="1" applyFont="1" applyFill="1" applyBorder="1"/>
    <xf numFmtId="3" fontId="5" fillId="2" borderId="4" xfId="0" applyNumberFormat="1" applyFont="1" applyFill="1" applyBorder="1"/>
    <xf numFmtId="49" fontId="18" fillId="2" borderId="6" xfId="0" applyNumberFormat="1" applyFont="1" applyFill="1" applyBorder="1" applyAlignment="1">
      <alignment horizontal="left"/>
    </xf>
    <xf numFmtId="0" fontId="18" fillId="2" borderId="6" xfId="0" applyFont="1" applyFill="1" applyBorder="1"/>
    <xf numFmtId="3" fontId="18" fillId="2" borderId="80" xfId="0" applyNumberFormat="1" applyFont="1" applyFill="1" applyBorder="1"/>
    <xf numFmtId="3" fontId="18" fillId="2" borderId="81" xfId="0" applyNumberFormat="1" applyFont="1" applyFill="1" applyBorder="1"/>
    <xf numFmtId="3" fontId="18" fillId="2" borderId="6" xfId="0" applyNumberFormat="1" applyFont="1" applyFill="1" applyBorder="1"/>
    <xf numFmtId="0" fontId="0" fillId="2" borderId="82" xfId="0" applyFill="1" applyBorder="1"/>
    <xf numFmtId="0" fontId="0" fillId="2" borderId="32" xfId="0" applyFill="1" applyBorder="1"/>
    <xf numFmtId="0" fontId="0" fillId="2" borderId="63" xfId="0" applyFill="1" applyBorder="1"/>
    <xf numFmtId="0" fontId="0" fillId="2" borderId="31" xfId="0" applyFill="1" applyBorder="1"/>
    <xf numFmtId="3" fontId="0" fillId="2" borderId="31" xfId="0" applyNumberFormat="1" applyFill="1" applyBorder="1"/>
    <xf numFmtId="49" fontId="0" fillId="2" borderId="23" xfId="0" applyNumberFormat="1" applyFill="1" applyBorder="1"/>
    <xf numFmtId="14" fontId="0" fillId="2" borderId="24" xfId="0" applyNumberFormat="1" applyFill="1" applyBorder="1"/>
    <xf numFmtId="0" fontId="19" fillId="2" borderId="1" xfId="0" applyNumberFormat="1" applyFont="1" applyFill="1" applyBorder="1" applyAlignment="1">
      <alignment horizontal="center" vertical="center"/>
    </xf>
    <xf numFmtId="49" fontId="2" fillId="2" borderId="23" xfId="0" applyNumberFormat="1" applyFont="1" applyFill="1" applyBorder="1" applyAlignment="1">
      <alignment horizontal="center"/>
    </xf>
    <xf numFmtId="0" fontId="0" fillId="2" borderId="24" xfId="0" applyNumberFormat="1" applyFill="1" applyBorder="1"/>
    <xf numFmtId="0" fontId="0" fillId="2" borderId="24" xfId="0" applyFill="1" applyBorder="1"/>
    <xf numFmtId="3" fontId="0" fillId="2" borderId="23" xfId="0" applyNumberFormat="1" applyFill="1" applyBorder="1"/>
    <xf numFmtId="3" fontId="0" fillId="2" borderId="24" xfId="0" applyNumberFormat="1" applyFill="1" applyBorder="1"/>
    <xf numFmtId="164" fontId="0" fillId="2" borderId="23" xfId="0" applyNumberFormat="1" applyFill="1" applyBorder="1"/>
    <xf numFmtId="10" fontId="0" fillId="2" borderId="24" xfId="0" applyNumberFormat="1" applyFill="1" applyBorder="1"/>
    <xf numFmtId="177" fontId="0" fillId="2" borderId="23" xfId="0" applyNumberFormat="1" applyFill="1" applyBorder="1"/>
    <xf numFmtId="10" fontId="2" fillId="2" borderId="23" xfId="0" applyNumberFormat="1" applyFont="1" applyFill="1" applyBorder="1"/>
    <xf numFmtId="167" fontId="0" fillId="2" borderId="23" xfId="0" applyNumberFormat="1" applyFill="1" applyBorder="1"/>
    <xf numFmtId="0" fontId="0" fillId="2" borderId="83" xfId="0" applyFill="1" applyBorder="1"/>
    <xf numFmtId="49" fontId="2" fillId="2" borderId="18" xfId="0" applyNumberFormat="1" applyFont="1" applyFill="1" applyBorder="1"/>
    <xf numFmtId="0" fontId="0" fillId="2" borderId="84" xfId="0" applyFill="1" applyBorder="1"/>
    <xf numFmtId="0" fontId="0" fillId="2" borderId="85" xfId="0" applyFill="1" applyBorder="1"/>
    <xf numFmtId="49" fontId="0" fillId="2" borderId="51" xfId="0" applyNumberFormat="1" applyFill="1" applyBorder="1"/>
    <xf numFmtId="10" fontId="0" fillId="2" borderId="86" xfId="0" applyNumberFormat="1" applyFill="1" applyBorder="1"/>
    <xf numFmtId="3" fontId="0" fillId="2" borderId="87" xfId="0" applyNumberFormat="1" applyFill="1" applyBorder="1"/>
    <xf numFmtId="177" fontId="0" fillId="2" borderId="88" xfId="0" applyNumberFormat="1" applyFill="1" applyBorder="1"/>
    <xf numFmtId="4" fontId="0" fillId="2" borderId="23" xfId="0" applyNumberFormat="1" applyFill="1" applyBorder="1"/>
    <xf numFmtId="172" fontId="0" fillId="2" borderId="53" xfId="0" applyNumberFormat="1" applyFill="1" applyBorder="1"/>
    <xf numFmtId="3" fontId="0" fillId="0" borderId="0" xfId="0" applyNumberFormat="1"/>
    <xf numFmtId="49" fontId="2" fillId="2" borderId="3" xfId="0" applyNumberFormat="1" applyFont="1" applyFill="1" applyBorder="1"/>
    <xf numFmtId="49" fontId="2" fillId="2" borderId="89" xfId="0" applyNumberFormat="1" applyFont="1" applyFill="1" applyBorder="1" applyAlignment="1">
      <alignment horizontal="left"/>
    </xf>
    <xf numFmtId="49" fontId="15" fillId="8" borderId="89" xfId="0" applyNumberFormat="1" applyFont="1" applyFill="1" applyBorder="1" applyAlignment="1">
      <alignment horizontal="left"/>
    </xf>
    <xf numFmtId="49" fontId="15" fillId="0" borderId="89" xfId="0" applyNumberFormat="1" applyFont="1" applyFill="1" applyBorder="1" applyAlignment="1">
      <alignment horizontal="left"/>
    </xf>
    <xf numFmtId="49" fontId="2" fillId="8" borderId="89" xfId="0" applyNumberFormat="1" applyFont="1" applyFill="1" applyBorder="1" applyAlignment="1">
      <alignment horizontal="left"/>
    </xf>
    <xf numFmtId="49" fontId="2" fillId="0" borderId="89" xfId="0" applyNumberFormat="1" applyFont="1" applyFill="1" applyBorder="1" applyAlignment="1">
      <alignment horizontal="left"/>
    </xf>
    <xf numFmtId="49" fontId="2" fillId="9" borderId="89" xfId="0" applyNumberFormat="1" applyFont="1" applyFill="1" applyBorder="1" applyAlignment="1">
      <alignment horizontal="left"/>
    </xf>
    <xf numFmtId="165" fontId="15" fillId="8" borderId="89" xfId="0" applyNumberFormat="1" applyFont="1" applyFill="1" applyBorder="1" applyAlignment="1">
      <alignment horizontal="center"/>
    </xf>
    <xf numFmtId="164" fontId="15" fillId="0" borderId="89" xfId="0" applyNumberFormat="1" applyFont="1" applyFill="1" applyBorder="1" applyAlignment="1">
      <alignment horizontal="center"/>
    </xf>
    <xf numFmtId="2" fontId="15" fillId="8" borderId="89" xfId="0" applyNumberFormat="1" applyFont="1" applyFill="1" applyBorder="1" applyAlignment="1">
      <alignment horizontal="center"/>
    </xf>
    <xf numFmtId="2" fontId="15" fillId="0" borderId="89" xfId="0" applyNumberFormat="1" applyFont="1" applyFill="1" applyBorder="1" applyAlignment="1">
      <alignment horizontal="center"/>
    </xf>
    <xf numFmtId="164" fontId="15" fillId="8" borderId="89" xfId="0" applyNumberFormat="1" applyFont="1" applyFill="1" applyBorder="1" applyAlignment="1">
      <alignment horizontal="center"/>
    </xf>
    <xf numFmtId="2" fontId="2" fillId="8" borderId="89" xfId="0" applyNumberFormat="1" applyFont="1" applyFill="1" applyBorder="1" applyAlignment="1">
      <alignment horizontal="center"/>
    </xf>
    <xf numFmtId="2" fontId="2" fillId="0" borderId="89" xfId="0" applyNumberFormat="1" applyFont="1" applyFill="1" applyBorder="1" applyAlignment="1">
      <alignment horizontal="center"/>
    </xf>
    <xf numFmtId="2" fontId="2" fillId="9" borderId="89" xfId="0" applyNumberFormat="1" applyFont="1" applyFill="1" applyBorder="1" applyAlignment="1">
      <alignment horizontal="center"/>
    </xf>
    <xf numFmtId="49" fontId="10" fillId="0" borderId="36" xfId="0" applyNumberFormat="1" applyFont="1" applyFill="1" applyBorder="1" applyAlignment="1">
      <alignment horizontal="left" wrapText="1"/>
    </xf>
    <xf numFmtId="2" fontId="0" fillId="0" borderId="12" xfId="0" applyNumberFormat="1" applyFill="1" applyBorder="1"/>
    <xf numFmtId="166" fontId="0" fillId="0" borderId="37" xfId="0" applyNumberFormat="1" applyFill="1" applyBorder="1"/>
    <xf numFmtId="49" fontId="13" fillId="0" borderId="36" xfId="0" applyNumberFormat="1" applyFont="1" applyFill="1" applyBorder="1" applyAlignment="1">
      <alignment horizontal="left" vertical="center"/>
    </xf>
    <xf numFmtId="2" fontId="0" fillId="0" borderId="13" xfId="0" applyNumberFormat="1" applyFill="1" applyBorder="1"/>
    <xf numFmtId="1" fontId="0" fillId="0" borderId="10" xfId="0" applyNumberFormat="1" applyFill="1" applyBorder="1"/>
    <xf numFmtId="0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4" fillId="3" borderId="4" xfId="0" applyNumberFormat="1" applyFont="1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2" fontId="4" fillId="3" borderId="4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10" fontId="4" fillId="3" borderId="4" xfId="0" applyNumberFormat="1" applyFon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164" fontId="0" fillId="2" borderId="6" xfId="0" applyNumberFormat="1" applyFill="1" applyBorder="1" applyAlignment="1">
      <alignment horizontal="right"/>
    </xf>
    <xf numFmtId="49" fontId="0" fillId="2" borderId="2" xfId="0" applyNumberFormat="1" applyFill="1" applyBorder="1" applyAlignment="1">
      <alignment horizontal="right"/>
    </xf>
    <xf numFmtId="49" fontId="0" fillId="2" borderId="1" xfId="0" applyNumberFormat="1" applyFill="1" applyBorder="1" applyAlignment="1">
      <alignment horizontal="right"/>
    </xf>
    <xf numFmtId="164" fontId="4" fillId="3" borderId="4" xfId="0" applyNumberFormat="1" applyFont="1" applyFill="1" applyBorder="1" applyAlignment="1">
      <alignment horizontal="right" vertical="center"/>
    </xf>
    <xf numFmtId="2" fontId="6" fillId="2" borderId="5" xfId="0" applyNumberFormat="1" applyFont="1" applyFill="1" applyBorder="1" applyAlignment="1">
      <alignment horizontal="right" vertical="center" wrapText="1"/>
    </xf>
    <xf numFmtId="164" fontId="4" fillId="2" borderId="6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  <xf numFmtId="14" fontId="4" fillId="2" borderId="2" xfId="0" applyNumberFormat="1" applyFont="1" applyFill="1" applyBorder="1" applyAlignment="1">
      <alignment horizontal="right"/>
    </xf>
    <xf numFmtId="0" fontId="4" fillId="3" borderId="4" xfId="0" applyNumberFormat="1" applyFont="1" applyFill="1" applyBorder="1" applyAlignment="1">
      <alignment horizontal="right"/>
    </xf>
    <xf numFmtId="166" fontId="0" fillId="2" borderId="5" xfId="0" applyNumberFormat="1" applyFill="1" applyBorder="1" applyAlignment="1">
      <alignment horizontal="right"/>
    </xf>
    <xf numFmtId="167" fontId="4" fillId="2" borderId="6" xfId="0" applyNumberFormat="1" applyFont="1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167" fontId="4" fillId="2" borderId="1" xfId="0" applyNumberFormat="1" applyFont="1" applyFill="1" applyBorder="1" applyAlignment="1">
      <alignment horizontal="right"/>
    </xf>
    <xf numFmtId="10" fontId="4" fillId="2" borderId="1" xfId="0" applyNumberFormat="1" applyFont="1" applyFill="1" applyBorder="1" applyAlignment="1">
      <alignment horizontal="right"/>
    </xf>
    <xf numFmtId="166" fontId="4" fillId="2" borderId="1" xfId="0" applyNumberFormat="1" applyFont="1" applyFill="1" applyBorder="1" applyAlignment="1">
      <alignment horizontal="right"/>
    </xf>
    <xf numFmtId="9" fontId="4" fillId="2" borderId="1" xfId="0" applyNumberFormat="1" applyFont="1" applyFill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9" fontId="0" fillId="2" borderId="1" xfId="0" applyNumberFormat="1" applyFill="1" applyBorder="1" applyAlignment="1">
      <alignment horizontal="right"/>
    </xf>
    <xf numFmtId="168" fontId="0" fillId="2" borderId="1" xfId="0" applyNumberForma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8" fillId="2" borderId="2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right"/>
    </xf>
    <xf numFmtId="169" fontId="4" fillId="3" borderId="4" xfId="0" applyNumberFormat="1" applyFont="1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8" fillId="2" borderId="9" xfId="0" applyNumberFormat="1" applyFont="1" applyFill="1" applyBorder="1" applyAlignment="1">
      <alignment horizontal="right" vertical="center" wrapText="1"/>
    </xf>
    <xf numFmtId="10" fontId="2" fillId="2" borderId="10" xfId="0" applyNumberFormat="1" applyFont="1" applyFill="1" applyBorder="1" applyAlignment="1">
      <alignment horizontal="right"/>
    </xf>
    <xf numFmtId="170" fontId="0" fillId="2" borderId="10" xfId="0" applyNumberFormat="1" applyFill="1" applyBorder="1" applyAlignment="1">
      <alignment horizontal="right"/>
    </xf>
    <xf numFmtId="166" fontId="0" fillId="4" borderId="15" xfId="0" applyNumberFormat="1" applyFill="1" applyBorder="1" applyAlignment="1">
      <alignment horizontal="right"/>
    </xf>
    <xf numFmtId="171" fontId="4" fillId="3" borderId="15" xfId="0" applyNumberFormat="1" applyFont="1" applyFill="1" applyBorder="1" applyAlignment="1">
      <alignment horizontal="right"/>
    </xf>
    <xf numFmtId="166" fontId="0" fillId="4" borderId="17" xfId="0" applyNumberFormat="1" applyFill="1" applyBorder="1" applyAlignment="1">
      <alignment horizontal="right"/>
    </xf>
    <xf numFmtId="171" fontId="4" fillId="2" borderId="17" xfId="0" applyNumberFormat="1" applyFont="1" applyFill="1" applyBorder="1" applyAlignment="1">
      <alignment horizontal="right"/>
    </xf>
    <xf numFmtId="166" fontId="0" fillId="2" borderId="18" xfId="0" applyNumberFormat="1" applyFill="1" applyBorder="1" applyAlignment="1">
      <alignment horizontal="right"/>
    </xf>
    <xf numFmtId="171" fontId="4" fillId="2" borderId="19" xfId="0" applyNumberFormat="1" applyFont="1" applyFill="1" applyBorder="1" applyAlignment="1">
      <alignment horizontal="right"/>
    </xf>
    <xf numFmtId="164" fontId="0" fillId="2" borderId="3" xfId="0" applyNumberFormat="1" applyFill="1" applyBorder="1" applyAlignment="1">
      <alignment horizontal="right"/>
    </xf>
    <xf numFmtId="164" fontId="0" fillId="2" borderId="20" xfId="0" applyNumberFormat="1" applyFill="1" applyBorder="1" applyAlignment="1">
      <alignment horizontal="right"/>
    </xf>
    <xf numFmtId="0" fontId="2" fillId="2" borderId="21" xfId="0" applyNumberFormat="1" applyFont="1" applyFill="1" applyBorder="1" applyAlignment="1">
      <alignment horizontal="right"/>
    </xf>
    <xf numFmtId="166" fontId="0" fillId="2" borderId="22" xfId="0" applyNumberFormat="1" applyFill="1" applyBorder="1" applyAlignment="1">
      <alignment horizontal="right"/>
    </xf>
    <xf numFmtId="0" fontId="0" fillId="2" borderId="18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9" fontId="10" fillId="5" borderId="26" xfId="0" applyNumberFormat="1" applyFont="1" applyFill="1" applyBorder="1" applyAlignment="1">
      <alignment horizontal="right" vertical="center" wrapText="1"/>
    </xf>
    <xf numFmtId="166" fontId="0" fillId="2" borderId="1" xfId="0" applyNumberFormat="1" applyFill="1" applyBorder="1" applyAlignment="1">
      <alignment horizontal="right"/>
    </xf>
    <xf numFmtId="166" fontId="0" fillId="2" borderId="6" xfId="0" applyNumberFormat="1" applyFill="1" applyBorder="1" applyAlignment="1">
      <alignment horizontal="right"/>
    </xf>
    <xf numFmtId="9" fontId="4" fillId="6" borderId="27" xfId="0" applyNumberFormat="1" applyFont="1" applyFill="1" applyBorder="1" applyAlignment="1">
      <alignment horizontal="right"/>
    </xf>
    <xf numFmtId="167" fontId="0" fillId="2" borderId="1" xfId="0" applyNumberFormat="1" applyFill="1" applyBorder="1" applyAlignment="1">
      <alignment horizontal="right"/>
    </xf>
    <xf numFmtId="9" fontId="4" fillId="6" borderId="28" xfId="0" applyNumberFormat="1" applyFont="1" applyFill="1" applyBorder="1" applyAlignment="1">
      <alignment horizontal="right"/>
    </xf>
    <xf numFmtId="10" fontId="4" fillId="3" borderId="27" xfId="0" applyNumberFormat="1" applyFont="1" applyFill="1" applyBorder="1" applyAlignment="1">
      <alignment horizontal="right"/>
    </xf>
    <xf numFmtId="3" fontId="4" fillId="3" borderId="4" xfId="0" applyNumberFormat="1" applyFont="1" applyFill="1" applyBorder="1" applyAlignment="1">
      <alignment horizontal="right"/>
    </xf>
    <xf numFmtId="0" fontId="0" fillId="2" borderId="5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NumberFormat="1" applyFill="1" applyBorder="1" applyAlignment="1">
      <alignment horizontal="right"/>
    </xf>
    <xf numFmtId="10" fontId="0" fillId="2" borderId="5" xfId="0" applyNumberForma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9" fontId="4" fillId="3" borderId="4" xfId="0" applyNumberFormat="1" applyFont="1" applyFill="1" applyBorder="1" applyAlignment="1">
      <alignment horizontal="right"/>
    </xf>
    <xf numFmtId="10" fontId="4" fillId="2" borderId="6" xfId="0" applyNumberFormat="1" applyFont="1" applyFill="1" applyBorder="1" applyAlignment="1">
      <alignment horizontal="right"/>
    </xf>
    <xf numFmtId="0" fontId="4" fillId="2" borderId="1" xfId="0" applyNumberFormat="1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0" fontId="0" fillId="2" borderId="59" xfId="0" applyFill="1" applyBorder="1" applyAlignment="1">
      <alignment horizontal="right"/>
    </xf>
    <xf numFmtId="0" fontId="0" fillId="2" borderId="30" xfId="0" applyFill="1" applyBorder="1" applyAlignment="1">
      <alignment horizontal="right"/>
    </xf>
    <xf numFmtId="169" fontId="0" fillId="7" borderId="4" xfId="0" applyNumberFormat="1" applyFill="1" applyBorder="1" applyAlignment="1">
      <alignment horizontal="right"/>
    </xf>
    <xf numFmtId="169" fontId="0" fillId="2" borderId="5" xfId="0" applyNumberFormat="1" applyFill="1" applyBorder="1" applyAlignment="1">
      <alignment horizontal="right"/>
    </xf>
    <xf numFmtId="0" fontId="0" fillId="0" borderId="0" xfId="0" applyNumberFormat="1" applyAlignment="1">
      <alignment horizontal="right"/>
    </xf>
    <xf numFmtId="174" fontId="21" fillId="10" borderId="36" xfId="0" applyNumberFormat="1" applyFont="1" applyFill="1" applyBorder="1" applyAlignment="1">
      <alignment horizontal="center"/>
    </xf>
    <xf numFmtId="166" fontId="2" fillId="4" borderId="37" xfId="0" applyNumberFormat="1" applyFont="1" applyFill="1" applyBorder="1" applyAlignment="1">
      <alignment horizontal="center"/>
    </xf>
    <xf numFmtId="169" fontId="21" fillId="4" borderId="41" xfId="0" applyNumberFormat="1" applyFont="1" applyFill="1" applyBorder="1" applyAlignment="1">
      <alignment horizontal="center" vertical="center"/>
    </xf>
    <xf numFmtId="166" fontId="21" fillId="4" borderId="42" xfId="0" applyNumberFormat="1" applyFont="1" applyFill="1" applyBorder="1" applyAlignment="1">
      <alignment horizontal="center"/>
    </xf>
    <xf numFmtId="169" fontId="20" fillId="0" borderId="44" xfId="0" applyNumberFormat="1" applyFont="1" applyFill="1" applyBorder="1" applyAlignment="1">
      <alignment horizontal="center" vertical="center"/>
    </xf>
    <xf numFmtId="166" fontId="20" fillId="2" borderId="45" xfId="0" applyNumberFormat="1" applyFont="1" applyFill="1" applyBorder="1" applyAlignment="1">
      <alignment horizontal="center"/>
    </xf>
    <xf numFmtId="169" fontId="20" fillId="0" borderId="47" xfId="0" applyNumberFormat="1" applyFont="1" applyFill="1" applyBorder="1" applyAlignment="1">
      <alignment horizontal="center" vertical="center"/>
    </xf>
    <xf numFmtId="166" fontId="20" fillId="2" borderId="49" xfId="0" applyNumberFormat="1" applyFont="1" applyFill="1" applyBorder="1" applyAlignment="1">
      <alignment horizontal="center" vertical="center"/>
    </xf>
    <xf numFmtId="166" fontId="21" fillId="4" borderId="37" xfId="0" applyNumberFormat="1" applyFont="1" applyFill="1" applyBorder="1" applyAlignment="1">
      <alignment horizontal="center"/>
    </xf>
    <xf numFmtId="166" fontId="20" fillId="2" borderId="49" xfId="0" applyNumberFormat="1" applyFont="1" applyFill="1" applyBorder="1" applyAlignment="1">
      <alignment horizontal="center"/>
    </xf>
    <xf numFmtId="169" fontId="20" fillId="0" borderId="36" xfId="0" applyNumberFormat="1" applyFont="1" applyFill="1" applyBorder="1" applyAlignment="1">
      <alignment horizontal="center"/>
    </xf>
    <xf numFmtId="166" fontId="20" fillId="0" borderId="37" xfId="0" applyNumberFormat="1" applyFont="1" applyFill="1" applyBorder="1" applyAlignment="1">
      <alignment horizontal="center"/>
    </xf>
    <xf numFmtId="169" fontId="21" fillId="4" borderId="12" xfId="0" applyNumberFormat="1" applyFont="1" applyFill="1" applyBorder="1" applyAlignment="1">
      <alignment horizontal="center" vertical="center"/>
    </xf>
    <xf numFmtId="172" fontId="21" fillId="4" borderId="37" xfId="0" applyNumberFormat="1" applyFont="1" applyFill="1" applyBorder="1" applyAlignment="1">
      <alignment horizontal="center" vertical="center"/>
    </xf>
    <xf numFmtId="169" fontId="21" fillId="0" borderId="10" xfId="0" applyNumberFormat="1" applyFont="1" applyFill="1" applyBorder="1" applyAlignment="1">
      <alignment horizontal="center"/>
    </xf>
    <xf numFmtId="166" fontId="21" fillId="0" borderId="58" xfId="0" applyNumberFormat="1" applyFont="1" applyFill="1" applyBorder="1" applyAlignment="1">
      <alignment horizontal="center" vertical="center"/>
    </xf>
    <xf numFmtId="169" fontId="2" fillId="2" borderId="89" xfId="0" applyNumberFormat="1" applyFont="1" applyFill="1" applyBorder="1" applyAlignment="1">
      <alignment horizontal="center"/>
    </xf>
    <xf numFmtId="49" fontId="22" fillId="2" borderId="1" xfId="0" applyNumberFormat="1" applyFont="1" applyFill="1" applyBorder="1"/>
    <xf numFmtId="4" fontId="4" fillId="2" borderId="1" xfId="0" applyNumberFormat="1" applyFont="1" applyFill="1" applyBorder="1" applyAlignment="1">
      <alignment horizontal="right"/>
    </xf>
    <xf numFmtId="49" fontId="22" fillId="2" borderId="39" xfId="0" applyNumberFormat="1" applyFont="1" applyFill="1" applyBorder="1" applyAlignment="1">
      <alignment horizontal="left"/>
    </xf>
    <xf numFmtId="49" fontId="2" fillId="2" borderId="47" xfId="0" applyNumberFormat="1" applyFont="1" applyFill="1" applyBorder="1" applyAlignment="1">
      <alignment horizontal="left" wrapText="1"/>
    </xf>
    <xf numFmtId="0" fontId="22" fillId="2" borderId="23" xfId="0" applyFont="1" applyFill="1" applyBorder="1"/>
    <xf numFmtId="0" fontId="22" fillId="2" borderId="24" xfId="0" applyFont="1" applyFill="1" applyBorder="1"/>
    <xf numFmtId="9" fontId="0" fillId="2" borderId="24" xfId="0" applyNumberFormat="1" applyFill="1" applyBorder="1"/>
    <xf numFmtId="49" fontId="2" fillId="2" borderId="8" xfId="0" applyNumberFormat="1" applyFont="1" applyFill="1" applyBorder="1"/>
    <xf numFmtId="0" fontId="0" fillId="2" borderId="8" xfId="0" applyFill="1" applyBorder="1"/>
  </cellXfs>
  <cellStyles count="1">
    <cellStyle name="Normal" xfId="0" builtinId="0"/>
  </cellStyles>
  <dxfs count="4">
    <dxf>
      <font>
        <color rgb="FFFF0000"/>
      </font>
    </dxf>
    <dxf>
      <font>
        <color rgb="FF006100"/>
      </font>
      <fill>
        <patternFill patternType="solid">
          <fgColor indexed="23"/>
          <bgColor indexed="28"/>
        </patternFill>
      </fill>
    </dxf>
    <dxf>
      <font>
        <color rgb="FF9C0006"/>
      </font>
      <fill>
        <patternFill patternType="solid">
          <fgColor indexed="23"/>
          <bgColor indexed="26"/>
        </patternFill>
      </fill>
    </dxf>
    <dxf>
      <font>
        <color rgb="FF9C5700"/>
      </font>
      <fill>
        <patternFill patternType="solid">
          <fgColor indexed="23"/>
          <bgColor indexed="2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0000"/>
      <rgbColor rgb="FF0563C1"/>
      <rgbColor rgb="FF0070C0"/>
      <rgbColor rgb="FFFFE598"/>
      <rgbColor rgb="FFF2F2F2"/>
      <rgbColor rgb="FFE7E6E6"/>
      <rgbColor rgb="FFFFFF00"/>
      <rgbColor rgb="FF262626"/>
      <rgbColor rgb="FFA7A7A7"/>
      <rgbColor rgb="FFD9E2F3"/>
      <rgbColor rgb="FFDEEAF6"/>
      <rgbColor rgb="FF4472C4"/>
      <rgbColor rgb="00000000"/>
      <rgbColor rgb="FFFFEB9C"/>
      <rgbColor rgb="FF9C5700"/>
      <rgbColor rgb="FFFFC7CE"/>
      <rgbColor rgb="FF9C0006"/>
      <rgbColor rgb="FFC6EFCE"/>
      <rgbColor rgb="FF006100"/>
      <rgbColor rgb="FFFF0000"/>
      <rgbColor rgb="FF52525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5"/>
  <sheetViews>
    <sheetView showGridLines="0" tabSelected="1" topLeftCell="C63" zoomScale="114" workbookViewId="0">
      <selection activeCell="J80" sqref="J80"/>
    </sheetView>
  </sheetViews>
  <sheetFormatPr baseColWidth="10" defaultColWidth="8.83203125" defaultRowHeight="15" customHeight="1" x14ac:dyDescent="0.2"/>
  <cols>
    <col min="1" max="2" width="8.83203125" style="1" hidden="1" customWidth="1"/>
    <col min="3" max="3" width="35" style="1" customWidth="1"/>
    <col min="4" max="4" width="21.6640625" style="1" customWidth="1"/>
    <col min="5" max="5" width="11.33203125" style="1" customWidth="1"/>
    <col min="6" max="6" width="11.6640625" style="371" customWidth="1"/>
    <col min="7" max="7" width="11" style="371" customWidth="1"/>
    <col min="8" max="8" width="10" style="1" customWidth="1"/>
    <col min="9" max="9" width="11.1640625" style="1" customWidth="1"/>
    <col min="10" max="10" width="10.6640625" style="1" customWidth="1"/>
    <col min="11" max="11" width="11.1640625" style="1" customWidth="1"/>
    <col min="12" max="12" width="10.6640625" style="1" customWidth="1"/>
    <col min="13" max="15" width="11.1640625" style="1" customWidth="1"/>
    <col min="16" max="16" width="10.83203125" style="1" customWidth="1"/>
    <col min="17" max="35" width="11.1640625" style="1" customWidth="1"/>
    <col min="36" max="38" width="12.33203125" style="1" customWidth="1"/>
    <col min="39" max="39" width="8.83203125" style="1" customWidth="1"/>
    <col min="40" max="16384" width="8.83203125" style="1"/>
  </cols>
  <sheetData>
    <row r="1" spans="1:38" ht="13.5" customHeight="1" x14ac:dyDescent="0.2">
      <c r="A1" s="2"/>
      <c r="B1" s="2"/>
      <c r="C1" s="3" t="s">
        <v>0</v>
      </c>
      <c r="D1" s="2"/>
      <c r="E1" s="4" t="s">
        <v>1</v>
      </c>
      <c r="F1" s="299">
        <v>2026</v>
      </c>
      <c r="G1" s="299">
        <f t="shared" ref="G1:AL1" si="0">F1+1</f>
        <v>2027</v>
      </c>
      <c r="H1" s="5">
        <f t="shared" si="0"/>
        <v>2028</v>
      </c>
      <c r="I1" s="5">
        <f t="shared" si="0"/>
        <v>2029</v>
      </c>
      <c r="J1" s="5">
        <f t="shared" si="0"/>
        <v>2030</v>
      </c>
      <c r="K1" s="5">
        <f t="shared" si="0"/>
        <v>2031</v>
      </c>
      <c r="L1" s="5">
        <f t="shared" si="0"/>
        <v>2032</v>
      </c>
      <c r="M1" s="5">
        <f t="shared" si="0"/>
        <v>2033</v>
      </c>
      <c r="N1" s="5">
        <f t="shared" si="0"/>
        <v>2034</v>
      </c>
      <c r="O1" s="5">
        <f t="shared" si="0"/>
        <v>2035</v>
      </c>
      <c r="P1" s="5">
        <f t="shared" si="0"/>
        <v>2036</v>
      </c>
      <c r="Q1" s="5">
        <f t="shared" si="0"/>
        <v>2037</v>
      </c>
      <c r="R1" s="5">
        <f t="shared" si="0"/>
        <v>2038</v>
      </c>
      <c r="S1" s="5">
        <f t="shared" si="0"/>
        <v>2039</v>
      </c>
      <c r="T1" s="5">
        <f t="shared" si="0"/>
        <v>2040</v>
      </c>
      <c r="U1" s="5">
        <f t="shared" si="0"/>
        <v>2041</v>
      </c>
      <c r="V1" s="5">
        <f t="shared" si="0"/>
        <v>2042</v>
      </c>
      <c r="W1" s="5">
        <f t="shared" si="0"/>
        <v>2043</v>
      </c>
      <c r="X1" s="5">
        <f t="shared" si="0"/>
        <v>2044</v>
      </c>
      <c r="Y1" s="5">
        <f t="shared" si="0"/>
        <v>2045</v>
      </c>
      <c r="Z1" s="5">
        <f t="shared" si="0"/>
        <v>2046</v>
      </c>
      <c r="AA1" s="5">
        <f t="shared" si="0"/>
        <v>2047</v>
      </c>
      <c r="AB1" s="5">
        <f t="shared" si="0"/>
        <v>2048</v>
      </c>
      <c r="AC1" s="5">
        <f t="shared" si="0"/>
        <v>2049</v>
      </c>
      <c r="AD1" s="5">
        <f t="shared" si="0"/>
        <v>2050</v>
      </c>
      <c r="AE1" s="5">
        <f t="shared" si="0"/>
        <v>2051</v>
      </c>
      <c r="AF1" s="5">
        <f t="shared" si="0"/>
        <v>2052</v>
      </c>
      <c r="AG1" s="5">
        <f t="shared" si="0"/>
        <v>2053</v>
      </c>
      <c r="AH1" s="5">
        <f t="shared" si="0"/>
        <v>2054</v>
      </c>
      <c r="AI1" s="5">
        <f t="shared" si="0"/>
        <v>2055</v>
      </c>
      <c r="AJ1" s="5">
        <f t="shared" si="0"/>
        <v>2056</v>
      </c>
      <c r="AK1" s="5">
        <f t="shared" si="0"/>
        <v>2057</v>
      </c>
      <c r="AL1" s="5">
        <f t="shared" si="0"/>
        <v>2058</v>
      </c>
    </row>
    <row r="2" spans="1:38" ht="13.5" customHeight="1" x14ac:dyDescent="0.2">
      <c r="A2" s="2"/>
      <c r="B2" s="2"/>
      <c r="C2" s="2"/>
      <c r="D2" s="2"/>
      <c r="E2" s="2"/>
      <c r="F2" s="299">
        <v>0</v>
      </c>
      <c r="G2" s="299">
        <v>1</v>
      </c>
      <c r="H2" s="5">
        <v>2</v>
      </c>
      <c r="I2" s="5">
        <v>3</v>
      </c>
      <c r="J2" s="5">
        <v>4</v>
      </c>
      <c r="K2" s="5">
        <v>5</v>
      </c>
      <c r="L2" s="5">
        <v>6</v>
      </c>
      <c r="M2" s="5">
        <v>7</v>
      </c>
      <c r="N2" s="5">
        <v>8</v>
      </c>
      <c r="O2" s="5">
        <v>9</v>
      </c>
      <c r="P2" s="5">
        <v>10</v>
      </c>
      <c r="Q2" s="5">
        <v>11</v>
      </c>
      <c r="R2" s="5">
        <v>12</v>
      </c>
      <c r="S2" s="5">
        <v>13</v>
      </c>
      <c r="T2" s="5">
        <v>14</v>
      </c>
      <c r="U2" s="5">
        <v>15</v>
      </c>
      <c r="V2" s="5">
        <v>16</v>
      </c>
      <c r="W2" s="5">
        <v>17</v>
      </c>
      <c r="X2" s="5">
        <v>18</v>
      </c>
      <c r="Y2" s="5">
        <v>19</v>
      </c>
      <c r="Z2" s="5">
        <v>20</v>
      </c>
      <c r="AA2" s="5">
        <v>21</v>
      </c>
      <c r="AB2" s="5">
        <v>22</v>
      </c>
      <c r="AC2" s="5">
        <v>23</v>
      </c>
      <c r="AD2" s="5">
        <v>24</v>
      </c>
      <c r="AE2" s="5">
        <v>25</v>
      </c>
      <c r="AF2" s="5">
        <v>26</v>
      </c>
      <c r="AG2" s="5">
        <v>27</v>
      </c>
      <c r="AH2" s="5">
        <v>28</v>
      </c>
      <c r="AI2" s="5">
        <v>29</v>
      </c>
      <c r="AJ2" s="5">
        <v>30</v>
      </c>
      <c r="AK2" s="2"/>
      <c r="AL2" s="2"/>
    </row>
    <row r="3" spans="1:38" ht="13.5" customHeight="1" x14ac:dyDescent="0.2">
      <c r="A3" s="2"/>
      <c r="B3" s="2"/>
      <c r="C3" s="6" t="s">
        <v>2</v>
      </c>
      <c r="D3" s="2"/>
      <c r="E3" s="2"/>
      <c r="F3" s="300"/>
      <c r="G3" s="30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3.5" customHeight="1" x14ac:dyDescent="0.2">
      <c r="A4" s="2"/>
      <c r="B4" s="2"/>
      <c r="C4" s="8" t="s">
        <v>3</v>
      </c>
      <c r="D4" s="9" t="s">
        <v>4</v>
      </c>
      <c r="E4" s="10"/>
      <c r="F4" s="302">
        <v>1</v>
      </c>
      <c r="G4" s="303">
        <v>1.01</v>
      </c>
      <c r="H4" s="11">
        <f t="shared" ref="H4:AL4" si="1">G4</f>
        <v>1.01</v>
      </c>
      <c r="I4" s="12">
        <f t="shared" si="1"/>
        <v>1.01</v>
      </c>
      <c r="J4" s="12">
        <f t="shared" si="1"/>
        <v>1.01</v>
      </c>
      <c r="K4" s="12">
        <f t="shared" si="1"/>
        <v>1.01</v>
      </c>
      <c r="L4" s="12">
        <f t="shared" si="1"/>
        <v>1.01</v>
      </c>
      <c r="M4" s="12">
        <f t="shared" si="1"/>
        <v>1.01</v>
      </c>
      <c r="N4" s="12">
        <f t="shared" si="1"/>
        <v>1.01</v>
      </c>
      <c r="O4" s="12">
        <f t="shared" si="1"/>
        <v>1.01</v>
      </c>
      <c r="P4" s="12">
        <f t="shared" si="1"/>
        <v>1.01</v>
      </c>
      <c r="Q4" s="12">
        <f t="shared" si="1"/>
        <v>1.01</v>
      </c>
      <c r="R4" s="12">
        <f t="shared" si="1"/>
        <v>1.01</v>
      </c>
      <c r="S4" s="12">
        <f t="shared" si="1"/>
        <v>1.01</v>
      </c>
      <c r="T4" s="12">
        <f t="shared" si="1"/>
        <v>1.01</v>
      </c>
      <c r="U4" s="12">
        <f t="shared" si="1"/>
        <v>1.01</v>
      </c>
      <c r="V4" s="12">
        <f t="shared" si="1"/>
        <v>1.01</v>
      </c>
      <c r="W4" s="12">
        <f t="shared" si="1"/>
        <v>1.01</v>
      </c>
      <c r="X4" s="12">
        <f t="shared" si="1"/>
        <v>1.01</v>
      </c>
      <c r="Y4" s="12">
        <f t="shared" si="1"/>
        <v>1.01</v>
      </c>
      <c r="Z4" s="12">
        <f t="shared" si="1"/>
        <v>1.01</v>
      </c>
      <c r="AA4" s="12">
        <f t="shared" si="1"/>
        <v>1.01</v>
      </c>
      <c r="AB4" s="12">
        <f t="shared" si="1"/>
        <v>1.01</v>
      </c>
      <c r="AC4" s="12">
        <f t="shared" si="1"/>
        <v>1.01</v>
      </c>
      <c r="AD4" s="12">
        <f t="shared" si="1"/>
        <v>1.01</v>
      </c>
      <c r="AE4" s="12">
        <f t="shared" si="1"/>
        <v>1.01</v>
      </c>
      <c r="AF4" s="12">
        <f t="shared" si="1"/>
        <v>1.01</v>
      </c>
      <c r="AG4" s="12">
        <f t="shared" si="1"/>
        <v>1.01</v>
      </c>
      <c r="AH4" s="12">
        <f t="shared" si="1"/>
        <v>1.01</v>
      </c>
      <c r="AI4" s="12">
        <f t="shared" si="1"/>
        <v>1.01</v>
      </c>
      <c r="AJ4" s="12">
        <f t="shared" si="1"/>
        <v>1.01</v>
      </c>
      <c r="AK4" s="12">
        <f t="shared" si="1"/>
        <v>1.01</v>
      </c>
      <c r="AL4" s="12">
        <f t="shared" si="1"/>
        <v>1.01</v>
      </c>
    </row>
    <row r="5" spans="1:38" ht="13.5" customHeight="1" x14ac:dyDescent="0.2">
      <c r="A5" s="2"/>
      <c r="B5" s="2"/>
      <c r="C5" s="8" t="s">
        <v>5</v>
      </c>
      <c r="D5" s="2"/>
      <c r="E5" s="10"/>
      <c r="F5" s="302">
        <v>1</v>
      </c>
      <c r="G5" s="303">
        <v>1.02</v>
      </c>
      <c r="H5" s="11">
        <f t="shared" ref="H5:AL5" si="2">G5</f>
        <v>1.02</v>
      </c>
      <c r="I5" s="12">
        <f t="shared" si="2"/>
        <v>1.02</v>
      </c>
      <c r="J5" s="12">
        <f t="shared" si="2"/>
        <v>1.02</v>
      </c>
      <c r="K5" s="12">
        <f t="shared" si="2"/>
        <v>1.02</v>
      </c>
      <c r="L5" s="12">
        <f t="shared" si="2"/>
        <v>1.02</v>
      </c>
      <c r="M5" s="12">
        <f t="shared" si="2"/>
        <v>1.02</v>
      </c>
      <c r="N5" s="12">
        <f t="shared" si="2"/>
        <v>1.02</v>
      </c>
      <c r="O5" s="12">
        <f t="shared" si="2"/>
        <v>1.02</v>
      </c>
      <c r="P5" s="12">
        <f t="shared" si="2"/>
        <v>1.02</v>
      </c>
      <c r="Q5" s="12">
        <f t="shared" si="2"/>
        <v>1.02</v>
      </c>
      <c r="R5" s="12">
        <f t="shared" si="2"/>
        <v>1.02</v>
      </c>
      <c r="S5" s="12">
        <f t="shared" si="2"/>
        <v>1.02</v>
      </c>
      <c r="T5" s="12">
        <f t="shared" si="2"/>
        <v>1.02</v>
      </c>
      <c r="U5" s="12">
        <f t="shared" si="2"/>
        <v>1.02</v>
      </c>
      <c r="V5" s="12">
        <f t="shared" si="2"/>
        <v>1.02</v>
      </c>
      <c r="W5" s="12">
        <f t="shared" si="2"/>
        <v>1.02</v>
      </c>
      <c r="X5" s="12">
        <f t="shared" si="2"/>
        <v>1.02</v>
      </c>
      <c r="Y5" s="12">
        <f t="shared" si="2"/>
        <v>1.02</v>
      </c>
      <c r="Z5" s="12">
        <f t="shared" si="2"/>
        <v>1.02</v>
      </c>
      <c r="AA5" s="12">
        <f t="shared" si="2"/>
        <v>1.02</v>
      </c>
      <c r="AB5" s="12">
        <f t="shared" si="2"/>
        <v>1.02</v>
      </c>
      <c r="AC5" s="12">
        <f t="shared" si="2"/>
        <v>1.02</v>
      </c>
      <c r="AD5" s="12">
        <f t="shared" si="2"/>
        <v>1.02</v>
      </c>
      <c r="AE5" s="12">
        <f t="shared" si="2"/>
        <v>1.02</v>
      </c>
      <c r="AF5" s="12">
        <f t="shared" si="2"/>
        <v>1.02</v>
      </c>
      <c r="AG5" s="12">
        <f t="shared" si="2"/>
        <v>1.02</v>
      </c>
      <c r="AH5" s="12">
        <f t="shared" si="2"/>
        <v>1.02</v>
      </c>
      <c r="AI5" s="12">
        <f t="shared" si="2"/>
        <v>1.02</v>
      </c>
      <c r="AJ5" s="12">
        <f t="shared" si="2"/>
        <v>1.02</v>
      </c>
      <c r="AK5" s="12">
        <f t="shared" si="2"/>
        <v>1.02</v>
      </c>
      <c r="AL5" s="12">
        <f t="shared" si="2"/>
        <v>1.02</v>
      </c>
    </row>
    <row r="6" spans="1:38" ht="13.5" customHeight="1" x14ac:dyDescent="0.2">
      <c r="A6" s="2"/>
      <c r="B6" s="2"/>
      <c r="C6" s="8" t="s">
        <v>6</v>
      </c>
      <c r="D6" s="9" t="s">
        <v>4</v>
      </c>
      <c r="E6" s="10"/>
      <c r="F6" s="302">
        <f>F11</f>
        <v>0</v>
      </c>
      <c r="G6" s="303">
        <v>1.02</v>
      </c>
      <c r="H6" s="11">
        <f t="shared" ref="H6:AL6" si="3">G6</f>
        <v>1.02</v>
      </c>
      <c r="I6" s="12">
        <f t="shared" si="3"/>
        <v>1.02</v>
      </c>
      <c r="J6" s="12">
        <f t="shared" si="3"/>
        <v>1.02</v>
      </c>
      <c r="K6" s="12">
        <f t="shared" si="3"/>
        <v>1.02</v>
      </c>
      <c r="L6" s="12">
        <f t="shared" si="3"/>
        <v>1.02</v>
      </c>
      <c r="M6" s="12">
        <f t="shared" si="3"/>
        <v>1.02</v>
      </c>
      <c r="N6" s="12">
        <f t="shared" si="3"/>
        <v>1.02</v>
      </c>
      <c r="O6" s="12">
        <f t="shared" si="3"/>
        <v>1.02</v>
      </c>
      <c r="P6" s="12">
        <f t="shared" si="3"/>
        <v>1.02</v>
      </c>
      <c r="Q6" s="12">
        <f t="shared" si="3"/>
        <v>1.02</v>
      </c>
      <c r="R6" s="12">
        <f t="shared" si="3"/>
        <v>1.02</v>
      </c>
      <c r="S6" s="12">
        <f t="shared" si="3"/>
        <v>1.02</v>
      </c>
      <c r="T6" s="12">
        <f t="shared" si="3"/>
        <v>1.02</v>
      </c>
      <c r="U6" s="12">
        <f t="shared" si="3"/>
        <v>1.02</v>
      </c>
      <c r="V6" s="12">
        <f t="shared" si="3"/>
        <v>1.02</v>
      </c>
      <c r="W6" s="12">
        <f t="shared" si="3"/>
        <v>1.02</v>
      </c>
      <c r="X6" s="12">
        <f t="shared" si="3"/>
        <v>1.02</v>
      </c>
      <c r="Y6" s="12">
        <f t="shared" si="3"/>
        <v>1.02</v>
      </c>
      <c r="Z6" s="12">
        <f t="shared" si="3"/>
        <v>1.02</v>
      </c>
      <c r="AA6" s="12">
        <f t="shared" si="3"/>
        <v>1.02</v>
      </c>
      <c r="AB6" s="12">
        <f t="shared" si="3"/>
        <v>1.02</v>
      </c>
      <c r="AC6" s="12">
        <f t="shared" si="3"/>
        <v>1.02</v>
      </c>
      <c r="AD6" s="12">
        <f t="shared" si="3"/>
        <v>1.02</v>
      </c>
      <c r="AE6" s="12">
        <f t="shared" si="3"/>
        <v>1.02</v>
      </c>
      <c r="AF6" s="12">
        <f t="shared" si="3"/>
        <v>1.02</v>
      </c>
      <c r="AG6" s="12">
        <f t="shared" si="3"/>
        <v>1.02</v>
      </c>
      <c r="AH6" s="12">
        <f t="shared" si="3"/>
        <v>1.02</v>
      </c>
      <c r="AI6" s="12">
        <f t="shared" si="3"/>
        <v>1.02</v>
      </c>
      <c r="AJ6" s="12">
        <f t="shared" si="3"/>
        <v>1.02</v>
      </c>
      <c r="AK6" s="12">
        <f t="shared" si="3"/>
        <v>1.02</v>
      </c>
      <c r="AL6" s="12">
        <f t="shared" si="3"/>
        <v>1.02</v>
      </c>
    </row>
    <row r="7" spans="1:38" ht="13.5" customHeight="1" x14ac:dyDescent="0.2">
      <c r="A7" s="2"/>
      <c r="B7" s="2"/>
      <c r="C7" s="2"/>
      <c r="D7" s="2"/>
      <c r="E7" s="2"/>
      <c r="F7" s="301"/>
      <c r="G7" s="30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2.75" customHeight="1" x14ac:dyDescent="0.2">
      <c r="A8" s="2"/>
      <c r="B8" s="2"/>
      <c r="C8" s="8" t="s">
        <v>7</v>
      </c>
      <c r="D8" s="2"/>
      <c r="E8" s="14"/>
      <c r="F8" s="305">
        <v>1.04</v>
      </c>
      <c r="G8" s="306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 spans="1:38" ht="8" customHeight="1" x14ac:dyDescent="0.2">
      <c r="A9" s="2"/>
      <c r="B9" s="2"/>
      <c r="C9" s="16"/>
      <c r="D9" s="2"/>
      <c r="E9" s="2"/>
      <c r="F9" s="304"/>
      <c r="G9" s="30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3.5" customHeight="1" x14ac:dyDescent="0.2">
      <c r="A10" s="2"/>
      <c r="B10" s="2"/>
      <c r="C10" s="17" t="s">
        <v>8</v>
      </c>
      <c r="D10" s="10"/>
      <c r="E10" s="2"/>
      <c r="F10" s="307"/>
      <c r="G10" s="30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3.5" customHeight="1" x14ac:dyDescent="0.2">
      <c r="A11" s="2"/>
      <c r="B11" s="2"/>
      <c r="C11" s="8" t="s">
        <v>9</v>
      </c>
      <c r="D11" s="9" t="s">
        <v>4</v>
      </c>
      <c r="E11" s="2"/>
      <c r="F11" s="302"/>
      <c r="G11" s="308">
        <v>1</v>
      </c>
      <c r="H11" s="18">
        <v>1</v>
      </c>
      <c r="I11" s="19">
        <f t="shared" ref="I11:AL11" si="4">H11</f>
        <v>1</v>
      </c>
      <c r="J11" s="19">
        <f t="shared" si="4"/>
        <v>1</v>
      </c>
      <c r="K11" s="19">
        <f t="shared" si="4"/>
        <v>1</v>
      </c>
      <c r="L11" s="19">
        <f t="shared" si="4"/>
        <v>1</v>
      </c>
      <c r="M11" s="19">
        <f t="shared" si="4"/>
        <v>1</v>
      </c>
      <c r="N11" s="19">
        <f t="shared" si="4"/>
        <v>1</v>
      </c>
      <c r="O11" s="19">
        <f t="shared" si="4"/>
        <v>1</v>
      </c>
      <c r="P11" s="19">
        <f t="shared" si="4"/>
        <v>1</v>
      </c>
      <c r="Q11" s="19">
        <f t="shared" si="4"/>
        <v>1</v>
      </c>
      <c r="R11" s="19">
        <f t="shared" si="4"/>
        <v>1</v>
      </c>
      <c r="S11" s="19">
        <f t="shared" si="4"/>
        <v>1</v>
      </c>
      <c r="T11" s="19">
        <f t="shared" si="4"/>
        <v>1</v>
      </c>
      <c r="U11" s="19">
        <f t="shared" si="4"/>
        <v>1</v>
      </c>
      <c r="V11" s="19">
        <f t="shared" si="4"/>
        <v>1</v>
      </c>
      <c r="W11" s="19">
        <f t="shared" si="4"/>
        <v>1</v>
      </c>
      <c r="X11" s="19">
        <f t="shared" si="4"/>
        <v>1</v>
      </c>
      <c r="Y11" s="19">
        <f t="shared" si="4"/>
        <v>1</v>
      </c>
      <c r="Z11" s="19">
        <f t="shared" si="4"/>
        <v>1</v>
      </c>
      <c r="AA11" s="19">
        <f t="shared" si="4"/>
        <v>1</v>
      </c>
      <c r="AB11" s="19">
        <f t="shared" si="4"/>
        <v>1</v>
      </c>
      <c r="AC11" s="19">
        <f t="shared" si="4"/>
        <v>1</v>
      </c>
      <c r="AD11" s="19">
        <f t="shared" si="4"/>
        <v>1</v>
      </c>
      <c r="AE11" s="19">
        <f t="shared" si="4"/>
        <v>1</v>
      </c>
      <c r="AF11" s="19">
        <f t="shared" si="4"/>
        <v>1</v>
      </c>
      <c r="AG11" s="19">
        <f t="shared" si="4"/>
        <v>1</v>
      </c>
      <c r="AH11" s="19">
        <f t="shared" si="4"/>
        <v>1</v>
      </c>
      <c r="AI11" s="19">
        <f t="shared" si="4"/>
        <v>1</v>
      </c>
      <c r="AJ11" s="19">
        <f t="shared" si="4"/>
        <v>1</v>
      </c>
      <c r="AK11" s="19">
        <f t="shared" si="4"/>
        <v>1</v>
      </c>
      <c r="AL11" s="19">
        <f t="shared" si="4"/>
        <v>1</v>
      </c>
    </row>
    <row r="12" spans="1:38" ht="13.5" customHeight="1" x14ac:dyDescent="0.2">
      <c r="A12" s="2"/>
      <c r="B12" s="2"/>
      <c r="C12" s="8" t="s">
        <v>10</v>
      </c>
      <c r="D12" s="9" t="s">
        <v>4</v>
      </c>
      <c r="E12" s="2"/>
      <c r="F12" s="309"/>
      <c r="G12" s="310">
        <f>G11</f>
        <v>1</v>
      </c>
      <c r="H12" s="12">
        <f t="shared" ref="H12:AL12" si="5">G12*H11</f>
        <v>1</v>
      </c>
      <c r="I12" s="12">
        <f t="shared" si="5"/>
        <v>1</v>
      </c>
      <c r="J12" s="12">
        <f t="shared" si="5"/>
        <v>1</v>
      </c>
      <c r="K12" s="12">
        <f t="shared" si="5"/>
        <v>1</v>
      </c>
      <c r="L12" s="12">
        <f t="shared" si="5"/>
        <v>1</v>
      </c>
      <c r="M12" s="12">
        <f t="shared" si="5"/>
        <v>1</v>
      </c>
      <c r="N12" s="12">
        <f t="shared" si="5"/>
        <v>1</v>
      </c>
      <c r="O12" s="12">
        <f t="shared" si="5"/>
        <v>1</v>
      </c>
      <c r="P12" s="12">
        <f t="shared" si="5"/>
        <v>1</v>
      </c>
      <c r="Q12" s="12">
        <f t="shared" si="5"/>
        <v>1</v>
      </c>
      <c r="R12" s="12">
        <f t="shared" si="5"/>
        <v>1</v>
      </c>
      <c r="S12" s="12">
        <f t="shared" si="5"/>
        <v>1</v>
      </c>
      <c r="T12" s="12">
        <f t="shared" si="5"/>
        <v>1</v>
      </c>
      <c r="U12" s="12">
        <f t="shared" si="5"/>
        <v>1</v>
      </c>
      <c r="V12" s="12">
        <f t="shared" si="5"/>
        <v>1</v>
      </c>
      <c r="W12" s="12">
        <f t="shared" si="5"/>
        <v>1</v>
      </c>
      <c r="X12" s="12">
        <f t="shared" si="5"/>
        <v>1</v>
      </c>
      <c r="Y12" s="12">
        <f t="shared" si="5"/>
        <v>1</v>
      </c>
      <c r="Z12" s="12">
        <f t="shared" si="5"/>
        <v>1</v>
      </c>
      <c r="AA12" s="12">
        <f t="shared" si="5"/>
        <v>1</v>
      </c>
      <c r="AB12" s="12">
        <f t="shared" si="5"/>
        <v>1</v>
      </c>
      <c r="AC12" s="12">
        <f t="shared" si="5"/>
        <v>1</v>
      </c>
      <c r="AD12" s="12">
        <f t="shared" si="5"/>
        <v>1</v>
      </c>
      <c r="AE12" s="12">
        <f t="shared" si="5"/>
        <v>1</v>
      </c>
      <c r="AF12" s="12">
        <f t="shared" si="5"/>
        <v>1</v>
      </c>
      <c r="AG12" s="12">
        <f t="shared" si="5"/>
        <v>1</v>
      </c>
      <c r="AH12" s="12">
        <f t="shared" si="5"/>
        <v>1</v>
      </c>
      <c r="AI12" s="12">
        <f t="shared" si="5"/>
        <v>1</v>
      </c>
      <c r="AJ12" s="12">
        <f t="shared" si="5"/>
        <v>1</v>
      </c>
      <c r="AK12" s="12">
        <f t="shared" si="5"/>
        <v>1</v>
      </c>
      <c r="AL12" s="12">
        <f t="shared" si="5"/>
        <v>1</v>
      </c>
    </row>
    <row r="13" spans="1:38" ht="13.5" customHeight="1" x14ac:dyDescent="0.2">
      <c r="A13" s="2"/>
      <c r="B13" s="2"/>
      <c r="C13" s="2"/>
      <c r="D13" s="2"/>
      <c r="E13" s="2"/>
      <c r="F13" s="311" t="s">
        <v>11</v>
      </c>
      <c r="G13" s="312" t="s">
        <v>12</v>
      </c>
      <c r="H13" s="9" t="s">
        <v>13</v>
      </c>
      <c r="I13" s="9" t="s">
        <v>14</v>
      </c>
      <c r="J13" s="9" t="s">
        <v>15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7.75" customHeight="1" x14ac:dyDescent="0.2">
      <c r="A14" s="2"/>
      <c r="B14" s="2"/>
      <c r="C14" s="20" t="s">
        <v>16</v>
      </c>
      <c r="D14" s="21" t="s">
        <v>11</v>
      </c>
      <c r="E14" s="22" t="s">
        <v>17</v>
      </c>
      <c r="F14" s="313">
        <f>IF((F15+F16+F17)&gt;F15,F15,(F15+F16+F17))</f>
        <v>0.17639947203196346</v>
      </c>
      <c r="G14" s="314">
        <f>F14*8760</f>
        <v>1545.2593749999999</v>
      </c>
      <c r="H14" s="23">
        <v>0.2</v>
      </c>
      <c r="I14" s="24">
        <f>G14/365</f>
        <v>4.2335873287671228</v>
      </c>
      <c r="J14" s="24">
        <f>14*I14</f>
        <v>59.270222602739722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3.5" customHeight="1" x14ac:dyDescent="0.2">
      <c r="A15" s="2"/>
      <c r="B15" s="2"/>
      <c r="C15" s="8"/>
      <c r="D15" s="9" t="s">
        <v>18</v>
      </c>
      <c r="E15" s="2"/>
      <c r="F15" s="315">
        <f>(1568)/(8760)</f>
        <v>0.17899543378995433</v>
      </c>
      <c r="G15" s="300"/>
      <c r="H15" s="2"/>
      <c r="I15" s="26">
        <f>F15*24</f>
        <v>4.2958904109589042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3.5" customHeight="1" x14ac:dyDescent="0.2">
      <c r="A16" s="2"/>
      <c r="B16" s="2"/>
      <c r="C16" s="8"/>
      <c r="D16" s="9" t="s">
        <v>19</v>
      </c>
      <c r="E16" s="2"/>
      <c r="F16" s="316">
        <f>-F15*H14</f>
        <v>-3.5799086757990865E-2</v>
      </c>
      <c r="G16" s="300"/>
      <c r="H16" s="2"/>
      <c r="I16" s="26">
        <f>F16*24</f>
        <v>-0.85917808219178071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3.5" customHeight="1" x14ac:dyDescent="0.2">
      <c r="A17" s="2"/>
      <c r="B17" s="2"/>
      <c r="C17" s="8"/>
      <c r="D17" s="389" t="s">
        <v>191</v>
      </c>
      <c r="E17" s="2"/>
      <c r="F17" s="316">
        <f>I17/24</f>
        <v>3.3203125E-2</v>
      </c>
      <c r="G17" s="300"/>
      <c r="H17" s="2"/>
      <c r="I17" s="26">
        <f>F22/F20*0.75</f>
        <v>0.796875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3.5" customHeight="1" x14ac:dyDescent="0.2">
      <c r="A18" s="2"/>
      <c r="B18" s="2"/>
      <c r="C18" s="8" t="s">
        <v>20</v>
      </c>
      <c r="D18" s="9" t="s">
        <v>21</v>
      </c>
      <c r="E18" s="2"/>
      <c r="F18" s="317">
        <v>46082</v>
      </c>
      <c r="G18" s="30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13.5" customHeight="1" x14ac:dyDescent="0.2">
      <c r="A19" s="2"/>
      <c r="B19" s="2"/>
      <c r="C19" s="8" t="s">
        <v>22</v>
      </c>
      <c r="D19" s="9" t="s">
        <v>21</v>
      </c>
      <c r="E19" s="2"/>
      <c r="F19" s="318">
        <v>46388</v>
      </c>
      <c r="G19" s="30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3.5" customHeight="1" x14ac:dyDescent="0.2">
      <c r="A20" s="2"/>
      <c r="B20" s="2"/>
      <c r="C20" s="27" t="s">
        <v>23</v>
      </c>
      <c r="D20" s="9" t="s">
        <v>24</v>
      </c>
      <c r="E20" s="14"/>
      <c r="F20" s="319">
        <v>3.2</v>
      </c>
      <c r="G20" s="320">
        <f t="shared" ref="G20:AL20" si="6">$F$20</f>
        <v>3.2</v>
      </c>
      <c r="H20" s="28">
        <f t="shared" si="6"/>
        <v>3.2</v>
      </c>
      <c r="I20" s="28">
        <f t="shared" si="6"/>
        <v>3.2</v>
      </c>
      <c r="J20" s="28">
        <f t="shared" si="6"/>
        <v>3.2</v>
      </c>
      <c r="K20" s="28">
        <f t="shared" si="6"/>
        <v>3.2</v>
      </c>
      <c r="L20" s="28">
        <f t="shared" si="6"/>
        <v>3.2</v>
      </c>
      <c r="M20" s="28">
        <f t="shared" si="6"/>
        <v>3.2</v>
      </c>
      <c r="N20" s="28">
        <f t="shared" si="6"/>
        <v>3.2</v>
      </c>
      <c r="O20" s="28">
        <f t="shared" si="6"/>
        <v>3.2</v>
      </c>
      <c r="P20" s="28">
        <f t="shared" si="6"/>
        <v>3.2</v>
      </c>
      <c r="Q20" s="28">
        <f t="shared" si="6"/>
        <v>3.2</v>
      </c>
      <c r="R20" s="28">
        <f t="shared" si="6"/>
        <v>3.2</v>
      </c>
      <c r="S20" s="28">
        <f t="shared" si="6"/>
        <v>3.2</v>
      </c>
      <c r="T20" s="28">
        <f t="shared" si="6"/>
        <v>3.2</v>
      </c>
      <c r="U20" s="28">
        <f t="shared" si="6"/>
        <v>3.2</v>
      </c>
      <c r="V20" s="28">
        <f t="shared" si="6"/>
        <v>3.2</v>
      </c>
      <c r="W20" s="28">
        <f t="shared" si="6"/>
        <v>3.2</v>
      </c>
      <c r="X20" s="28">
        <f t="shared" si="6"/>
        <v>3.2</v>
      </c>
      <c r="Y20" s="28">
        <f t="shared" si="6"/>
        <v>3.2</v>
      </c>
      <c r="Z20" s="28">
        <f t="shared" si="6"/>
        <v>3.2</v>
      </c>
      <c r="AA20" s="28">
        <f t="shared" si="6"/>
        <v>3.2</v>
      </c>
      <c r="AB20" s="28">
        <f t="shared" si="6"/>
        <v>3.2</v>
      </c>
      <c r="AC20" s="28">
        <f t="shared" si="6"/>
        <v>3.2</v>
      </c>
      <c r="AD20" s="28">
        <f t="shared" si="6"/>
        <v>3.2</v>
      </c>
      <c r="AE20" s="28">
        <f t="shared" si="6"/>
        <v>3.2</v>
      </c>
      <c r="AF20" s="28">
        <f t="shared" si="6"/>
        <v>3.2</v>
      </c>
      <c r="AG20" s="28">
        <f t="shared" si="6"/>
        <v>3.2</v>
      </c>
      <c r="AH20" s="28">
        <f t="shared" si="6"/>
        <v>3.2</v>
      </c>
      <c r="AI20" s="28">
        <f t="shared" si="6"/>
        <v>3.2</v>
      </c>
      <c r="AJ20" s="28">
        <f t="shared" si="6"/>
        <v>3.2</v>
      </c>
      <c r="AK20" s="28">
        <f t="shared" si="6"/>
        <v>3.2</v>
      </c>
      <c r="AL20" s="28">
        <f t="shared" si="6"/>
        <v>3.2</v>
      </c>
    </row>
    <row r="21" spans="1:38" ht="13.5" customHeight="1" x14ac:dyDescent="0.2">
      <c r="A21" s="2"/>
      <c r="B21" s="2"/>
      <c r="C21" s="8" t="s">
        <v>25</v>
      </c>
      <c r="D21" s="9" t="s">
        <v>26</v>
      </c>
      <c r="E21" s="2"/>
      <c r="F21" s="321">
        <v>4</v>
      </c>
      <c r="G21" s="322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spans="1:38" ht="13.5" customHeight="1" x14ac:dyDescent="0.2">
      <c r="A22" s="2"/>
      <c r="B22" s="2"/>
      <c r="C22" s="8" t="s">
        <v>27</v>
      </c>
      <c r="D22" s="9" t="s">
        <v>26</v>
      </c>
      <c r="E22" s="2"/>
      <c r="F22" s="323">
        <f>F21*0.85</f>
        <v>3.4</v>
      </c>
      <c r="G22" s="322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spans="1:38" ht="13.5" customHeight="1" x14ac:dyDescent="0.2">
      <c r="A23" s="2"/>
      <c r="B23" s="2"/>
      <c r="C23" s="8" t="s">
        <v>28</v>
      </c>
      <c r="D23" s="9" t="s">
        <v>29</v>
      </c>
      <c r="E23" s="2"/>
      <c r="F23" s="390">
        <v>2.7</v>
      </c>
      <c r="G23" s="322">
        <f t="shared" ref="G23:AL23" si="7">$F$23</f>
        <v>2.7</v>
      </c>
      <c r="H23" s="29">
        <f t="shared" si="7"/>
        <v>2.7</v>
      </c>
      <c r="I23" s="29">
        <f t="shared" si="7"/>
        <v>2.7</v>
      </c>
      <c r="J23" s="29">
        <f t="shared" si="7"/>
        <v>2.7</v>
      </c>
      <c r="K23" s="29">
        <f t="shared" si="7"/>
        <v>2.7</v>
      </c>
      <c r="L23" s="29">
        <f t="shared" si="7"/>
        <v>2.7</v>
      </c>
      <c r="M23" s="29">
        <f t="shared" si="7"/>
        <v>2.7</v>
      </c>
      <c r="N23" s="29">
        <f t="shared" si="7"/>
        <v>2.7</v>
      </c>
      <c r="O23" s="29">
        <f t="shared" si="7"/>
        <v>2.7</v>
      </c>
      <c r="P23" s="29">
        <f t="shared" si="7"/>
        <v>2.7</v>
      </c>
      <c r="Q23" s="29">
        <f t="shared" si="7"/>
        <v>2.7</v>
      </c>
      <c r="R23" s="29">
        <f t="shared" si="7"/>
        <v>2.7</v>
      </c>
      <c r="S23" s="29">
        <f t="shared" si="7"/>
        <v>2.7</v>
      </c>
      <c r="T23" s="29">
        <f t="shared" si="7"/>
        <v>2.7</v>
      </c>
      <c r="U23" s="29">
        <f t="shared" si="7"/>
        <v>2.7</v>
      </c>
      <c r="V23" s="29">
        <f t="shared" si="7"/>
        <v>2.7</v>
      </c>
      <c r="W23" s="29">
        <f t="shared" si="7"/>
        <v>2.7</v>
      </c>
      <c r="X23" s="29">
        <f t="shared" si="7"/>
        <v>2.7</v>
      </c>
      <c r="Y23" s="29">
        <f t="shared" si="7"/>
        <v>2.7</v>
      </c>
      <c r="Z23" s="29">
        <f t="shared" si="7"/>
        <v>2.7</v>
      </c>
      <c r="AA23" s="29">
        <f t="shared" si="7"/>
        <v>2.7</v>
      </c>
      <c r="AB23" s="29">
        <f t="shared" si="7"/>
        <v>2.7</v>
      </c>
      <c r="AC23" s="29">
        <f t="shared" si="7"/>
        <v>2.7</v>
      </c>
      <c r="AD23" s="29">
        <f t="shared" si="7"/>
        <v>2.7</v>
      </c>
      <c r="AE23" s="29">
        <f t="shared" si="7"/>
        <v>2.7</v>
      </c>
      <c r="AF23" s="29">
        <f t="shared" si="7"/>
        <v>2.7</v>
      </c>
      <c r="AG23" s="29">
        <f t="shared" si="7"/>
        <v>2.7</v>
      </c>
      <c r="AH23" s="29">
        <f t="shared" si="7"/>
        <v>2.7</v>
      </c>
      <c r="AI23" s="29">
        <f t="shared" si="7"/>
        <v>2.7</v>
      </c>
      <c r="AJ23" s="29">
        <f t="shared" si="7"/>
        <v>2.7</v>
      </c>
      <c r="AK23" s="29">
        <f t="shared" si="7"/>
        <v>2.7</v>
      </c>
      <c r="AL23" s="29">
        <f t="shared" si="7"/>
        <v>2.7</v>
      </c>
    </row>
    <row r="24" spans="1:38" ht="13.5" customHeight="1" x14ac:dyDescent="0.2">
      <c r="A24" s="2"/>
      <c r="B24" s="2"/>
      <c r="C24" s="8" t="s">
        <v>30</v>
      </c>
      <c r="D24" s="9" t="s">
        <v>4</v>
      </c>
      <c r="E24" s="2"/>
      <c r="F24" s="324"/>
      <c r="G24" s="324">
        <v>4.0000000000000001E-3</v>
      </c>
      <c r="H24" s="19">
        <v>4.0000000000000001E-3</v>
      </c>
      <c r="I24" s="30">
        <f t="shared" ref="I24:AL24" si="8">$H$24</f>
        <v>4.0000000000000001E-3</v>
      </c>
      <c r="J24" s="30">
        <f t="shared" si="8"/>
        <v>4.0000000000000001E-3</v>
      </c>
      <c r="K24" s="30">
        <f t="shared" si="8"/>
        <v>4.0000000000000001E-3</v>
      </c>
      <c r="L24" s="30">
        <f t="shared" si="8"/>
        <v>4.0000000000000001E-3</v>
      </c>
      <c r="M24" s="30">
        <f t="shared" si="8"/>
        <v>4.0000000000000001E-3</v>
      </c>
      <c r="N24" s="30">
        <f t="shared" si="8"/>
        <v>4.0000000000000001E-3</v>
      </c>
      <c r="O24" s="30">
        <f t="shared" si="8"/>
        <v>4.0000000000000001E-3</v>
      </c>
      <c r="P24" s="30">
        <f t="shared" si="8"/>
        <v>4.0000000000000001E-3</v>
      </c>
      <c r="Q24" s="30">
        <f t="shared" si="8"/>
        <v>4.0000000000000001E-3</v>
      </c>
      <c r="R24" s="30">
        <f t="shared" si="8"/>
        <v>4.0000000000000001E-3</v>
      </c>
      <c r="S24" s="30">
        <f t="shared" si="8"/>
        <v>4.0000000000000001E-3</v>
      </c>
      <c r="T24" s="30">
        <f t="shared" si="8"/>
        <v>4.0000000000000001E-3</v>
      </c>
      <c r="U24" s="30">
        <f t="shared" si="8"/>
        <v>4.0000000000000001E-3</v>
      </c>
      <c r="V24" s="30">
        <f t="shared" si="8"/>
        <v>4.0000000000000001E-3</v>
      </c>
      <c r="W24" s="30">
        <f t="shared" si="8"/>
        <v>4.0000000000000001E-3</v>
      </c>
      <c r="X24" s="30">
        <f t="shared" si="8"/>
        <v>4.0000000000000001E-3</v>
      </c>
      <c r="Y24" s="30">
        <f t="shared" si="8"/>
        <v>4.0000000000000001E-3</v>
      </c>
      <c r="Z24" s="30">
        <f t="shared" si="8"/>
        <v>4.0000000000000001E-3</v>
      </c>
      <c r="AA24" s="30">
        <f t="shared" si="8"/>
        <v>4.0000000000000001E-3</v>
      </c>
      <c r="AB24" s="30">
        <f t="shared" si="8"/>
        <v>4.0000000000000001E-3</v>
      </c>
      <c r="AC24" s="30">
        <f t="shared" si="8"/>
        <v>4.0000000000000001E-3</v>
      </c>
      <c r="AD24" s="30">
        <f t="shared" si="8"/>
        <v>4.0000000000000001E-3</v>
      </c>
      <c r="AE24" s="30">
        <f t="shared" si="8"/>
        <v>4.0000000000000001E-3</v>
      </c>
      <c r="AF24" s="30">
        <f t="shared" si="8"/>
        <v>4.0000000000000001E-3</v>
      </c>
      <c r="AG24" s="30">
        <f t="shared" si="8"/>
        <v>4.0000000000000001E-3</v>
      </c>
      <c r="AH24" s="30">
        <f t="shared" si="8"/>
        <v>4.0000000000000001E-3</v>
      </c>
      <c r="AI24" s="30">
        <f t="shared" si="8"/>
        <v>4.0000000000000001E-3</v>
      </c>
      <c r="AJ24" s="30">
        <f t="shared" si="8"/>
        <v>4.0000000000000001E-3</v>
      </c>
      <c r="AK24" s="30">
        <f t="shared" si="8"/>
        <v>4.0000000000000001E-3</v>
      </c>
      <c r="AL24" s="30">
        <f t="shared" si="8"/>
        <v>4.0000000000000001E-3</v>
      </c>
    </row>
    <row r="25" spans="1:38" ht="13.75" customHeight="1" x14ac:dyDescent="0.2">
      <c r="A25" s="2"/>
      <c r="B25" s="2"/>
      <c r="C25" s="8" t="s">
        <v>31</v>
      </c>
      <c r="D25" s="9" t="s">
        <v>32</v>
      </c>
      <c r="E25" s="2"/>
      <c r="F25" s="300"/>
      <c r="G25" s="325">
        <f>F20*F14*8766</f>
        <v>4948.2168698630139</v>
      </c>
      <c r="H25" s="31">
        <f t="shared" ref="H25:AL25" si="9">G25-$G$25*H24</f>
        <v>4928.4240023835619</v>
      </c>
      <c r="I25" s="31">
        <f t="shared" si="9"/>
        <v>4908.6311349041098</v>
      </c>
      <c r="J25" s="31">
        <f t="shared" si="9"/>
        <v>4888.8382674246577</v>
      </c>
      <c r="K25" s="31">
        <f t="shared" si="9"/>
        <v>4869.0453999452056</v>
      </c>
      <c r="L25" s="31">
        <f t="shared" si="9"/>
        <v>4849.2525324657536</v>
      </c>
      <c r="M25" s="31">
        <f t="shared" si="9"/>
        <v>4829.4596649863015</v>
      </c>
      <c r="N25" s="31">
        <f t="shared" si="9"/>
        <v>4809.6667975068494</v>
      </c>
      <c r="O25" s="31">
        <f t="shared" si="9"/>
        <v>4789.8739300273974</v>
      </c>
      <c r="P25" s="31">
        <f t="shared" si="9"/>
        <v>4770.0810625479453</v>
      </c>
      <c r="Q25" s="31">
        <f t="shared" si="9"/>
        <v>4750.2881950684932</v>
      </c>
      <c r="R25" s="31">
        <f t="shared" si="9"/>
        <v>4730.4953275890412</v>
      </c>
      <c r="S25" s="31">
        <f t="shared" si="9"/>
        <v>4710.7024601095891</v>
      </c>
      <c r="T25" s="31">
        <f t="shared" si="9"/>
        <v>4690.909592630137</v>
      </c>
      <c r="U25" s="31">
        <f t="shared" si="9"/>
        <v>4671.1167251506849</v>
      </c>
      <c r="V25" s="31">
        <f t="shared" si="9"/>
        <v>4651.3238576712329</v>
      </c>
      <c r="W25" s="31">
        <f t="shared" si="9"/>
        <v>4631.5309901917808</v>
      </c>
      <c r="X25" s="31">
        <f t="shared" si="9"/>
        <v>4611.7381227123287</v>
      </c>
      <c r="Y25" s="31">
        <f t="shared" si="9"/>
        <v>4591.9452552328767</v>
      </c>
      <c r="Z25" s="31">
        <f t="shared" si="9"/>
        <v>4572.1523877534246</v>
      </c>
      <c r="AA25" s="31">
        <f t="shared" si="9"/>
        <v>4552.3595202739725</v>
      </c>
      <c r="AB25" s="31">
        <f t="shared" si="9"/>
        <v>4532.5666527945205</v>
      </c>
      <c r="AC25" s="31">
        <f t="shared" si="9"/>
        <v>4512.7737853150684</v>
      </c>
      <c r="AD25" s="31">
        <f t="shared" si="9"/>
        <v>4492.9809178356163</v>
      </c>
      <c r="AE25" s="31">
        <f t="shared" si="9"/>
        <v>4473.1880503561642</v>
      </c>
      <c r="AF25" s="31">
        <f t="shared" si="9"/>
        <v>4453.3951828767122</v>
      </c>
      <c r="AG25" s="31">
        <f t="shared" si="9"/>
        <v>4433.6023153972601</v>
      </c>
      <c r="AH25" s="31">
        <f t="shared" si="9"/>
        <v>4413.809447917808</v>
      </c>
      <c r="AI25" s="31">
        <f t="shared" si="9"/>
        <v>4394.016580438356</v>
      </c>
      <c r="AJ25" s="31">
        <f t="shared" si="9"/>
        <v>4374.2237129589039</v>
      </c>
      <c r="AK25" s="31">
        <f t="shared" si="9"/>
        <v>4354.4308454794518</v>
      </c>
      <c r="AL25" s="31">
        <f t="shared" si="9"/>
        <v>4334.6379779999997</v>
      </c>
    </row>
    <row r="26" spans="1:38" ht="13.5" customHeight="1" x14ac:dyDescent="0.2">
      <c r="A26" s="2"/>
      <c r="B26" s="2"/>
      <c r="C26" s="8"/>
      <c r="D26" s="9"/>
      <c r="E26" s="32"/>
      <c r="F26" s="326"/>
      <c r="G26" s="327">
        <f>G25</f>
        <v>4948.2168698630139</v>
      </c>
      <c r="H26" s="33">
        <f t="shared" ref="H26:AL26" si="10">G26*0.996</f>
        <v>4928.4240023835619</v>
      </c>
      <c r="I26" s="33">
        <f t="shared" si="10"/>
        <v>4908.7103063740278</v>
      </c>
      <c r="J26" s="33">
        <f t="shared" si="10"/>
        <v>4889.0754651485313</v>
      </c>
      <c r="K26" s="33">
        <f t="shared" si="10"/>
        <v>4869.5191632879369</v>
      </c>
      <c r="L26" s="33">
        <f t="shared" si="10"/>
        <v>4850.0410866347847</v>
      </c>
      <c r="M26" s="33">
        <f t="shared" si="10"/>
        <v>4830.6409222882457</v>
      </c>
      <c r="N26" s="33">
        <f t="shared" si="10"/>
        <v>4811.3183585990928</v>
      </c>
      <c r="O26" s="33">
        <f t="shared" si="10"/>
        <v>4792.0730851646967</v>
      </c>
      <c r="P26" s="33">
        <f t="shared" si="10"/>
        <v>4772.9047928240379</v>
      </c>
      <c r="Q26" s="33">
        <f t="shared" si="10"/>
        <v>4753.8131736527421</v>
      </c>
      <c r="R26" s="33">
        <f t="shared" si="10"/>
        <v>4734.7979209581308</v>
      </c>
      <c r="S26" s="33">
        <f t="shared" si="10"/>
        <v>4715.8587292742986</v>
      </c>
      <c r="T26" s="33">
        <f t="shared" si="10"/>
        <v>4696.9952943572016</v>
      </c>
      <c r="U26" s="33">
        <f t="shared" si="10"/>
        <v>4678.2073131797724</v>
      </c>
      <c r="V26" s="33">
        <f t="shared" si="10"/>
        <v>4659.4944839270529</v>
      </c>
      <c r="W26" s="33">
        <f t="shared" si="10"/>
        <v>4640.8565059913444</v>
      </c>
      <c r="X26" s="33">
        <f t="shared" si="10"/>
        <v>4622.2930799673786</v>
      </c>
      <c r="Y26" s="33">
        <f t="shared" si="10"/>
        <v>4603.8039076475088</v>
      </c>
      <c r="Z26" s="33">
        <f t="shared" si="10"/>
        <v>4585.3886920169189</v>
      </c>
      <c r="AA26" s="33">
        <f t="shared" si="10"/>
        <v>4567.047137248851</v>
      </c>
      <c r="AB26" s="33">
        <f t="shared" si="10"/>
        <v>4548.7789486998554</v>
      </c>
      <c r="AC26" s="33">
        <f t="shared" si="10"/>
        <v>4530.5838329050557</v>
      </c>
      <c r="AD26" s="33">
        <f t="shared" si="10"/>
        <v>4512.4614975734357</v>
      </c>
      <c r="AE26" s="33">
        <f t="shared" si="10"/>
        <v>4494.411651583142</v>
      </c>
      <c r="AF26" s="33">
        <f t="shared" si="10"/>
        <v>4476.4340049768098</v>
      </c>
      <c r="AG26" s="33">
        <f t="shared" si="10"/>
        <v>4458.5282689569021</v>
      </c>
      <c r="AH26" s="33">
        <f t="shared" si="10"/>
        <v>4440.6941558810749</v>
      </c>
      <c r="AI26" s="33">
        <f t="shared" si="10"/>
        <v>4422.9313792575504</v>
      </c>
      <c r="AJ26" s="33">
        <f t="shared" si="10"/>
        <v>4405.2396537405202</v>
      </c>
      <c r="AK26" s="33">
        <f t="shared" si="10"/>
        <v>4387.6186951255577</v>
      </c>
      <c r="AL26" s="33">
        <f t="shared" si="10"/>
        <v>4370.0682203450551</v>
      </c>
    </row>
    <row r="27" spans="1:38" ht="13.5" customHeight="1" x14ac:dyDescent="0.2">
      <c r="A27" s="2"/>
      <c r="B27" s="2"/>
      <c r="C27" s="8" t="s">
        <v>33</v>
      </c>
      <c r="D27" s="9" t="s">
        <v>4</v>
      </c>
      <c r="E27" s="32" t="s">
        <v>34</v>
      </c>
      <c r="F27" s="326">
        <v>0</v>
      </c>
      <c r="G27" s="328">
        <f t="shared" ref="G27:AL27" si="11">$F$27</f>
        <v>0</v>
      </c>
      <c r="H27" s="34">
        <f t="shared" si="11"/>
        <v>0</v>
      </c>
      <c r="I27" s="34">
        <f t="shared" si="11"/>
        <v>0</v>
      </c>
      <c r="J27" s="34">
        <f t="shared" si="11"/>
        <v>0</v>
      </c>
      <c r="K27" s="34">
        <f t="shared" si="11"/>
        <v>0</v>
      </c>
      <c r="L27" s="34">
        <f t="shared" si="11"/>
        <v>0</v>
      </c>
      <c r="M27" s="34">
        <f t="shared" si="11"/>
        <v>0</v>
      </c>
      <c r="N27" s="34">
        <f t="shared" si="11"/>
        <v>0</v>
      </c>
      <c r="O27" s="34">
        <f t="shared" si="11"/>
        <v>0</v>
      </c>
      <c r="P27" s="34">
        <f t="shared" si="11"/>
        <v>0</v>
      </c>
      <c r="Q27" s="34">
        <f t="shared" si="11"/>
        <v>0</v>
      </c>
      <c r="R27" s="34">
        <f t="shared" si="11"/>
        <v>0</v>
      </c>
      <c r="S27" s="34">
        <f t="shared" si="11"/>
        <v>0</v>
      </c>
      <c r="T27" s="34">
        <f t="shared" si="11"/>
        <v>0</v>
      </c>
      <c r="U27" s="34">
        <f t="shared" si="11"/>
        <v>0</v>
      </c>
      <c r="V27" s="34">
        <f t="shared" si="11"/>
        <v>0</v>
      </c>
      <c r="W27" s="34">
        <f t="shared" si="11"/>
        <v>0</v>
      </c>
      <c r="X27" s="34">
        <f t="shared" si="11"/>
        <v>0</v>
      </c>
      <c r="Y27" s="34">
        <f t="shared" si="11"/>
        <v>0</v>
      </c>
      <c r="Z27" s="34">
        <f t="shared" si="11"/>
        <v>0</v>
      </c>
      <c r="AA27" s="34">
        <f t="shared" si="11"/>
        <v>0</v>
      </c>
      <c r="AB27" s="34">
        <f t="shared" si="11"/>
        <v>0</v>
      </c>
      <c r="AC27" s="34">
        <f t="shared" si="11"/>
        <v>0</v>
      </c>
      <c r="AD27" s="34">
        <f t="shared" si="11"/>
        <v>0</v>
      </c>
      <c r="AE27" s="34">
        <f t="shared" si="11"/>
        <v>0</v>
      </c>
      <c r="AF27" s="34">
        <f t="shared" si="11"/>
        <v>0</v>
      </c>
      <c r="AG27" s="34">
        <f t="shared" si="11"/>
        <v>0</v>
      </c>
      <c r="AH27" s="34">
        <f t="shared" si="11"/>
        <v>0</v>
      </c>
      <c r="AI27" s="34">
        <f t="shared" si="11"/>
        <v>0</v>
      </c>
      <c r="AJ27" s="34">
        <f t="shared" si="11"/>
        <v>0</v>
      </c>
      <c r="AK27" s="34">
        <f t="shared" si="11"/>
        <v>0</v>
      </c>
      <c r="AL27" s="34">
        <f t="shared" si="11"/>
        <v>0</v>
      </c>
    </row>
    <row r="28" spans="1:38" ht="13.5" customHeight="1" x14ac:dyDescent="0.2">
      <c r="A28" s="2"/>
      <c r="B28" s="2"/>
      <c r="C28" s="2"/>
      <c r="D28" s="2"/>
      <c r="E28" s="2"/>
      <c r="F28" s="300"/>
      <c r="G28" s="30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3.5" customHeight="1" x14ac:dyDescent="0.2">
      <c r="A29" s="2"/>
      <c r="B29" s="2"/>
      <c r="C29" s="6" t="s">
        <v>35</v>
      </c>
      <c r="D29" s="2"/>
      <c r="E29" s="2"/>
      <c r="F29" s="300"/>
      <c r="G29" s="329">
        <v>160</v>
      </c>
      <c r="H29" s="35">
        <f>G29</f>
        <v>160</v>
      </c>
      <c r="I29" s="35">
        <f t="shared" ref="I29:K29" si="12">H29</f>
        <v>160</v>
      </c>
      <c r="J29" s="35">
        <f t="shared" si="12"/>
        <v>160</v>
      </c>
      <c r="K29" s="35">
        <f t="shared" si="12"/>
        <v>160</v>
      </c>
      <c r="L29" s="35">
        <f t="shared" ref="L29" si="13">K29*L4</f>
        <v>161.6</v>
      </c>
      <c r="M29" s="35">
        <f t="shared" ref="M29" si="14">L29*M4</f>
        <v>163.21600000000001</v>
      </c>
      <c r="N29" s="35">
        <f t="shared" ref="N29" si="15">M29*N4</f>
        <v>164.84816000000001</v>
      </c>
      <c r="O29" s="35">
        <f t="shared" ref="O29:AL29" si="16">N29*O4</f>
        <v>166.4966416</v>
      </c>
      <c r="P29" s="35">
        <f>O29*P4</f>
        <v>168.161608016</v>
      </c>
      <c r="Q29" s="35">
        <f t="shared" si="16"/>
        <v>169.84322409616001</v>
      </c>
      <c r="R29" s="35">
        <f t="shared" si="16"/>
        <v>171.54165633712162</v>
      </c>
      <c r="S29" s="35">
        <f t="shared" si="16"/>
        <v>173.25707290049283</v>
      </c>
      <c r="T29" s="35">
        <f t="shared" si="16"/>
        <v>174.98964362949775</v>
      </c>
      <c r="U29" s="35">
        <f t="shared" si="16"/>
        <v>176.73954006579274</v>
      </c>
      <c r="V29" s="35">
        <f t="shared" si="16"/>
        <v>178.50693546645067</v>
      </c>
      <c r="W29" s="35">
        <f t="shared" si="16"/>
        <v>180.29200482111517</v>
      </c>
      <c r="X29" s="35">
        <f t="shared" si="16"/>
        <v>182.09492486932632</v>
      </c>
      <c r="Y29" s="35">
        <f t="shared" si="16"/>
        <v>183.91587411801959</v>
      </c>
      <c r="Z29" s="35">
        <f t="shared" si="16"/>
        <v>185.75503285919979</v>
      </c>
      <c r="AA29" s="35">
        <f t="shared" si="16"/>
        <v>187.61258318779178</v>
      </c>
      <c r="AB29" s="35">
        <f t="shared" si="16"/>
        <v>189.4887090196697</v>
      </c>
      <c r="AC29" s="35">
        <f t="shared" si="16"/>
        <v>191.3835961098664</v>
      </c>
      <c r="AD29" s="35">
        <f t="shared" si="16"/>
        <v>193.29743207096507</v>
      </c>
      <c r="AE29" s="35">
        <f t="shared" si="16"/>
        <v>195.23040639167473</v>
      </c>
      <c r="AF29" s="35">
        <f t="shared" si="16"/>
        <v>197.18271045559149</v>
      </c>
      <c r="AG29" s="35">
        <f t="shared" si="16"/>
        <v>199.15453756014742</v>
      </c>
      <c r="AH29" s="35">
        <f t="shared" si="16"/>
        <v>201.14608293574889</v>
      </c>
      <c r="AI29" s="35">
        <f t="shared" si="16"/>
        <v>203.1575437651064</v>
      </c>
      <c r="AJ29" s="35">
        <f t="shared" si="16"/>
        <v>205.18911920275747</v>
      </c>
      <c r="AK29" s="35">
        <f t="shared" si="16"/>
        <v>207.24101039478504</v>
      </c>
      <c r="AL29" s="35">
        <f t="shared" si="16"/>
        <v>209.31342049873288</v>
      </c>
    </row>
    <row r="30" spans="1:38" ht="13.5" customHeight="1" x14ac:dyDescent="0.2">
      <c r="A30" s="2"/>
      <c r="B30" s="2"/>
      <c r="C30" s="8" t="s">
        <v>36</v>
      </c>
      <c r="D30" s="9" t="s">
        <v>37</v>
      </c>
      <c r="E30" s="2"/>
      <c r="F30" s="330"/>
      <c r="G30" s="331">
        <v>1</v>
      </c>
      <c r="H30" s="36">
        <v>2</v>
      </c>
      <c r="I30" s="36">
        <v>3</v>
      </c>
      <c r="J30" s="36">
        <v>4</v>
      </c>
      <c r="K30" s="36">
        <v>5</v>
      </c>
      <c r="L30" s="36">
        <v>6</v>
      </c>
      <c r="M30" s="36">
        <v>7</v>
      </c>
      <c r="N30" s="36">
        <v>8</v>
      </c>
      <c r="O30" s="36">
        <v>9</v>
      </c>
      <c r="P30" s="36">
        <v>10</v>
      </c>
      <c r="Q30" s="36">
        <v>11</v>
      </c>
      <c r="R30" s="36">
        <v>12</v>
      </c>
      <c r="S30" s="36">
        <v>13</v>
      </c>
      <c r="T30" s="36">
        <v>14</v>
      </c>
      <c r="U30" s="36">
        <v>15</v>
      </c>
      <c r="V30" s="36">
        <v>16</v>
      </c>
      <c r="W30" s="36">
        <v>17</v>
      </c>
      <c r="X30" s="36">
        <v>18</v>
      </c>
      <c r="Y30" s="36">
        <v>19</v>
      </c>
      <c r="Z30" s="36">
        <v>20</v>
      </c>
      <c r="AA30" s="36">
        <v>21</v>
      </c>
      <c r="AB30" s="36">
        <v>22</v>
      </c>
      <c r="AC30" s="36">
        <v>23</v>
      </c>
      <c r="AD30" s="36">
        <v>24</v>
      </c>
      <c r="AE30" s="36">
        <v>25</v>
      </c>
      <c r="AF30" s="36">
        <v>26</v>
      </c>
      <c r="AG30" s="36">
        <v>27</v>
      </c>
      <c r="AH30" s="36">
        <v>28</v>
      </c>
      <c r="AI30" s="36">
        <v>29</v>
      </c>
      <c r="AJ30" s="36">
        <v>30</v>
      </c>
      <c r="AK30" s="37"/>
      <c r="AL30" s="37"/>
    </row>
    <row r="31" spans="1:38" ht="13.5" customHeight="1" x14ac:dyDescent="0.2">
      <c r="A31" s="2"/>
      <c r="B31" s="2"/>
      <c r="C31" s="8" t="s">
        <v>38</v>
      </c>
      <c r="D31" s="9" t="s">
        <v>39</v>
      </c>
      <c r="E31" s="2"/>
      <c r="F31" s="332"/>
      <c r="G31" s="333">
        <f t="shared" ref="G31:AE31" si="17">G29/1000</f>
        <v>0.16</v>
      </c>
      <c r="H31" s="38">
        <f t="shared" si="17"/>
        <v>0.16</v>
      </c>
      <c r="I31" s="38">
        <f t="shared" si="17"/>
        <v>0.16</v>
      </c>
      <c r="J31" s="38">
        <f t="shared" si="17"/>
        <v>0.16</v>
      </c>
      <c r="K31" s="38">
        <f t="shared" si="17"/>
        <v>0.16</v>
      </c>
      <c r="L31" s="38">
        <f t="shared" si="17"/>
        <v>0.16159999999999999</v>
      </c>
      <c r="M31" s="38">
        <f t="shared" si="17"/>
        <v>0.163216</v>
      </c>
      <c r="N31" s="38">
        <f t="shared" si="17"/>
        <v>0.16484815999999999</v>
      </c>
      <c r="O31" s="38">
        <f t="shared" si="17"/>
        <v>0.16649664159999999</v>
      </c>
      <c r="P31" s="38">
        <f t="shared" si="17"/>
        <v>0.168161608016</v>
      </c>
      <c r="Q31" s="38">
        <f t="shared" si="17"/>
        <v>0.16984322409616001</v>
      </c>
      <c r="R31" s="38">
        <f t="shared" si="17"/>
        <v>0.17154165633712162</v>
      </c>
      <c r="S31" s="38">
        <f t="shared" si="17"/>
        <v>0.17325707290049283</v>
      </c>
      <c r="T31" s="38">
        <f t="shared" si="17"/>
        <v>0.17498964362949776</v>
      </c>
      <c r="U31" s="38">
        <f t="shared" si="17"/>
        <v>0.17673954006579273</v>
      </c>
      <c r="V31" s="38">
        <f t="shared" si="17"/>
        <v>0.17850693546645066</v>
      </c>
      <c r="W31" s="38">
        <f t="shared" si="17"/>
        <v>0.18029200482111518</v>
      </c>
      <c r="X31" s="38">
        <f t="shared" si="17"/>
        <v>0.18209492486932632</v>
      </c>
      <c r="Y31" s="38">
        <f t="shared" si="17"/>
        <v>0.1839158741180196</v>
      </c>
      <c r="Z31" s="38">
        <f t="shared" si="17"/>
        <v>0.18575503285919978</v>
      </c>
      <c r="AA31" s="38">
        <f t="shared" si="17"/>
        <v>0.18761258318779178</v>
      </c>
      <c r="AB31" s="38">
        <f t="shared" si="17"/>
        <v>0.18948870901966969</v>
      </c>
      <c r="AC31" s="38">
        <f t="shared" si="17"/>
        <v>0.19138359610986641</v>
      </c>
      <c r="AD31" s="38">
        <f t="shared" si="17"/>
        <v>0.19329743207096509</v>
      </c>
      <c r="AE31" s="38">
        <f t="shared" si="17"/>
        <v>0.19523040639167474</v>
      </c>
      <c r="AF31" s="38">
        <f t="shared" ref="AF31:AL31" si="18">AE31</f>
        <v>0.19523040639167474</v>
      </c>
      <c r="AG31" s="38">
        <f t="shared" si="18"/>
        <v>0.19523040639167474</v>
      </c>
      <c r="AH31" s="38">
        <f t="shared" si="18"/>
        <v>0.19523040639167474</v>
      </c>
      <c r="AI31" s="38">
        <f t="shared" si="18"/>
        <v>0.19523040639167474</v>
      </c>
      <c r="AJ31" s="38">
        <f t="shared" si="18"/>
        <v>0.19523040639167474</v>
      </c>
      <c r="AK31" s="38">
        <f t="shared" si="18"/>
        <v>0.19523040639167474</v>
      </c>
      <c r="AL31" s="39">
        <f t="shared" si="18"/>
        <v>0.19523040639167474</v>
      </c>
    </row>
    <row r="32" spans="1:38" ht="19.5" customHeight="1" x14ac:dyDescent="0.2">
      <c r="A32" s="40"/>
      <c r="B32" s="40"/>
      <c r="C32" s="41" t="s">
        <v>40</v>
      </c>
      <c r="D32" s="42" t="s">
        <v>41</v>
      </c>
      <c r="E32" s="43"/>
      <c r="F32" s="334"/>
      <c r="G32" s="335">
        <v>0</v>
      </c>
      <c r="H32" s="44">
        <f t="shared" ref="H32:AL32" si="19">G32*H6</f>
        <v>0</v>
      </c>
      <c r="I32" s="44">
        <f t="shared" si="19"/>
        <v>0</v>
      </c>
      <c r="J32" s="44">
        <f t="shared" si="19"/>
        <v>0</v>
      </c>
      <c r="K32" s="44">
        <f t="shared" si="19"/>
        <v>0</v>
      </c>
      <c r="L32" s="44">
        <f t="shared" si="19"/>
        <v>0</v>
      </c>
      <c r="M32" s="44">
        <f t="shared" si="19"/>
        <v>0</v>
      </c>
      <c r="N32" s="44">
        <f t="shared" si="19"/>
        <v>0</v>
      </c>
      <c r="O32" s="44">
        <f t="shared" si="19"/>
        <v>0</v>
      </c>
      <c r="P32" s="44">
        <f t="shared" si="19"/>
        <v>0</v>
      </c>
      <c r="Q32" s="44">
        <f t="shared" si="19"/>
        <v>0</v>
      </c>
      <c r="R32" s="44">
        <f t="shared" si="19"/>
        <v>0</v>
      </c>
      <c r="S32" s="44">
        <f t="shared" si="19"/>
        <v>0</v>
      </c>
      <c r="T32" s="44">
        <f t="shared" si="19"/>
        <v>0</v>
      </c>
      <c r="U32" s="44">
        <f t="shared" si="19"/>
        <v>0</v>
      </c>
      <c r="V32" s="44">
        <f t="shared" si="19"/>
        <v>0</v>
      </c>
      <c r="W32" s="44">
        <f t="shared" si="19"/>
        <v>0</v>
      </c>
      <c r="X32" s="44">
        <f t="shared" si="19"/>
        <v>0</v>
      </c>
      <c r="Y32" s="44">
        <f t="shared" si="19"/>
        <v>0</v>
      </c>
      <c r="Z32" s="44">
        <f t="shared" si="19"/>
        <v>0</v>
      </c>
      <c r="AA32" s="44">
        <f t="shared" si="19"/>
        <v>0</v>
      </c>
      <c r="AB32" s="44">
        <f t="shared" si="19"/>
        <v>0</v>
      </c>
      <c r="AC32" s="44">
        <f t="shared" si="19"/>
        <v>0</v>
      </c>
      <c r="AD32" s="44">
        <f t="shared" si="19"/>
        <v>0</v>
      </c>
      <c r="AE32" s="44">
        <f t="shared" si="19"/>
        <v>0</v>
      </c>
      <c r="AF32" s="44">
        <f t="shared" si="19"/>
        <v>0</v>
      </c>
      <c r="AG32" s="44">
        <f t="shared" si="19"/>
        <v>0</v>
      </c>
      <c r="AH32" s="44">
        <f t="shared" si="19"/>
        <v>0</v>
      </c>
      <c r="AI32" s="44">
        <f t="shared" si="19"/>
        <v>0</v>
      </c>
      <c r="AJ32" s="44">
        <f t="shared" si="19"/>
        <v>0</v>
      </c>
      <c r="AK32" s="44">
        <f t="shared" si="19"/>
        <v>0</v>
      </c>
      <c r="AL32" s="44">
        <f t="shared" si="19"/>
        <v>0</v>
      </c>
    </row>
    <row r="33" spans="1:38" ht="15.75" customHeight="1" x14ac:dyDescent="0.2">
      <c r="A33" s="45"/>
      <c r="B33" s="45"/>
      <c r="C33" s="46" t="s">
        <v>42</v>
      </c>
      <c r="D33" s="47" t="s">
        <v>43</v>
      </c>
      <c r="E33" s="48"/>
      <c r="F33" s="336"/>
      <c r="G33" s="337">
        <f t="shared" ref="G33:AL33" si="20">G34+G36+G37+G35</f>
        <v>29.875</v>
      </c>
      <c r="H33" s="49">
        <f t="shared" si="20"/>
        <v>29.749499999999998</v>
      </c>
      <c r="I33" s="49">
        <f t="shared" si="20"/>
        <v>30.34449</v>
      </c>
      <c r="J33" s="49">
        <f t="shared" si="20"/>
        <v>30.951379799999998</v>
      </c>
      <c r="K33" s="49">
        <f t="shared" si="20"/>
        <v>31.570407396</v>
      </c>
      <c r="L33" s="49">
        <f t="shared" si="20"/>
        <v>32.201815543919999</v>
      </c>
      <c r="M33" s="49">
        <f t="shared" si="20"/>
        <v>32.845851854798397</v>
      </c>
      <c r="N33" s="49">
        <f t="shared" si="20"/>
        <v>33.50276889189437</v>
      </c>
      <c r="O33" s="49">
        <f t="shared" si="20"/>
        <v>34.17282426973226</v>
      </c>
      <c r="P33" s="49">
        <f t="shared" si="20"/>
        <v>34.85628075512691</v>
      </c>
      <c r="Q33" s="49">
        <f t="shared" si="20"/>
        <v>35.553406370229446</v>
      </c>
      <c r="R33" s="49">
        <f t="shared" si="20"/>
        <v>36.264474497634033</v>
      </c>
      <c r="S33" s="49">
        <f t="shared" si="20"/>
        <v>36.989763987586713</v>
      </c>
      <c r="T33" s="49">
        <f t="shared" si="20"/>
        <v>37.729559267338445</v>
      </c>
      <c r="U33" s="49">
        <f t="shared" si="20"/>
        <v>38.484150452685213</v>
      </c>
      <c r="V33" s="49">
        <f t="shared" si="20"/>
        <v>39.253833461738921</v>
      </c>
      <c r="W33" s="49">
        <f t="shared" si="20"/>
        <v>40.038910130973704</v>
      </c>
      <c r="X33" s="49">
        <f t="shared" si="20"/>
        <v>40.839688333593173</v>
      </c>
      <c r="Y33" s="49">
        <f t="shared" si="20"/>
        <v>41.656482100265045</v>
      </c>
      <c r="Z33" s="49">
        <f t="shared" si="20"/>
        <v>42.489611742270348</v>
      </c>
      <c r="AA33" s="49">
        <f t="shared" si="20"/>
        <v>43.339403977115751</v>
      </c>
      <c r="AB33" s="49">
        <f t="shared" si="20"/>
        <v>44.206192056658075</v>
      </c>
      <c r="AC33" s="49">
        <f t="shared" si="20"/>
        <v>45.090315897791228</v>
      </c>
      <c r="AD33" s="49">
        <f t="shared" si="20"/>
        <v>45.992122215747059</v>
      </c>
      <c r="AE33" s="49">
        <f t="shared" si="20"/>
        <v>46.911964660061997</v>
      </c>
      <c r="AF33" s="49">
        <f t="shared" si="20"/>
        <v>47.850203953263247</v>
      </c>
      <c r="AG33" s="49">
        <f t="shared" si="20"/>
        <v>48.807208032328504</v>
      </c>
      <c r="AH33" s="49">
        <f t="shared" si="20"/>
        <v>49.783352192975073</v>
      </c>
      <c r="AI33" s="49">
        <f t="shared" si="20"/>
        <v>50.779019236834586</v>
      </c>
      <c r="AJ33" s="49">
        <f t="shared" si="20"/>
        <v>51.79459962157128</v>
      </c>
      <c r="AK33" s="49">
        <f t="shared" si="20"/>
        <v>52.830491614002703</v>
      </c>
      <c r="AL33" s="49">
        <f t="shared" si="20"/>
        <v>53.887101446282756</v>
      </c>
    </row>
    <row r="34" spans="1:38" ht="14" customHeight="1" x14ac:dyDescent="0.2">
      <c r="A34" s="50"/>
      <c r="B34" s="50"/>
      <c r="C34" s="51" t="s">
        <v>44</v>
      </c>
      <c r="D34" s="52" t="s">
        <v>43</v>
      </c>
      <c r="E34" s="53"/>
      <c r="F34" s="338"/>
      <c r="G34" s="339">
        <v>10</v>
      </c>
      <c r="H34" s="54">
        <f t="shared" ref="H34:AL34" si="21">H43/H20</f>
        <v>10.199999999999999</v>
      </c>
      <c r="I34" s="54">
        <f t="shared" si="21"/>
        <v>10.404</v>
      </c>
      <c r="J34" s="54">
        <f t="shared" si="21"/>
        <v>10.612079999999999</v>
      </c>
      <c r="K34" s="54">
        <f t="shared" si="21"/>
        <v>10.824321599999999</v>
      </c>
      <c r="L34" s="54">
        <f t="shared" si="21"/>
        <v>11.040808031999999</v>
      </c>
      <c r="M34" s="54">
        <f t="shared" si="21"/>
        <v>11.261624192639999</v>
      </c>
      <c r="N34" s="54">
        <f t="shared" si="21"/>
        <v>11.486856676492799</v>
      </c>
      <c r="O34" s="54">
        <f t="shared" si="21"/>
        <v>11.716593810022657</v>
      </c>
      <c r="P34" s="54">
        <f t="shared" si="21"/>
        <v>11.95092568622311</v>
      </c>
      <c r="Q34" s="54">
        <f t="shared" si="21"/>
        <v>12.189944199947572</v>
      </c>
      <c r="R34" s="54">
        <f t="shared" si="21"/>
        <v>12.433743083946524</v>
      </c>
      <c r="S34" s="54">
        <f t="shared" si="21"/>
        <v>12.682417945625454</v>
      </c>
      <c r="T34" s="54">
        <f t="shared" si="21"/>
        <v>12.936066304537963</v>
      </c>
      <c r="U34" s="54">
        <f t="shared" si="21"/>
        <v>13.194787630628722</v>
      </c>
      <c r="V34" s="54">
        <f t="shared" si="21"/>
        <v>13.458683383241299</v>
      </c>
      <c r="W34" s="54">
        <f t="shared" si="21"/>
        <v>13.727857050906124</v>
      </c>
      <c r="X34" s="54">
        <f t="shared" si="21"/>
        <v>14.002414191924247</v>
      </c>
      <c r="Y34" s="54">
        <f t="shared" si="21"/>
        <v>14.282462475762733</v>
      </c>
      <c r="Z34" s="54">
        <f t="shared" si="21"/>
        <v>14.568111725277987</v>
      </c>
      <c r="AA34" s="54">
        <f t="shared" si="21"/>
        <v>14.859473959783548</v>
      </c>
      <c r="AB34" s="54">
        <f t="shared" si="21"/>
        <v>15.156663438979221</v>
      </c>
      <c r="AC34" s="54">
        <f t="shared" si="21"/>
        <v>15.459796707758805</v>
      </c>
      <c r="AD34" s="54">
        <f t="shared" si="21"/>
        <v>15.768992641913981</v>
      </c>
      <c r="AE34" s="54">
        <f t="shared" si="21"/>
        <v>16.084372494752259</v>
      </c>
      <c r="AF34" s="54">
        <f t="shared" si="21"/>
        <v>16.406059944647307</v>
      </c>
      <c r="AG34" s="54">
        <f t="shared" si="21"/>
        <v>16.734181143540251</v>
      </c>
      <c r="AH34" s="54">
        <f t="shared" si="21"/>
        <v>17.068864766411057</v>
      </c>
      <c r="AI34" s="54">
        <f t="shared" si="21"/>
        <v>17.410242061739279</v>
      </c>
      <c r="AJ34" s="54">
        <f t="shared" si="21"/>
        <v>17.758446902974065</v>
      </c>
      <c r="AK34" s="54">
        <f t="shared" si="21"/>
        <v>18.113615841033546</v>
      </c>
      <c r="AL34" s="54">
        <f t="shared" si="21"/>
        <v>18.475888157854218</v>
      </c>
    </row>
    <row r="35" spans="1:38" ht="13.5" customHeight="1" x14ac:dyDescent="0.2">
      <c r="A35" s="55"/>
      <c r="B35" s="55"/>
      <c r="C35" s="76" t="s">
        <v>51</v>
      </c>
      <c r="D35" s="57"/>
      <c r="E35" s="58"/>
      <c r="F35" s="340"/>
      <c r="G35" s="341">
        <f t="shared" ref="G35:AL35" si="22">G44/G20</f>
        <v>5</v>
      </c>
      <c r="H35" s="59">
        <f t="shared" si="22"/>
        <v>5.0999999999999996</v>
      </c>
      <c r="I35" s="59">
        <f t="shared" si="22"/>
        <v>5.202</v>
      </c>
      <c r="J35" s="59">
        <f t="shared" si="22"/>
        <v>5.3060399999999994</v>
      </c>
      <c r="K35" s="59">
        <f t="shared" si="22"/>
        <v>5.4121607999999997</v>
      </c>
      <c r="L35" s="59">
        <f t="shared" si="22"/>
        <v>5.5204040159999996</v>
      </c>
      <c r="M35" s="59">
        <f t="shared" si="22"/>
        <v>5.6308120963199997</v>
      </c>
      <c r="N35" s="59">
        <f t="shared" si="22"/>
        <v>5.7434283382463995</v>
      </c>
      <c r="O35" s="59">
        <f t="shared" si="22"/>
        <v>5.8582969050113283</v>
      </c>
      <c r="P35" s="59">
        <f t="shared" si="22"/>
        <v>5.9754628431115551</v>
      </c>
      <c r="Q35" s="59">
        <f t="shared" si="22"/>
        <v>6.094972099973786</v>
      </c>
      <c r="R35" s="59">
        <f t="shared" si="22"/>
        <v>6.2168715419732621</v>
      </c>
      <c r="S35" s="59">
        <f t="shared" si="22"/>
        <v>6.3412089728127272</v>
      </c>
      <c r="T35" s="59">
        <f t="shared" si="22"/>
        <v>6.4680331522689816</v>
      </c>
      <c r="U35" s="59">
        <f t="shared" si="22"/>
        <v>6.5973938153143612</v>
      </c>
      <c r="V35" s="59">
        <f t="shared" si="22"/>
        <v>6.7293416916206494</v>
      </c>
      <c r="W35" s="59">
        <f t="shared" si="22"/>
        <v>6.863928525453062</v>
      </c>
      <c r="X35" s="59">
        <f t="shared" si="22"/>
        <v>7.0012070959621235</v>
      </c>
      <c r="Y35" s="59">
        <f t="shared" si="22"/>
        <v>7.1412312378813665</v>
      </c>
      <c r="Z35" s="59">
        <f t="shared" si="22"/>
        <v>7.2840558626389935</v>
      </c>
      <c r="AA35" s="59">
        <f t="shared" si="22"/>
        <v>7.4297369798917741</v>
      </c>
      <c r="AB35" s="59">
        <f t="shared" si="22"/>
        <v>7.5783317194896105</v>
      </c>
      <c r="AC35" s="59">
        <f t="shared" si="22"/>
        <v>7.7298983538794026</v>
      </c>
      <c r="AD35" s="59">
        <f t="shared" si="22"/>
        <v>7.8844963209569903</v>
      </c>
      <c r="AE35" s="59">
        <f t="shared" si="22"/>
        <v>8.0421862473761294</v>
      </c>
      <c r="AF35" s="59">
        <f t="shared" si="22"/>
        <v>8.2030299723236535</v>
      </c>
      <c r="AG35" s="59">
        <f t="shared" si="22"/>
        <v>8.3670905717701256</v>
      </c>
      <c r="AH35" s="59">
        <f t="shared" si="22"/>
        <v>8.5344323832055284</v>
      </c>
      <c r="AI35" s="59">
        <f t="shared" si="22"/>
        <v>8.7051210308696394</v>
      </c>
      <c r="AJ35" s="59">
        <f t="shared" si="22"/>
        <v>8.8792234514870323</v>
      </c>
      <c r="AK35" s="59">
        <f t="shared" si="22"/>
        <v>9.0568079205167731</v>
      </c>
      <c r="AL35" s="59">
        <f t="shared" si="22"/>
        <v>9.237944078927109</v>
      </c>
    </row>
    <row r="36" spans="1:38" ht="13.5" customHeight="1" x14ac:dyDescent="0.2">
      <c r="A36" s="55"/>
      <c r="B36" s="55"/>
      <c r="C36" s="56" t="s">
        <v>45</v>
      </c>
      <c r="D36" s="57" t="s">
        <v>43</v>
      </c>
      <c r="E36" s="58"/>
      <c r="F36" s="340"/>
      <c r="G36" s="341">
        <v>9.9</v>
      </c>
      <c r="H36" s="59">
        <f t="shared" ref="H36:AL36" si="23">H46/H20</f>
        <v>9.375</v>
      </c>
      <c r="I36" s="59">
        <f t="shared" si="23"/>
        <v>9.5625</v>
      </c>
      <c r="J36" s="59">
        <f t="shared" si="23"/>
        <v>9.7537500000000001</v>
      </c>
      <c r="K36" s="59">
        <f t="shared" si="23"/>
        <v>9.9488250000000011</v>
      </c>
      <c r="L36" s="59">
        <f t="shared" si="23"/>
        <v>10.147801500000002</v>
      </c>
      <c r="M36" s="59">
        <f t="shared" si="23"/>
        <v>10.350757530000003</v>
      </c>
      <c r="N36" s="59">
        <f t="shared" si="23"/>
        <v>10.557772680600003</v>
      </c>
      <c r="O36" s="59">
        <f t="shared" si="23"/>
        <v>10.768928134212002</v>
      </c>
      <c r="P36" s="59">
        <f t="shared" si="23"/>
        <v>10.984306696896244</v>
      </c>
      <c r="Q36" s="59">
        <f t="shared" si="23"/>
        <v>11.203992830834167</v>
      </c>
      <c r="R36" s="59">
        <f t="shared" si="23"/>
        <v>11.428072687450852</v>
      </c>
      <c r="S36" s="59">
        <f t="shared" si="23"/>
        <v>11.656634141199868</v>
      </c>
      <c r="T36" s="59">
        <f t="shared" si="23"/>
        <v>11.889766824023866</v>
      </c>
      <c r="U36" s="59">
        <f t="shared" si="23"/>
        <v>12.127562160504343</v>
      </c>
      <c r="V36" s="59">
        <f t="shared" si="23"/>
        <v>12.370113403714431</v>
      </c>
      <c r="W36" s="59">
        <f t="shared" si="23"/>
        <v>12.617515671788718</v>
      </c>
      <c r="X36" s="59">
        <f t="shared" si="23"/>
        <v>12.869865985224493</v>
      </c>
      <c r="Y36" s="59">
        <f t="shared" si="23"/>
        <v>13.127263304928984</v>
      </c>
      <c r="Z36" s="59">
        <f t="shared" si="23"/>
        <v>13.389808571027563</v>
      </c>
      <c r="AA36" s="59">
        <f t="shared" si="23"/>
        <v>13.657604742448115</v>
      </c>
      <c r="AB36" s="59">
        <f t="shared" si="23"/>
        <v>13.930756837297077</v>
      </c>
      <c r="AC36" s="59">
        <f t="shared" si="23"/>
        <v>14.209371974043018</v>
      </c>
      <c r="AD36" s="59">
        <f t="shared" si="23"/>
        <v>14.493559413523879</v>
      </c>
      <c r="AE36" s="59">
        <f t="shared" si="23"/>
        <v>14.783430601794358</v>
      </c>
      <c r="AF36" s="59">
        <f t="shared" si="23"/>
        <v>15.079099213830244</v>
      </c>
      <c r="AG36" s="59">
        <f t="shared" si="23"/>
        <v>15.380681198106849</v>
      </c>
      <c r="AH36" s="59">
        <f t="shared" si="23"/>
        <v>15.688294822068986</v>
      </c>
      <c r="AI36" s="59">
        <f t="shared" si="23"/>
        <v>16.002060718510364</v>
      </c>
      <c r="AJ36" s="59">
        <f t="shared" si="23"/>
        <v>16.322101932880575</v>
      </c>
      <c r="AK36" s="59">
        <f t="shared" si="23"/>
        <v>16.648543971538185</v>
      </c>
      <c r="AL36" s="59">
        <f t="shared" si="23"/>
        <v>16.981514850968953</v>
      </c>
    </row>
    <row r="37" spans="1:38" ht="13.5" customHeight="1" x14ac:dyDescent="0.2">
      <c r="A37" s="55"/>
      <c r="B37" s="55"/>
      <c r="C37" s="56" t="s">
        <v>46</v>
      </c>
      <c r="D37" s="57" t="s">
        <v>43</v>
      </c>
      <c r="E37" s="58"/>
      <c r="F37" s="340"/>
      <c r="G37" s="341">
        <f>G45/G20</f>
        <v>4.9749999999999996</v>
      </c>
      <c r="H37" s="59">
        <f t="shared" ref="H37:AL37" si="24">H45/H20</f>
        <v>5.0744999999999996</v>
      </c>
      <c r="I37" s="59">
        <f t="shared" si="24"/>
        <v>5.1759899999999988</v>
      </c>
      <c r="J37" s="59">
        <f t="shared" si="24"/>
        <v>5.2795097999999996</v>
      </c>
      <c r="K37" s="59">
        <f t="shared" si="24"/>
        <v>5.3850999960000001</v>
      </c>
      <c r="L37" s="59">
        <f t="shared" si="24"/>
        <v>5.4928019959199998</v>
      </c>
      <c r="M37" s="59">
        <f t="shared" si="24"/>
        <v>5.6026580358383997</v>
      </c>
      <c r="N37" s="59">
        <f t="shared" si="24"/>
        <v>5.7147111965551689</v>
      </c>
      <c r="O37" s="59">
        <f t="shared" si="24"/>
        <v>5.8290054204862729</v>
      </c>
      <c r="P37" s="59">
        <f t="shared" si="24"/>
        <v>5.9455855288959976</v>
      </c>
      <c r="Q37" s="59">
        <f t="shared" si="24"/>
        <v>6.0644972394739183</v>
      </c>
      <c r="R37" s="59">
        <f t="shared" si="24"/>
        <v>6.1857871842633969</v>
      </c>
      <c r="S37" s="59">
        <f t="shared" si="24"/>
        <v>6.3095029279486647</v>
      </c>
      <c r="T37" s="59">
        <f t="shared" si="24"/>
        <v>6.4356929865076378</v>
      </c>
      <c r="U37" s="59">
        <f t="shared" si="24"/>
        <v>6.5644068462377909</v>
      </c>
      <c r="V37" s="59">
        <f t="shared" si="24"/>
        <v>6.6956949831625474</v>
      </c>
      <c r="W37" s="59">
        <f t="shared" si="24"/>
        <v>6.8296088828257995</v>
      </c>
      <c r="X37" s="59">
        <f t="shared" si="24"/>
        <v>6.966201060482315</v>
      </c>
      <c r="Y37" s="59">
        <f t="shared" si="24"/>
        <v>7.1055250816919617</v>
      </c>
      <c r="Z37" s="59">
        <f t="shared" si="24"/>
        <v>7.2476355833258017</v>
      </c>
      <c r="AA37" s="59">
        <f t="shared" si="24"/>
        <v>7.3925882949923176</v>
      </c>
      <c r="AB37" s="59">
        <f t="shared" si="24"/>
        <v>7.5404400608921645</v>
      </c>
      <c r="AC37" s="59">
        <f t="shared" si="24"/>
        <v>7.6912488621100081</v>
      </c>
      <c r="AD37" s="59">
        <f t="shared" si="24"/>
        <v>7.8450738393522084</v>
      </c>
      <c r="AE37" s="59">
        <f t="shared" si="24"/>
        <v>8.0019753161392533</v>
      </c>
      <c r="AF37" s="59">
        <f t="shared" si="24"/>
        <v>8.162014822462039</v>
      </c>
      <c r="AG37" s="59">
        <f t="shared" si="24"/>
        <v>8.3252551189112793</v>
      </c>
      <c r="AH37" s="59">
        <f t="shared" si="24"/>
        <v>8.4917602212895051</v>
      </c>
      <c r="AI37" s="59">
        <f t="shared" si="24"/>
        <v>8.6615954257152961</v>
      </c>
      <c r="AJ37" s="59">
        <f t="shared" si="24"/>
        <v>8.8348273342296011</v>
      </c>
      <c r="AK37" s="59">
        <f t="shared" si="24"/>
        <v>9.0115238809141953</v>
      </c>
      <c r="AL37" s="59">
        <f t="shared" si="24"/>
        <v>9.1917543585324779</v>
      </c>
    </row>
    <row r="38" spans="1:38" ht="15.75" customHeight="1" x14ac:dyDescent="0.2">
      <c r="A38" s="2"/>
      <c r="B38" s="2"/>
      <c r="C38" s="60"/>
      <c r="D38" s="61"/>
      <c r="E38" s="62"/>
      <c r="F38" s="342"/>
      <c r="G38" s="34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</row>
    <row r="39" spans="1:38" ht="13.5" customHeight="1" x14ac:dyDescent="0.2">
      <c r="A39" s="2"/>
      <c r="B39" s="2"/>
      <c r="C39" s="8" t="s">
        <v>47</v>
      </c>
      <c r="D39" s="2"/>
      <c r="E39" s="64"/>
      <c r="F39" s="344">
        <v>1</v>
      </c>
      <c r="G39" s="303">
        <f>G6</f>
        <v>1.02</v>
      </c>
      <c r="H39" s="11">
        <f t="shared" ref="H39:AL39" si="25">$G$39</f>
        <v>1.02</v>
      </c>
      <c r="I39" s="12">
        <f t="shared" si="25"/>
        <v>1.02</v>
      </c>
      <c r="J39" s="12">
        <f t="shared" si="25"/>
        <v>1.02</v>
      </c>
      <c r="K39" s="12">
        <f t="shared" si="25"/>
        <v>1.02</v>
      </c>
      <c r="L39" s="12">
        <f t="shared" si="25"/>
        <v>1.02</v>
      </c>
      <c r="M39" s="12">
        <f t="shared" si="25"/>
        <v>1.02</v>
      </c>
      <c r="N39" s="12">
        <f t="shared" si="25"/>
        <v>1.02</v>
      </c>
      <c r="O39" s="12">
        <f t="shared" si="25"/>
        <v>1.02</v>
      </c>
      <c r="P39" s="12">
        <f t="shared" si="25"/>
        <v>1.02</v>
      </c>
      <c r="Q39" s="12">
        <f t="shared" si="25"/>
        <v>1.02</v>
      </c>
      <c r="R39" s="12">
        <f t="shared" si="25"/>
        <v>1.02</v>
      </c>
      <c r="S39" s="12">
        <f t="shared" si="25"/>
        <v>1.02</v>
      </c>
      <c r="T39" s="12">
        <f t="shared" si="25"/>
        <v>1.02</v>
      </c>
      <c r="U39" s="12">
        <f t="shared" si="25"/>
        <v>1.02</v>
      </c>
      <c r="V39" s="12">
        <f t="shared" si="25"/>
        <v>1.02</v>
      </c>
      <c r="W39" s="12">
        <f t="shared" si="25"/>
        <v>1.02</v>
      </c>
      <c r="X39" s="12">
        <f t="shared" si="25"/>
        <v>1.02</v>
      </c>
      <c r="Y39" s="12">
        <f t="shared" si="25"/>
        <v>1.02</v>
      </c>
      <c r="Z39" s="12">
        <f t="shared" si="25"/>
        <v>1.02</v>
      </c>
      <c r="AA39" s="12">
        <f t="shared" si="25"/>
        <v>1.02</v>
      </c>
      <c r="AB39" s="12">
        <f t="shared" si="25"/>
        <v>1.02</v>
      </c>
      <c r="AC39" s="12">
        <f t="shared" si="25"/>
        <v>1.02</v>
      </c>
      <c r="AD39" s="12">
        <f t="shared" si="25"/>
        <v>1.02</v>
      </c>
      <c r="AE39" s="12">
        <f t="shared" si="25"/>
        <v>1.02</v>
      </c>
      <c r="AF39" s="12">
        <f t="shared" si="25"/>
        <v>1.02</v>
      </c>
      <c r="AG39" s="12">
        <f t="shared" si="25"/>
        <v>1.02</v>
      </c>
      <c r="AH39" s="12">
        <f t="shared" si="25"/>
        <v>1.02</v>
      </c>
      <c r="AI39" s="12">
        <f t="shared" si="25"/>
        <v>1.02</v>
      </c>
      <c r="AJ39" s="12">
        <f t="shared" si="25"/>
        <v>1.02</v>
      </c>
      <c r="AK39" s="12">
        <f t="shared" si="25"/>
        <v>1.02</v>
      </c>
      <c r="AL39" s="12">
        <f t="shared" si="25"/>
        <v>1.02</v>
      </c>
    </row>
    <row r="40" spans="1:38" ht="13.5" customHeight="1" x14ac:dyDescent="0.2">
      <c r="A40" s="2"/>
      <c r="B40" s="2"/>
      <c r="C40" s="8" t="s">
        <v>48</v>
      </c>
      <c r="D40" s="2"/>
      <c r="E40" s="64"/>
      <c r="F40" s="344"/>
      <c r="G40" s="303">
        <v>1</v>
      </c>
      <c r="H40" s="11">
        <f t="shared" ref="H40:AL40" si="26">G40</f>
        <v>1</v>
      </c>
      <c r="I40" s="12">
        <f t="shared" si="26"/>
        <v>1</v>
      </c>
      <c r="J40" s="12">
        <f t="shared" si="26"/>
        <v>1</v>
      </c>
      <c r="K40" s="12">
        <f t="shared" si="26"/>
        <v>1</v>
      </c>
      <c r="L40" s="12">
        <f t="shared" si="26"/>
        <v>1</v>
      </c>
      <c r="M40" s="12">
        <f t="shared" si="26"/>
        <v>1</v>
      </c>
      <c r="N40" s="12">
        <f t="shared" si="26"/>
        <v>1</v>
      </c>
      <c r="O40" s="12">
        <f t="shared" si="26"/>
        <v>1</v>
      </c>
      <c r="P40" s="12">
        <f t="shared" si="26"/>
        <v>1</v>
      </c>
      <c r="Q40" s="12">
        <f t="shared" si="26"/>
        <v>1</v>
      </c>
      <c r="R40" s="12">
        <f t="shared" si="26"/>
        <v>1</v>
      </c>
      <c r="S40" s="12">
        <f t="shared" si="26"/>
        <v>1</v>
      </c>
      <c r="T40" s="12">
        <f t="shared" si="26"/>
        <v>1</v>
      </c>
      <c r="U40" s="12">
        <f t="shared" si="26"/>
        <v>1</v>
      </c>
      <c r="V40" s="12">
        <f t="shared" si="26"/>
        <v>1</v>
      </c>
      <c r="W40" s="12">
        <f t="shared" si="26"/>
        <v>1</v>
      </c>
      <c r="X40" s="12">
        <f t="shared" si="26"/>
        <v>1</v>
      </c>
      <c r="Y40" s="12">
        <f t="shared" si="26"/>
        <v>1</v>
      </c>
      <c r="Z40" s="12">
        <f t="shared" si="26"/>
        <v>1</v>
      </c>
      <c r="AA40" s="12">
        <f t="shared" si="26"/>
        <v>1</v>
      </c>
      <c r="AB40" s="12">
        <f t="shared" si="26"/>
        <v>1</v>
      </c>
      <c r="AC40" s="12">
        <f t="shared" si="26"/>
        <v>1</v>
      </c>
      <c r="AD40" s="12">
        <f t="shared" si="26"/>
        <v>1</v>
      </c>
      <c r="AE40" s="12">
        <f t="shared" si="26"/>
        <v>1</v>
      </c>
      <c r="AF40" s="12">
        <f t="shared" si="26"/>
        <v>1</v>
      </c>
      <c r="AG40" s="12">
        <f t="shared" si="26"/>
        <v>1</v>
      </c>
      <c r="AH40" s="12">
        <f t="shared" si="26"/>
        <v>1</v>
      </c>
      <c r="AI40" s="12">
        <f t="shared" si="26"/>
        <v>1</v>
      </c>
      <c r="AJ40" s="12">
        <f t="shared" si="26"/>
        <v>1</v>
      </c>
      <c r="AK40" s="12">
        <f t="shared" si="26"/>
        <v>1</v>
      </c>
      <c r="AL40" s="12">
        <f t="shared" si="26"/>
        <v>1</v>
      </c>
    </row>
    <row r="41" spans="1:38" ht="14.25" customHeight="1" x14ac:dyDescent="0.2">
      <c r="A41" s="65"/>
      <c r="B41" s="65"/>
      <c r="C41" s="66"/>
      <c r="D41" s="65"/>
      <c r="E41" s="67"/>
      <c r="F41" s="345"/>
      <c r="G41" s="346">
        <f t="shared" ref="G41:AL41" si="27">G1</f>
        <v>2027</v>
      </c>
      <c r="H41" s="68">
        <f t="shared" si="27"/>
        <v>2028</v>
      </c>
      <c r="I41" s="68">
        <f t="shared" si="27"/>
        <v>2029</v>
      </c>
      <c r="J41" s="68">
        <f t="shared" si="27"/>
        <v>2030</v>
      </c>
      <c r="K41" s="68">
        <f t="shared" si="27"/>
        <v>2031</v>
      </c>
      <c r="L41" s="68">
        <f t="shared" si="27"/>
        <v>2032</v>
      </c>
      <c r="M41" s="68">
        <f t="shared" si="27"/>
        <v>2033</v>
      </c>
      <c r="N41" s="68">
        <f t="shared" si="27"/>
        <v>2034</v>
      </c>
      <c r="O41" s="68">
        <f t="shared" si="27"/>
        <v>2035</v>
      </c>
      <c r="P41" s="68">
        <f t="shared" si="27"/>
        <v>2036</v>
      </c>
      <c r="Q41" s="68">
        <f t="shared" si="27"/>
        <v>2037</v>
      </c>
      <c r="R41" s="68">
        <f t="shared" si="27"/>
        <v>2038</v>
      </c>
      <c r="S41" s="68">
        <f t="shared" si="27"/>
        <v>2039</v>
      </c>
      <c r="T41" s="68">
        <f t="shared" si="27"/>
        <v>2040</v>
      </c>
      <c r="U41" s="68">
        <f t="shared" si="27"/>
        <v>2041</v>
      </c>
      <c r="V41" s="68">
        <f t="shared" si="27"/>
        <v>2042</v>
      </c>
      <c r="W41" s="68">
        <f t="shared" si="27"/>
        <v>2043</v>
      </c>
      <c r="X41" s="68">
        <f t="shared" si="27"/>
        <v>2044</v>
      </c>
      <c r="Y41" s="68">
        <f t="shared" si="27"/>
        <v>2045</v>
      </c>
      <c r="Z41" s="68">
        <f t="shared" si="27"/>
        <v>2046</v>
      </c>
      <c r="AA41" s="68">
        <f t="shared" si="27"/>
        <v>2047</v>
      </c>
      <c r="AB41" s="68">
        <f t="shared" si="27"/>
        <v>2048</v>
      </c>
      <c r="AC41" s="68">
        <f t="shared" si="27"/>
        <v>2049</v>
      </c>
      <c r="AD41" s="68">
        <f t="shared" si="27"/>
        <v>2050</v>
      </c>
      <c r="AE41" s="68">
        <f t="shared" si="27"/>
        <v>2051</v>
      </c>
      <c r="AF41" s="68">
        <f t="shared" si="27"/>
        <v>2052</v>
      </c>
      <c r="AG41" s="68">
        <f t="shared" si="27"/>
        <v>2053</v>
      </c>
      <c r="AH41" s="68">
        <f t="shared" si="27"/>
        <v>2054</v>
      </c>
      <c r="AI41" s="68">
        <f t="shared" si="27"/>
        <v>2055</v>
      </c>
      <c r="AJ41" s="68">
        <f t="shared" si="27"/>
        <v>2056</v>
      </c>
      <c r="AK41" s="68">
        <f t="shared" si="27"/>
        <v>2057</v>
      </c>
      <c r="AL41" s="68">
        <f t="shared" si="27"/>
        <v>2058</v>
      </c>
    </row>
    <row r="42" spans="1:38" ht="13.5" customHeight="1" x14ac:dyDescent="0.2">
      <c r="A42" s="69"/>
      <c r="B42" s="69"/>
      <c r="C42" s="70" t="s">
        <v>49</v>
      </c>
      <c r="D42" s="71" t="s">
        <v>50</v>
      </c>
      <c r="E42" s="72"/>
      <c r="F42" s="347"/>
      <c r="G42" s="347">
        <f t="shared" ref="G42:AL42" si="28">G43+G46+G45+G44</f>
        <v>93.92</v>
      </c>
      <c r="H42" s="73">
        <f t="shared" si="28"/>
        <v>95.198399999999992</v>
      </c>
      <c r="I42" s="73">
        <f t="shared" si="28"/>
        <v>97.102367999999998</v>
      </c>
      <c r="J42" s="73">
        <f t="shared" si="28"/>
        <v>99.044415360000002</v>
      </c>
      <c r="K42" s="73">
        <f t="shared" si="28"/>
        <v>101.02530366719999</v>
      </c>
      <c r="L42" s="73">
        <f t="shared" si="28"/>
        <v>103.04580974054403</v>
      </c>
      <c r="M42" s="73">
        <f t="shared" si="28"/>
        <v>105.1067259353549</v>
      </c>
      <c r="N42" s="73">
        <f t="shared" si="28"/>
        <v>107.20886045406199</v>
      </c>
      <c r="O42" s="73">
        <f t="shared" si="28"/>
        <v>109.35303766314323</v>
      </c>
      <c r="P42" s="73">
        <f t="shared" si="28"/>
        <v>111.5400984164061</v>
      </c>
      <c r="Q42" s="73">
        <f t="shared" si="28"/>
        <v>113.77090038473423</v>
      </c>
      <c r="R42" s="73">
        <f t="shared" si="28"/>
        <v>116.0463183924289</v>
      </c>
      <c r="S42" s="73">
        <f t="shared" si="28"/>
        <v>118.36724476027749</v>
      </c>
      <c r="T42" s="73">
        <f t="shared" si="28"/>
        <v>120.73458965548303</v>
      </c>
      <c r="U42" s="73">
        <f t="shared" si="28"/>
        <v>123.1492814485927</v>
      </c>
      <c r="V42" s="73">
        <f t="shared" si="28"/>
        <v>125.61226707756457</v>
      </c>
      <c r="W42" s="73">
        <f t="shared" si="28"/>
        <v>128.12451241911586</v>
      </c>
      <c r="X42" s="73">
        <f t="shared" si="28"/>
        <v>130.68700266749818</v>
      </c>
      <c r="Y42" s="73">
        <f t="shared" si="28"/>
        <v>133.30074272084815</v>
      </c>
      <c r="Z42" s="73">
        <f t="shared" si="28"/>
        <v>135.96675757526512</v>
      </c>
      <c r="AA42" s="73">
        <f t="shared" si="28"/>
        <v>138.68609272677043</v>
      </c>
      <c r="AB42" s="73">
        <f t="shared" si="28"/>
        <v>141.45981458130586</v>
      </c>
      <c r="AC42" s="73">
        <f t="shared" si="28"/>
        <v>144.28901087293195</v>
      </c>
      <c r="AD42" s="73">
        <f t="shared" si="28"/>
        <v>147.17479109039061</v>
      </c>
      <c r="AE42" s="73">
        <f t="shared" si="28"/>
        <v>150.11828691219841</v>
      </c>
      <c r="AF42" s="73">
        <f t="shared" si="28"/>
        <v>153.12065265044237</v>
      </c>
      <c r="AG42" s="73">
        <f t="shared" si="28"/>
        <v>156.18306570345121</v>
      </c>
      <c r="AH42" s="73">
        <f t="shared" si="28"/>
        <v>159.30672701752025</v>
      </c>
      <c r="AI42" s="73">
        <f t="shared" si="28"/>
        <v>162.4928615578707</v>
      </c>
      <c r="AJ42" s="73">
        <f t="shared" si="28"/>
        <v>165.74271878902809</v>
      </c>
      <c r="AK42" s="73">
        <f t="shared" si="28"/>
        <v>169.05757316480867</v>
      </c>
      <c r="AL42" s="73">
        <f t="shared" si="28"/>
        <v>172.43872462810484</v>
      </c>
    </row>
    <row r="43" spans="1:38" ht="13.5" customHeight="1" x14ac:dyDescent="0.2">
      <c r="A43" s="61"/>
      <c r="B43" s="61"/>
      <c r="C43" s="74" t="s">
        <v>44</v>
      </c>
      <c r="D43" s="75" t="s">
        <v>50</v>
      </c>
      <c r="E43" s="61"/>
      <c r="F43" s="348"/>
      <c r="G43" s="347">
        <f>$G$34*G20</f>
        <v>32</v>
      </c>
      <c r="H43" s="63">
        <f t="shared" ref="H43:AL43" si="29">G43*H39</f>
        <v>32.64</v>
      </c>
      <c r="I43" s="63">
        <f t="shared" si="29"/>
        <v>33.2928</v>
      </c>
      <c r="J43" s="63">
        <f t="shared" si="29"/>
        <v>33.958655999999998</v>
      </c>
      <c r="K43" s="63">
        <f t="shared" si="29"/>
        <v>34.637829119999999</v>
      </c>
      <c r="L43" s="63">
        <f t="shared" si="29"/>
        <v>35.330585702400001</v>
      </c>
      <c r="M43" s="63">
        <f t="shared" si="29"/>
        <v>36.037197416448002</v>
      </c>
      <c r="N43" s="63">
        <f t="shared" si="29"/>
        <v>36.757941364776961</v>
      </c>
      <c r="O43" s="63">
        <f t="shared" si="29"/>
        <v>37.493100192072504</v>
      </c>
      <c r="P43" s="63">
        <f t="shared" si="29"/>
        <v>38.242962195913954</v>
      </c>
      <c r="Q43" s="63">
        <f t="shared" si="29"/>
        <v>39.007821439832234</v>
      </c>
      <c r="R43" s="63">
        <f t="shared" si="29"/>
        <v>39.787977868628879</v>
      </c>
      <c r="S43" s="63">
        <f t="shared" si="29"/>
        <v>40.583737426001456</v>
      </c>
      <c r="T43" s="63">
        <f t="shared" si="29"/>
        <v>41.395412174521482</v>
      </c>
      <c r="U43" s="63">
        <f t="shared" si="29"/>
        <v>42.223320418011916</v>
      </c>
      <c r="V43" s="63">
        <f t="shared" si="29"/>
        <v>43.067786826372156</v>
      </c>
      <c r="W43" s="63">
        <f t="shared" si="29"/>
        <v>43.9291425628996</v>
      </c>
      <c r="X43" s="63">
        <f t="shared" si="29"/>
        <v>44.807725414157595</v>
      </c>
      <c r="Y43" s="63">
        <f t="shared" si="29"/>
        <v>45.703879922440748</v>
      </c>
      <c r="Z43" s="63">
        <f t="shared" si="29"/>
        <v>46.617957520889561</v>
      </c>
      <c r="AA43" s="63">
        <f t="shared" si="29"/>
        <v>47.550316671307357</v>
      </c>
      <c r="AB43" s="63">
        <f t="shared" si="29"/>
        <v>48.501323004733507</v>
      </c>
      <c r="AC43" s="63">
        <f t="shared" si="29"/>
        <v>49.47134946482818</v>
      </c>
      <c r="AD43" s="63">
        <f t="shared" si="29"/>
        <v>50.460776454124741</v>
      </c>
      <c r="AE43" s="63">
        <f t="shared" si="29"/>
        <v>51.469991983207237</v>
      </c>
      <c r="AF43" s="63">
        <f t="shared" si="29"/>
        <v>52.499391822871381</v>
      </c>
      <c r="AG43" s="63">
        <f t="shared" si="29"/>
        <v>53.549379659328807</v>
      </c>
      <c r="AH43" s="63">
        <f t="shared" si="29"/>
        <v>54.620367252515386</v>
      </c>
      <c r="AI43" s="63">
        <f t="shared" si="29"/>
        <v>55.712774597565698</v>
      </c>
      <c r="AJ43" s="63">
        <f t="shared" si="29"/>
        <v>56.82703008951701</v>
      </c>
      <c r="AK43" s="63">
        <f t="shared" si="29"/>
        <v>57.963570691307353</v>
      </c>
      <c r="AL43" s="63">
        <f t="shared" si="29"/>
        <v>59.1228421051335</v>
      </c>
    </row>
    <row r="44" spans="1:38" ht="13.5" customHeight="1" x14ac:dyDescent="0.2">
      <c r="A44" s="2"/>
      <c r="B44" s="2"/>
      <c r="C44" s="76" t="s">
        <v>51</v>
      </c>
      <c r="D44" s="75" t="s">
        <v>50</v>
      </c>
      <c r="E44" s="77">
        <v>5</v>
      </c>
      <c r="F44" s="349"/>
      <c r="G44" s="79">
        <f>$E44*G20</f>
        <v>16</v>
      </c>
      <c r="H44" s="80">
        <f t="shared" ref="H44:AL44" si="30">G44*H6</f>
        <v>16.32</v>
      </c>
      <c r="I44" s="80">
        <f t="shared" si="30"/>
        <v>16.6464</v>
      </c>
      <c r="J44" s="80">
        <f t="shared" si="30"/>
        <v>16.979327999999999</v>
      </c>
      <c r="K44" s="80">
        <f t="shared" si="30"/>
        <v>17.31891456</v>
      </c>
      <c r="L44" s="80">
        <f t="shared" si="30"/>
        <v>17.6652928512</v>
      </c>
      <c r="M44" s="80">
        <f t="shared" si="30"/>
        <v>18.018598708224001</v>
      </c>
      <c r="N44" s="80">
        <f t="shared" si="30"/>
        <v>18.378970682388481</v>
      </c>
      <c r="O44" s="80">
        <f t="shared" si="30"/>
        <v>18.746550096036252</v>
      </c>
      <c r="P44" s="80">
        <f t="shared" si="30"/>
        <v>19.121481097956977</v>
      </c>
      <c r="Q44" s="80">
        <f t="shared" si="30"/>
        <v>19.503910719916117</v>
      </c>
      <c r="R44" s="80">
        <f t="shared" si="30"/>
        <v>19.893988934314439</v>
      </c>
      <c r="S44" s="80">
        <f t="shared" si="30"/>
        <v>20.291868713000728</v>
      </c>
      <c r="T44" s="80">
        <f t="shared" si="30"/>
        <v>20.697706087260741</v>
      </c>
      <c r="U44" s="80">
        <f t="shared" si="30"/>
        <v>21.111660209005958</v>
      </c>
      <c r="V44" s="80">
        <f t="shared" si="30"/>
        <v>21.533893413186078</v>
      </c>
      <c r="W44" s="80">
        <f t="shared" si="30"/>
        <v>21.9645712814498</v>
      </c>
      <c r="X44" s="80">
        <f t="shared" si="30"/>
        <v>22.403862707078797</v>
      </c>
      <c r="Y44" s="80">
        <f t="shared" si="30"/>
        <v>22.851939961220374</v>
      </c>
      <c r="Z44" s="80">
        <f t="shared" si="30"/>
        <v>23.308978760444781</v>
      </c>
      <c r="AA44" s="80">
        <f t="shared" si="30"/>
        <v>23.775158335653678</v>
      </c>
      <c r="AB44" s="80">
        <f t="shared" si="30"/>
        <v>24.250661502366754</v>
      </c>
      <c r="AC44" s="80">
        <f t="shared" si="30"/>
        <v>24.73567473241409</v>
      </c>
      <c r="AD44" s="80">
        <f t="shared" si="30"/>
        <v>25.23038822706237</v>
      </c>
      <c r="AE44" s="80">
        <f t="shared" si="30"/>
        <v>25.734995991603618</v>
      </c>
      <c r="AF44" s="80">
        <f t="shared" si="30"/>
        <v>26.24969591143569</v>
      </c>
      <c r="AG44" s="80">
        <f t="shared" si="30"/>
        <v>26.774689829664403</v>
      </c>
      <c r="AH44" s="80">
        <f t="shared" si="30"/>
        <v>27.310183626257693</v>
      </c>
      <c r="AI44" s="80">
        <f t="shared" si="30"/>
        <v>27.856387298782849</v>
      </c>
      <c r="AJ44" s="80">
        <f t="shared" si="30"/>
        <v>28.413515044758505</v>
      </c>
      <c r="AK44" s="80">
        <f t="shared" si="30"/>
        <v>28.981785345653677</v>
      </c>
      <c r="AL44" s="80">
        <f t="shared" si="30"/>
        <v>29.56142105256675</v>
      </c>
    </row>
    <row r="45" spans="1:38" ht="13.5" customHeight="1" x14ac:dyDescent="0.2">
      <c r="A45" s="2"/>
      <c r="B45" s="2"/>
      <c r="C45" s="76" t="s">
        <v>46</v>
      </c>
      <c r="D45" s="81" t="s">
        <v>50</v>
      </c>
      <c r="E45" s="82">
        <v>5.0000000000000001E-3</v>
      </c>
      <c r="F45" s="349"/>
      <c r="G45" s="79">
        <f>G77*E45</f>
        <v>15.92</v>
      </c>
      <c r="H45" s="80">
        <f t="shared" ref="H45:AL45" si="31">G45*H6</f>
        <v>16.238399999999999</v>
      </c>
      <c r="I45" s="80">
        <f t="shared" si="31"/>
        <v>16.563167999999997</v>
      </c>
      <c r="J45" s="80">
        <f t="shared" si="31"/>
        <v>16.894431359999999</v>
      </c>
      <c r="K45" s="80">
        <f t="shared" si="31"/>
        <v>17.2323199872</v>
      </c>
      <c r="L45" s="80">
        <f t="shared" si="31"/>
        <v>17.576966386944001</v>
      </c>
      <c r="M45" s="80">
        <f t="shared" si="31"/>
        <v>17.928505714682881</v>
      </c>
      <c r="N45" s="80">
        <f t="shared" si="31"/>
        <v>18.28707582897654</v>
      </c>
      <c r="O45" s="80">
        <f t="shared" si="31"/>
        <v>18.652817345556073</v>
      </c>
      <c r="P45" s="80">
        <f t="shared" si="31"/>
        <v>19.025873692467194</v>
      </c>
      <c r="Q45" s="80">
        <f t="shared" si="31"/>
        <v>19.406391166316538</v>
      </c>
      <c r="R45" s="80">
        <f t="shared" si="31"/>
        <v>19.794518989642871</v>
      </c>
      <c r="S45" s="80">
        <f t="shared" si="31"/>
        <v>20.190409369435727</v>
      </c>
      <c r="T45" s="80">
        <f t="shared" si="31"/>
        <v>20.594217556824443</v>
      </c>
      <c r="U45" s="80">
        <f t="shared" si="31"/>
        <v>21.006101907960932</v>
      </c>
      <c r="V45" s="80">
        <f t="shared" si="31"/>
        <v>21.426223946120153</v>
      </c>
      <c r="W45" s="80">
        <f t="shared" si="31"/>
        <v>21.854748425042558</v>
      </c>
      <c r="X45" s="80">
        <f t="shared" si="31"/>
        <v>22.291843393543409</v>
      </c>
      <c r="Y45" s="80">
        <f t="shared" si="31"/>
        <v>22.73768026141428</v>
      </c>
      <c r="Z45" s="80">
        <f t="shared" si="31"/>
        <v>23.192433866642567</v>
      </c>
      <c r="AA45" s="80">
        <f t="shared" si="31"/>
        <v>23.656282543975419</v>
      </c>
      <c r="AB45" s="80">
        <f t="shared" si="31"/>
        <v>24.129408194854928</v>
      </c>
      <c r="AC45" s="80">
        <f t="shared" si="31"/>
        <v>24.611996358752027</v>
      </c>
      <c r="AD45" s="80">
        <f t="shared" si="31"/>
        <v>25.104236285927069</v>
      </c>
      <c r="AE45" s="80">
        <f t="shared" si="31"/>
        <v>25.606321011645612</v>
      </c>
      <c r="AF45" s="80">
        <f t="shared" si="31"/>
        <v>26.118447431878526</v>
      </c>
      <c r="AG45" s="80">
        <f t="shared" si="31"/>
        <v>26.640816380516096</v>
      </c>
      <c r="AH45" s="80">
        <f t="shared" si="31"/>
        <v>27.173632708126419</v>
      </c>
      <c r="AI45" s="80">
        <f t="shared" si="31"/>
        <v>27.717105362288947</v>
      </c>
      <c r="AJ45" s="80">
        <f t="shared" si="31"/>
        <v>28.271447469534728</v>
      </c>
      <c r="AK45" s="80">
        <f t="shared" si="31"/>
        <v>28.836876418925424</v>
      </c>
      <c r="AL45" s="83">
        <f t="shared" si="31"/>
        <v>29.413613947303933</v>
      </c>
    </row>
    <row r="46" spans="1:38" ht="13.5" customHeight="1" x14ac:dyDescent="0.2">
      <c r="A46" s="2"/>
      <c r="B46" s="2"/>
      <c r="C46" s="76" t="s">
        <v>52</v>
      </c>
      <c r="D46" s="84" t="s">
        <v>50</v>
      </c>
      <c r="E46" s="77">
        <v>0</v>
      </c>
      <c r="F46" s="349"/>
      <c r="G46" s="85">
        <v>30</v>
      </c>
      <c r="H46" s="86">
        <f>G46</f>
        <v>30</v>
      </c>
      <c r="I46" s="87">
        <f t="shared" ref="I46:AL46" si="32">H46*(1+$G47)</f>
        <v>30.6</v>
      </c>
      <c r="J46" s="87">
        <f t="shared" si="32"/>
        <v>31.212000000000003</v>
      </c>
      <c r="K46" s="87">
        <f t="shared" si="32"/>
        <v>31.836240000000004</v>
      </c>
      <c r="L46" s="87">
        <f t="shared" si="32"/>
        <v>32.472964800000007</v>
      </c>
      <c r="M46" s="87">
        <f t="shared" si="32"/>
        <v>33.12242409600001</v>
      </c>
      <c r="N46" s="87">
        <f t="shared" si="32"/>
        <v>33.784872577920012</v>
      </c>
      <c r="O46" s="87">
        <f t="shared" si="32"/>
        <v>34.460570029478411</v>
      </c>
      <c r="P46" s="87">
        <f t="shared" si="32"/>
        <v>35.149781430067982</v>
      </c>
      <c r="Q46" s="87">
        <f t="shared" si="32"/>
        <v>35.852777058669339</v>
      </c>
      <c r="R46" s="87">
        <f t="shared" si="32"/>
        <v>36.569832599842726</v>
      </c>
      <c r="S46" s="87">
        <f t="shared" si="32"/>
        <v>37.30122925183958</v>
      </c>
      <c r="T46" s="87">
        <f t="shared" si="32"/>
        <v>38.047253836876372</v>
      </c>
      <c r="U46" s="87">
        <f t="shared" si="32"/>
        <v>38.8081989136139</v>
      </c>
      <c r="V46" s="88">
        <f t="shared" si="32"/>
        <v>39.58436289188618</v>
      </c>
      <c r="W46" s="87">
        <f t="shared" si="32"/>
        <v>40.376050149723902</v>
      </c>
      <c r="X46" s="87">
        <f t="shared" si="32"/>
        <v>41.183571152718379</v>
      </c>
      <c r="Y46" s="87">
        <f t="shared" si="32"/>
        <v>42.00724257577275</v>
      </c>
      <c r="Z46" s="87">
        <f t="shared" si="32"/>
        <v>42.847387427288204</v>
      </c>
      <c r="AA46" s="87">
        <f t="shared" si="32"/>
        <v>43.704335175833968</v>
      </c>
      <c r="AB46" s="87">
        <f t="shared" si="32"/>
        <v>44.57842187935065</v>
      </c>
      <c r="AC46" s="87">
        <f t="shared" si="32"/>
        <v>45.469990316937661</v>
      </c>
      <c r="AD46" s="87">
        <f t="shared" si="32"/>
        <v>46.379390123276416</v>
      </c>
      <c r="AE46" s="87">
        <f t="shared" si="32"/>
        <v>47.306977925741947</v>
      </c>
      <c r="AF46" s="87">
        <f t="shared" si="32"/>
        <v>48.253117484256784</v>
      </c>
      <c r="AG46" s="87">
        <f t="shared" si="32"/>
        <v>49.218179833941917</v>
      </c>
      <c r="AH46" s="87">
        <f t="shared" si="32"/>
        <v>50.202543430620757</v>
      </c>
      <c r="AI46" s="87">
        <f t="shared" si="32"/>
        <v>51.206594299233174</v>
      </c>
      <c r="AJ46" s="87">
        <f t="shared" si="32"/>
        <v>52.23072618521784</v>
      </c>
      <c r="AK46" s="87">
        <f t="shared" si="32"/>
        <v>53.275340708922201</v>
      </c>
      <c r="AL46" s="87">
        <f t="shared" si="32"/>
        <v>54.340847523100649</v>
      </c>
    </row>
    <row r="47" spans="1:38" ht="13.5" customHeight="1" x14ac:dyDescent="0.2">
      <c r="A47" s="2"/>
      <c r="B47" s="2"/>
      <c r="C47" s="76" t="s">
        <v>53</v>
      </c>
      <c r="D47" s="84" t="s">
        <v>4</v>
      </c>
      <c r="E47" s="89"/>
      <c r="F47" s="332"/>
      <c r="G47" s="350">
        <v>0.02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1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2"/>
      <c r="AK47" s="93"/>
      <c r="AL47" s="93"/>
    </row>
    <row r="48" spans="1:38" ht="17.25" customHeight="1" x14ac:dyDescent="0.2">
      <c r="A48" s="2"/>
      <c r="B48" s="2"/>
      <c r="C48" s="94"/>
      <c r="D48" s="2"/>
      <c r="E48" s="95"/>
      <c r="F48" s="351"/>
      <c r="G48" s="352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</row>
    <row r="49" spans="1:38" ht="13.5" customHeight="1" x14ac:dyDescent="0.2">
      <c r="A49" s="2"/>
      <c r="B49" s="2"/>
      <c r="C49" s="6" t="s">
        <v>54</v>
      </c>
      <c r="D49" s="2"/>
      <c r="E49" s="2"/>
      <c r="F49" s="301"/>
      <c r="G49" s="30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3.5" customHeight="1" x14ac:dyDescent="0.2">
      <c r="A50" s="2"/>
      <c r="B50" s="2"/>
      <c r="C50" s="8" t="s">
        <v>55</v>
      </c>
      <c r="D50" s="9" t="s">
        <v>4</v>
      </c>
      <c r="E50" s="97"/>
      <c r="F50" s="353">
        <f>H50</f>
        <v>0.42089426757229143</v>
      </c>
      <c r="G50" s="354">
        <f>G52-G51</f>
        <v>2029.2266666666665</v>
      </c>
      <c r="H50" s="99">
        <f>1-H51</f>
        <v>0.42089426757229143</v>
      </c>
      <c r="I50" s="100"/>
      <c r="J50" s="100"/>
      <c r="K50" s="10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13.5" customHeight="1" x14ac:dyDescent="0.2">
      <c r="A51" s="2"/>
      <c r="B51" s="2"/>
      <c r="C51" s="8" t="s">
        <v>56</v>
      </c>
      <c r="D51" s="9" t="s">
        <v>4</v>
      </c>
      <c r="E51" s="95"/>
      <c r="F51" s="355">
        <f>1-F50</f>
        <v>0.57910573242770857</v>
      </c>
      <c r="G51" s="299">
        <f>F53*F20*(1+F61)</f>
        <v>2792</v>
      </c>
      <c r="H51" s="99">
        <f>G51/G52</f>
        <v>0.57910573242770857</v>
      </c>
      <c r="I51" s="2"/>
      <c r="J51" s="2"/>
      <c r="K51" s="2"/>
      <c r="L51" s="1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13.5" customHeight="1" x14ac:dyDescent="0.2">
      <c r="A52" s="2"/>
      <c r="B52" s="2"/>
      <c r="C52" s="8" t="s">
        <v>57</v>
      </c>
      <c r="D52" s="42" t="s">
        <v>4</v>
      </c>
      <c r="E52" s="97"/>
      <c r="F52" s="356">
        <v>0.04</v>
      </c>
      <c r="G52" s="299">
        <f>G77*(1+F61)+H66-'Rep.forms_Financing'!F26</f>
        <v>4821.2266666666665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13.5" customHeight="1" x14ac:dyDescent="0.2">
      <c r="A53" s="2"/>
      <c r="B53" s="2"/>
      <c r="C53" s="101" t="s">
        <v>58</v>
      </c>
      <c r="D53" s="47" t="s">
        <v>43</v>
      </c>
      <c r="E53" s="102"/>
      <c r="F53" s="357">
        <f>IF((G78*0.6/F20)&gt;(560*F20+250*F21)/F20,(560*F20+250*F21)/F20,(G78/F20)*0.6)</f>
        <v>872.5</v>
      </c>
      <c r="G53" s="358">
        <f>G77/F20-F53</f>
        <v>122.5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13.5" customHeight="1" x14ac:dyDescent="0.2">
      <c r="A54" s="2"/>
      <c r="B54" s="2"/>
      <c r="C54" s="8" t="s">
        <v>59</v>
      </c>
      <c r="D54" s="103" t="s">
        <v>37</v>
      </c>
      <c r="E54" s="97"/>
      <c r="F54" s="357">
        <v>15</v>
      </c>
      <c r="G54" s="35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13.5" customHeight="1" x14ac:dyDescent="0.2">
      <c r="A55" s="2"/>
      <c r="B55" s="2"/>
      <c r="C55" s="8" t="s">
        <v>60</v>
      </c>
      <c r="D55" s="9" t="s">
        <v>4</v>
      </c>
      <c r="E55" s="97"/>
      <c r="F55" s="308">
        <v>5.0000000000000001E-3</v>
      </c>
      <c r="G55" s="359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13.5" customHeight="1" x14ac:dyDescent="0.2">
      <c r="A56" s="2"/>
      <c r="B56" s="2"/>
      <c r="C56" s="9" t="s">
        <v>61</v>
      </c>
      <c r="D56" s="9" t="s">
        <v>62</v>
      </c>
      <c r="E56" s="95"/>
      <c r="F56" s="360">
        <v>10</v>
      </c>
      <c r="G56" s="30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13.5" customHeight="1" x14ac:dyDescent="0.2">
      <c r="A57" s="2"/>
      <c r="B57" s="2"/>
      <c r="C57" s="2"/>
      <c r="D57" s="2"/>
      <c r="E57" s="95"/>
      <c r="F57" s="300"/>
      <c r="G57" s="30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13.5" customHeight="1" x14ac:dyDescent="0.2">
      <c r="A58" s="2"/>
      <c r="B58" s="2"/>
      <c r="C58" s="6" t="s">
        <v>63</v>
      </c>
      <c r="D58" s="2"/>
      <c r="E58" s="10"/>
      <c r="F58" s="311" t="s">
        <v>64</v>
      </c>
      <c r="G58" s="30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7"/>
      <c r="AG58" s="7"/>
      <c r="AH58" s="7"/>
      <c r="AI58" s="7"/>
      <c r="AJ58" s="7"/>
      <c r="AK58" s="7"/>
      <c r="AL58" s="7"/>
    </row>
    <row r="59" spans="1:38" ht="13.5" customHeight="1" x14ac:dyDescent="0.2">
      <c r="A59" s="2"/>
      <c r="B59" s="2"/>
      <c r="C59" s="8" t="s">
        <v>65</v>
      </c>
      <c r="D59" s="9" t="s">
        <v>4</v>
      </c>
      <c r="E59" s="14"/>
      <c r="F59" s="308">
        <v>0</v>
      </c>
      <c r="G59" s="361">
        <f t="shared" ref="G59:AE59" si="33">$F$59</f>
        <v>0</v>
      </c>
      <c r="H59" s="30">
        <f t="shared" si="33"/>
        <v>0</v>
      </c>
      <c r="I59" s="30">
        <f t="shared" si="33"/>
        <v>0</v>
      </c>
      <c r="J59" s="30">
        <f t="shared" si="33"/>
        <v>0</v>
      </c>
      <c r="K59" s="30">
        <f t="shared" si="33"/>
        <v>0</v>
      </c>
      <c r="L59" s="30">
        <f t="shared" si="33"/>
        <v>0</v>
      </c>
      <c r="M59" s="30">
        <f t="shared" si="33"/>
        <v>0</v>
      </c>
      <c r="N59" s="30">
        <f t="shared" si="33"/>
        <v>0</v>
      </c>
      <c r="O59" s="30">
        <f t="shared" si="33"/>
        <v>0</v>
      </c>
      <c r="P59" s="30">
        <f t="shared" si="33"/>
        <v>0</v>
      </c>
      <c r="Q59" s="30">
        <f t="shared" si="33"/>
        <v>0</v>
      </c>
      <c r="R59" s="30">
        <f t="shared" si="33"/>
        <v>0</v>
      </c>
      <c r="S59" s="30">
        <f t="shared" si="33"/>
        <v>0</v>
      </c>
      <c r="T59" s="30">
        <f t="shared" si="33"/>
        <v>0</v>
      </c>
      <c r="U59" s="30">
        <f t="shared" si="33"/>
        <v>0</v>
      </c>
      <c r="V59" s="30">
        <f t="shared" si="33"/>
        <v>0</v>
      </c>
      <c r="W59" s="30">
        <f t="shared" si="33"/>
        <v>0</v>
      </c>
      <c r="X59" s="30">
        <f t="shared" si="33"/>
        <v>0</v>
      </c>
      <c r="Y59" s="30">
        <f t="shared" si="33"/>
        <v>0</v>
      </c>
      <c r="Z59" s="30">
        <f t="shared" si="33"/>
        <v>0</v>
      </c>
      <c r="AA59" s="30">
        <f t="shared" si="33"/>
        <v>0</v>
      </c>
      <c r="AB59" s="30">
        <f t="shared" si="33"/>
        <v>0</v>
      </c>
      <c r="AC59" s="30">
        <f t="shared" si="33"/>
        <v>0</v>
      </c>
      <c r="AD59" s="30">
        <f t="shared" si="33"/>
        <v>0</v>
      </c>
      <c r="AE59" s="104">
        <f t="shared" si="33"/>
        <v>0</v>
      </c>
      <c r="AF59" s="105">
        <v>0</v>
      </c>
      <c r="AG59" s="105">
        <v>0</v>
      </c>
      <c r="AH59" s="105">
        <v>0</v>
      </c>
      <c r="AI59" s="105">
        <v>0</v>
      </c>
      <c r="AJ59" s="106">
        <v>0</v>
      </c>
      <c r="AK59" s="107"/>
      <c r="AL59" s="107"/>
    </row>
    <row r="60" spans="1:38" ht="13.5" customHeight="1" x14ac:dyDescent="0.2">
      <c r="A60" s="2"/>
      <c r="B60" s="2"/>
      <c r="C60" s="8" t="s">
        <v>66</v>
      </c>
      <c r="D60" s="9" t="s">
        <v>4</v>
      </c>
      <c r="E60" s="108" t="s">
        <v>67</v>
      </c>
      <c r="F60" s="303">
        <v>0.125</v>
      </c>
      <c r="G60" s="362">
        <f t="shared" ref="G60:AL60" si="34">$F$60</f>
        <v>0.125</v>
      </c>
      <c r="H60" s="12">
        <f t="shared" si="34"/>
        <v>0.125</v>
      </c>
      <c r="I60" s="12">
        <f t="shared" si="34"/>
        <v>0.125</v>
      </c>
      <c r="J60" s="12">
        <f t="shared" si="34"/>
        <v>0.125</v>
      </c>
      <c r="K60" s="12">
        <f t="shared" si="34"/>
        <v>0.125</v>
      </c>
      <c r="L60" s="12">
        <f t="shared" si="34"/>
        <v>0.125</v>
      </c>
      <c r="M60" s="12">
        <f t="shared" si="34"/>
        <v>0.125</v>
      </c>
      <c r="N60" s="12">
        <f t="shared" si="34"/>
        <v>0.125</v>
      </c>
      <c r="O60" s="12">
        <f t="shared" si="34"/>
        <v>0.125</v>
      </c>
      <c r="P60" s="12">
        <f t="shared" si="34"/>
        <v>0.125</v>
      </c>
      <c r="Q60" s="12">
        <f t="shared" si="34"/>
        <v>0.125</v>
      </c>
      <c r="R60" s="12">
        <f t="shared" si="34"/>
        <v>0.125</v>
      </c>
      <c r="S60" s="12">
        <f t="shared" si="34"/>
        <v>0.125</v>
      </c>
      <c r="T60" s="12">
        <f t="shared" si="34"/>
        <v>0.125</v>
      </c>
      <c r="U60" s="12">
        <f t="shared" si="34"/>
        <v>0.125</v>
      </c>
      <c r="V60" s="12">
        <f t="shared" si="34"/>
        <v>0.125</v>
      </c>
      <c r="W60" s="12">
        <f t="shared" si="34"/>
        <v>0.125</v>
      </c>
      <c r="X60" s="12">
        <f t="shared" si="34"/>
        <v>0.125</v>
      </c>
      <c r="Y60" s="12">
        <f t="shared" si="34"/>
        <v>0.125</v>
      </c>
      <c r="Z60" s="12">
        <f t="shared" si="34"/>
        <v>0.125</v>
      </c>
      <c r="AA60" s="12">
        <f t="shared" si="34"/>
        <v>0.125</v>
      </c>
      <c r="AB60" s="12">
        <f t="shared" si="34"/>
        <v>0.125</v>
      </c>
      <c r="AC60" s="12">
        <f t="shared" si="34"/>
        <v>0.125</v>
      </c>
      <c r="AD60" s="12">
        <f t="shared" si="34"/>
        <v>0.125</v>
      </c>
      <c r="AE60" s="12">
        <f t="shared" si="34"/>
        <v>0.125</v>
      </c>
      <c r="AF60" s="12">
        <f t="shared" si="34"/>
        <v>0.125</v>
      </c>
      <c r="AG60" s="12">
        <f t="shared" si="34"/>
        <v>0.125</v>
      </c>
      <c r="AH60" s="12">
        <f t="shared" si="34"/>
        <v>0.125</v>
      </c>
      <c r="AI60" s="12">
        <f t="shared" si="34"/>
        <v>0.125</v>
      </c>
      <c r="AJ60" s="12">
        <f t="shared" si="34"/>
        <v>0.125</v>
      </c>
      <c r="AK60" s="12">
        <f t="shared" si="34"/>
        <v>0.125</v>
      </c>
      <c r="AL60" s="12">
        <f t="shared" si="34"/>
        <v>0.125</v>
      </c>
    </row>
    <row r="61" spans="1:38" ht="13.5" customHeight="1" x14ac:dyDescent="0.2">
      <c r="A61" s="2"/>
      <c r="B61" s="2"/>
      <c r="C61" s="8" t="s">
        <v>68</v>
      </c>
      <c r="D61" s="9" t="s">
        <v>4</v>
      </c>
      <c r="E61" s="108" t="s">
        <v>67</v>
      </c>
      <c r="F61" s="363">
        <v>0</v>
      </c>
      <c r="G61" s="35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13.5" customHeight="1" x14ac:dyDescent="0.2">
      <c r="A62" s="2"/>
      <c r="B62" s="2"/>
      <c r="C62" s="109"/>
      <c r="D62" s="2"/>
      <c r="E62" s="95"/>
      <c r="F62" s="364"/>
      <c r="G62" s="30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13.5" customHeight="1" x14ac:dyDescent="0.2">
      <c r="A63" s="2"/>
      <c r="B63" s="2"/>
      <c r="C63" s="6" t="s">
        <v>69</v>
      </c>
      <c r="D63" s="9" t="s">
        <v>37</v>
      </c>
      <c r="E63" s="95"/>
      <c r="F63" s="365">
        <v>10</v>
      </c>
      <c r="G63" s="30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15.75" customHeight="1" x14ac:dyDescent="0.2">
      <c r="A64" s="110"/>
      <c r="B64" s="110"/>
      <c r="C64" s="111"/>
      <c r="D64" s="40"/>
      <c r="E64" s="40"/>
      <c r="F64" s="366"/>
      <c r="G64" s="334"/>
      <c r="H64" s="396"/>
      <c r="I64" s="397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15.75" customHeight="1" x14ac:dyDescent="0.2">
      <c r="A65" s="112"/>
      <c r="B65" s="112"/>
      <c r="C65" s="113" t="s">
        <v>70</v>
      </c>
      <c r="D65" s="114" t="s">
        <v>71</v>
      </c>
      <c r="E65" s="115" t="s">
        <v>72</v>
      </c>
      <c r="F65" s="116" t="s">
        <v>73</v>
      </c>
      <c r="G65" s="115" t="s">
        <v>74</v>
      </c>
      <c r="H65" s="117"/>
      <c r="I65" s="117"/>
      <c r="J65" s="118"/>
      <c r="K65" s="119"/>
      <c r="L65" s="119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15.75" customHeight="1" x14ac:dyDescent="0.2">
      <c r="A66" s="120"/>
      <c r="B66" s="120"/>
      <c r="C66" s="121" t="s">
        <v>188</v>
      </c>
      <c r="D66" s="122">
        <f t="shared" ref="D66:D76" si="35">F66*$F$8</f>
        <v>0.52</v>
      </c>
      <c r="E66" s="123">
        <f t="shared" ref="E66:E76" si="36">G66*$F$8</f>
        <v>1664</v>
      </c>
      <c r="F66" s="372">
        <v>0.5</v>
      </c>
      <c r="G66" s="373">
        <f t="shared" ref="G66:G76" si="37">F66*$F$20*1000</f>
        <v>1600</v>
      </c>
      <c r="H66" s="124">
        <f>G66</f>
        <v>1600</v>
      </c>
      <c r="I66" s="124">
        <f>G66-H66</f>
        <v>0</v>
      </c>
      <c r="J66" s="118"/>
      <c r="K66" s="125"/>
      <c r="L66" s="126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14" customHeight="1" x14ac:dyDescent="0.2">
      <c r="A67" s="120"/>
      <c r="B67" s="120"/>
      <c r="C67" s="127" t="s">
        <v>75</v>
      </c>
      <c r="D67" s="128">
        <f t="shared" si="35"/>
        <v>0.27040000000000003</v>
      </c>
      <c r="E67" s="129">
        <f t="shared" si="36"/>
        <v>865.2800000000002</v>
      </c>
      <c r="F67" s="374">
        <f>SUM(F68:F69)</f>
        <v>0.26</v>
      </c>
      <c r="G67" s="375">
        <f t="shared" si="37"/>
        <v>832.00000000000011</v>
      </c>
      <c r="H67" s="130">
        <f>(F67-F68)/$F$77</f>
        <v>0.24120603015075379</v>
      </c>
      <c r="I67" s="131"/>
      <c r="J67" s="2"/>
      <c r="K67" s="125"/>
      <c r="L67" s="126"/>
      <c r="M67" s="13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13.5" customHeight="1" x14ac:dyDescent="0.2">
      <c r="A68" s="120"/>
      <c r="B68" s="120"/>
      <c r="C68" s="133" t="s">
        <v>76</v>
      </c>
      <c r="D68" s="134">
        <f t="shared" si="35"/>
        <v>2.0800000000000003E-2</v>
      </c>
      <c r="E68" s="135">
        <f t="shared" si="36"/>
        <v>66.56</v>
      </c>
      <c r="F68" s="376">
        <v>0.02</v>
      </c>
      <c r="G68" s="377">
        <f t="shared" si="37"/>
        <v>64</v>
      </c>
      <c r="H68" s="118"/>
      <c r="I68" s="2"/>
      <c r="J68" s="2"/>
      <c r="K68" s="125"/>
      <c r="L68" s="12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ht="13.5" customHeight="1" x14ac:dyDescent="0.2">
      <c r="A69" s="120"/>
      <c r="B69" s="120"/>
      <c r="C69" s="133" t="s">
        <v>77</v>
      </c>
      <c r="D69" s="134">
        <f t="shared" si="35"/>
        <v>0.24959999999999999</v>
      </c>
      <c r="E69" s="135">
        <f t="shared" si="36"/>
        <v>798.72</v>
      </c>
      <c r="F69" s="376">
        <v>0.24</v>
      </c>
      <c r="G69" s="377">
        <f t="shared" si="37"/>
        <v>768</v>
      </c>
      <c r="H69" s="118"/>
      <c r="I69" s="2"/>
      <c r="J69" s="136"/>
      <c r="K69" s="137"/>
      <c r="L69" s="138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2"/>
      <c r="AK69" s="2"/>
      <c r="AL69" s="2"/>
    </row>
    <row r="70" spans="1:38" ht="14" customHeight="1" x14ac:dyDescent="0.2">
      <c r="A70" s="120"/>
      <c r="B70" s="120"/>
      <c r="C70" s="392" t="s">
        <v>198</v>
      </c>
      <c r="D70" s="139">
        <f t="shared" si="35"/>
        <v>0.23399999999999999</v>
      </c>
      <c r="E70" s="140">
        <f t="shared" si="36"/>
        <v>748.80000000000007</v>
      </c>
      <c r="F70" s="376">
        <f>0.18*F21/F20</f>
        <v>0.22499999999999998</v>
      </c>
      <c r="G70" s="379">
        <f t="shared" si="37"/>
        <v>720</v>
      </c>
      <c r="H70" s="141"/>
      <c r="I70" s="142"/>
      <c r="J70" s="143"/>
      <c r="K70" s="144"/>
      <c r="L70" s="276">
        <f>G77-G51</f>
        <v>392</v>
      </c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5"/>
      <c r="AK70" s="2"/>
      <c r="AL70" s="2"/>
    </row>
    <row r="71" spans="1:38" ht="15.75" customHeight="1" x14ac:dyDescent="0.2">
      <c r="A71" s="120"/>
      <c r="B71" s="120"/>
      <c r="C71" s="146" t="s">
        <v>199</v>
      </c>
      <c r="D71" s="147">
        <f t="shared" si="35"/>
        <v>2.6000000000000002E-2</v>
      </c>
      <c r="E71" s="148">
        <f t="shared" si="36"/>
        <v>83.200000000000017</v>
      </c>
      <c r="F71" s="372">
        <v>2.5000000000000001E-2</v>
      </c>
      <c r="G71" s="380">
        <f t="shared" si="37"/>
        <v>80.000000000000014</v>
      </c>
      <c r="H71" s="149">
        <f>F71/$F$77</f>
        <v>2.5125628140703519E-2</v>
      </c>
      <c r="I71" s="2"/>
      <c r="J71" s="150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2"/>
      <c r="AK71" s="2"/>
      <c r="AL71" s="2"/>
    </row>
    <row r="72" spans="1:38" ht="14" customHeight="1" x14ac:dyDescent="0.2">
      <c r="A72" s="120"/>
      <c r="B72" s="120"/>
      <c r="C72" s="127" t="s">
        <v>200</v>
      </c>
      <c r="D72" s="128">
        <f t="shared" si="35"/>
        <v>0.37959999999999999</v>
      </c>
      <c r="E72" s="129">
        <f t="shared" si="36"/>
        <v>1214.72</v>
      </c>
      <c r="F72" s="374">
        <f>SUM(F73:F74)</f>
        <v>0.36499999999999999</v>
      </c>
      <c r="G72" s="375">
        <f t="shared" si="37"/>
        <v>1168</v>
      </c>
      <c r="H72" s="130">
        <f>F72/$F$77</f>
        <v>0.36683417085427134</v>
      </c>
      <c r="I72" s="2"/>
      <c r="J72" s="12"/>
      <c r="K72" s="125"/>
      <c r="L72" s="12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15.75" customHeight="1" x14ac:dyDescent="0.2">
      <c r="A73" s="120"/>
      <c r="B73" s="120"/>
      <c r="C73" s="151" t="s">
        <v>201</v>
      </c>
      <c r="D73" s="134">
        <f t="shared" si="35"/>
        <v>2.6000000000000002E-2</v>
      </c>
      <c r="E73" s="135">
        <f t="shared" si="36"/>
        <v>83.200000000000017</v>
      </c>
      <c r="F73" s="376">
        <v>2.5000000000000001E-2</v>
      </c>
      <c r="G73" s="377">
        <f t="shared" si="37"/>
        <v>80.000000000000014</v>
      </c>
      <c r="H73" s="118"/>
      <c r="I73" s="2"/>
      <c r="J73" s="2"/>
      <c r="K73" s="125"/>
      <c r="L73" s="12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13.5" customHeight="1" x14ac:dyDescent="0.2">
      <c r="A74" s="120"/>
      <c r="B74" s="120"/>
      <c r="C74" s="152" t="s">
        <v>202</v>
      </c>
      <c r="D74" s="153">
        <f t="shared" si="35"/>
        <v>0.35359999999999997</v>
      </c>
      <c r="E74" s="154">
        <f t="shared" si="36"/>
        <v>1131.5199999999998</v>
      </c>
      <c r="F74" s="378">
        <f>0.14+0.07+0.04+0.02+0.04+0.03</f>
        <v>0.33999999999999997</v>
      </c>
      <c r="G74" s="381">
        <f t="shared" si="37"/>
        <v>1087.9999999999998</v>
      </c>
      <c r="H74" s="141"/>
      <c r="I74" s="2"/>
      <c r="J74" s="2"/>
      <c r="K74" s="125"/>
      <c r="L74" s="126"/>
      <c r="M74" s="2"/>
      <c r="N74" s="2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15.75" customHeight="1" x14ac:dyDescent="0.2">
      <c r="A75" s="120"/>
      <c r="B75" s="120"/>
      <c r="C75" s="155" t="s">
        <v>203</v>
      </c>
      <c r="D75" s="156">
        <f t="shared" si="35"/>
        <v>3.1199999999999999E-2</v>
      </c>
      <c r="E75" s="157">
        <f t="shared" si="36"/>
        <v>99.84</v>
      </c>
      <c r="F75" s="372">
        <v>0.03</v>
      </c>
      <c r="G75" s="380">
        <f t="shared" si="37"/>
        <v>96</v>
      </c>
      <c r="H75" s="149">
        <f>F75/$F$77</f>
        <v>3.015075376884422E-2</v>
      </c>
      <c r="I75" s="2"/>
      <c r="J75" s="2"/>
      <c r="K75" s="125"/>
      <c r="L75" s="12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15.75" customHeight="1" x14ac:dyDescent="0.2">
      <c r="A76" s="120"/>
      <c r="B76" s="120"/>
      <c r="C76" s="293" t="s">
        <v>204</v>
      </c>
      <c r="D76" s="294">
        <f t="shared" si="35"/>
        <v>9.3600000000000003E-2</v>
      </c>
      <c r="E76" s="295">
        <f t="shared" si="36"/>
        <v>299.52</v>
      </c>
      <c r="F76" s="382">
        <v>0.09</v>
      </c>
      <c r="G76" s="383">
        <f t="shared" si="37"/>
        <v>288</v>
      </c>
      <c r="H76" s="130">
        <f>F76/$F$77</f>
        <v>9.0452261306532666E-2</v>
      </c>
      <c r="I76" s="2"/>
      <c r="J76" s="2"/>
      <c r="K76" s="125"/>
      <c r="L76" s="12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15" customHeight="1" x14ac:dyDescent="0.25">
      <c r="A77" s="158"/>
      <c r="B77" s="158"/>
      <c r="C77" s="159" t="s">
        <v>189</v>
      </c>
      <c r="D77" s="160">
        <f>D67+D71+D72+D75+D76+D70</f>
        <v>1.0348000000000002</v>
      </c>
      <c r="E77" s="161">
        <f>E67+E71+E72+E75+E76</f>
        <v>2562.5600000000004</v>
      </c>
      <c r="F77" s="384">
        <f>F67+F71+F72+F75+F76+F70</f>
        <v>0.995</v>
      </c>
      <c r="G77" s="385">
        <f>G67+G71+G72+G75+G76+G70</f>
        <v>3184</v>
      </c>
      <c r="H77" s="118"/>
      <c r="I77" s="2"/>
      <c r="J77" s="2"/>
      <c r="K77" s="162"/>
      <c r="L77" s="16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16.25" customHeight="1" x14ac:dyDescent="0.2">
      <c r="A78" s="112"/>
      <c r="B78" s="112"/>
      <c r="C78" s="296" t="s">
        <v>190</v>
      </c>
      <c r="D78" s="297">
        <f>D77+D66</f>
        <v>1.5548000000000002</v>
      </c>
      <c r="E78" s="298">
        <f>E77+E66</f>
        <v>4226.5600000000004</v>
      </c>
      <c r="F78" s="386">
        <f>F77+F66</f>
        <v>1.4950000000000001</v>
      </c>
      <c r="G78" s="387">
        <f>G77+G66</f>
        <v>4784</v>
      </c>
      <c r="H78" s="11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14" customHeight="1" x14ac:dyDescent="0.2">
      <c r="A79" s="2"/>
      <c r="B79" s="2"/>
      <c r="C79" s="164"/>
      <c r="D79" s="164"/>
      <c r="E79" s="164"/>
      <c r="F79" s="367"/>
      <c r="G79" s="36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13.5" customHeight="1" x14ac:dyDescent="0.2">
      <c r="A80" s="2"/>
      <c r="B80" s="2"/>
      <c r="C80" s="9" t="s">
        <v>78</v>
      </c>
      <c r="D80" s="2"/>
      <c r="E80" s="14"/>
      <c r="F80" s="369">
        <f>F67+F72+F75</f>
        <v>0.65500000000000003</v>
      </c>
      <c r="G80" s="370">
        <f>F80*F$20</f>
        <v>2.0960000000000001</v>
      </c>
      <c r="H80" s="2"/>
      <c r="I80" s="2"/>
      <c r="J80" s="5"/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13.5" customHeight="1" x14ac:dyDescent="0.2">
      <c r="A81" s="2"/>
      <c r="B81" s="2"/>
      <c r="C81" s="9" t="s">
        <v>79</v>
      </c>
      <c r="D81" s="2"/>
      <c r="E81" s="14"/>
      <c r="F81" s="369">
        <f>F80+F71</f>
        <v>0.68</v>
      </c>
      <c r="G81" s="370">
        <f>F81*F$20</f>
        <v>2.1760000000000002</v>
      </c>
      <c r="H81" s="2"/>
      <c r="I81" s="2"/>
      <c r="J81" s="2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13.5" customHeight="1" x14ac:dyDescent="0.2">
      <c r="A82" s="2"/>
      <c r="B82" s="2"/>
      <c r="C82" s="9" t="s">
        <v>80</v>
      </c>
      <c r="D82" s="2"/>
      <c r="E82" s="14"/>
      <c r="F82" s="369">
        <f>F67+F72+F75+F76</f>
        <v>0.745</v>
      </c>
      <c r="G82" s="370">
        <f>F82*F$20</f>
        <v>2.3839999999999999</v>
      </c>
      <c r="H82" s="2"/>
      <c r="I82" s="2"/>
      <c r="J82" s="2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13.5" customHeight="1" x14ac:dyDescent="0.2">
      <c r="A83" s="2"/>
      <c r="B83" s="2"/>
      <c r="C83" s="2"/>
      <c r="D83" s="7"/>
      <c r="E83" s="7"/>
      <c r="F83" s="304"/>
      <c r="G83" s="30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13.5" customHeight="1" x14ac:dyDescent="0.2">
      <c r="A84" s="2"/>
      <c r="B84" s="2"/>
      <c r="C84" s="278" t="s">
        <v>81</v>
      </c>
      <c r="D84" s="279" t="s">
        <v>82</v>
      </c>
      <c r="E84" s="388">
        <f>G31</f>
        <v>0.16</v>
      </c>
      <c r="F84" s="359"/>
      <c r="G84" s="300"/>
      <c r="H84" s="2"/>
      <c r="I84" s="2"/>
      <c r="J84" s="165"/>
      <c r="K84" s="2"/>
      <c r="L84" s="2"/>
      <c r="M84" s="2"/>
      <c r="N84" s="2"/>
      <c r="O84" s="2"/>
      <c r="P84" s="165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15.75" customHeight="1" x14ac:dyDescent="0.2">
      <c r="A85" s="2"/>
      <c r="B85" s="2"/>
      <c r="C85" s="14"/>
      <c r="D85" s="280" t="s">
        <v>83</v>
      </c>
      <c r="E85" s="285">
        <f>G14</f>
        <v>1545.2593749999999</v>
      </c>
      <c r="F85" s="359"/>
      <c r="G85" s="30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15.75" customHeight="1" x14ac:dyDescent="0.2">
      <c r="A86" s="2"/>
      <c r="B86" s="2"/>
      <c r="C86" s="14"/>
      <c r="D86" s="280" t="s">
        <v>192</v>
      </c>
      <c r="E86" s="287">
        <f>F66*F20</f>
        <v>1.6</v>
      </c>
      <c r="F86" s="359"/>
      <c r="G86" s="30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15.75" customHeight="1" x14ac:dyDescent="0.2">
      <c r="A87" s="2"/>
      <c r="B87" s="2"/>
      <c r="C87" s="14"/>
      <c r="D87" s="281" t="s">
        <v>193</v>
      </c>
      <c r="E87" s="288">
        <f>(F68+F69+F72+F75+F76)*F20</f>
        <v>2.3839999999999999</v>
      </c>
      <c r="F87" s="359"/>
      <c r="G87" s="30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15.75" customHeight="1" x14ac:dyDescent="0.2">
      <c r="A88" s="2"/>
      <c r="B88" s="2"/>
      <c r="C88" s="14"/>
      <c r="D88" s="280" t="s">
        <v>194</v>
      </c>
      <c r="E88" s="287">
        <f>F70*F20/F21*F21</f>
        <v>0.72</v>
      </c>
      <c r="F88" s="359"/>
      <c r="G88" s="30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15.75" customHeight="1" x14ac:dyDescent="0.2">
      <c r="A89" s="2"/>
      <c r="B89" s="2"/>
      <c r="C89" s="14"/>
      <c r="D89" s="280" t="s">
        <v>195</v>
      </c>
      <c r="E89" s="287">
        <f>F71*F20</f>
        <v>8.0000000000000016E-2</v>
      </c>
      <c r="F89" s="359"/>
      <c r="G89" s="30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15.75" customHeight="1" x14ac:dyDescent="0.2">
      <c r="A90" s="2"/>
      <c r="B90" s="2"/>
      <c r="C90" s="14"/>
      <c r="D90" s="281" t="s">
        <v>196</v>
      </c>
      <c r="E90" s="288">
        <f>SUM(E86:E89)</f>
        <v>4.7839999999999998</v>
      </c>
      <c r="F90" s="359"/>
      <c r="G90" s="30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5.75" customHeight="1" x14ac:dyDescent="0.2">
      <c r="A91" s="2"/>
      <c r="B91" s="2"/>
      <c r="C91" s="14"/>
      <c r="D91" s="280" t="s">
        <v>205</v>
      </c>
      <c r="E91" s="289">
        <f>PPI!F12</f>
        <v>9.4106160708311126E-2</v>
      </c>
      <c r="F91" s="359"/>
      <c r="G91" s="30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5.75" customHeight="1" x14ac:dyDescent="0.2">
      <c r="A92" s="2"/>
      <c r="B92" s="2"/>
      <c r="C92" s="14"/>
      <c r="D92" s="281" t="s">
        <v>206</v>
      </c>
      <c r="E92" s="286">
        <f>PPI!F24</f>
        <v>0.28987294958994303</v>
      </c>
      <c r="F92" s="359"/>
      <c r="G92" s="30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3.5" customHeight="1" x14ac:dyDescent="0.2">
      <c r="A93" s="2"/>
      <c r="B93" s="2"/>
      <c r="C93" s="14"/>
      <c r="D93" s="282" t="s">
        <v>84</v>
      </c>
      <c r="E93" s="290">
        <f ca="1">PPI!E26</f>
        <v>5.4863972330256354</v>
      </c>
      <c r="F93" s="359"/>
      <c r="G93" s="30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3.5" customHeight="1" x14ac:dyDescent="0.2">
      <c r="A94" s="2"/>
      <c r="B94" s="2"/>
      <c r="C94" s="14"/>
      <c r="D94" s="283" t="s">
        <v>85</v>
      </c>
      <c r="E94" s="291">
        <f>'Rep.forms_Financing'!E47</f>
        <v>2.5793536019494741</v>
      </c>
      <c r="F94" s="359"/>
      <c r="G94" s="30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3.5" customHeight="1" x14ac:dyDescent="0.2">
      <c r="A95" s="2"/>
      <c r="B95" s="2"/>
      <c r="C95" s="14"/>
      <c r="D95" s="284" t="s">
        <v>86</v>
      </c>
      <c r="E95" s="292">
        <f>_xlfn.MINIFS('Rep.forms_Financing'!G47:AI47,'Rep.forms_Financing'!G51:AI51,"1")</f>
        <v>2.41878178964682</v>
      </c>
      <c r="F95" s="359"/>
      <c r="G95" s="30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</sheetData>
  <mergeCells count="1">
    <mergeCell ref="H64:I64"/>
  </mergeCells>
  <pageMargins left="0.39370100000000002" right="0.39370100000000002" top="0.39370100000000002" bottom="0.39370100000000002" header="0.31496099999999999" footer="0.31496099999999999"/>
  <pageSetup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25"/>
  <sheetViews>
    <sheetView showGridLines="0" topLeftCell="C1" workbookViewId="0">
      <selection activeCell="C7" sqref="C7"/>
    </sheetView>
  </sheetViews>
  <sheetFormatPr baseColWidth="10" defaultColWidth="8.83203125" defaultRowHeight="15" customHeight="1" x14ac:dyDescent="0.2"/>
  <cols>
    <col min="1" max="2" width="8.83203125" style="1" hidden="1" customWidth="1"/>
    <col min="3" max="3" width="36.5" style="1" customWidth="1"/>
    <col min="4" max="4" width="10.33203125" style="1" customWidth="1"/>
    <col min="5" max="5" width="10.5" style="1" customWidth="1"/>
    <col min="6" max="6" width="9.33203125" style="1" customWidth="1"/>
    <col min="7" max="35" width="9.1640625" style="1" customWidth="1"/>
    <col min="36" max="36" width="8.83203125" style="1" customWidth="1"/>
    <col min="37" max="16384" width="8.83203125" style="1"/>
  </cols>
  <sheetData>
    <row r="1" spans="1:35" ht="13.5" customHeight="1" x14ac:dyDescent="0.2">
      <c r="A1" s="2"/>
      <c r="B1" s="2"/>
      <c r="C1" s="3" t="s">
        <v>87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3.5" customHeight="1" x14ac:dyDescent="0.2">
      <c r="A2" s="2"/>
      <c r="B2" s="2"/>
      <c r="C2" s="166"/>
      <c r="D2" s="2"/>
      <c r="E2" s="5">
        <f>Assumptions!F1</f>
        <v>2026</v>
      </c>
      <c r="F2" s="5">
        <f>Assumptions!G1</f>
        <v>2027</v>
      </c>
      <c r="G2" s="5">
        <f>Assumptions!H1</f>
        <v>2028</v>
      </c>
      <c r="H2" s="5">
        <f>Assumptions!I1</f>
        <v>2029</v>
      </c>
      <c r="I2" s="5">
        <f>Assumptions!J1</f>
        <v>2030</v>
      </c>
      <c r="J2" s="5">
        <f>Assumptions!K1</f>
        <v>2031</v>
      </c>
      <c r="K2" s="5">
        <f>Assumptions!L1</f>
        <v>2032</v>
      </c>
      <c r="L2" s="5">
        <f>Assumptions!M1</f>
        <v>2033</v>
      </c>
      <c r="M2" s="5">
        <f>Assumptions!N1</f>
        <v>2034</v>
      </c>
      <c r="N2" s="5">
        <f>Assumptions!O1</f>
        <v>2035</v>
      </c>
      <c r="O2" s="5">
        <f>Assumptions!P1</f>
        <v>2036</v>
      </c>
      <c r="P2" s="5">
        <f>Assumptions!Q1</f>
        <v>2037</v>
      </c>
      <c r="Q2" s="5">
        <f>Assumptions!R1</f>
        <v>2038</v>
      </c>
      <c r="R2" s="5">
        <f>Assumptions!S1</f>
        <v>2039</v>
      </c>
      <c r="S2" s="5">
        <f>Assumptions!T1</f>
        <v>2040</v>
      </c>
      <c r="T2" s="5">
        <f>Assumptions!U1</f>
        <v>2041</v>
      </c>
      <c r="U2" s="5">
        <f>Assumptions!V1</f>
        <v>2042</v>
      </c>
      <c r="V2" s="5">
        <f>Assumptions!W1</f>
        <v>2043</v>
      </c>
      <c r="W2" s="5">
        <f>Assumptions!X1</f>
        <v>2044</v>
      </c>
      <c r="X2" s="5">
        <f>Assumptions!Y1</f>
        <v>2045</v>
      </c>
      <c r="Y2" s="5">
        <f>Assumptions!Z1</f>
        <v>2046</v>
      </c>
      <c r="Z2" s="5">
        <f>Assumptions!AA1</f>
        <v>2047</v>
      </c>
      <c r="AA2" s="5">
        <f>Assumptions!AB1</f>
        <v>2048</v>
      </c>
      <c r="AB2" s="5">
        <f>Assumptions!AC1</f>
        <v>2049</v>
      </c>
      <c r="AC2" s="5">
        <f>Assumptions!AD1</f>
        <v>2050</v>
      </c>
      <c r="AD2" s="5">
        <f>Assumptions!AE1</f>
        <v>2051</v>
      </c>
      <c r="AE2" s="5">
        <f>Assumptions!AF1</f>
        <v>2052</v>
      </c>
      <c r="AF2" s="5">
        <f>Assumptions!AG1</f>
        <v>2053</v>
      </c>
      <c r="AG2" s="5">
        <f>Assumptions!AH1</f>
        <v>2054</v>
      </c>
      <c r="AH2" s="5">
        <f>Assumptions!AI1</f>
        <v>2055</v>
      </c>
      <c r="AI2" s="5">
        <f>Assumptions!AJ1</f>
        <v>2056</v>
      </c>
    </row>
    <row r="3" spans="1:35" ht="13.5" customHeight="1" x14ac:dyDescent="0.2">
      <c r="A3" s="2"/>
      <c r="B3" s="2"/>
      <c r="C3" s="2"/>
      <c r="D3" s="2"/>
      <c r="E3" s="5">
        <v>0</v>
      </c>
      <c r="F3" s="5">
        <v>1</v>
      </c>
      <c r="G3" s="5">
        <v>2</v>
      </c>
      <c r="H3" s="5">
        <v>3</v>
      </c>
      <c r="I3" s="5">
        <v>4</v>
      </c>
      <c r="J3" s="5">
        <v>5</v>
      </c>
      <c r="K3" s="5">
        <v>6</v>
      </c>
      <c r="L3" s="5">
        <v>7</v>
      </c>
      <c r="M3" s="5">
        <v>8</v>
      </c>
      <c r="N3" s="5">
        <v>9</v>
      </c>
      <c r="O3" s="5">
        <v>10</v>
      </c>
      <c r="P3" s="5">
        <v>11</v>
      </c>
      <c r="Q3" s="5">
        <v>12</v>
      </c>
      <c r="R3" s="5">
        <v>13</v>
      </c>
      <c r="S3" s="5">
        <v>14</v>
      </c>
      <c r="T3" s="5">
        <v>15</v>
      </c>
      <c r="U3" s="5">
        <v>16</v>
      </c>
      <c r="V3" s="5">
        <v>17</v>
      </c>
      <c r="W3" s="5">
        <v>18</v>
      </c>
      <c r="X3" s="5">
        <v>19</v>
      </c>
      <c r="Y3" s="5">
        <v>20</v>
      </c>
      <c r="Z3" s="5">
        <v>21</v>
      </c>
      <c r="AA3" s="5">
        <v>22</v>
      </c>
      <c r="AB3" s="5">
        <v>23</v>
      </c>
      <c r="AC3" s="5">
        <v>24</v>
      </c>
      <c r="AD3" s="5">
        <v>25</v>
      </c>
      <c r="AE3" s="5">
        <v>26</v>
      </c>
      <c r="AF3" s="5">
        <v>27</v>
      </c>
      <c r="AG3" s="5">
        <v>28</v>
      </c>
      <c r="AH3" s="5">
        <v>29</v>
      </c>
      <c r="AI3" s="5">
        <v>30</v>
      </c>
    </row>
    <row r="4" spans="1:35" ht="13.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3.5" customHeight="1" x14ac:dyDescent="0.2">
      <c r="A5" s="2"/>
      <c r="B5" s="2"/>
      <c r="C5" s="9" t="s">
        <v>88</v>
      </c>
      <c r="D5" s="17" t="s">
        <v>89</v>
      </c>
      <c r="E5" s="29">
        <f>E7</f>
        <v>3184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3.5" customHeight="1" x14ac:dyDescent="0.2">
      <c r="A6" s="120"/>
      <c r="B6" s="120"/>
      <c r="C6" s="167" t="s">
        <v>90</v>
      </c>
      <c r="D6" s="9"/>
      <c r="E6" s="29">
        <f>Assumptions!H66</f>
        <v>1600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 spans="1:35" ht="13.5" customHeight="1" x14ac:dyDescent="0.2">
      <c r="A7" s="120"/>
      <c r="B7" s="120"/>
      <c r="C7" s="391" t="s">
        <v>197</v>
      </c>
      <c r="D7" s="9" t="s">
        <v>89</v>
      </c>
      <c r="E7" s="29">
        <f>Assumptions!G77</f>
        <v>3184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</row>
    <row r="8" spans="1:35" ht="13.5" customHeight="1" x14ac:dyDescent="0.2">
      <c r="A8" s="2"/>
      <c r="B8" s="2"/>
      <c r="C8" s="168"/>
      <c r="D8" s="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</row>
    <row r="9" spans="1:35" ht="13.5" customHeight="1" x14ac:dyDescent="0.2">
      <c r="A9" s="2"/>
      <c r="B9" s="2"/>
      <c r="C9" s="6" t="s">
        <v>91</v>
      </c>
      <c r="D9" s="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</row>
    <row r="10" spans="1:35" ht="13.5" customHeight="1" x14ac:dyDescent="0.2">
      <c r="A10" s="2"/>
      <c r="B10" s="2"/>
      <c r="C10" s="9" t="s">
        <v>92</v>
      </c>
      <c r="D10" s="9" t="s">
        <v>89</v>
      </c>
      <c r="E10" s="29">
        <f t="shared" ref="E10:AI10" si="0">SUM(E11:E12)</f>
        <v>0</v>
      </c>
      <c r="F10" s="29">
        <f t="shared" si="0"/>
        <v>4784</v>
      </c>
      <c r="G10" s="29">
        <f t="shared" si="0"/>
        <v>0</v>
      </c>
      <c r="H10" s="29">
        <f t="shared" si="0"/>
        <v>0</v>
      </c>
      <c r="I10" s="29">
        <f t="shared" si="0"/>
        <v>0</v>
      </c>
      <c r="J10" s="29">
        <f t="shared" si="0"/>
        <v>0</v>
      </c>
      <c r="K10" s="29">
        <f t="shared" si="0"/>
        <v>0</v>
      </c>
      <c r="L10" s="29">
        <f t="shared" si="0"/>
        <v>0</v>
      </c>
      <c r="M10" s="29">
        <f t="shared" si="0"/>
        <v>0</v>
      </c>
      <c r="N10" s="29">
        <f t="shared" si="0"/>
        <v>0</v>
      </c>
      <c r="O10" s="29">
        <f t="shared" si="0"/>
        <v>0</v>
      </c>
      <c r="P10" s="29">
        <f t="shared" si="0"/>
        <v>0</v>
      </c>
      <c r="Q10" s="29">
        <f t="shared" si="0"/>
        <v>0</v>
      </c>
      <c r="R10" s="29">
        <f t="shared" si="0"/>
        <v>0</v>
      </c>
      <c r="S10" s="29">
        <f t="shared" si="0"/>
        <v>0</v>
      </c>
      <c r="T10" s="29">
        <f t="shared" si="0"/>
        <v>0</v>
      </c>
      <c r="U10" s="29">
        <f t="shared" si="0"/>
        <v>0</v>
      </c>
      <c r="V10" s="29">
        <f t="shared" si="0"/>
        <v>0</v>
      </c>
      <c r="W10" s="29">
        <f t="shared" si="0"/>
        <v>0</v>
      </c>
      <c r="X10" s="29">
        <f t="shared" si="0"/>
        <v>0</v>
      </c>
      <c r="Y10" s="29">
        <f t="shared" si="0"/>
        <v>0</v>
      </c>
      <c r="Z10" s="29">
        <f t="shared" si="0"/>
        <v>0</v>
      </c>
      <c r="AA10" s="29">
        <f t="shared" si="0"/>
        <v>0</v>
      </c>
      <c r="AB10" s="29">
        <f t="shared" si="0"/>
        <v>0</v>
      </c>
      <c r="AC10" s="29">
        <f t="shared" si="0"/>
        <v>0</v>
      </c>
      <c r="AD10" s="29">
        <f t="shared" si="0"/>
        <v>0</v>
      </c>
      <c r="AE10" s="29">
        <f t="shared" si="0"/>
        <v>0</v>
      </c>
      <c r="AF10" s="29">
        <f t="shared" si="0"/>
        <v>0</v>
      </c>
      <c r="AG10" s="29">
        <f t="shared" si="0"/>
        <v>0</v>
      </c>
      <c r="AH10" s="29">
        <f t="shared" si="0"/>
        <v>0</v>
      </c>
      <c r="AI10" s="29">
        <f t="shared" si="0"/>
        <v>0</v>
      </c>
    </row>
    <row r="11" spans="1:35" ht="13.5" customHeight="1" x14ac:dyDescent="0.2">
      <c r="A11" s="2"/>
      <c r="B11" s="2"/>
      <c r="C11" s="8" t="s">
        <v>93</v>
      </c>
      <c r="D11" s="9" t="s">
        <v>89</v>
      </c>
      <c r="E11" s="29"/>
      <c r="F11" s="29">
        <f>(E5+E6)*100%</f>
        <v>4784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2" spans="1:35" ht="13.5" customHeight="1" x14ac:dyDescent="0.2">
      <c r="A12" s="2"/>
      <c r="B12" s="2"/>
      <c r="C12" s="8" t="s">
        <v>94</v>
      </c>
      <c r="D12" s="9" t="s">
        <v>89</v>
      </c>
      <c r="E12" s="29"/>
      <c r="F12" s="29">
        <f>(E5+E6)-F11</f>
        <v>0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</row>
    <row r="13" spans="1:35" ht="13.5" customHeight="1" x14ac:dyDescent="0.2">
      <c r="A13" s="2"/>
      <c r="B13" s="2"/>
      <c r="C13" s="9" t="s">
        <v>87</v>
      </c>
      <c r="D13" s="9" t="s">
        <v>89</v>
      </c>
      <c r="E13" s="29">
        <f t="shared" ref="E13:AI13" si="1">SUM(E14:E15)</f>
        <v>0</v>
      </c>
      <c r="F13" s="29">
        <f t="shared" si="1"/>
        <v>-478.4</v>
      </c>
      <c r="G13" s="29">
        <f t="shared" si="1"/>
        <v>-478.4</v>
      </c>
      <c r="H13" s="29">
        <f t="shared" si="1"/>
        <v>-478.4</v>
      </c>
      <c r="I13" s="29">
        <f t="shared" si="1"/>
        <v>-478.4</v>
      </c>
      <c r="J13" s="29">
        <f t="shared" si="1"/>
        <v>-478.4</v>
      </c>
      <c r="K13" s="29">
        <f t="shared" si="1"/>
        <v>-478.4</v>
      </c>
      <c r="L13" s="29">
        <f t="shared" si="1"/>
        <v>-478.4</v>
      </c>
      <c r="M13" s="29">
        <f t="shared" si="1"/>
        <v>-478.4</v>
      </c>
      <c r="N13" s="29">
        <f t="shared" si="1"/>
        <v>-478.4</v>
      </c>
      <c r="O13" s="29">
        <f t="shared" si="1"/>
        <v>-478.4</v>
      </c>
      <c r="P13" s="29">
        <f t="shared" si="1"/>
        <v>0</v>
      </c>
      <c r="Q13" s="29">
        <f t="shared" si="1"/>
        <v>0</v>
      </c>
      <c r="R13" s="29">
        <f t="shared" si="1"/>
        <v>0</v>
      </c>
      <c r="S13" s="29">
        <f t="shared" si="1"/>
        <v>0</v>
      </c>
      <c r="T13" s="29">
        <f t="shared" si="1"/>
        <v>0</v>
      </c>
      <c r="U13" s="29">
        <f t="shared" si="1"/>
        <v>0</v>
      </c>
      <c r="V13" s="29">
        <f t="shared" si="1"/>
        <v>0</v>
      </c>
      <c r="W13" s="29">
        <f t="shared" si="1"/>
        <v>0</v>
      </c>
      <c r="X13" s="29">
        <f t="shared" si="1"/>
        <v>0</v>
      </c>
      <c r="Y13" s="29">
        <f t="shared" si="1"/>
        <v>0</v>
      </c>
      <c r="Z13" s="29">
        <f t="shared" si="1"/>
        <v>0</v>
      </c>
      <c r="AA13" s="29">
        <f t="shared" si="1"/>
        <v>0</v>
      </c>
      <c r="AB13" s="29">
        <f t="shared" si="1"/>
        <v>0</v>
      </c>
      <c r="AC13" s="29">
        <f t="shared" si="1"/>
        <v>0</v>
      </c>
      <c r="AD13" s="29">
        <f t="shared" si="1"/>
        <v>0</v>
      </c>
      <c r="AE13" s="29">
        <f t="shared" si="1"/>
        <v>0</v>
      </c>
      <c r="AF13" s="29">
        <f t="shared" si="1"/>
        <v>0</v>
      </c>
      <c r="AG13" s="29">
        <f t="shared" si="1"/>
        <v>0</v>
      </c>
      <c r="AH13" s="29">
        <f t="shared" si="1"/>
        <v>0</v>
      </c>
      <c r="AI13" s="29">
        <f t="shared" si="1"/>
        <v>0</v>
      </c>
    </row>
    <row r="14" spans="1:35" ht="13.5" customHeight="1" x14ac:dyDescent="0.2">
      <c r="A14" s="2"/>
      <c r="B14" s="2"/>
      <c r="C14" s="8" t="s">
        <v>93</v>
      </c>
      <c r="D14" s="9" t="s">
        <v>89</v>
      </c>
      <c r="E14" s="29">
        <f>-$E$11/Assumptions!$F$63/12</f>
        <v>0</v>
      </c>
      <c r="F14" s="29">
        <f>-$F$11/Assumptions!$F$63</f>
        <v>-478.4</v>
      </c>
      <c r="G14" s="29">
        <f>-$F$11/Assumptions!$F$63</f>
        <v>-478.4</v>
      </c>
      <c r="H14" s="29">
        <f>-$F$11/Assumptions!$F$63</f>
        <v>-478.4</v>
      </c>
      <c r="I14" s="29">
        <f>-$F$11/Assumptions!$F$63</f>
        <v>-478.4</v>
      </c>
      <c r="J14" s="29">
        <f>-$F$11/Assumptions!$F$63</f>
        <v>-478.4</v>
      </c>
      <c r="K14" s="29">
        <f>-$F$11/Assumptions!$F$63</f>
        <v>-478.4</v>
      </c>
      <c r="L14" s="29">
        <f>-$F$11/Assumptions!$F$63</f>
        <v>-478.4</v>
      </c>
      <c r="M14" s="29">
        <f>-$F$11/Assumptions!$F$63</f>
        <v>-478.4</v>
      </c>
      <c r="N14" s="29">
        <f>-$F$11/Assumptions!$F$63</f>
        <v>-478.4</v>
      </c>
      <c r="O14" s="29">
        <f>-$F$11/Assumptions!$F$63</f>
        <v>-478.4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</row>
    <row r="15" spans="1:35" ht="13.5" customHeight="1" x14ac:dyDescent="0.2">
      <c r="A15" s="2"/>
      <c r="B15" s="2"/>
      <c r="C15" s="8" t="s">
        <v>94</v>
      </c>
      <c r="D15" s="9" t="s">
        <v>89</v>
      </c>
      <c r="E15" s="29">
        <f>-$E$12/Assumptions!$F$63/12</f>
        <v>0</v>
      </c>
      <c r="F15" s="29">
        <f>-$F$12/Assumptions!$F$63</f>
        <v>0</v>
      </c>
      <c r="G15" s="29">
        <f>-$F$12/Assumptions!$F$63</f>
        <v>0</v>
      </c>
      <c r="H15" s="29">
        <f>-$F$12/Assumptions!$F$63</f>
        <v>0</v>
      </c>
      <c r="I15" s="29">
        <f>-$F$12/Assumptions!$F$63</f>
        <v>0</v>
      </c>
      <c r="J15" s="29">
        <f>-$F$12/Assumptions!$F$63</f>
        <v>0</v>
      </c>
      <c r="K15" s="29">
        <f>-$F$12/Assumptions!$F$63</f>
        <v>0</v>
      </c>
      <c r="L15" s="29">
        <f>-$F$12/Assumptions!$F$63</f>
        <v>0</v>
      </c>
      <c r="M15" s="29">
        <f>-$F$12/Assumptions!$F$63</f>
        <v>0</v>
      </c>
      <c r="N15" s="29">
        <f>-$F$12/Assumptions!$F$63</f>
        <v>0</v>
      </c>
      <c r="O15" s="29">
        <f>-$F$12/Assumptions!$F$63</f>
        <v>0</v>
      </c>
      <c r="P15" s="29">
        <f>-$F$12/Assumptions!$F$63</f>
        <v>0</v>
      </c>
      <c r="Q15" s="29">
        <f>-$F$12/Assumptions!$F$63</f>
        <v>0</v>
      </c>
      <c r="R15" s="29">
        <f>-$F$12/Assumptions!$F$63</f>
        <v>0</v>
      </c>
      <c r="S15" s="29">
        <f>-$F$12/Assumptions!$F$63</f>
        <v>0</v>
      </c>
      <c r="T15" s="29">
        <f>-$F$12/Assumptions!$F$63</f>
        <v>0</v>
      </c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 spans="1:35" ht="13.5" customHeight="1" x14ac:dyDescent="0.2">
      <c r="A16" s="2"/>
      <c r="B16" s="2"/>
      <c r="C16" s="9" t="s">
        <v>95</v>
      </c>
      <c r="D16" s="9" t="s">
        <v>89</v>
      </c>
      <c r="E16" s="29">
        <f t="shared" ref="E16:AI16" si="2">SUM(E17:E18)</f>
        <v>0</v>
      </c>
      <c r="F16" s="29">
        <f t="shared" si="2"/>
        <v>4305.6000000000004</v>
      </c>
      <c r="G16" s="29">
        <f t="shared" si="2"/>
        <v>3827.2000000000003</v>
      </c>
      <c r="H16" s="29">
        <f t="shared" si="2"/>
        <v>3348.8</v>
      </c>
      <c r="I16" s="29">
        <f t="shared" si="2"/>
        <v>2870.4</v>
      </c>
      <c r="J16" s="29">
        <f t="shared" si="2"/>
        <v>2392</v>
      </c>
      <c r="K16" s="29">
        <f t="shared" si="2"/>
        <v>1913.6</v>
      </c>
      <c r="L16" s="29">
        <f t="shared" si="2"/>
        <v>1435.1999999999998</v>
      </c>
      <c r="M16" s="29">
        <f t="shared" si="2"/>
        <v>956.79999999999984</v>
      </c>
      <c r="N16" s="29">
        <f t="shared" si="2"/>
        <v>478.39999999999986</v>
      </c>
      <c r="O16" s="29">
        <f t="shared" si="2"/>
        <v>0</v>
      </c>
      <c r="P16" s="29">
        <f t="shared" si="2"/>
        <v>0</v>
      </c>
      <c r="Q16" s="29">
        <f t="shared" si="2"/>
        <v>0</v>
      </c>
      <c r="R16" s="29">
        <f t="shared" si="2"/>
        <v>0</v>
      </c>
      <c r="S16" s="29">
        <f t="shared" si="2"/>
        <v>0</v>
      </c>
      <c r="T16" s="29">
        <f t="shared" si="2"/>
        <v>0</v>
      </c>
      <c r="U16" s="29">
        <f t="shared" si="2"/>
        <v>0</v>
      </c>
      <c r="V16" s="29">
        <f t="shared" si="2"/>
        <v>0</v>
      </c>
      <c r="W16" s="29">
        <f t="shared" si="2"/>
        <v>0</v>
      </c>
      <c r="X16" s="29">
        <f t="shared" si="2"/>
        <v>0</v>
      </c>
      <c r="Y16" s="29">
        <f t="shared" si="2"/>
        <v>0</v>
      </c>
      <c r="Z16" s="29">
        <f t="shared" si="2"/>
        <v>0</v>
      </c>
      <c r="AA16" s="29">
        <f t="shared" si="2"/>
        <v>0</v>
      </c>
      <c r="AB16" s="29">
        <f t="shared" si="2"/>
        <v>0</v>
      </c>
      <c r="AC16" s="29">
        <f t="shared" si="2"/>
        <v>0</v>
      </c>
      <c r="AD16" s="29">
        <f t="shared" si="2"/>
        <v>0</v>
      </c>
      <c r="AE16" s="29">
        <f t="shared" si="2"/>
        <v>0</v>
      </c>
      <c r="AF16" s="29">
        <f t="shared" si="2"/>
        <v>0</v>
      </c>
      <c r="AG16" s="29">
        <f t="shared" si="2"/>
        <v>0</v>
      </c>
      <c r="AH16" s="29">
        <f t="shared" si="2"/>
        <v>0</v>
      </c>
      <c r="AI16" s="29">
        <f t="shared" si="2"/>
        <v>0</v>
      </c>
    </row>
    <row r="17" spans="1:35" ht="13.5" customHeight="1" x14ac:dyDescent="0.2">
      <c r="A17" s="2"/>
      <c r="B17" s="2"/>
      <c r="C17" s="8" t="s">
        <v>93</v>
      </c>
      <c r="D17" s="9" t="s">
        <v>89</v>
      </c>
      <c r="E17" s="29">
        <f>E11+E14</f>
        <v>0</v>
      </c>
      <c r="F17" s="29">
        <f t="shared" ref="F17:AI17" si="3">E17+F11+F14</f>
        <v>4305.6000000000004</v>
      </c>
      <c r="G17" s="29">
        <f t="shared" si="3"/>
        <v>3827.2000000000003</v>
      </c>
      <c r="H17" s="29">
        <f t="shared" si="3"/>
        <v>3348.8</v>
      </c>
      <c r="I17" s="29">
        <f t="shared" si="3"/>
        <v>2870.4</v>
      </c>
      <c r="J17" s="29">
        <f t="shared" si="3"/>
        <v>2392</v>
      </c>
      <c r="K17" s="29">
        <f t="shared" si="3"/>
        <v>1913.6</v>
      </c>
      <c r="L17" s="29">
        <f t="shared" si="3"/>
        <v>1435.1999999999998</v>
      </c>
      <c r="M17" s="29">
        <f t="shared" si="3"/>
        <v>956.79999999999984</v>
      </c>
      <c r="N17" s="29">
        <f t="shared" si="3"/>
        <v>478.39999999999986</v>
      </c>
      <c r="O17" s="29">
        <f t="shared" si="3"/>
        <v>0</v>
      </c>
      <c r="P17" s="29">
        <f t="shared" si="3"/>
        <v>0</v>
      </c>
      <c r="Q17" s="29">
        <f t="shared" si="3"/>
        <v>0</v>
      </c>
      <c r="R17" s="29">
        <f t="shared" si="3"/>
        <v>0</v>
      </c>
      <c r="S17" s="29">
        <f t="shared" si="3"/>
        <v>0</v>
      </c>
      <c r="T17" s="29">
        <f t="shared" si="3"/>
        <v>0</v>
      </c>
      <c r="U17" s="29">
        <f t="shared" si="3"/>
        <v>0</v>
      </c>
      <c r="V17" s="29">
        <f t="shared" si="3"/>
        <v>0</v>
      </c>
      <c r="W17" s="29">
        <f t="shared" si="3"/>
        <v>0</v>
      </c>
      <c r="X17" s="29">
        <f t="shared" si="3"/>
        <v>0</v>
      </c>
      <c r="Y17" s="29">
        <f t="shared" si="3"/>
        <v>0</v>
      </c>
      <c r="Z17" s="29">
        <f t="shared" si="3"/>
        <v>0</v>
      </c>
      <c r="AA17" s="29">
        <f t="shared" si="3"/>
        <v>0</v>
      </c>
      <c r="AB17" s="29">
        <f t="shared" si="3"/>
        <v>0</v>
      </c>
      <c r="AC17" s="29">
        <f t="shared" si="3"/>
        <v>0</v>
      </c>
      <c r="AD17" s="29">
        <f t="shared" si="3"/>
        <v>0</v>
      </c>
      <c r="AE17" s="29">
        <f t="shared" si="3"/>
        <v>0</v>
      </c>
      <c r="AF17" s="29">
        <f t="shared" si="3"/>
        <v>0</v>
      </c>
      <c r="AG17" s="29">
        <f t="shared" si="3"/>
        <v>0</v>
      </c>
      <c r="AH17" s="29">
        <f t="shared" si="3"/>
        <v>0</v>
      </c>
      <c r="AI17" s="29">
        <f t="shared" si="3"/>
        <v>0</v>
      </c>
    </row>
    <row r="18" spans="1:35" ht="13.5" customHeight="1" x14ac:dyDescent="0.2">
      <c r="A18" s="2"/>
      <c r="B18" s="2"/>
      <c r="C18" s="8" t="s">
        <v>94</v>
      </c>
      <c r="D18" s="9" t="s">
        <v>89</v>
      </c>
      <c r="E18" s="29">
        <f>E12+E15</f>
        <v>0</v>
      </c>
      <c r="F18" s="29">
        <f t="shared" ref="F18:AI18" si="4">E18+F12+F15</f>
        <v>0</v>
      </c>
      <c r="G18" s="29">
        <f t="shared" si="4"/>
        <v>0</v>
      </c>
      <c r="H18" s="29">
        <f t="shared" si="4"/>
        <v>0</v>
      </c>
      <c r="I18" s="29">
        <f t="shared" si="4"/>
        <v>0</v>
      </c>
      <c r="J18" s="29">
        <f t="shared" si="4"/>
        <v>0</v>
      </c>
      <c r="K18" s="29">
        <f t="shared" si="4"/>
        <v>0</v>
      </c>
      <c r="L18" s="29">
        <f t="shared" si="4"/>
        <v>0</v>
      </c>
      <c r="M18" s="29">
        <f t="shared" si="4"/>
        <v>0</v>
      </c>
      <c r="N18" s="29">
        <f t="shared" si="4"/>
        <v>0</v>
      </c>
      <c r="O18" s="29">
        <f t="shared" si="4"/>
        <v>0</v>
      </c>
      <c r="P18" s="29">
        <f t="shared" si="4"/>
        <v>0</v>
      </c>
      <c r="Q18" s="29">
        <f t="shared" si="4"/>
        <v>0</v>
      </c>
      <c r="R18" s="29">
        <f t="shared" si="4"/>
        <v>0</v>
      </c>
      <c r="S18" s="29">
        <f t="shared" si="4"/>
        <v>0</v>
      </c>
      <c r="T18" s="29">
        <f t="shared" si="4"/>
        <v>0</v>
      </c>
      <c r="U18" s="29">
        <f t="shared" si="4"/>
        <v>0</v>
      </c>
      <c r="V18" s="29">
        <f t="shared" si="4"/>
        <v>0</v>
      </c>
      <c r="W18" s="29">
        <f t="shared" si="4"/>
        <v>0</v>
      </c>
      <c r="X18" s="29">
        <f t="shared" si="4"/>
        <v>0</v>
      </c>
      <c r="Y18" s="29">
        <f t="shared" si="4"/>
        <v>0</v>
      </c>
      <c r="Z18" s="29">
        <f t="shared" si="4"/>
        <v>0</v>
      </c>
      <c r="AA18" s="29">
        <f t="shared" si="4"/>
        <v>0</v>
      </c>
      <c r="AB18" s="29">
        <f t="shared" si="4"/>
        <v>0</v>
      </c>
      <c r="AC18" s="29">
        <f t="shared" si="4"/>
        <v>0</v>
      </c>
      <c r="AD18" s="29">
        <f t="shared" si="4"/>
        <v>0</v>
      </c>
      <c r="AE18" s="29">
        <f t="shared" si="4"/>
        <v>0</v>
      </c>
      <c r="AF18" s="29">
        <f t="shared" si="4"/>
        <v>0</v>
      </c>
      <c r="AG18" s="29">
        <f t="shared" si="4"/>
        <v>0</v>
      </c>
      <c r="AH18" s="29">
        <f t="shared" si="4"/>
        <v>0</v>
      </c>
      <c r="AI18" s="29">
        <f t="shared" si="4"/>
        <v>0</v>
      </c>
    </row>
    <row r="19" spans="1:35" ht="13.5" customHeight="1" x14ac:dyDescent="0.2">
      <c r="A19" s="2"/>
      <c r="B19" s="2"/>
      <c r="C19" s="109"/>
      <c r="D19" s="2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35" ht="13.5" customHeight="1" x14ac:dyDescent="0.2">
      <c r="A20" s="2"/>
      <c r="B20" s="2"/>
      <c r="C20" s="169" t="s">
        <v>65</v>
      </c>
      <c r="D20" s="9" t="s">
        <v>89</v>
      </c>
      <c r="E20" s="98">
        <f>-(E21)*Assumptions!F59</f>
        <v>0</v>
      </c>
      <c r="F20" s="98">
        <f>-(F21)*Assumptions!G59</f>
        <v>0</v>
      </c>
      <c r="G20" s="98">
        <f>-(G21)*Assumptions!H59</f>
        <v>0</v>
      </c>
      <c r="H20" s="98">
        <f>-(H21)*Assumptions!I59</f>
        <v>0</v>
      </c>
      <c r="I20" s="98">
        <f>-(I21)*Assumptions!J59</f>
        <v>0</v>
      </c>
      <c r="J20" s="98">
        <f>-(J21)*Assumptions!K59</f>
        <v>0</v>
      </c>
      <c r="K20" s="98">
        <f>-(K21)*Assumptions!L59</f>
        <v>0</v>
      </c>
      <c r="L20" s="98">
        <f>-(L21)*Assumptions!M59</f>
        <v>0</v>
      </c>
      <c r="M20" s="98">
        <f>-(M21)*Assumptions!N59</f>
        <v>0</v>
      </c>
      <c r="N20" s="98">
        <f>-(N21)*Assumptions!O59</f>
        <v>0</v>
      </c>
      <c r="O20" s="98">
        <f>-(O21)*Assumptions!P59</f>
        <v>0</v>
      </c>
      <c r="P20" s="98">
        <f>-(P21)*Assumptions!Q59</f>
        <v>0</v>
      </c>
      <c r="Q20" s="98">
        <f>-(Q21)*Assumptions!R59</f>
        <v>0</v>
      </c>
      <c r="R20" s="98">
        <f>-(R21)*Assumptions!S59</f>
        <v>0</v>
      </c>
      <c r="S20" s="98">
        <f>-(S21)*Assumptions!T59</f>
        <v>0</v>
      </c>
      <c r="T20" s="98">
        <f>-(T21)*Assumptions!U59</f>
        <v>0</v>
      </c>
      <c r="U20" s="98">
        <f>-(U21)*Assumptions!V59</f>
        <v>0</v>
      </c>
      <c r="V20" s="98">
        <f>-(V21)*Assumptions!W59</f>
        <v>0</v>
      </c>
      <c r="W20" s="98">
        <f>-(W21)*Assumptions!X59</f>
        <v>0</v>
      </c>
      <c r="X20" s="98">
        <f>-(X21)*Assumptions!Y59</f>
        <v>0</v>
      </c>
      <c r="Y20" s="98">
        <f>-(Y21)*Assumptions!Z59</f>
        <v>0</v>
      </c>
      <c r="Z20" s="98">
        <f>-(Z21)*Assumptions!AA59</f>
        <v>0</v>
      </c>
      <c r="AA20" s="98">
        <f>-(AA21)*Assumptions!AB59</f>
        <v>0</v>
      </c>
      <c r="AB20" s="98">
        <f>-(AB21)*Assumptions!AC59</f>
        <v>0</v>
      </c>
      <c r="AC20" s="98">
        <f>-(AC21)*Assumptions!AD59</f>
        <v>0</v>
      </c>
      <c r="AD20" s="98">
        <f>-(AD21)*Assumptions!AE59</f>
        <v>0</v>
      </c>
      <c r="AE20" s="98">
        <f>-(AE21)*Assumptions!AF59</f>
        <v>0</v>
      </c>
      <c r="AF20" s="98">
        <f>-(AF21)*Assumptions!AG59</f>
        <v>0</v>
      </c>
      <c r="AG20" s="98">
        <f>-(AG21)*Assumptions!AH59</f>
        <v>0</v>
      </c>
      <c r="AH20" s="98">
        <f>-(AH21)*Assumptions!AI59</f>
        <v>0</v>
      </c>
      <c r="AI20" s="98">
        <f>-(AI21)*Assumptions!AJ59</f>
        <v>0</v>
      </c>
    </row>
    <row r="21" spans="1:35" ht="13.5" customHeight="1" x14ac:dyDescent="0.2">
      <c r="A21" s="2"/>
      <c r="B21" s="2"/>
      <c r="C21" s="9" t="s">
        <v>96</v>
      </c>
      <c r="D21" s="9" t="s">
        <v>89</v>
      </c>
      <c r="E21" s="29">
        <f>(E11+E17)/12</f>
        <v>0</v>
      </c>
      <c r="F21" s="29">
        <f>(E17+F17)</f>
        <v>4305.6000000000004</v>
      </c>
      <c r="G21" s="29">
        <f t="shared" ref="G21:AI21" si="5">(F17+G17)/2</f>
        <v>4066.4000000000005</v>
      </c>
      <c r="H21" s="29">
        <f t="shared" si="5"/>
        <v>3588</v>
      </c>
      <c r="I21" s="29">
        <f t="shared" si="5"/>
        <v>3109.6000000000004</v>
      </c>
      <c r="J21" s="29">
        <f t="shared" si="5"/>
        <v>2631.2</v>
      </c>
      <c r="K21" s="29">
        <f t="shared" si="5"/>
        <v>2152.8000000000002</v>
      </c>
      <c r="L21" s="29">
        <f t="shared" si="5"/>
        <v>1674.3999999999999</v>
      </c>
      <c r="M21" s="29">
        <f t="shared" si="5"/>
        <v>1195.9999999999998</v>
      </c>
      <c r="N21" s="29">
        <f t="shared" si="5"/>
        <v>717.59999999999991</v>
      </c>
      <c r="O21" s="29">
        <f t="shared" si="5"/>
        <v>239.19999999999993</v>
      </c>
      <c r="P21" s="29">
        <f t="shared" si="5"/>
        <v>0</v>
      </c>
      <c r="Q21" s="29">
        <f t="shared" si="5"/>
        <v>0</v>
      </c>
      <c r="R21" s="29">
        <f t="shared" si="5"/>
        <v>0</v>
      </c>
      <c r="S21" s="29">
        <f t="shared" si="5"/>
        <v>0</v>
      </c>
      <c r="T21" s="29">
        <f t="shared" si="5"/>
        <v>0</v>
      </c>
      <c r="U21" s="29">
        <f t="shared" si="5"/>
        <v>0</v>
      </c>
      <c r="V21" s="29">
        <f t="shared" si="5"/>
        <v>0</v>
      </c>
      <c r="W21" s="29">
        <f t="shared" si="5"/>
        <v>0</v>
      </c>
      <c r="X21" s="29">
        <f t="shared" si="5"/>
        <v>0</v>
      </c>
      <c r="Y21" s="29">
        <f t="shared" si="5"/>
        <v>0</v>
      </c>
      <c r="Z21" s="29">
        <f t="shared" si="5"/>
        <v>0</v>
      </c>
      <c r="AA21" s="29">
        <f t="shared" si="5"/>
        <v>0</v>
      </c>
      <c r="AB21" s="29">
        <f t="shared" si="5"/>
        <v>0</v>
      </c>
      <c r="AC21" s="29">
        <f t="shared" si="5"/>
        <v>0</v>
      </c>
      <c r="AD21" s="29">
        <f t="shared" si="5"/>
        <v>0</v>
      </c>
      <c r="AE21" s="29">
        <f t="shared" si="5"/>
        <v>0</v>
      </c>
      <c r="AF21" s="29">
        <f t="shared" si="5"/>
        <v>0</v>
      </c>
      <c r="AG21" s="29">
        <f t="shared" si="5"/>
        <v>0</v>
      </c>
      <c r="AH21" s="29">
        <f t="shared" si="5"/>
        <v>0</v>
      </c>
      <c r="AI21" s="29">
        <f t="shared" si="5"/>
        <v>0</v>
      </c>
    </row>
    <row r="22" spans="1:35" ht="13.5" customHeight="1" x14ac:dyDescent="0.2">
      <c r="A22" s="2"/>
      <c r="B22" s="2"/>
      <c r="C22" s="109"/>
      <c r="D22" s="2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"/>
      <c r="AF22" s="2"/>
      <c r="AG22" s="2"/>
      <c r="AH22" s="2"/>
      <c r="AI22" s="2"/>
    </row>
    <row r="23" spans="1:35" ht="13.5" customHeight="1" x14ac:dyDescent="0.2">
      <c r="A23" s="2"/>
      <c r="B23" s="2"/>
      <c r="C23" s="2"/>
      <c r="D23" s="2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"/>
      <c r="AF23" s="2"/>
      <c r="AG23" s="2"/>
      <c r="AH23" s="2"/>
      <c r="AI23" s="2"/>
    </row>
    <row r="24" spans="1:35" ht="13.5" customHeight="1" x14ac:dyDescent="0.2">
      <c r="A24" s="2"/>
      <c r="B24" s="2"/>
      <c r="C24" s="170" t="s">
        <v>97</v>
      </c>
      <c r="D24" s="171">
        <f>(E5+E6)/Assumptions!F20/1000</f>
        <v>1.4950000000000001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"/>
      <c r="AF24" s="2"/>
      <c r="AG24" s="2"/>
      <c r="AH24" s="2"/>
      <c r="AI24" s="2"/>
    </row>
    <row r="25" spans="1:35" ht="13.75" customHeight="1" x14ac:dyDescent="0.2">
      <c r="A25" s="2"/>
      <c r="B25" s="2"/>
      <c r="C25" s="172" t="s">
        <v>98</v>
      </c>
      <c r="D25" s="28">
        <f>E5*Assumptions!$F$61</f>
        <v>0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"/>
      <c r="AF25" s="2"/>
      <c r="AG25" s="2"/>
      <c r="AH25" s="2"/>
      <c r="AI25" s="2"/>
    </row>
  </sheetData>
  <pageMargins left="0.39370100000000002" right="0.39370100000000002" top="0.39370100000000002" bottom="0.39370100000000002" header="0.31496099999999999" footer="0.31496099999999999"/>
  <pageSetup orientation="landscape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T117"/>
  <sheetViews>
    <sheetView showGridLines="0" topLeftCell="C49" workbookViewId="0">
      <selection activeCell="H81" sqref="H81"/>
    </sheetView>
  </sheetViews>
  <sheetFormatPr baseColWidth="10" defaultColWidth="8.83203125" defaultRowHeight="15" customHeight="1" x14ac:dyDescent="0.2"/>
  <cols>
    <col min="1" max="2" width="8.83203125" style="1" hidden="1" customWidth="1"/>
    <col min="3" max="3" width="33.33203125" style="1" customWidth="1"/>
    <col min="4" max="4" width="9.1640625" style="1" customWidth="1"/>
    <col min="5" max="5" width="11.33203125" style="1" customWidth="1"/>
    <col min="6" max="31" width="10.33203125" style="1" customWidth="1"/>
    <col min="32" max="36" width="10" style="1" customWidth="1"/>
    <col min="37" max="37" width="9.1640625" style="1" customWidth="1"/>
    <col min="38" max="44" width="8.83203125" style="1" hidden="1" customWidth="1"/>
    <col min="45" max="47" width="8.83203125" style="1" customWidth="1"/>
    <col min="48" max="16384" width="8.83203125" style="1"/>
  </cols>
  <sheetData>
    <row r="1" spans="1:46" ht="13.5" customHeight="1" x14ac:dyDescent="0.2">
      <c r="A1" s="7"/>
      <c r="B1" s="7"/>
      <c r="C1" s="173" t="s">
        <v>99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5"/>
    </row>
    <row r="2" spans="1:46" ht="13.5" customHeight="1" x14ac:dyDescent="0.2">
      <c r="A2" s="176"/>
      <c r="B2" s="176"/>
      <c r="C2" s="177"/>
      <c r="D2" s="178"/>
      <c r="E2" s="179" t="s">
        <v>100</v>
      </c>
      <c r="F2" s="180">
        <f>Assumptions!F1</f>
        <v>2026</v>
      </c>
      <c r="G2" s="181">
        <f>Assumptions!G1</f>
        <v>2027</v>
      </c>
      <c r="H2" s="181">
        <f>Assumptions!H1</f>
        <v>2028</v>
      </c>
      <c r="I2" s="181">
        <f>Assumptions!I1</f>
        <v>2029</v>
      </c>
      <c r="J2" s="181">
        <f>Assumptions!J1</f>
        <v>2030</v>
      </c>
      <c r="K2" s="181">
        <f>Assumptions!K1</f>
        <v>2031</v>
      </c>
      <c r="L2" s="181">
        <f>Assumptions!L1</f>
        <v>2032</v>
      </c>
      <c r="M2" s="181">
        <f>Assumptions!M1</f>
        <v>2033</v>
      </c>
      <c r="N2" s="181">
        <f>Assumptions!N1</f>
        <v>2034</v>
      </c>
      <c r="O2" s="181">
        <f>Assumptions!O1</f>
        <v>2035</v>
      </c>
      <c r="P2" s="181">
        <f>Assumptions!P1</f>
        <v>2036</v>
      </c>
      <c r="Q2" s="181">
        <f>Assumptions!Q1</f>
        <v>2037</v>
      </c>
      <c r="R2" s="181">
        <f>Assumptions!R1</f>
        <v>2038</v>
      </c>
      <c r="S2" s="181">
        <f>Assumptions!S1</f>
        <v>2039</v>
      </c>
      <c r="T2" s="181">
        <f>Assumptions!T1</f>
        <v>2040</v>
      </c>
      <c r="U2" s="181">
        <f>Assumptions!U1</f>
        <v>2041</v>
      </c>
      <c r="V2" s="181">
        <f>Assumptions!V1</f>
        <v>2042</v>
      </c>
      <c r="W2" s="181">
        <f>Assumptions!W1</f>
        <v>2043</v>
      </c>
      <c r="X2" s="181">
        <f>Assumptions!X1</f>
        <v>2044</v>
      </c>
      <c r="Y2" s="181">
        <f>Assumptions!Y1</f>
        <v>2045</v>
      </c>
      <c r="Z2" s="181">
        <f>Assumptions!Z1</f>
        <v>2046</v>
      </c>
      <c r="AA2" s="181">
        <f>Assumptions!AA1</f>
        <v>2047</v>
      </c>
      <c r="AB2" s="181">
        <f>Assumptions!AB1</f>
        <v>2048</v>
      </c>
      <c r="AC2" s="181">
        <f>Assumptions!AC1</f>
        <v>2049</v>
      </c>
      <c r="AD2" s="181">
        <f>Assumptions!AD1</f>
        <v>2050</v>
      </c>
      <c r="AE2" s="181">
        <f>Assumptions!AE1</f>
        <v>2051</v>
      </c>
      <c r="AF2" s="181">
        <f>Assumptions!AF1</f>
        <v>2052</v>
      </c>
      <c r="AG2" s="181">
        <f>Assumptions!AG1</f>
        <v>2053</v>
      </c>
      <c r="AH2" s="181">
        <f>Assumptions!AH1</f>
        <v>2054</v>
      </c>
      <c r="AI2" s="181">
        <f>Assumptions!AI1</f>
        <v>2055</v>
      </c>
      <c r="AJ2" s="181">
        <f>Assumptions!AJ1</f>
        <v>2056</v>
      </c>
      <c r="AK2" s="178"/>
      <c r="AL2" s="178"/>
      <c r="AM2" s="178"/>
      <c r="AN2" s="178"/>
      <c r="AO2" s="178"/>
      <c r="AP2" s="178"/>
      <c r="AQ2" s="178"/>
      <c r="AR2" s="178"/>
      <c r="AS2" s="178"/>
      <c r="AT2" s="182"/>
    </row>
    <row r="3" spans="1:46" ht="13.5" customHeight="1" x14ac:dyDescent="0.2">
      <c r="A3" s="176"/>
      <c r="B3" s="176"/>
      <c r="C3" s="183"/>
      <c r="D3" s="178"/>
      <c r="E3" s="184"/>
      <c r="F3" s="180">
        <v>0</v>
      </c>
      <c r="G3" s="181">
        <v>1</v>
      </c>
      <c r="H3" s="181">
        <v>2</v>
      </c>
      <c r="I3" s="181">
        <v>3</v>
      </c>
      <c r="J3" s="181">
        <v>4</v>
      </c>
      <c r="K3" s="181">
        <v>5</v>
      </c>
      <c r="L3" s="181">
        <v>6</v>
      </c>
      <c r="M3" s="181">
        <v>7</v>
      </c>
      <c r="N3" s="181">
        <v>8</v>
      </c>
      <c r="O3" s="181">
        <v>9</v>
      </c>
      <c r="P3" s="181">
        <v>10</v>
      </c>
      <c r="Q3" s="181">
        <v>11</v>
      </c>
      <c r="R3" s="181">
        <v>12</v>
      </c>
      <c r="S3" s="181">
        <v>13</v>
      </c>
      <c r="T3" s="181">
        <v>14</v>
      </c>
      <c r="U3" s="181">
        <v>15</v>
      </c>
      <c r="V3" s="181">
        <v>16</v>
      </c>
      <c r="W3" s="181">
        <v>17</v>
      </c>
      <c r="X3" s="181">
        <v>18</v>
      </c>
      <c r="Y3" s="181">
        <v>19</v>
      </c>
      <c r="Z3" s="181">
        <v>20</v>
      </c>
      <c r="AA3" s="181">
        <v>21</v>
      </c>
      <c r="AB3" s="181">
        <v>22</v>
      </c>
      <c r="AC3" s="181">
        <v>23</v>
      </c>
      <c r="AD3" s="181">
        <v>24</v>
      </c>
      <c r="AE3" s="181">
        <v>25</v>
      </c>
      <c r="AF3" s="181">
        <v>26</v>
      </c>
      <c r="AG3" s="181">
        <v>27</v>
      </c>
      <c r="AH3" s="181">
        <v>28</v>
      </c>
      <c r="AI3" s="181">
        <v>29</v>
      </c>
      <c r="AJ3" s="181">
        <v>30</v>
      </c>
      <c r="AK3" s="178"/>
      <c r="AL3" s="178"/>
      <c r="AM3" s="178"/>
      <c r="AN3" s="178"/>
      <c r="AO3" s="178"/>
      <c r="AP3" s="178"/>
      <c r="AQ3" s="178"/>
      <c r="AR3" s="178"/>
      <c r="AS3" s="178"/>
      <c r="AT3" s="182"/>
    </row>
    <row r="4" spans="1:46" ht="13.5" customHeight="1" x14ac:dyDescent="0.2">
      <c r="A4" s="185"/>
      <c r="B4" s="185"/>
      <c r="C4" s="186"/>
      <c r="D4" s="187"/>
      <c r="E4" s="188"/>
      <c r="F4" s="189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78"/>
      <c r="AT4" s="182"/>
    </row>
    <row r="5" spans="1:46" ht="13.5" customHeight="1" x14ac:dyDescent="0.2">
      <c r="A5" s="176"/>
      <c r="B5" s="176"/>
      <c r="C5" s="190" t="s">
        <v>101</v>
      </c>
      <c r="D5" s="191" t="s">
        <v>89</v>
      </c>
      <c r="E5" s="192">
        <f>SUM(F5:V5)</f>
        <v>12802.465325487869</v>
      </c>
      <c r="F5" s="193">
        <f t="shared" ref="F5:AJ5" si="0">F6*F7+F8</f>
        <v>0</v>
      </c>
      <c r="G5" s="194">
        <f t="shared" si="0"/>
        <v>791.71469917808224</v>
      </c>
      <c r="H5" s="194">
        <f t="shared" si="0"/>
        <v>788.54784038136995</v>
      </c>
      <c r="I5" s="194">
        <f t="shared" si="0"/>
        <v>785.38098158465755</v>
      </c>
      <c r="J5" s="194">
        <f t="shared" si="0"/>
        <v>782.21412278794526</v>
      </c>
      <c r="K5" s="194">
        <f t="shared" si="0"/>
        <v>779.04726399123297</v>
      </c>
      <c r="L5" s="194">
        <f t="shared" si="0"/>
        <v>783.63920924646573</v>
      </c>
      <c r="M5" s="194">
        <f t="shared" si="0"/>
        <v>788.24508868040414</v>
      </c>
      <c r="N5" s="194">
        <f t="shared" si="0"/>
        <v>792.86472178209669</v>
      </c>
      <c r="O5" s="194">
        <f t="shared" si="0"/>
        <v>797.49792303695506</v>
      </c>
      <c r="P5" s="194">
        <f t="shared" si="0"/>
        <v>802.1445018447323</v>
      </c>
      <c r="Q5" s="194">
        <f t="shared" si="0"/>
        <v>806.80426243636157</v>
      </c>
      <c r="R5" s="194">
        <f t="shared" si="0"/>
        <v>811.47700378963884</v>
      </c>
      <c r="S5" s="194">
        <f t="shared" si="0"/>
        <v>816.16251954373797</v>
      </c>
      <c r="T5" s="194">
        <f t="shared" si="0"/>
        <v>820.86059791254024</v>
      </c>
      <c r="U5" s="194">
        <f t="shared" si="0"/>
        <v>825.57102159676401</v>
      </c>
      <c r="V5" s="194">
        <f t="shared" si="0"/>
        <v>830.29356769488106</v>
      </c>
      <c r="W5" s="194">
        <f t="shared" si="0"/>
        <v>835.02800761280093</v>
      </c>
      <c r="X5" s="194">
        <f t="shared" si="0"/>
        <v>839.77410697230948</v>
      </c>
      <c r="Y5" s="194">
        <f t="shared" si="0"/>
        <v>844.5316255182471</v>
      </c>
      <c r="Z5" s="194">
        <f t="shared" si="0"/>
        <v>849.30031702440613</v>
      </c>
      <c r="AA5" s="194">
        <f t="shared" si="0"/>
        <v>854.0799291981366</v>
      </c>
      <c r="AB5" s="194">
        <f t="shared" si="0"/>
        <v>858.87020358363907</v>
      </c>
      <c r="AC5" s="194">
        <f t="shared" si="0"/>
        <v>863.67087546393202</v>
      </c>
      <c r="AD5" s="194">
        <f t="shared" si="0"/>
        <v>868.48167376147239</v>
      </c>
      <c r="AE5" s="194">
        <f t="shared" si="0"/>
        <v>873.30232093741722</v>
      </c>
      <c r="AF5" s="194">
        <f t="shared" si="0"/>
        <v>869.43815137574722</v>
      </c>
      <c r="AG5" s="194">
        <f t="shared" si="0"/>
        <v>865.57398181407723</v>
      </c>
      <c r="AH5" s="194">
        <f t="shared" si="0"/>
        <v>861.70981225240723</v>
      </c>
      <c r="AI5" s="194">
        <f t="shared" si="0"/>
        <v>857.84564269073724</v>
      </c>
      <c r="AJ5" s="194">
        <f t="shared" si="0"/>
        <v>853.98147312906724</v>
      </c>
      <c r="AK5" s="178"/>
      <c r="AL5" s="178"/>
      <c r="AM5" s="178"/>
      <c r="AN5" s="178"/>
      <c r="AO5" s="178"/>
      <c r="AP5" s="178"/>
      <c r="AQ5" s="178"/>
      <c r="AR5" s="178"/>
      <c r="AS5" s="178"/>
      <c r="AT5" s="182"/>
    </row>
    <row r="6" spans="1:46" ht="13.5" customHeight="1" x14ac:dyDescent="0.2">
      <c r="A6" s="176"/>
      <c r="B6" s="176"/>
      <c r="C6" s="195" t="s">
        <v>102</v>
      </c>
      <c r="D6" s="191" t="s">
        <v>26</v>
      </c>
      <c r="E6" s="192">
        <f>SUM(F6:V6)</f>
        <v>76796.325820273967</v>
      </c>
      <c r="F6" s="196">
        <v>0</v>
      </c>
      <c r="G6" s="194">
        <f>Assumptions!G25</f>
        <v>4948.2168698630139</v>
      </c>
      <c r="H6" s="194">
        <f>Assumptions!H25</f>
        <v>4928.4240023835619</v>
      </c>
      <c r="I6" s="194">
        <f>Assumptions!I25</f>
        <v>4908.6311349041098</v>
      </c>
      <c r="J6" s="194">
        <f>Assumptions!J25</f>
        <v>4888.8382674246577</v>
      </c>
      <c r="K6" s="194">
        <f>Assumptions!K25</f>
        <v>4869.0453999452056</v>
      </c>
      <c r="L6" s="194">
        <f>Assumptions!L25</f>
        <v>4849.2525324657536</v>
      </c>
      <c r="M6" s="194">
        <f>Assumptions!M25</f>
        <v>4829.4596649863015</v>
      </c>
      <c r="N6" s="194">
        <f>Assumptions!N25</f>
        <v>4809.6667975068494</v>
      </c>
      <c r="O6" s="194">
        <f>Assumptions!O25</f>
        <v>4789.8739300273974</v>
      </c>
      <c r="P6" s="194">
        <f>Assumptions!P25</f>
        <v>4770.0810625479453</v>
      </c>
      <c r="Q6" s="194">
        <f>Assumptions!Q25</f>
        <v>4750.2881950684932</v>
      </c>
      <c r="R6" s="194">
        <f>Assumptions!R25</f>
        <v>4730.4953275890412</v>
      </c>
      <c r="S6" s="194">
        <f>Assumptions!S25</f>
        <v>4710.7024601095891</v>
      </c>
      <c r="T6" s="194">
        <f>Assumptions!T25</f>
        <v>4690.909592630137</v>
      </c>
      <c r="U6" s="194">
        <f>Assumptions!U25</f>
        <v>4671.1167251506849</v>
      </c>
      <c r="V6" s="194">
        <f>Assumptions!V25</f>
        <v>4651.3238576712329</v>
      </c>
      <c r="W6" s="194">
        <f>Assumptions!W25</f>
        <v>4631.5309901917808</v>
      </c>
      <c r="X6" s="194">
        <f>Assumptions!X25</f>
        <v>4611.7381227123287</v>
      </c>
      <c r="Y6" s="194">
        <f>Assumptions!Y25</f>
        <v>4591.9452552328767</v>
      </c>
      <c r="Z6" s="194">
        <f>Assumptions!Z25</f>
        <v>4572.1523877534246</v>
      </c>
      <c r="AA6" s="194">
        <f>Assumptions!AA25</f>
        <v>4552.3595202739725</v>
      </c>
      <c r="AB6" s="194">
        <f>Assumptions!AB25</f>
        <v>4532.5666527945205</v>
      </c>
      <c r="AC6" s="194">
        <f>Assumptions!AC25</f>
        <v>4512.7737853150684</v>
      </c>
      <c r="AD6" s="194">
        <f>Assumptions!AD25</f>
        <v>4492.9809178356163</v>
      </c>
      <c r="AE6" s="194">
        <f>Assumptions!AE25</f>
        <v>4473.1880503561642</v>
      </c>
      <c r="AF6" s="194">
        <f>Assumptions!AF25</f>
        <v>4453.3951828767122</v>
      </c>
      <c r="AG6" s="194">
        <f>Assumptions!AG25</f>
        <v>4433.6023153972601</v>
      </c>
      <c r="AH6" s="194">
        <f>Assumptions!AH25</f>
        <v>4413.809447917808</v>
      </c>
      <c r="AI6" s="194">
        <f>Assumptions!AI25</f>
        <v>4394.016580438356</v>
      </c>
      <c r="AJ6" s="194">
        <f>Assumptions!AJ25</f>
        <v>4374.2237129589039</v>
      </c>
      <c r="AK6" s="178"/>
      <c r="AL6" s="178"/>
      <c r="AM6" s="178"/>
      <c r="AN6" s="178"/>
      <c r="AO6" s="178"/>
      <c r="AP6" s="178"/>
      <c r="AQ6" s="178"/>
      <c r="AR6" s="178"/>
      <c r="AS6" s="178"/>
      <c r="AT6" s="182"/>
    </row>
    <row r="7" spans="1:46" ht="13.5" customHeight="1" x14ac:dyDescent="0.2">
      <c r="A7" s="176"/>
      <c r="B7" s="176"/>
      <c r="C7" s="195" t="s">
        <v>103</v>
      </c>
      <c r="D7" s="191" t="str">
        <f>Assumptions!D31</f>
        <v>USD/kWh</v>
      </c>
      <c r="E7" s="192"/>
      <c r="F7" s="189"/>
      <c r="G7" s="187">
        <f>Assumptions!G31</f>
        <v>0.16</v>
      </c>
      <c r="H7" s="187">
        <f>Assumptions!H31</f>
        <v>0.16</v>
      </c>
      <c r="I7" s="187">
        <f>Assumptions!I31</f>
        <v>0.16</v>
      </c>
      <c r="J7" s="187">
        <f>Assumptions!J31</f>
        <v>0.16</v>
      </c>
      <c r="K7" s="187">
        <f>Assumptions!K31</f>
        <v>0.16</v>
      </c>
      <c r="L7" s="187">
        <f>Assumptions!L31</f>
        <v>0.16159999999999999</v>
      </c>
      <c r="M7" s="187">
        <f>Assumptions!M31</f>
        <v>0.163216</v>
      </c>
      <c r="N7" s="187">
        <f>Assumptions!N31</f>
        <v>0.16484815999999999</v>
      </c>
      <c r="O7" s="187">
        <f>Assumptions!O31</f>
        <v>0.16649664159999999</v>
      </c>
      <c r="P7" s="187">
        <f>Assumptions!P31</f>
        <v>0.168161608016</v>
      </c>
      <c r="Q7" s="187">
        <f>Assumptions!Q31</f>
        <v>0.16984322409616001</v>
      </c>
      <c r="R7" s="187">
        <f>Assumptions!R31</f>
        <v>0.17154165633712162</v>
      </c>
      <c r="S7" s="187">
        <f>Assumptions!S31</f>
        <v>0.17325707290049283</v>
      </c>
      <c r="T7" s="187">
        <f>Assumptions!T31</f>
        <v>0.17498964362949776</v>
      </c>
      <c r="U7" s="187">
        <f>Assumptions!U31</f>
        <v>0.17673954006579273</v>
      </c>
      <c r="V7" s="187">
        <f>Assumptions!V31</f>
        <v>0.17850693546645066</v>
      </c>
      <c r="W7" s="187">
        <f>Assumptions!W31</f>
        <v>0.18029200482111518</v>
      </c>
      <c r="X7" s="187">
        <f>Assumptions!X31</f>
        <v>0.18209492486932632</v>
      </c>
      <c r="Y7" s="187">
        <f>Assumptions!Y31</f>
        <v>0.1839158741180196</v>
      </c>
      <c r="Z7" s="187">
        <f>Assumptions!Z31</f>
        <v>0.18575503285919978</v>
      </c>
      <c r="AA7" s="187">
        <f>Assumptions!AA31</f>
        <v>0.18761258318779178</v>
      </c>
      <c r="AB7" s="187">
        <f>Assumptions!AB31</f>
        <v>0.18948870901966969</v>
      </c>
      <c r="AC7" s="187">
        <f>Assumptions!AC31</f>
        <v>0.19138359610986641</v>
      </c>
      <c r="AD7" s="187">
        <f>Assumptions!AD31</f>
        <v>0.19329743207096509</v>
      </c>
      <c r="AE7" s="187">
        <f>Assumptions!AE31</f>
        <v>0.19523040639167474</v>
      </c>
      <c r="AF7" s="187">
        <f>Assumptions!AF31</f>
        <v>0.19523040639167474</v>
      </c>
      <c r="AG7" s="187">
        <f>Assumptions!AG31</f>
        <v>0.19523040639167474</v>
      </c>
      <c r="AH7" s="187">
        <f>Assumptions!AH31</f>
        <v>0.19523040639167474</v>
      </c>
      <c r="AI7" s="187">
        <f>Assumptions!AI31</f>
        <v>0.19523040639167474</v>
      </c>
      <c r="AJ7" s="187">
        <f>Assumptions!AJ31</f>
        <v>0.19523040639167474</v>
      </c>
      <c r="AK7" s="178"/>
      <c r="AL7" s="178"/>
      <c r="AM7" s="178"/>
      <c r="AN7" s="178"/>
      <c r="AO7" s="178"/>
      <c r="AP7" s="178"/>
      <c r="AQ7" s="178"/>
      <c r="AR7" s="178"/>
      <c r="AS7" s="178"/>
      <c r="AT7" s="182"/>
    </row>
    <row r="8" spans="1:46" ht="13.5" customHeight="1" x14ac:dyDescent="0.2">
      <c r="A8" s="176"/>
      <c r="B8" s="176"/>
      <c r="C8" s="195" t="s">
        <v>104</v>
      </c>
      <c r="D8" s="191" t="s">
        <v>89</v>
      </c>
      <c r="E8" s="192">
        <f>SUM(F8:V8)</f>
        <v>0</v>
      </c>
      <c r="F8" s="196"/>
      <c r="G8" s="194">
        <f>Assumptions!G32*Assumptions!G25/1000</f>
        <v>0</v>
      </c>
      <c r="H8" s="194">
        <f>Assumptions!H32*Assumptions!H25/1000</f>
        <v>0</v>
      </c>
      <c r="I8" s="194">
        <f>Assumptions!I32*Assumptions!I25/1000</f>
        <v>0</v>
      </c>
      <c r="J8" s="194">
        <f>Assumptions!J32*Assumptions!J25/1000</f>
        <v>0</v>
      </c>
      <c r="K8" s="194">
        <f>Assumptions!K32*Assumptions!K25/1000</f>
        <v>0</v>
      </c>
      <c r="L8" s="194">
        <f>Assumptions!L32*Assumptions!L25/1000</f>
        <v>0</v>
      </c>
      <c r="M8" s="194">
        <f>Assumptions!M32*Assumptions!M25/1000</f>
        <v>0</v>
      </c>
      <c r="N8" s="194">
        <f>Assumptions!N32*Assumptions!N25/1000</f>
        <v>0</v>
      </c>
      <c r="O8" s="194">
        <f>Assumptions!O32*Assumptions!O25/1000</f>
        <v>0</v>
      </c>
      <c r="P8" s="194">
        <f>Assumptions!P32*Assumptions!P25/1000</f>
        <v>0</v>
      </c>
      <c r="Q8" s="194">
        <f>Assumptions!Q32*Assumptions!Q25/1000</f>
        <v>0</v>
      </c>
      <c r="R8" s="194">
        <f>Assumptions!R32*Assumptions!R25/1000</f>
        <v>0</v>
      </c>
      <c r="S8" s="194">
        <f>Assumptions!S32*Assumptions!S25/1000</f>
        <v>0</v>
      </c>
      <c r="T8" s="194">
        <f>Assumptions!T32*Assumptions!T25/1000</f>
        <v>0</v>
      </c>
      <c r="U8" s="194">
        <f>Assumptions!U32*Assumptions!U25/1000</f>
        <v>0</v>
      </c>
      <c r="V8" s="194">
        <f>Assumptions!V32*Assumptions!V25/1000</f>
        <v>0</v>
      </c>
      <c r="W8" s="194">
        <f>Assumptions!W32*Assumptions!W25/1000</f>
        <v>0</v>
      </c>
      <c r="X8" s="194">
        <f>Assumptions!X32*Assumptions!X25/1000</f>
        <v>0</v>
      </c>
      <c r="Y8" s="194">
        <f>Assumptions!Y32*Assumptions!Y25/1000</f>
        <v>0</v>
      </c>
      <c r="Z8" s="194">
        <f>Assumptions!Z32*Assumptions!Z25/1000</f>
        <v>0</v>
      </c>
      <c r="AA8" s="194">
        <f>Assumptions!AA32*Assumptions!AA25/1000</f>
        <v>0</v>
      </c>
      <c r="AB8" s="194">
        <f>Assumptions!AB32*Assumptions!AB25/1000</f>
        <v>0</v>
      </c>
      <c r="AC8" s="194">
        <f>Assumptions!AC32*Assumptions!AC25/1000</f>
        <v>0</v>
      </c>
      <c r="AD8" s="194">
        <f>Assumptions!AD32*Assumptions!AD25/1000</f>
        <v>0</v>
      </c>
      <c r="AE8" s="194">
        <f>Assumptions!AE32*Assumptions!AE25/1000</f>
        <v>0</v>
      </c>
      <c r="AF8" s="194">
        <f>Assumptions!AF32*Assumptions!AF25/1000</f>
        <v>0</v>
      </c>
      <c r="AG8" s="194">
        <f>Assumptions!AG32*Assumptions!AG25/1000</f>
        <v>0</v>
      </c>
      <c r="AH8" s="194">
        <f>Assumptions!AH32*Assumptions!AH25/1000</f>
        <v>0</v>
      </c>
      <c r="AI8" s="194">
        <f>Assumptions!AI32*Assumptions!AI25/1000</f>
        <v>0</v>
      </c>
      <c r="AJ8" s="194">
        <f>Assumptions!AJ32*Assumptions!AJ25/1000</f>
        <v>0</v>
      </c>
      <c r="AK8" s="178"/>
      <c r="AL8" s="178"/>
      <c r="AM8" s="178"/>
      <c r="AN8" s="178"/>
      <c r="AO8" s="178"/>
      <c r="AP8" s="178"/>
      <c r="AQ8" s="178"/>
      <c r="AR8" s="178"/>
      <c r="AS8" s="178"/>
      <c r="AT8" s="182"/>
    </row>
    <row r="9" spans="1:46" ht="13.5" customHeight="1" x14ac:dyDescent="0.2">
      <c r="A9" s="176"/>
      <c r="B9" s="176"/>
      <c r="C9" s="197"/>
      <c r="D9" s="178"/>
      <c r="E9" s="184"/>
      <c r="F9" s="196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78"/>
      <c r="AL9" s="178"/>
      <c r="AM9" s="178"/>
      <c r="AN9" s="178"/>
      <c r="AO9" s="178"/>
      <c r="AP9" s="178"/>
      <c r="AQ9" s="178"/>
      <c r="AR9" s="178"/>
      <c r="AS9" s="178"/>
      <c r="AT9" s="182"/>
    </row>
    <row r="10" spans="1:46" ht="13.5" customHeight="1" x14ac:dyDescent="0.2">
      <c r="A10" s="176"/>
      <c r="B10" s="176"/>
      <c r="C10" s="198" t="s">
        <v>42</v>
      </c>
      <c r="D10" s="191" t="s">
        <v>89</v>
      </c>
      <c r="E10" s="192">
        <f>SUM(F10:V10)</f>
        <v>-1740.2256209557913</v>
      </c>
      <c r="F10" s="196">
        <f t="shared" ref="F10:AJ10" si="1">SUM(F11:F12)</f>
        <v>0</v>
      </c>
      <c r="G10" s="194">
        <f t="shared" si="1"/>
        <v>-93.92</v>
      </c>
      <c r="H10" s="194">
        <f t="shared" si="1"/>
        <v>-95.198399999999992</v>
      </c>
      <c r="I10" s="194">
        <f t="shared" si="1"/>
        <v>-97.102367999999998</v>
      </c>
      <c r="J10" s="194">
        <f t="shared" si="1"/>
        <v>-99.044415360000002</v>
      </c>
      <c r="K10" s="194">
        <f t="shared" si="1"/>
        <v>-101.02530366719999</v>
      </c>
      <c r="L10" s="194">
        <f t="shared" si="1"/>
        <v>-103.04580974054403</v>
      </c>
      <c r="M10" s="194">
        <f t="shared" si="1"/>
        <v>-105.1067259353549</v>
      </c>
      <c r="N10" s="194">
        <f t="shared" si="1"/>
        <v>-107.20886045406199</v>
      </c>
      <c r="O10" s="194">
        <f t="shared" si="1"/>
        <v>-109.35303766314323</v>
      </c>
      <c r="P10" s="194">
        <f t="shared" si="1"/>
        <v>-111.5400984164061</v>
      </c>
      <c r="Q10" s="194">
        <f t="shared" si="1"/>
        <v>-113.77090038473423</v>
      </c>
      <c r="R10" s="194">
        <f t="shared" si="1"/>
        <v>-116.0463183924289</v>
      </c>
      <c r="S10" s="194">
        <f t="shared" si="1"/>
        <v>-118.36724476027749</v>
      </c>
      <c r="T10" s="194">
        <f t="shared" si="1"/>
        <v>-120.73458965548303</v>
      </c>
      <c r="U10" s="194">
        <f t="shared" si="1"/>
        <v>-123.1492814485927</v>
      </c>
      <c r="V10" s="194">
        <f t="shared" si="1"/>
        <v>-125.61226707756457</v>
      </c>
      <c r="W10" s="194">
        <f t="shared" si="1"/>
        <v>-128.12451241911586</v>
      </c>
      <c r="X10" s="194">
        <f t="shared" si="1"/>
        <v>-130.68700266749818</v>
      </c>
      <c r="Y10" s="194">
        <f t="shared" si="1"/>
        <v>-133.30074272084815</v>
      </c>
      <c r="Z10" s="194">
        <f t="shared" si="1"/>
        <v>-135.96675757526512</v>
      </c>
      <c r="AA10" s="194">
        <f t="shared" si="1"/>
        <v>-138.68609272677043</v>
      </c>
      <c r="AB10" s="194">
        <f t="shared" si="1"/>
        <v>-141.45981458130586</v>
      </c>
      <c r="AC10" s="194">
        <f t="shared" si="1"/>
        <v>-144.28901087293195</v>
      </c>
      <c r="AD10" s="194">
        <f t="shared" si="1"/>
        <v>-147.17479109039061</v>
      </c>
      <c r="AE10" s="194">
        <f t="shared" si="1"/>
        <v>-150.11828691219841</v>
      </c>
      <c r="AF10" s="194">
        <f t="shared" si="1"/>
        <v>-153.12065265044237</v>
      </c>
      <c r="AG10" s="194">
        <f t="shared" si="1"/>
        <v>-156.18306570345121</v>
      </c>
      <c r="AH10" s="194">
        <f t="shared" si="1"/>
        <v>-159.30672701752025</v>
      </c>
      <c r="AI10" s="194">
        <f t="shared" si="1"/>
        <v>-162.4928615578707</v>
      </c>
      <c r="AJ10" s="194">
        <f t="shared" si="1"/>
        <v>-165.74271878902809</v>
      </c>
      <c r="AK10" s="178"/>
      <c r="AL10" s="178"/>
      <c r="AM10" s="178"/>
      <c r="AN10" s="178"/>
      <c r="AO10" s="178"/>
      <c r="AP10" s="178"/>
      <c r="AQ10" s="178"/>
      <c r="AR10" s="178"/>
      <c r="AS10" s="178"/>
      <c r="AT10" s="182"/>
    </row>
    <row r="11" spans="1:46" ht="13.5" customHeight="1" x14ac:dyDescent="0.2">
      <c r="A11" s="176"/>
      <c r="B11" s="176"/>
      <c r="C11" s="195" t="s">
        <v>42</v>
      </c>
      <c r="D11" s="178"/>
      <c r="E11" s="192"/>
      <c r="F11" s="196">
        <v>0</v>
      </c>
      <c r="G11" s="194">
        <f>-Assumptions!G42</f>
        <v>-93.92</v>
      </c>
      <c r="H11" s="194">
        <f>-Assumptions!H42</f>
        <v>-95.198399999999992</v>
      </c>
      <c r="I11" s="194">
        <f>-Assumptions!I42</f>
        <v>-97.102367999999998</v>
      </c>
      <c r="J11" s="194">
        <f>-Assumptions!J42</f>
        <v>-99.044415360000002</v>
      </c>
      <c r="K11" s="194">
        <f>-Assumptions!K42</f>
        <v>-101.02530366719999</v>
      </c>
      <c r="L11" s="194">
        <f>-Assumptions!L42</f>
        <v>-103.04580974054403</v>
      </c>
      <c r="M11" s="194">
        <f>-Assumptions!M42</f>
        <v>-105.1067259353549</v>
      </c>
      <c r="N11" s="194">
        <f>-Assumptions!N42</f>
        <v>-107.20886045406199</v>
      </c>
      <c r="O11" s="194">
        <f>-Assumptions!O42</f>
        <v>-109.35303766314323</v>
      </c>
      <c r="P11" s="194">
        <f>-Assumptions!P42</f>
        <v>-111.5400984164061</v>
      </c>
      <c r="Q11" s="194">
        <f>-Assumptions!Q42</f>
        <v>-113.77090038473423</v>
      </c>
      <c r="R11" s="194">
        <f>-Assumptions!R42</f>
        <v>-116.0463183924289</v>
      </c>
      <c r="S11" s="194">
        <f>-Assumptions!S42</f>
        <v>-118.36724476027749</v>
      </c>
      <c r="T11" s="194">
        <f>-Assumptions!T42</f>
        <v>-120.73458965548303</v>
      </c>
      <c r="U11" s="194">
        <f>-Assumptions!U42</f>
        <v>-123.1492814485927</v>
      </c>
      <c r="V11" s="194">
        <f>-Assumptions!V42</f>
        <v>-125.61226707756457</v>
      </c>
      <c r="W11" s="194">
        <f>-Assumptions!W42</f>
        <v>-128.12451241911586</v>
      </c>
      <c r="X11" s="194">
        <f>-Assumptions!X42</f>
        <v>-130.68700266749818</v>
      </c>
      <c r="Y11" s="194">
        <f>-Assumptions!Y42</f>
        <v>-133.30074272084815</v>
      </c>
      <c r="Z11" s="194">
        <f>-Assumptions!Z42</f>
        <v>-135.96675757526512</v>
      </c>
      <c r="AA11" s="194">
        <f>-Assumptions!AA42</f>
        <v>-138.68609272677043</v>
      </c>
      <c r="AB11" s="194">
        <f>-Assumptions!AB42</f>
        <v>-141.45981458130586</v>
      </c>
      <c r="AC11" s="194">
        <f>-Assumptions!AC42</f>
        <v>-144.28901087293195</v>
      </c>
      <c r="AD11" s="194">
        <f>-Assumptions!AD42</f>
        <v>-147.17479109039061</v>
      </c>
      <c r="AE11" s="194">
        <f>-Assumptions!AE42</f>
        <v>-150.11828691219841</v>
      </c>
      <c r="AF11" s="194">
        <f>-Assumptions!AF42</f>
        <v>-153.12065265044237</v>
      </c>
      <c r="AG11" s="194">
        <f>-Assumptions!AG42</f>
        <v>-156.18306570345121</v>
      </c>
      <c r="AH11" s="194">
        <f>-Assumptions!AH42</f>
        <v>-159.30672701752025</v>
      </c>
      <c r="AI11" s="194">
        <f>-Assumptions!AI42</f>
        <v>-162.4928615578707</v>
      </c>
      <c r="AJ11" s="194">
        <f>-Assumptions!AJ42</f>
        <v>-165.74271878902809</v>
      </c>
      <c r="AK11" s="178"/>
      <c r="AL11" s="178"/>
      <c r="AM11" s="178"/>
      <c r="AN11" s="178"/>
      <c r="AO11" s="178"/>
      <c r="AP11" s="178"/>
      <c r="AQ11" s="178"/>
      <c r="AR11" s="178"/>
      <c r="AS11" s="178"/>
      <c r="AT11" s="182"/>
    </row>
    <row r="12" spans="1:46" ht="13.5" customHeight="1" x14ac:dyDescent="0.2">
      <c r="A12" s="176"/>
      <c r="B12" s="176"/>
      <c r="C12" s="195" t="s">
        <v>65</v>
      </c>
      <c r="D12" s="178"/>
      <c r="E12" s="192"/>
      <c r="F12" s="196">
        <f>Depr!E20</f>
        <v>0</v>
      </c>
      <c r="G12" s="194">
        <f>Depr!F20</f>
        <v>0</v>
      </c>
      <c r="H12" s="194">
        <f>Depr!G20</f>
        <v>0</v>
      </c>
      <c r="I12" s="194">
        <f>Depr!H20</f>
        <v>0</v>
      </c>
      <c r="J12" s="194">
        <f>Depr!I20</f>
        <v>0</v>
      </c>
      <c r="K12" s="194">
        <f>Depr!J20</f>
        <v>0</v>
      </c>
      <c r="L12" s="194">
        <f>Depr!K20</f>
        <v>0</v>
      </c>
      <c r="M12" s="194">
        <f>Depr!L20</f>
        <v>0</v>
      </c>
      <c r="N12" s="194">
        <f>Depr!M20</f>
        <v>0</v>
      </c>
      <c r="O12" s="194">
        <f>Depr!N20</f>
        <v>0</v>
      </c>
      <c r="P12" s="194">
        <f>Depr!O20</f>
        <v>0</v>
      </c>
      <c r="Q12" s="194">
        <f>Depr!P20</f>
        <v>0</v>
      </c>
      <c r="R12" s="194">
        <f>Depr!Q20</f>
        <v>0</v>
      </c>
      <c r="S12" s="194">
        <f>Depr!R20</f>
        <v>0</v>
      </c>
      <c r="T12" s="194">
        <f>Depr!S20</f>
        <v>0</v>
      </c>
      <c r="U12" s="194">
        <f>Depr!T20</f>
        <v>0</v>
      </c>
      <c r="V12" s="194">
        <f>Depr!U20</f>
        <v>0</v>
      </c>
      <c r="W12" s="194">
        <f>Depr!V20</f>
        <v>0</v>
      </c>
      <c r="X12" s="194">
        <f>Depr!W20</f>
        <v>0</v>
      </c>
      <c r="Y12" s="194">
        <f>Depr!X20</f>
        <v>0</v>
      </c>
      <c r="Z12" s="194">
        <f>Depr!Y20</f>
        <v>0</v>
      </c>
      <c r="AA12" s="194">
        <f>Depr!Z20</f>
        <v>0</v>
      </c>
      <c r="AB12" s="194">
        <f>Depr!AA20</f>
        <v>0</v>
      </c>
      <c r="AC12" s="194">
        <f>Depr!AB20</f>
        <v>0</v>
      </c>
      <c r="AD12" s="194">
        <f>Depr!AC20</f>
        <v>0</v>
      </c>
      <c r="AE12" s="194">
        <f>Depr!AD20</f>
        <v>0</v>
      </c>
      <c r="AF12" s="194">
        <f>Depr!AE20</f>
        <v>0</v>
      </c>
      <c r="AG12" s="194">
        <f>Depr!AF20</f>
        <v>0</v>
      </c>
      <c r="AH12" s="194">
        <f>Depr!AG20</f>
        <v>0</v>
      </c>
      <c r="AI12" s="194">
        <f>Depr!AH20</f>
        <v>0</v>
      </c>
      <c r="AJ12" s="194">
        <f>Depr!AI20</f>
        <v>0</v>
      </c>
      <c r="AK12" s="178"/>
      <c r="AL12" s="178"/>
      <c r="AM12" s="178"/>
      <c r="AN12" s="178"/>
      <c r="AO12" s="178"/>
      <c r="AP12" s="178"/>
      <c r="AQ12" s="178"/>
      <c r="AR12" s="178"/>
      <c r="AS12" s="178"/>
      <c r="AT12" s="182"/>
    </row>
    <row r="13" spans="1:46" ht="13.5" customHeight="1" x14ac:dyDescent="0.2">
      <c r="A13" s="176"/>
      <c r="B13" s="176"/>
      <c r="C13" s="197"/>
      <c r="D13" s="178"/>
      <c r="E13" s="184"/>
      <c r="F13" s="196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78"/>
      <c r="AL13" s="178"/>
      <c r="AM13" s="178"/>
      <c r="AN13" s="178"/>
      <c r="AO13" s="178"/>
      <c r="AP13" s="178"/>
      <c r="AQ13" s="178"/>
      <c r="AR13" s="178"/>
      <c r="AS13" s="178"/>
      <c r="AT13" s="182"/>
    </row>
    <row r="14" spans="1:46" ht="13.5" customHeight="1" x14ac:dyDescent="0.2">
      <c r="A14" s="176"/>
      <c r="B14" s="176"/>
      <c r="C14" s="190" t="s">
        <v>105</v>
      </c>
      <c r="D14" s="191" t="s">
        <v>89</v>
      </c>
      <c r="E14" s="192">
        <f>SUM(F14:V14)</f>
        <v>11062.239704532074</v>
      </c>
      <c r="F14" s="196">
        <f t="shared" ref="F14:AJ14" si="2">F5+F10</f>
        <v>0</v>
      </c>
      <c r="G14" s="194">
        <f t="shared" si="2"/>
        <v>697.79469917808228</v>
      </c>
      <c r="H14" s="194">
        <f t="shared" si="2"/>
        <v>693.34944038136996</v>
      </c>
      <c r="I14" s="194">
        <f t="shared" si="2"/>
        <v>688.27861358465759</v>
      </c>
      <c r="J14" s="194">
        <f t="shared" si="2"/>
        <v>683.16970742794524</v>
      </c>
      <c r="K14" s="194">
        <f t="shared" si="2"/>
        <v>678.02196032403299</v>
      </c>
      <c r="L14" s="194">
        <f t="shared" si="2"/>
        <v>680.59339950592175</v>
      </c>
      <c r="M14" s="194">
        <f t="shared" si="2"/>
        <v>683.13836274504922</v>
      </c>
      <c r="N14" s="194">
        <f t="shared" si="2"/>
        <v>685.65586132803469</v>
      </c>
      <c r="O14" s="194">
        <f t="shared" si="2"/>
        <v>688.1448853738118</v>
      </c>
      <c r="P14" s="194">
        <f t="shared" si="2"/>
        <v>690.60440342832624</v>
      </c>
      <c r="Q14" s="194">
        <f t="shared" si="2"/>
        <v>693.03336205162736</v>
      </c>
      <c r="R14" s="194">
        <f t="shared" si="2"/>
        <v>695.43068539720991</v>
      </c>
      <c r="S14" s="194">
        <f t="shared" si="2"/>
        <v>697.79527478346051</v>
      </c>
      <c r="T14" s="194">
        <f t="shared" si="2"/>
        <v>700.12600825705726</v>
      </c>
      <c r="U14" s="194">
        <f t="shared" si="2"/>
        <v>702.42174014817135</v>
      </c>
      <c r="V14" s="194">
        <f t="shared" si="2"/>
        <v>704.68130061731654</v>
      </c>
      <c r="W14" s="194">
        <f t="shared" si="2"/>
        <v>706.9034951936851</v>
      </c>
      <c r="X14" s="194">
        <f t="shared" si="2"/>
        <v>709.08710430481131</v>
      </c>
      <c r="Y14" s="194">
        <f t="shared" si="2"/>
        <v>711.23088279739898</v>
      </c>
      <c r="Z14" s="194">
        <f t="shared" si="2"/>
        <v>713.33355944914103</v>
      </c>
      <c r="AA14" s="194">
        <f t="shared" si="2"/>
        <v>715.39383647136617</v>
      </c>
      <c r="AB14" s="194">
        <f t="shared" si="2"/>
        <v>717.4103890023332</v>
      </c>
      <c r="AC14" s="194">
        <f t="shared" si="2"/>
        <v>719.38186459100007</v>
      </c>
      <c r="AD14" s="194">
        <f t="shared" si="2"/>
        <v>721.30688267108178</v>
      </c>
      <c r="AE14" s="194">
        <f t="shared" si="2"/>
        <v>723.18403402521881</v>
      </c>
      <c r="AF14" s="194">
        <f t="shared" si="2"/>
        <v>716.31749872530486</v>
      </c>
      <c r="AG14" s="194">
        <f t="shared" si="2"/>
        <v>709.39091611062599</v>
      </c>
      <c r="AH14" s="194">
        <f t="shared" si="2"/>
        <v>702.40308523488693</v>
      </c>
      <c r="AI14" s="194">
        <f t="shared" si="2"/>
        <v>695.35278113286654</v>
      </c>
      <c r="AJ14" s="194">
        <f t="shared" si="2"/>
        <v>688.23875434003912</v>
      </c>
      <c r="AK14" s="178"/>
      <c r="AL14" s="178"/>
      <c r="AM14" s="178"/>
      <c r="AN14" s="178"/>
      <c r="AO14" s="178"/>
      <c r="AP14" s="178"/>
      <c r="AQ14" s="178"/>
      <c r="AR14" s="178"/>
      <c r="AS14" s="178"/>
      <c r="AT14" s="182"/>
    </row>
    <row r="15" spans="1:46" ht="13.5" customHeight="1" x14ac:dyDescent="0.2">
      <c r="A15" s="176"/>
      <c r="B15" s="176"/>
      <c r="C15" s="195" t="s">
        <v>87</v>
      </c>
      <c r="D15" s="191" t="s">
        <v>89</v>
      </c>
      <c r="E15" s="192">
        <f>SUM(F15:V15)</f>
        <v>-4784</v>
      </c>
      <c r="F15" s="196">
        <f>Depr!E13</f>
        <v>0</v>
      </c>
      <c r="G15" s="194">
        <f>Depr!F13</f>
        <v>-478.4</v>
      </c>
      <c r="H15" s="194">
        <f>Depr!G13</f>
        <v>-478.4</v>
      </c>
      <c r="I15" s="194">
        <f>Depr!H13</f>
        <v>-478.4</v>
      </c>
      <c r="J15" s="194">
        <f>Depr!I13</f>
        <v>-478.4</v>
      </c>
      <c r="K15" s="194">
        <f>Depr!J13</f>
        <v>-478.4</v>
      </c>
      <c r="L15" s="194">
        <f>Depr!K13</f>
        <v>-478.4</v>
      </c>
      <c r="M15" s="194">
        <f>Depr!L13</f>
        <v>-478.4</v>
      </c>
      <c r="N15" s="194">
        <f>Depr!M13</f>
        <v>-478.4</v>
      </c>
      <c r="O15" s="194">
        <f>Depr!N13</f>
        <v>-478.4</v>
      </c>
      <c r="P15" s="194">
        <f>Depr!O13</f>
        <v>-478.4</v>
      </c>
      <c r="Q15" s="194">
        <f>Depr!P13</f>
        <v>0</v>
      </c>
      <c r="R15" s="194">
        <f>Depr!Q13</f>
        <v>0</v>
      </c>
      <c r="S15" s="194">
        <f>Depr!R13</f>
        <v>0</v>
      </c>
      <c r="T15" s="194">
        <f>Depr!S13</f>
        <v>0</v>
      </c>
      <c r="U15" s="194">
        <f>Depr!T13</f>
        <v>0</v>
      </c>
      <c r="V15" s="194">
        <f>Depr!U13</f>
        <v>0</v>
      </c>
      <c r="W15" s="194">
        <f>Depr!V13</f>
        <v>0</v>
      </c>
      <c r="X15" s="194">
        <f>Depr!W13</f>
        <v>0</v>
      </c>
      <c r="Y15" s="194">
        <f>Depr!X13</f>
        <v>0</v>
      </c>
      <c r="Z15" s="194">
        <f>Depr!Y13</f>
        <v>0</v>
      </c>
      <c r="AA15" s="194">
        <f>Depr!Z13</f>
        <v>0</v>
      </c>
      <c r="AB15" s="194">
        <f>Depr!AA13</f>
        <v>0</v>
      </c>
      <c r="AC15" s="194">
        <f>Depr!AB13</f>
        <v>0</v>
      </c>
      <c r="AD15" s="194">
        <f>Depr!AC13</f>
        <v>0</v>
      </c>
      <c r="AE15" s="194">
        <f>Depr!AD13</f>
        <v>0</v>
      </c>
      <c r="AF15" s="194">
        <f>Depr!AE13</f>
        <v>0</v>
      </c>
      <c r="AG15" s="194">
        <f>Depr!AF13</f>
        <v>0</v>
      </c>
      <c r="AH15" s="194">
        <f>Depr!AG13</f>
        <v>0</v>
      </c>
      <c r="AI15" s="194">
        <f>Depr!AH13</f>
        <v>0</v>
      </c>
      <c r="AJ15" s="194">
        <f>Depr!AI13</f>
        <v>0</v>
      </c>
      <c r="AK15" s="178"/>
      <c r="AL15" s="178"/>
      <c r="AM15" s="178"/>
      <c r="AN15" s="178"/>
      <c r="AO15" s="178"/>
      <c r="AP15" s="178"/>
      <c r="AQ15" s="178"/>
      <c r="AR15" s="178"/>
      <c r="AS15" s="178"/>
      <c r="AT15" s="182"/>
    </row>
    <row r="16" spans="1:46" ht="13.5" customHeight="1" x14ac:dyDescent="0.2">
      <c r="A16" s="176"/>
      <c r="B16" s="176"/>
      <c r="C16" s="197"/>
      <c r="D16" s="178"/>
      <c r="E16" s="184"/>
      <c r="F16" s="196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78"/>
      <c r="AL16" s="178"/>
      <c r="AM16" s="178"/>
      <c r="AN16" s="178"/>
      <c r="AO16" s="178"/>
      <c r="AP16" s="178"/>
      <c r="AQ16" s="178"/>
      <c r="AR16" s="178"/>
      <c r="AS16" s="178"/>
      <c r="AT16" s="182"/>
    </row>
    <row r="17" spans="1:46" ht="13.5" customHeight="1" x14ac:dyDescent="0.2">
      <c r="A17" s="176"/>
      <c r="B17" s="176"/>
      <c r="C17" s="190" t="s">
        <v>106</v>
      </c>
      <c r="D17" s="191" t="s">
        <v>89</v>
      </c>
      <c r="E17" s="192">
        <f>SUM(F17:V17)</f>
        <v>6278.239704532074</v>
      </c>
      <c r="F17" s="196">
        <f t="shared" ref="F17:AJ17" si="3">F14+F15</f>
        <v>0</v>
      </c>
      <c r="G17" s="194">
        <f t="shared" si="3"/>
        <v>219.39469917808231</v>
      </c>
      <c r="H17" s="194">
        <f t="shared" si="3"/>
        <v>214.94944038136998</v>
      </c>
      <c r="I17" s="194">
        <f t="shared" si="3"/>
        <v>209.87861358465761</v>
      </c>
      <c r="J17" s="194">
        <f t="shared" si="3"/>
        <v>204.76970742794526</v>
      </c>
      <c r="K17" s="194">
        <f t="shared" si="3"/>
        <v>199.62196032403301</v>
      </c>
      <c r="L17" s="194">
        <f t="shared" si="3"/>
        <v>202.19339950592178</v>
      </c>
      <c r="M17" s="194">
        <f t="shared" si="3"/>
        <v>204.73836274504924</v>
      </c>
      <c r="N17" s="194">
        <f t="shared" si="3"/>
        <v>207.25586132803471</v>
      </c>
      <c r="O17" s="194">
        <f t="shared" si="3"/>
        <v>209.74488537381183</v>
      </c>
      <c r="P17" s="194">
        <f t="shared" si="3"/>
        <v>212.20440342832626</v>
      </c>
      <c r="Q17" s="194">
        <f t="shared" si="3"/>
        <v>693.03336205162736</v>
      </c>
      <c r="R17" s="194">
        <f t="shared" si="3"/>
        <v>695.43068539720991</v>
      </c>
      <c r="S17" s="194">
        <f t="shared" si="3"/>
        <v>697.79527478346051</v>
      </c>
      <c r="T17" s="194">
        <f t="shared" si="3"/>
        <v>700.12600825705726</v>
      </c>
      <c r="U17" s="194">
        <f t="shared" si="3"/>
        <v>702.42174014817135</v>
      </c>
      <c r="V17" s="194">
        <f t="shared" si="3"/>
        <v>704.68130061731654</v>
      </c>
      <c r="W17" s="194">
        <f t="shared" si="3"/>
        <v>706.9034951936851</v>
      </c>
      <c r="X17" s="194">
        <f t="shared" si="3"/>
        <v>709.08710430481131</v>
      </c>
      <c r="Y17" s="194">
        <f t="shared" si="3"/>
        <v>711.23088279739898</v>
      </c>
      <c r="Z17" s="194">
        <f t="shared" si="3"/>
        <v>713.33355944914103</v>
      </c>
      <c r="AA17" s="194">
        <f t="shared" si="3"/>
        <v>715.39383647136617</v>
      </c>
      <c r="AB17" s="194">
        <f t="shared" si="3"/>
        <v>717.4103890023332</v>
      </c>
      <c r="AC17" s="194">
        <f t="shared" si="3"/>
        <v>719.38186459100007</v>
      </c>
      <c r="AD17" s="194">
        <f t="shared" si="3"/>
        <v>721.30688267108178</v>
      </c>
      <c r="AE17" s="194">
        <f t="shared" si="3"/>
        <v>723.18403402521881</v>
      </c>
      <c r="AF17" s="194">
        <f t="shared" si="3"/>
        <v>716.31749872530486</v>
      </c>
      <c r="AG17" s="194">
        <f t="shared" si="3"/>
        <v>709.39091611062599</v>
      </c>
      <c r="AH17" s="194">
        <f t="shared" si="3"/>
        <v>702.40308523488693</v>
      </c>
      <c r="AI17" s="194">
        <f t="shared" si="3"/>
        <v>695.35278113286654</v>
      </c>
      <c r="AJ17" s="194">
        <f t="shared" si="3"/>
        <v>688.23875434003912</v>
      </c>
      <c r="AK17" s="178"/>
      <c r="AL17" s="178"/>
      <c r="AM17" s="178"/>
      <c r="AN17" s="178"/>
      <c r="AO17" s="178"/>
      <c r="AP17" s="178"/>
      <c r="AQ17" s="178"/>
      <c r="AR17" s="178"/>
      <c r="AS17" s="178"/>
      <c r="AT17" s="182"/>
    </row>
    <row r="18" spans="1:46" ht="13.5" customHeight="1" x14ac:dyDescent="0.2">
      <c r="A18" s="176"/>
      <c r="B18" s="176"/>
      <c r="C18" s="195" t="s">
        <v>107</v>
      </c>
      <c r="D18" s="191" t="s">
        <v>89</v>
      </c>
      <c r="E18" s="192">
        <f>SUM(F18:V18)</f>
        <v>-889.80748549522275</v>
      </c>
      <c r="F18" s="196">
        <f t="shared" ref="F18:AJ18" si="4">F40</f>
        <v>-37.226666666666667</v>
      </c>
      <c r="G18" s="194">
        <f t="shared" si="4"/>
        <v>-108.62728454453064</v>
      </c>
      <c r="H18" s="194">
        <f t="shared" si="4"/>
        <v>-102.39974501537313</v>
      </c>
      <c r="I18" s="194">
        <f t="shared" si="4"/>
        <v>-95.923103905049317</v>
      </c>
      <c r="J18" s="194">
        <f t="shared" si="4"/>
        <v>-89.187397150312549</v>
      </c>
      <c r="K18" s="194">
        <f t="shared" si="4"/>
        <v>-82.18226212538633</v>
      </c>
      <c r="L18" s="194">
        <f t="shared" si="4"/>
        <v>-74.89692169946305</v>
      </c>
      <c r="M18" s="194">
        <f t="shared" si="4"/>
        <v>-67.320167656502832</v>
      </c>
      <c r="N18" s="194">
        <f t="shared" si="4"/>
        <v>-59.440343451824226</v>
      </c>
      <c r="O18" s="194">
        <f t="shared" si="4"/>
        <v>-51.245326278958466</v>
      </c>
      <c r="P18" s="194">
        <f t="shared" si="4"/>
        <v>-42.72250841917807</v>
      </c>
      <c r="Q18" s="194">
        <f t="shared" si="4"/>
        <v>-33.858777845006465</v>
      </c>
      <c r="R18" s="194">
        <f t="shared" si="4"/>
        <v>-24.640498047867986</v>
      </c>
      <c r="S18" s="194">
        <f t="shared" si="4"/>
        <v>-15.053487058843976</v>
      </c>
      <c r="T18" s="194">
        <f t="shared" si="4"/>
        <v>-5.0829956302590045</v>
      </c>
      <c r="U18" s="194">
        <f t="shared" si="4"/>
        <v>0</v>
      </c>
      <c r="V18" s="194">
        <f t="shared" si="4"/>
        <v>0</v>
      </c>
      <c r="W18" s="194">
        <f t="shared" si="4"/>
        <v>0</v>
      </c>
      <c r="X18" s="194">
        <f t="shared" si="4"/>
        <v>0</v>
      </c>
      <c r="Y18" s="194">
        <f t="shared" si="4"/>
        <v>0</v>
      </c>
      <c r="Z18" s="194">
        <f t="shared" si="4"/>
        <v>0</v>
      </c>
      <c r="AA18" s="194">
        <f t="shared" si="4"/>
        <v>0</v>
      </c>
      <c r="AB18" s="194">
        <f t="shared" si="4"/>
        <v>0</v>
      </c>
      <c r="AC18" s="194">
        <f t="shared" si="4"/>
        <v>0</v>
      </c>
      <c r="AD18" s="194">
        <f t="shared" si="4"/>
        <v>0</v>
      </c>
      <c r="AE18" s="194">
        <f t="shared" si="4"/>
        <v>0</v>
      </c>
      <c r="AF18" s="194">
        <f t="shared" si="4"/>
        <v>0</v>
      </c>
      <c r="AG18" s="194">
        <f t="shared" si="4"/>
        <v>0</v>
      </c>
      <c r="AH18" s="194">
        <f t="shared" si="4"/>
        <v>0</v>
      </c>
      <c r="AI18" s="194">
        <f t="shared" si="4"/>
        <v>0</v>
      </c>
      <c r="AJ18" s="194">
        <f t="shared" si="4"/>
        <v>0</v>
      </c>
      <c r="AK18" s="178"/>
      <c r="AL18" s="178"/>
      <c r="AM18" s="178"/>
      <c r="AN18" s="178"/>
      <c r="AO18" s="178"/>
      <c r="AP18" s="178"/>
      <c r="AQ18" s="178"/>
      <c r="AR18" s="178"/>
      <c r="AS18" s="178"/>
      <c r="AT18" s="182"/>
    </row>
    <row r="19" spans="1:46" ht="13.5" customHeight="1" x14ac:dyDescent="0.2">
      <c r="A19" s="176"/>
      <c r="B19" s="176"/>
      <c r="C19" s="195" t="s">
        <v>108</v>
      </c>
      <c r="D19" s="191" t="s">
        <v>89</v>
      </c>
      <c r="E19" s="192">
        <f>SUM(F19:V19)</f>
        <v>0</v>
      </c>
      <c r="F19" s="196">
        <f t="shared" ref="F19:AJ19" si="5">F41</f>
        <v>0</v>
      </c>
      <c r="G19" s="194">
        <f t="shared" si="5"/>
        <v>0</v>
      </c>
      <c r="H19" s="194">
        <f t="shared" si="5"/>
        <v>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194">
        <f t="shared" si="5"/>
        <v>0</v>
      </c>
      <c r="M19" s="194">
        <f t="shared" si="5"/>
        <v>0</v>
      </c>
      <c r="N19" s="194">
        <f t="shared" si="5"/>
        <v>0</v>
      </c>
      <c r="O19" s="194">
        <f t="shared" si="5"/>
        <v>0</v>
      </c>
      <c r="P19" s="194">
        <f t="shared" si="5"/>
        <v>0</v>
      </c>
      <c r="Q19" s="194">
        <f t="shared" si="5"/>
        <v>0</v>
      </c>
      <c r="R19" s="194">
        <f t="shared" si="5"/>
        <v>0</v>
      </c>
      <c r="S19" s="194">
        <f t="shared" si="5"/>
        <v>0</v>
      </c>
      <c r="T19" s="194">
        <f t="shared" si="5"/>
        <v>0</v>
      </c>
      <c r="U19" s="194">
        <f t="shared" si="5"/>
        <v>0</v>
      </c>
      <c r="V19" s="194">
        <f t="shared" si="5"/>
        <v>0</v>
      </c>
      <c r="W19" s="194">
        <f t="shared" si="5"/>
        <v>0</v>
      </c>
      <c r="X19" s="194">
        <f t="shared" si="5"/>
        <v>0</v>
      </c>
      <c r="Y19" s="194">
        <f t="shared" si="5"/>
        <v>0</v>
      </c>
      <c r="Z19" s="194">
        <f t="shared" si="5"/>
        <v>0</v>
      </c>
      <c r="AA19" s="194">
        <f t="shared" si="5"/>
        <v>0</v>
      </c>
      <c r="AB19" s="194">
        <f t="shared" si="5"/>
        <v>0</v>
      </c>
      <c r="AC19" s="194">
        <f t="shared" si="5"/>
        <v>0</v>
      </c>
      <c r="AD19" s="194">
        <f t="shared" si="5"/>
        <v>0</v>
      </c>
      <c r="AE19" s="194">
        <f t="shared" si="5"/>
        <v>0</v>
      </c>
      <c r="AF19" s="194">
        <f t="shared" si="5"/>
        <v>0</v>
      </c>
      <c r="AG19" s="194">
        <f t="shared" si="5"/>
        <v>0</v>
      </c>
      <c r="AH19" s="194">
        <f t="shared" si="5"/>
        <v>0</v>
      </c>
      <c r="AI19" s="194">
        <f t="shared" si="5"/>
        <v>0</v>
      </c>
      <c r="AJ19" s="194">
        <f t="shared" si="5"/>
        <v>0</v>
      </c>
      <c r="AK19" s="178"/>
      <c r="AL19" s="178"/>
      <c r="AM19" s="178"/>
      <c r="AN19" s="178"/>
      <c r="AO19" s="178"/>
      <c r="AP19" s="178"/>
      <c r="AQ19" s="178"/>
      <c r="AR19" s="178"/>
      <c r="AS19" s="178"/>
      <c r="AT19" s="182"/>
    </row>
    <row r="20" spans="1:46" ht="13.5" customHeight="1" x14ac:dyDescent="0.2">
      <c r="A20" s="176"/>
      <c r="B20" s="176"/>
      <c r="C20" s="195" t="s">
        <v>109</v>
      </c>
      <c r="D20" s="191" t="s">
        <v>89</v>
      </c>
      <c r="E20" s="192">
        <f>SUM(F20:V20)</f>
        <v>0</v>
      </c>
      <c r="F20" s="196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78"/>
      <c r="AL20" s="178"/>
      <c r="AM20" s="178"/>
      <c r="AN20" s="178"/>
      <c r="AO20" s="178"/>
      <c r="AP20" s="178"/>
      <c r="AQ20" s="178"/>
      <c r="AR20" s="178"/>
      <c r="AS20" s="178"/>
      <c r="AT20" s="182"/>
    </row>
    <row r="21" spans="1:46" ht="13.5" customHeight="1" x14ac:dyDescent="0.2">
      <c r="A21" s="176"/>
      <c r="B21" s="176"/>
      <c r="C21" s="197"/>
      <c r="D21" s="178"/>
      <c r="E21" s="184"/>
      <c r="F21" s="196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78"/>
      <c r="AL21" s="178"/>
      <c r="AM21" s="178"/>
      <c r="AN21" s="178"/>
      <c r="AO21" s="178"/>
      <c r="AP21" s="178"/>
      <c r="AQ21" s="178"/>
      <c r="AR21" s="178"/>
      <c r="AS21" s="178"/>
      <c r="AT21" s="182"/>
    </row>
    <row r="22" spans="1:46" ht="13.5" customHeight="1" x14ac:dyDescent="0.2">
      <c r="A22" s="176"/>
      <c r="B22" s="176"/>
      <c r="C22" s="190" t="s">
        <v>110</v>
      </c>
      <c r="D22" s="191" t="s">
        <v>89</v>
      </c>
      <c r="E22" s="192">
        <f>SUM(F22:V22)</f>
        <v>5388.432219036853</v>
      </c>
      <c r="F22" s="196">
        <f t="shared" ref="F22:AJ22" si="6">F17+F18+F19+F20</f>
        <v>-37.226666666666667</v>
      </c>
      <c r="G22" s="194">
        <f t="shared" si="6"/>
        <v>110.76741463355167</v>
      </c>
      <c r="H22" s="194">
        <f t="shared" si="6"/>
        <v>112.54969536599685</v>
      </c>
      <c r="I22" s="194">
        <f t="shared" si="6"/>
        <v>113.9555096796083</v>
      </c>
      <c r="J22" s="194">
        <f t="shared" si="6"/>
        <v>115.58231027763271</v>
      </c>
      <c r="K22" s="194">
        <f t="shared" si="6"/>
        <v>117.43969819864668</v>
      </c>
      <c r="L22" s="194">
        <f t="shared" si="6"/>
        <v>127.29647780645873</v>
      </c>
      <c r="M22" s="194">
        <f t="shared" si="6"/>
        <v>137.41819508854641</v>
      </c>
      <c r="N22" s="194">
        <f t="shared" si="6"/>
        <v>147.81551787621049</v>
      </c>
      <c r="O22" s="194">
        <f t="shared" si="6"/>
        <v>158.49955909485337</v>
      </c>
      <c r="P22" s="194">
        <f t="shared" si="6"/>
        <v>169.48189500914819</v>
      </c>
      <c r="Q22" s="194">
        <f t="shared" si="6"/>
        <v>659.17458420662092</v>
      </c>
      <c r="R22" s="194">
        <f t="shared" si="6"/>
        <v>670.79018734934198</v>
      </c>
      <c r="S22" s="194">
        <f t="shared" si="6"/>
        <v>682.74178772461653</v>
      </c>
      <c r="T22" s="194">
        <f t="shared" si="6"/>
        <v>695.04301262679826</v>
      </c>
      <c r="U22" s="194">
        <f t="shared" si="6"/>
        <v>702.42174014817135</v>
      </c>
      <c r="V22" s="194">
        <f t="shared" si="6"/>
        <v>704.68130061731654</v>
      </c>
      <c r="W22" s="194">
        <f t="shared" si="6"/>
        <v>706.9034951936851</v>
      </c>
      <c r="X22" s="194">
        <f t="shared" si="6"/>
        <v>709.08710430481131</v>
      </c>
      <c r="Y22" s="194">
        <f t="shared" si="6"/>
        <v>711.23088279739898</v>
      </c>
      <c r="Z22" s="194">
        <f t="shared" si="6"/>
        <v>713.33355944914103</v>
      </c>
      <c r="AA22" s="194">
        <f t="shared" si="6"/>
        <v>715.39383647136617</v>
      </c>
      <c r="AB22" s="194">
        <f t="shared" si="6"/>
        <v>717.4103890023332</v>
      </c>
      <c r="AC22" s="194">
        <f t="shared" si="6"/>
        <v>719.38186459100007</v>
      </c>
      <c r="AD22" s="194">
        <f t="shared" si="6"/>
        <v>721.30688267108178</v>
      </c>
      <c r="AE22" s="194">
        <f t="shared" si="6"/>
        <v>723.18403402521881</v>
      </c>
      <c r="AF22" s="194">
        <f t="shared" si="6"/>
        <v>716.31749872530486</v>
      </c>
      <c r="AG22" s="194">
        <f t="shared" si="6"/>
        <v>709.39091611062599</v>
      </c>
      <c r="AH22" s="194">
        <f t="shared" si="6"/>
        <v>702.40308523488693</v>
      </c>
      <c r="AI22" s="194">
        <f t="shared" si="6"/>
        <v>695.35278113286654</v>
      </c>
      <c r="AJ22" s="194">
        <f t="shared" si="6"/>
        <v>688.23875434003912</v>
      </c>
      <c r="AK22" s="178"/>
      <c r="AL22" s="178"/>
      <c r="AM22" s="178"/>
      <c r="AN22" s="178"/>
      <c r="AO22" s="178"/>
      <c r="AP22" s="178"/>
      <c r="AQ22" s="178"/>
      <c r="AR22" s="178"/>
      <c r="AS22" s="178"/>
      <c r="AT22" s="182"/>
    </row>
    <row r="23" spans="1:46" ht="13.5" customHeight="1" x14ac:dyDescent="0.2">
      <c r="A23" s="176"/>
      <c r="B23" s="176"/>
      <c r="C23" s="195" t="s">
        <v>111</v>
      </c>
      <c r="D23" s="191" t="s">
        <v>112</v>
      </c>
      <c r="E23" s="192">
        <f>SUM(F23:V23)</f>
        <v>-2272.7338666666665</v>
      </c>
      <c r="F23" s="196"/>
      <c r="G23" s="194">
        <f>-D23*F69</f>
        <v>-142.04586666666668</v>
      </c>
      <c r="H23" s="194">
        <f t="shared" ref="H23:AJ23" si="7">G23</f>
        <v>-142.04586666666668</v>
      </c>
      <c r="I23" s="194">
        <f t="shared" si="7"/>
        <v>-142.04586666666668</v>
      </c>
      <c r="J23" s="194">
        <f t="shared" si="7"/>
        <v>-142.04586666666668</v>
      </c>
      <c r="K23" s="194">
        <f t="shared" si="7"/>
        <v>-142.04586666666668</v>
      </c>
      <c r="L23" s="194">
        <f t="shared" si="7"/>
        <v>-142.04586666666668</v>
      </c>
      <c r="M23" s="194">
        <f t="shared" si="7"/>
        <v>-142.04586666666668</v>
      </c>
      <c r="N23" s="194">
        <f t="shared" si="7"/>
        <v>-142.04586666666668</v>
      </c>
      <c r="O23" s="194">
        <f t="shared" si="7"/>
        <v>-142.04586666666668</v>
      </c>
      <c r="P23" s="194">
        <f t="shared" si="7"/>
        <v>-142.04586666666668</v>
      </c>
      <c r="Q23" s="194">
        <f t="shared" si="7"/>
        <v>-142.04586666666668</v>
      </c>
      <c r="R23" s="194">
        <f t="shared" si="7"/>
        <v>-142.04586666666668</v>
      </c>
      <c r="S23" s="194">
        <f t="shared" si="7"/>
        <v>-142.04586666666668</v>
      </c>
      <c r="T23" s="194">
        <f t="shared" si="7"/>
        <v>-142.04586666666668</v>
      </c>
      <c r="U23" s="194">
        <f t="shared" si="7"/>
        <v>-142.04586666666668</v>
      </c>
      <c r="V23" s="194">
        <f t="shared" si="7"/>
        <v>-142.04586666666668</v>
      </c>
      <c r="W23" s="194">
        <f t="shared" si="7"/>
        <v>-142.04586666666668</v>
      </c>
      <c r="X23" s="194">
        <f t="shared" si="7"/>
        <v>-142.04586666666668</v>
      </c>
      <c r="Y23" s="194">
        <f t="shared" si="7"/>
        <v>-142.04586666666668</v>
      </c>
      <c r="Z23" s="194">
        <f t="shared" si="7"/>
        <v>-142.04586666666668</v>
      </c>
      <c r="AA23" s="194">
        <f t="shared" si="7"/>
        <v>-142.04586666666668</v>
      </c>
      <c r="AB23" s="194">
        <f t="shared" si="7"/>
        <v>-142.04586666666668</v>
      </c>
      <c r="AC23" s="194">
        <f t="shared" si="7"/>
        <v>-142.04586666666668</v>
      </c>
      <c r="AD23" s="194">
        <f t="shared" si="7"/>
        <v>-142.04586666666668</v>
      </c>
      <c r="AE23" s="194">
        <f t="shared" si="7"/>
        <v>-142.04586666666668</v>
      </c>
      <c r="AF23" s="194">
        <f t="shared" si="7"/>
        <v>-142.04586666666668</v>
      </c>
      <c r="AG23" s="194">
        <f t="shared" si="7"/>
        <v>-142.04586666666668</v>
      </c>
      <c r="AH23" s="194">
        <f t="shared" si="7"/>
        <v>-142.04586666666668</v>
      </c>
      <c r="AI23" s="194">
        <f t="shared" si="7"/>
        <v>-142.04586666666668</v>
      </c>
      <c r="AJ23" s="194">
        <f t="shared" si="7"/>
        <v>-142.04586666666668</v>
      </c>
      <c r="AK23" s="178"/>
      <c r="AL23" s="178"/>
      <c r="AM23" s="178"/>
      <c r="AN23" s="178"/>
      <c r="AO23" s="178"/>
      <c r="AP23" s="178"/>
      <c r="AQ23" s="178"/>
      <c r="AR23" s="178"/>
      <c r="AS23" s="178"/>
      <c r="AT23" s="182"/>
    </row>
    <row r="24" spans="1:46" ht="13.5" customHeight="1" x14ac:dyDescent="0.2">
      <c r="A24" s="176"/>
      <c r="B24" s="176"/>
      <c r="C24" s="195" t="s">
        <v>113</v>
      </c>
      <c r="D24" s="191" t="s">
        <v>89</v>
      </c>
      <c r="E24" s="192">
        <f>SUM(F24:V24)</f>
        <v>-394.11562737960645</v>
      </c>
      <c r="F24" s="196">
        <f>IF(F22&gt;0,-F22*Assumptions!F60,0)</f>
        <v>0</v>
      </c>
      <c r="G24" s="194">
        <f>IF(G22&gt;0,-(G22+G23)*Assumptions!G60,0)</f>
        <v>3.909806504139377</v>
      </c>
      <c r="H24" s="194">
        <f>IF(H22&gt;0,-(H22+H23)*Assumptions!H60,0)</f>
        <v>3.6870214125837286</v>
      </c>
      <c r="I24" s="194">
        <f>IF(I22&gt;0,-(I22+I23)*Assumptions!I60,0)</f>
        <v>3.5112946233822981</v>
      </c>
      <c r="J24" s="194">
        <f>IF(J22&gt;0,-(J22+J23)*Assumptions!J60,0)</f>
        <v>3.307944548629246</v>
      </c>
      <c r="K24" s="194">
        <f>IF(K22&gt;0,-(K22+K23)*Assumptions!K60,0)</f>
        <v>3.0757710585025002</v>
      </c>
      <c r="L24" s="194">
        <f>IF(L22&gt;0,-(L22+L23)*Assumptions!L60,0)</f>
        <v>1.8436736075259947</v>
      </c>
      <c r="M24" s="194">
        <f>IF(M22&gt;0,-(M22+M23)*Assumptions!M60,0)</f>
        <v>0.57845894726503388</v>
      </c>
      <c r="N24" s="194">
        <f>IF(N22&gt;0,-(N22+N23)*Assumptions!N60,0)</f>
        <v>-0.72120640119297619</v>
      </c>
      <c r="O24" s="194">
        <f>IF(O22&gt;0,-(O22+O23)*Assumptions!O60,0)</f>
        <v>-2.0567115535233356</v>
      </c>
      <c r="P24" s="194">
        <f>IF(P22&gt;0,-(P22+P23)*Assumptions!P60,0)</f>
        <v>-3.4295035428101883</v>
      </c>
      <c r="Q24" s="194">
        <f>IF(Q22&gt;0,-(Q22+Q23)*Assumptions!Q60,0)</f>
        <v>-64.641089692494276</v>
      </c>
      <c r="R24" s="194">
        <f>IF(R22&gt;0,-(R22+R23)*Assumptions!R60,0)</f>
        <v>-66.093040085334408</v>
      </c>
      <c r="S24" s="194">
        <f>IF(S22&gt;0,-(S22+S23)*Assumptions!S60,0)</f>
        <v>-67.586990132243727</v>
      </c>
      <c r="T24" s="194">
        <f>IF(T22&gt;0,-(T22+T23)*Assumptions!T60,0)</f>
        <v>-69.124643245016443</v>
      </c>
      <c r="U24" s="194">
        <f>IF(U22&gt;0,-(U22+U23)*Assumptions!U60,0)</f>
        <v>-70.04698418518808</v>
      </c>
      <c r="V24" s="194">
        <f>IF(V22&gt;0,-(V22+V23)*Assumptions!V60,0)</f>
        <v>-70.329429243831228</v>
      </c>
      <c r="W24" s="194">
        <f>IF(W22&gt;0,-(W22+W23)*Assumptions!W60,0)</f>
        <v>-70.607203565877299</v>
      </c>
      <c r="X24" s="194">
        <f>IF(X22&gt;0,-(X22+X23)*Assumptions!X60,0)</f>
        <v>-70.880154704768074</v>
      </c>
      <c r="Y24" s="194">
        <f>IF(Y22&gt;0,-(Y22+Y23)*Assumptions!Y60,0)</f>
        <v>-71.148127016341533</v>
      </c>
      <c r="Z24" s="194">
        <f>IF(Z22&gt;0,-(Z22+Z23)*Assumptions!Z60,0)</f>
        <v>-71.41096159780929</v>
      </c>
      <c r="AA24" s="194">
        <f>IF(AA22&gt;0,-(AA22+AA23)*Assumptions!AA60,0)</f>
        <v>-71.668496225587432</v>
      </c>
      <c r="AB24" s="194">
        <f>IF(AB22&gt;0,-(AB22+AB23)*Assumptions!AB60,0)</f>
        <v>-71.920565291958312</v>
      </c>
      <c r="AC24" s="194">
        <f>IF(AC22&gt;0,-(AC22+AC23)*Assumptions!AC60,0)</f>
        <v>-72.166999740541669</v>
      </c>
      <c r="AD24" s="194">
        <f>IF(AD22&gt;0,-(AD22+AD23)*Assumptions!AD60,0)</f>
        <v>-72.407627000551884</v>
      </c>
      <c r="AE24" s="194">
        <f>IF(AE22&gt;0,-(AE22+AE23)*Assumptions!AE60,0)</f>
        <v>-72.642270919819012</v>
      </c>
      <c r="AF24" s="194">
        <f>IF(AF22&gt;0,-(AF22+AF23)*Assumptions!AF60,0)</f>
        <v>-71.783954007329768</v>
      </c>
      <c r="AG24" s="194">
        <f>IF(AG22&gt;0,-(AG22+AG23)*Assumptions!AG60,0)</f>
        <v>-70.91813118049491</v>
      </c>
      <c r="AH24" s="194">
        <f>IF(AH22&gt;0,-(AH22+AH23)*Assumptions!AH60,0)</f>
        <v>-70.044652321027527</v>
      </c>
      <c r="AI24" s="194">
        <f>IF(AI22&gt;0,-(AI22+AI23)*Assumptions!AI60,0)</f>
        <v>-69.163364308274978</v>
      </c>
      <c r="AJ24" s="194">
        <f>IF(AJ22&gt;0,-(AJ22+AJ23)*Assumptions!AJ60,0)</f>
        <v>-68.274110959171551</v>
      </c>
      <c r="AK24" s="178"/>
      <c r="AL24" s="178"/>
      <c r="AM24" s="178"/>
      <c r="AN24" s="178"/>
      <c r="AO24" s="178"/>
      <c r="AP24" s="178"/>
      <c r="AQ24" s="178"/>
      <c r="AR24" s="178"/>
      <c r="AS24" s="178"/>
      <c r="AT24" s="182"/>
    </row>
    <row r="25" spans="1:46" ht="13.5" customHeight="1" x14ac:dyDescent="0.2">
      <c r="A25" s="176"/>
      <c r="B25" s="176"/>
      <c r="C25" s="197"/>
      <c r="D25" s="178"/>
      <c r="E25" s="184"/>
      <c r="F25" s="196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78"/>
      <c r="AL25" s="178"/>
      <c r="AM25" s="178"/>
      <c r="AN25" s="178"/>
      <c r="AO25" s="178"/>
      <c r="AP25" s="178"/>
      <c r="AQ25" s="178"/>
      <c r="AR25" s="178"/>
      <c r="AS25" s="178"/>
      <c r="AT25" s="182"/>
    </row>
    <row r="26" spans="1:46" ht="13.5" customHeight="1" x14ac:dyDescent="0.2">
      <c r="A26" s="176"/>
      <c r="B26" s="176"/>
      <c r="C26" s="190" t="s">
        <v>114</v>
      </c>
      <c r="D26" s="191" t="s">
        <v>89</v>
      </c>
      <c r="E26" s="192">
        <f>SUM(F26:V26)</f>
        <v>4994.3165916572461</v>
      </c>
      <c r="F26" s="196">
        <f t="shared" ref="F26:AJ26" si="8">F22+F24</f>
        <v>-37.226666666666667</v>
      </c>
      <c r="G26" s="194">
        <f t="shared" si="8"/>
        <v>114.67722113769105</v>
      </c>
      <c r="H26" s="194">
        <f t="shared" si="8"/>
        <v>116.23671677858059</v>
      </c>
      <c r="I26" s="194">
        <f t="shared" si="8"/>
        <v>117.4668043029906</v>
      </c>
      <c r="J26" s="194">
        <f t="shared" si="8"/>
        <v>118.89025482626197</v>
      </c>
      <c r="K26" s="194">
        <f t="shared" si="8"/>
        <v>120.51546925714918</v>
      </c>
      <c r="L26" s="194">
        <f t="shared" si="8"/>
        <v>129.14015141398471</v>
      </c>
      <c r="M26" s="194">
        <f t="shared" si="8"/>
        <v>137.99665403581145</v>
      </c>
      <c r="N26" s="194">
        <f t="shared" si="8"/>
        <v>147.09431147501752</v>
      </c>
      <c r="O26" s="194">
        <f t="shared" si="8"/>
        <v>156.44284754133002</v>
      </c>
      <c r="P26" s="194">
        <f t="shared" si="8"/>
        <v>166.05239146633801</v>
      </c>
      <c r="Q26" s="194">
        <f t="shared" si="8"/>
        <v>594.53349451412669</v>
      </c>
      <c r="R26" s="194">
        <f t="shared" si="8"/>
        <v>604.69714726400753</v>
      </c>
      <c r="S26" s="194">
        <f t="shared" si="8"/>
        <v>615.1547975923728</v>
      </c>
      <c r="T26" s="194">
        <f t="shared" si="8"/>
        <v>625.91836938178176</v>
      </c>
      <c r="U26" s="194">
        <f t="shared" si="8"/>
        <v>632.37475596298327</v>
      </c>
      <c r="V26" s="194">
        <f t="shared" si="8"/>
        <v>634.35187137348532</v>
      </c>
      <c r="W26" s="194">
        <f t="shared" si="8"/>
        <v>636.29629162780782</v>
      </c>
      <c r="X26" s="194">
        <f t="shared" si="8"/>
        <v>638.20694960004323</v>
      </c>
      <c r="Y26" s="194">
        <f t="shared" si="8"/>
        <v>640.08275578105747</v>
      </c>
      <c r="Z26" s="194">
        <f t="shared" si="8"/>
        <v>641.92259785133172</v>
      </c>
      <c r="AA26" s="194">
        <f t="shared" si="8"/>
        <v>643.72534024577874</v>
      </c>
      <c r="AB26" s="194">
        <f t="shared" si="8"/>
        <v>645.48982371037494</v>
      </c>
      <c r="AC26" s="194">
        <f t="shared" si="8"/>
        <v>647.21486485045841</v>
      </c>
      <c r="AD26" s="194">
        <f t="shared" si="8"/>
        <v>648.8992556705299</v>
      </c>
      <c r="AE26" s="194">
        <f t="shared" si="8"/>
        <v>650.54176310539981</v>
      </c>
      <c r="AF26" s="194">
        <f t="shared" si="8"/>
        <v>644.53354471797513</v>
      </c>
      <c r="AG26" s="194">
        <f t="shared" si="8"/>
        <v>638.47278493013107</v>
      </c>
      <c r="AH26" s="194">
        <f t="shared" si="8"/>
        <v>632.35843291385936</v>
      </c>
      <c r="AI26" s="194">
        <f t="shared" si="8"/>
        <v>626.1894168245916</v>
      </c>
      <c r="AJ26" s="194">
        <f t="shared" si="8"/>
        <v>619.96464338086753</v>
      </c>
      <c r="AK26" s="178"/>
      <c r="AL26" s="178"/>
      <c r="AM26" s="178"/>
      <c r="AN26" s="178"/>
      <c r="AO26" s="178"/>
      <c r="AP26" s="178"/>
      <c r="AQ26" s="178"/>
      <c r="AR26" s="178"/>
      <c r="AS26" s="178"/>
      <c r="AT26" s="182"/>
    </row>
    <row r="27" spans="1:46" ht="13.5" customHeight="1" x14ac:dyDescent="0.2">
      <c r="A27" s="176"/>
      <c r="B27" s="176"/>
      <c r="C27" s="183"/>
      <c r="D27" s="178"/>
      <c r="E27" s="178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82"/>
    </row>
    <row r="28" spans="1:46" ht="13.5" customHeight="1" x14ac:dyDescent="0.2">
      <c r="A28" s="176"/>
      <c r="B28" s="176"/>
      <c r="C28" s="183"/>
      <c r="D28" s="178"/>
      <c r="E28" s="178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82"/>
    </row>
    <row r="29" spans="1:46" ht="13.5" customHeight="1" x14ac:dyDescent="0.2">
      <c r="A29" s="176"/>
      <c r="B29" s="176"/>
      <c r="C29" s="199" t="s">
        <v>115</v>
      </c>
      <c r="D29" s="191" t="s">
        <v>116</v>
      </c>
      <c r="E29" s="178"/>
      <c r="F29" s="200">
        <v>1</v>
      </c>
      <c r="G29" s="200">
        <v>2</v>
      </c>
      <c r="H29" s="200">
        <v>3</v>
      </c>
      <c r="I29" s="200">
        <v>4</v>
      </c>
      <c r="J29" s="200">
        <v>5</v>
      </c>
      <c r="K29" s="200">
        <v>6</v>
      </c>
      <c r="L29" s="200">
        <v>7</v>
      </c>
      <c r="M29" s="200">
        <v>8</v>
      </c>
      <c r="N29" s="200">
        <v>9</v>
      </c>
      <c r="O29" s="200">
        <v>10</v>
      </c>
      <c r="P29" s="200">
        <v>11</v>
      </c>
      <c r="Q29" s="200">
        <v>12</v>
      </c>
      <c r="R29" s="200">
        <v>13</v>
      </c>
      <c r="S29" s="200">
        <v>14</v>
      </c>
      <c r="T29" s="200">
        <v>15</v>
      </c>
      <c r="U29" s="181">
        <v>16</v>
      </c>
      <c r="V29" s="181">
        <v>17</v>
      </c>
      <c r="W29" s="181">
        <v>18</v>
      </c>
      <c r="X29" s="181">
        <v>19</v>
      </c>
      <c r="Y29" s="181">
        <v>20</v>
      </c>
      <c r="Z29" s="181">
        <v>21</v>
      </c>
      <c r="AA29" s="181">
        <v>22</v>
      </c>
      <c r="AB29" s="181">
        <v>23</v>
      </c>
      <c r="AC29" s="181">
        <v>24</v>
      </c>
      <c r="AD29" s="181">
        <v>25</v>
      </c>
      <c r="AE29" s="181">
        <v>26</v>
      </c>
      <c r="AF29" s="181">
        <v>27</v>
      </c>
      <c r="AG29" s="181">
        <v>28</v>
      </c>
      <c r="AH29" s="181">
        <v>29</v>
      </c>
      <c r="AI29" s="181">
        <v>30</v>
      </c>
      <c r="AJ29" s="181">
        <v>31</v>
      </c>
      <c r="AK29" s="178"/>
      <c r="AL29" s="178"/>
      <c r="AM29" s="178"/>
      <c r="AN29" s="178"/>
      <c r="AO29" s="178"/>
      <c r="AP29" s="178"/>
      <c r="AQ29" s="178"/>
      <c r="AR29" s="178"/>
      <c r="AS29" s="178"/>
      <c r="AT29" s="182"/>
    </row>
    <row r="30" spans="1:46" ht="13.5" customHeight="1" x14ac:dyDescent="0.2">
      <c r="A30" s="176"/>
      <c r="B30" s="176"/>
      <c r="C30" s="183"/>
      <c r="D30" s="201" t="s">
        <v>117</v>
      </c>
      <c r="E30" s="202"/>
      <c r="F30" s="178"/>
      <c r="G30" s="181">
        <v>1</v>
      </c>
      <c r="H30" s="181">
        <v>2</v>
      </c>
      <c r="I30" s="181">
        <v>3</v>
      </c>
      <c r="J30" s="181">
        <v>4</v>
      </c>
      <c r="K30" s="181">
        <v>5</v>
      </c>
      <c r="L30" s="181">
        <v>6</v>
      </c>
      <c r="M30" s="181">
        <v>7</v>
      </c>
      <c r="N30" s="181">
        <v>8</v>
      </c>
      <c r="O30" s="181">
        <v>9</v>
      </c>
      <c r="P30" s="181">
        <v>10</v>
      </c>
      <c r="Q30" s="181">
        <v>11</v>
      </c>
      <c r="R30" s="181">
        <v>12</v>
      </c>
      <c r="S30" s="181">
        <v>13</v>
      </c>
      <c r="T30" s="181">
        <v>14</v>
      </c>
      <c r="U30" s="181">
        <v>15</v>
      </c>
      <c r="V30" s="181">
        <v>16</v>
      </c>
      <c r="W30" s="181">
        <v>17</v>
      </c>
      <c r="X30" s="181">
        <v>18</v>
      </c>
      <c r="Y30" s="181">
        <v>19</v>
      </c>
      <c r="Z30" s="181">
        <v>20</v>
      </c>
      <c r="AA30" s="181">
        <v>21</v>
      </c>
      <c r="AB30" s="181">
        <v>22</v>
      </c>
      <c r="AC30" s="181">
        <v>23</v>
      </c>
      <c r="AD30" s="181">
        <v>24</v>
      </c>
      <c r="AE30" s="181">
        <v>25</v>
      </c>
      <c r="AF30" s="181">
        <v>26</v>
      </c>
      <c r="AG30" s="181">
        <v>27</v>
      </c>
      <c r="AH30" s="181">
        <v>28</v>
      </c>
      <c r="AI30" s="181">
        <v>29</v>
      </c>
      <c r="AJ30" s="181">
        <v>29</v>
      </c>
      <c r="AK30" s="178"/>
      <c r="AL30" s="178"/>
      <c r="AM30" s="178"/>
      <c r="AN30" s="178"/>
      <c r="AO30" s="178"/>
      <c r="AP30" s="178"/>
      <c r="AQ30" s="178"/>
      <c r="AR30" s="178"/>
      <c r="AS30" s="178"/>
      <c r="AT30" s="182"/>
    </row>
    <row r="31" spans="1:46" ht="13.5" customHeight="1" x14ac:dyDescent="0.2">
      <c r="A31" s="176"/>
      <c r="B31" s="176"/>
      <c r="C31" s="183"/>
      <c r="D31" s="178"/>
      <c r="E31" s="184"/>
      <c r="F31" s="196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82"/>
    </row>
    <row r="32" spans="1:46" ht="13.5" customHeight="1" x14ac:dyDescent="0.2">
      <c r="A32" s="176"/>
      <c r="B32" s="176"/>
      <c r="C32" s="203" t="s">
        <v>118</v>
      </c>
      <c r="D32" s="178"/>
      <c r="E32" s="184"/>
      <c r="F32" s="196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82"/>
    </row>
    <row r="33" spans="1:46" ht="13.5" customHeight="1" x14ac:dyDescent="0.2">
      <c r="A33" s="176"/>
      <c r="B33" s="176"/>
      <c r="C33" s="190" t="s">
        <v>119</v>
      </c>
      <c r="D33" s="191" t="s">
        <v>89</v>
      </c>
      <c r="E33" s="184"/>
      <c r="F33" s="196">
        <v>0</v>
      </c>
      <c r="G33" s="194">
        <f t="shared" ref="G33:Q33" si="9">F37</f>
        <v>2792</v>
      </c>
      <c r="H33" s="194">
        <f t="shared" si="9"/>
        <v>2639.3642272265315</v>
      </c>
      <c r="I33" s="194">
        <f t="shared" si="9"/>
        <v>2480.6230235421244</v>
      </c>
      <c r="J33" s="194">
        <f t="shared" si="9"/>
        <v>2315.5321717103411</v>
      </c>
      <c r="K33" s="194">
        <f t="shared" si="9"/>
        <v>2143.8376858052866</v>
      </c>
      <c r="L33" s="194">
        <f t="shared" si="9"/>
        <v>1965.2754204640298</v>
      </c>
      <c r="M33" s="194">
        <f t="shared" si="9"/>
        <v>1779.5706645091227</v>
      </c>
      <c r="N33" s="194">
        <f t="shared" si="9"/>
        <v>1586.4377183160193</v>
      </c>
      <c r="O33" s="194">
        <f t="shared" si="9"/>
        <v>1385.5794542751919</v>
      </c>
      <c r="P33" s="194">
        <f t="shared" si="9"/>
        <v>1176.6868596727313</v>
      </c>
      <c r="Q33" s="194">
        <f t="shared" si="9"/>
        <v>959.43856128617222</v>
      </c>
      <c r="R33" s="194">
        <f t="shared" ref="R33:AI33" si="10">Q33+Q34+Q36</f>
        <v>733.50033096415086</v>
      </c>
      <c r="S33" s="194">
        <f t="shared" si="10"/>
        <v>498.52457142924857</v>
      </c>
      <c r="T33" s="194">
        <f t="shared" si="10"/>
        <v>254.1497815129502</v>
      </c>
      <c r="U33" s="194">
        <f t="shared" si="10"/>
        <v>0</v>
      </c>
      <c r="V33" s="194">
        <f t="shared" si="10"/>
        <v>0</v>
      </c>
      <c r="W33" s="194">
        <f t="shared" si="10"/>
        <v>0</v>
      </c>
      <c r="X33" s="194">
        <f t="shared" si="10"/>
        <v>0</v>
      </c>
      <c r="Y33" s="194">
        <f t="shared" si="10"/>
        <v>0</v>
      </c>
      <c r="Z33" s="194">
        <f t="shared" si="10"/>
        <v>0</v>
      </c>
      <c r="AA33" s="194">
        <f t="shared" si="10"/>
        <v>0</v>
      </c>
      <c r="AB33" s="194">
        <f t="shared" si="10"/>
        <v>0</v>
      </c>
      <c r="AC33" s="194">
        <f t="shared" si="10"/>
        <v>0</v>
      </c>
      <c r="AD33" s="194">
        <f t="shared" si="10"/>
        <v>0</v>
      </c>
      <c r="AE33" s="194">
        <f t="shared" si="10"/>
        <v>0</v>
      </c>
      <c r="AF33" s="194">
        <f t="shared" si="10"/>
        <v>0</v>
      </c>
      <c r="AG33" s="194">
        <f t="shared" si="10"/>
        <v>0</v>
      </c>
      <c r="AH33" s="194">
        <f t="shared" si="10"/>
        <v>0</v>
      </c>
      <c r="AI33" s="194">
        <f t="shared" si="10"/>
        <v>0</v>
      </c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82"/>
    </row>
    <row r="34" spans="1:46" ht="13.5" customHeight="1" x14ac:dyDescent="0.2">
      <c r="A34" s="176"/>
      <c r="B34" s="176"/>
      <c r="C34" s="190" t="s">
        <v>120</v>
      </c>
      <c r="D34" s="191" t="s">
        <v>89</v>
      </c>
      <c r="E34" s="192">
        <f>SUM(F34:AI34)</f>
        <v>2792</v>
      </c>
      <c r="F34" s="196">
        <f>Assumptions!F53*Assumptions!F20*(1+Assumptions!F61)</f>
        <v>2792</v>
      </c>
      <c r="G34" s="194">
        <v>0</v>
      </c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82"/>
    </row>
    <row r="35" spans="1:46" ht="13.5" customHeight="1" x14ac:dyDescent="0.2">
      <c r="A35" s="176"/>
      <c r="B35" s="176"/>
      <c r="C35" s="190" t="s">
        <v>121</v>
      </c>
      <c r="D35" s="191" t="s">
        <v>89</v>
      </c>
      <c r="E35" s="192">
        <f>SUM(F35:AI35)</f>
        <v>0</v>
      </c>
      <c r="F35" s="196"/>
      <c r="G35" s="194">
        <f t="shared" ref="G35:M35" si="11">-G65*$D46</f>
        <v>0</v>
      </c>
      <c r="H35" s="194">
        <f t="shared" si="11"/>
        <v>0</v>
      </c>
      <c r="I35" s="194">
        <f t="shared" si="11"/>
        <v>0</v>
      </c>
      <c r="J35" s="194">
        <f t="shared" si="11"/>
        <v>0</v>
      </c>
      <c r="K35" s="194">
        <f t="shared" si="11"/>
        <v>0</v>
      </c>
      <c r="L35" s="194">
        <f t="shared" si="11"/>
        <v>0</v>
      </c>
      <c r="M35" s="194">
        <f t="shared" si="11"/>
        <v>0</v>
      </c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82"/>
    </row>
    <row r="36" spans="1:46" ht="13.5" customHeight="1" x14ac:dyDescent="0.2">
      <c r="A36" s="176"/>
      <c r="B36" s="176"/>
      <c r="C36" s="190" t="s">
        <v>122</v>
      </c>
      <c r="D36" s="191" t="s">
        <v>89</v>
      </c>
      <c r="E36" s="192">
        <f>SUM(F36:AI36)</f>
        <v>-2792.0000000000005</v>
      </c>
      <c r="F36" s="196">
        <v>0</v>
      </c>
      <c r="G36" s="194">
        <f t="shared" ref="G36:AI36" si="12">IF(G30&gt;$D$45-1,0,PPMT($D$44,G30,$D$45-1,$G$33)+G35)</f>
        <v>-152.63577277346832</v>
      </c>
      <c r="H36" s="194">
        <f t="shared" si="12"/>
        <v>-158.74120368440703</v>
      </c>
      <c r="I36" s="194">
        <f t="shared" si="12"/>
        <v>-165.09085183178334</v>
      </c>
      <c r="J36" s="194">
        <f t="shared" si="12"/>
        <v>-171.69448590505465</v>
      </c>
      <c r="K36" s="194">
        <f t="shared" si="12"/>
        <v>-178.56226534125682</v>
      </c>
      <c r="L36" s="194">
        <f t="shared" si="12"/>
        <v>-185.70475595490709</v>
      </c>
      <c r="M36" s="194">
        <f t="shared" si="12"/>
        <v>-193.13294619310338</v>
      </c>
      <c r="N36" s="194">
        <f t="shared" si="12"/>
        <v>-200.85826404082752</v>
      </c>
      <c r="O36" s="194">
        <f t="shared" si="12"/>
        <v>-208.89259460246063</v>
      </c>
      <c r="P36" s="194">
        <f t="shared" si="12"/>
        <v>-217.24829838655904</v>
      </c>
      <c r="Q36" s="194">
        <f t="shared" si="12"/>
        <v>-225.93823032202141</v>
      </c>
      <c r="R36" s="194">
        <f t="shared" si="12"/>
        <v>-234.97575953490229</v>
      </c>
      <c r="S36" s="194">
        <f t="shared" si="12"/>
        <v>-244.37478991629837</v>
      </c>
      <c r="T36" s="194">
        <f t="shared" si="12"/>
        <v>-254.14978151295028</v>
      </c>
      <c r="U36" s="194">
        <f t="shared" si="12"/>
        <v>0</v>
      </c>
      <c r="V36" s="194">
        <f t="shared" si="12"/>
        <v>0</v>
      </c>
      <c r="W36" s="194">
        <f t="shared" si="12"/>
        <v>0</v>
      </c>
      <c r="X36" s="194">
        <f t="shared" si="12"/>
        <v>0</v>
      </c>
      <c r="Y36" s="194">
        <f t="shared" si="12"/>
        <v>0</v>
      </c>
      <c r="Z36" s="194">
        <f t="shared" si="12"/>
        <v>0</v>
      </c>
      <c r="AA36" s="194">
        <f t="shared" si="12"/>
        <v>0</v>
      </c>
      <c r="AB36" s="194">
        <f t="shared" si="12"/>
        <v>0</v>
      </c>
      <c r="AC36" s="194">
        <f t="shared" si="12"/>
        <v>0</v>
      </c>
      <c r="AD36" s="194">
        <f t="shared" si="12"/>
        <v>0</v>
      </c>
      <c r="AE36" s="194">
        <f t="shared" si="12"/>
        <v>0</v>
      </c>
      <c r="AF36" s="194">
        <f t="shared" si="12"/>
        <v>0</v>
      </c>
      <c r="AG36" s="194">
        <f t="shared" si="12"/>
        <v>0</v>
      </c>
      <c r="AH36" s="194">
        <f t="shared" si="12"/>
        <v>0</v>
      </c>
      <c r="AI36" s="194">
        <f t="shared" si="12"/>
        <v>0</v>
      </c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82"/>
    </row>
    <row r="37" spans="1:46" ht="13.5" customHeight="1" x14ac:dyDescent="0.2">
      <c r="A37" s="176"/>
      <c r="B37" s="176"/>
      <c r="C37" s="190" t="s">
        <v>123</v>
      </c>
      <c r="D37" s="191" t="s">
        <v>89</v>
      </c>
      <c r="E37" s="184"/>
      <c r="F37" s="196">
        <f t="shared" ref="F37:AI37" si="13">F33+F34+F36</f>
        <v>2792</v>
      </c>
      <c r="G37" s="194">
        <f t="shared" si="13"/>
        <v>2639.3642272265315</v>
      </c>
      <c r="H37" s="194">
        <f t="shared" si="13"/>
        <v>2480.6230235421244</v>
      </c>
      <c r="I37" s="194">
        <f t="shared" si="13"/>
        <v>2315.5321717103411</v>
      </c>
      <c r="J37" s="194">
        <f t="shared" si="13"/>
        <v>2143.8376858052866</v>
      </c>
      <c r="K37" s="194">
        <f t="shared" si="13"/>
        <v>1965.2754204640298</v>
      </c>
      <c r="L37" s="194">
        <f t="shared" si="13"/>
        <v>1779.5706645091227</v>
      </c>
      <c r="M37" s="194">
        <f t="shared" si="13"/>
        <v>1586.4377183160193</v>
      </c>
      <c r="N37" s="194">
        <f t="shared" si="13"/>
        <v>1385.5794542751919</v>
      </c>
      <c r="O37" s="194">
        <f t="shared" si="13"/>
        <v>1176.6868596727313</v>
      </c>
      <c r="P37" s="194">
        <f t="shared" si="13"/>
        <v>959.43856128617222</v>
      </c>
      <c r="Q37" s="194">
        <f t="shared" si="13"/>
        <v>733.50033096415086</v>
      </c>
      <c r="R37" s="194">
        <f t="shared" si="13"/>
        <v>498.52457142924857</v>
      </c>
      <c r="S37" s="194">
        <f t="shared" si="13"/>
        <v>254.1497815129502</v>
      </c>
      <c r="T37" s="194">
        <f t="shared" si="13"/>
        <v>0</v>
      </c>
      <c r="U37" s="194">
        <f t="shared" si="13"/>
        <v>0</v>
      </c>
      <c r="V37" s="194">
        <f t="shared" si="13"/>
        <v>0</v>
      </c>
      <c r="W37" s="194">
        <f t="shared" si="13"/>
        <v>0</v>
      </c>
      <c r="X37" s="194">
        <f t="shared" si="13"/>
        <v>0</v>
      </c>
      <c r="Y37" s="194">
        <f t="shared" si="13"/>
        <v>0</v>
      </c>
      <c r="Z37" s="194">
        <f t="shared" si="13"/>
        <v>0</v>
      </c>
      <c r="AA37" s="194">
        <f t="shared" si="13"/>
        <v>0</v>
      </c>
      <c r="AB37" s="194">
        <f t="shared" si="13"/>
        <v>0</v>
      </c>
      <c r="AC37" s="194">
        <f t="shared" si="13"/>
        <v>0</v>
      </c>
      <c r="AD37" s="194">
        <f t="shared" si="13"/>
        <v>0</v>
      </c>
      <c r="AE37" s="194">
        <f t="shared" si="13"/>
        <v>0</v>
      </c>
      <c r="AF37" s="194">
        <f t="shared" si="13"/>
        <v>0</v>
      </c>
      <c r="AG37" s="194">
        <f t="shared" si="13"/>
        <v>0</v>
      </c>
      <c r="AH37" s="194">
        <f t="shared" si="13"/>
        <v>0</v>
      </c>
      <c r="AI37" s="194">
        <f t="shared" si="13"/>
        <v>0</v>
      </c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82"/>
    </row>
    <row r="38" spans="1:46" ht="13.5" customHeight="1" x14ac:dyDescent="0.2">
      <c r="A38" s="176"/>
      <c r="B38" s="176"/>
      <c r="C38" s="183"/>
      <c r="D38" s="178"/>
      <c r="E38" s="184"/>
      <c r="F38" s="196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82"/>
    </row>
    <row r="39" spans="1:46" ht="13.5" customHeight="1" x14ac:dyDescent="0.2">
      <c r="A39" s="176"/>
      <c r="B39" s="176"/>
      <c r="C39" s="190" t="s">
        <v>124</v>
      </c>
      <c r="D39" s="191" t="s">
        <v>89</v>
      </c>
      <c r="E39" s="184"/>
      <c r="F39" s="196">
        <f>-(F33+F37)*$D$44/3</f>
        <v>-37.226666666666667</v>
      </c>
      <c r="G39" s="194">
        <f t="shared" ref="G39:AI39" si="14">-(G33+G37)/2*$D$44</f>
        <v>-108.62728454453064</v>
      </c>
      <c r="H39" s="194">
        <f t="shared" si="14"/>
        <v>-102.39974501537313</v>
      </c>
      <c r="I39" s="194">
        <f t="shared" si="14"/>
        <v>-95.923103905049317</v>
      </c>
      <c r="J39" s="194">
        <f t="shared" si="14"/>
        <v>-89.187397150312549</v>
      </c>
      <c r="K39" s="194">
        <f t="shared" si="14"/>
        <v>-82.18226212538633</v>
      </c>
      <c r="L39" s="194">
        <f t="shared" si="14"/>
        <v>-74.89692169946305</v>
      </c>
      <c r="M39" s="194">
        <f t="shared" si="14"/>
        <v>-67.320167656502832</v>
      </c>
      <c r="N39" s="194">
        <f t="shared" si="14"/>
        <v>-59.440343451824226</v>
      </c>
      <c r="O39" s="194">
        <f t="shared" si="14"/>
        <v>-51.245326278958466</v>
      </c>
      <c r="P39" s="194">
        <f t="shared" si="14"/>
        <v>-42.72250841917807</v>
      </c>
      <c r="Q39" s="194">
        <f t="shared" si="14"/>
        <v>-33.858777845006465</v>
      </c>
      <c r="R39" s="194">
        <f t="shared" si="14"/>
        <v>-24.640498047867986</v>
      </c>
      <c r="S39" s="194">
        <f t="shared" si="14"/>
        <v>-15.053487058843976</v>
      </c>
      <c r="T39" s="194">
        <f t="shared" si="14"/>
        <v>-5.0829956302590045</v>
      </c>
      <c r="U39" s="194">
        <f t="shared" si="14"/>
        <v>0</v>
      </c>
      <c r="V39" s="194">
        <f t="shared" si="14"/>
        <v>0</v>
      </c>
      <c r="W39" s="194">
        <f t="shared" si="14"/>
        <v>0</v>
      </c>
      <c r="X39" s="194">
        <f t="shared" si="14"/>
        <v>0</v>
      </c>
      <c r="Y39" s="194">
        <f t="shared" si="14"/>
        <v>0</v>
      </c>
      <c r="Z39" s="194">
        <f t="shared" si="14"/>
        <v>0</v>
      </c>
      <c r="AA39" s="194">
        <f t="shared" si="14"/>
        <v>0</v>
      </c>
      <c r="AB39" s="194">
        <f t="shared" si="14"/>
        <v>0</v>
      </c>
      <c r="AC39" s="194">
        <f t="shared" si="14"/>
        <v>0</v>
      </c>
      <c r="AD39" s="194">
        <f t="shared" si="14"/>
        <v>0</v>
      </c>
      <c r="AE39" s="194">
        <f t="shared" si="14"/>
        <v>0</v>
      </c>
      <c r="AF39" s="194">
        <f t="shared" si="14"/>
        <v>0</v>
      </c>
      <c r="AG39" s="194">
        <f t="shared" si="14"/>
        <v>0</v>
      </c>
      <c r="AH39" s="194">
        <f t="shared" si="14"/>
        <v>0</v>
      </c>
      <c r="AI39" s="194">
        <f t="shared" si="14"/>
        <v>0</v>
      </c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82"/>
    </row>
    <row r="40" spans="1:46" ht="13.5" customHeight="1" x14ac:dyDescent="0.2">
      <c r="A40" s="176"/>
      <c r="B40" s="176"/>
      <c r="C40" s="190" t="s">
        <v>107</v>
      </c>
      <c r="D40" s="191" t="s">
        <v>89</v>
      </c>
      <c r="E40" s="184"/>
      <c r="F40" s="196">
        <f t="shared" ref="F40:AI40" si="15">F39</f>
        <v>-37.226666666666667</v>
      </c>
      <c r="G40" s="194">
        <f t="shared" si="15"/>
        <v>-108.62728454453064</v>
      </c>
      <c r="H40" s="194">
        <f t="shared" si="15"/>
        <v>-102.39974501537313</v>
      </c>
      <c r="I40" s="194">
        <f t="shared" si="15"/>
        <v>-95.923103905049317</v>
      </c>
      <c r="J40" s="194">
        <f t="shared" si="15"/>
        <v>-89.187397150312549</v>
      </c>
      <c r="K40" s="194">
        <f t="shared" si="15"/>
        <v>-82.18226212538633</v>
      </c>
      <c r="L40" s="194">
        <f t="shared" si="15"/>
        <v>-74.89692169946305</v>
      </c>
      <c r="M40" s="194">
        <f t="shared" si="15"/>
        <v>-67.320167656502832</v>
      </c>
      <c r="N40" s="194">
        <f t="shared" si="15"/>
        <v>-59.440343451824226</v>
      </c>
      <c r="O40" s="194">
        <f t="shared" si="15"/>
        <v>-51.245326278958466</v>
      </c>
      <c r="P40" s="194">
        <f t="shared" si="15"/>
        <v>-42.72250841917807</v>
      </c>
      <c r="Q40" s="194">
        <f t="shared" si="15"/>
        <v>-33.858777845006465</v>
      </c>
      <c r="R40" s="194">
        <f t="shared" si="15"/>
        <v>-24.640498047867986</v>
      </c>
      <c r="S40" s="194">
        <f t="shared" si="15"/>
        <v>-15.053487058843976</v>
      </c>
      <c r="T40" s="194">
        <f t="shared" si="15"/>
        <v>-5.0829956302590045</v>
      </c>
      <c r="U40" s="194">
        <f t="shared" si="15"/>
        <v>0</v>
      </c>
      <c r="V40" s="194">
        <f t="shared" si="15"/>
        <v>0</v>
      </c>
      <c r="W40" s="194">
        <f t="shared" si="15"/>
        <v>0</v>
      </c>
      <c r="X40" s="194">
        <f t="shared" si="15"/>
        <v>0</v>
      </c>
      <c r="Y40" s="194">
        <f t="shared" si="15"/>
        <v>0</v>
      </c>
      <c r="Z40" s="194">
        <f t="shared" si="15"/>
        <v>0</v>
      </c>
      <c r="AA40" s="194">
        <f t="shared" si="15"/>
        <v>0</v>
      </c>
      <c r="AB40" s="194">
        <f t="shared" si="15"/>
        <v>0</v>
      </c>
      <c r="AC40" s="194">
        <f t="shared" si="15"/>
        <v>0</v>
      </c>
      <c r="AD40" s="194">
        <f t="shared" si="15"/>
        <v>0</v>
      </c>
      <c r="AE40" s="194">
        <f t="shared" si="15"/>
        <v>0</v>
      </c>
      <c r="AF40" s="194">
        <f t="shared" si="15"/>
        <v>0</v>
      </c>
      <c r="AG40" s="194">
        <f t="shared" si="15"/>
        <v>0</v>
      </c>
      <c r="AH40" s="194">
        <f t="shared" si="15"/>
        <v>0</v>
      </c>
      <c r="AI40" s="194">
        <f t="shared" si="15"/>
        <v>0</v>
      </c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82"/>
    </row>
    <row r="41" spans="1:46" ht="13.5" customHeight="1" x14ac:dyDescent="0.2">
      <c r="A41" s="176"/>
      <c r="B41" s="176"/>
      <c r="C41" s="190" t="s">
        <v>125</v>
      </c>
      <c r="D41" s="191" t="s">
        <v>89</v>
      </c>
      <c r="E41" s="184"/>
      <c r="F41" s="196">
        <v>0</v>
      </c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82"/>
    </row>
    <row r="42" spans="1:46" ht="13.5" customHeight="1" x14ac:dyDescent="0.2">
      <c r="A42" s="176"/>
      <c r="B42" s="176"/>
      <c r="C42" s="204" t="s">
        <v>126</v>
      </c>
      <c r="D42" s="205"/>
      <c r="E42" s="184"/>
      <c r="F42" s="196"/>
      <c r="G42" s="194">
        <f t="shared" ref="G42:T42" si="16">SUM(G36+G39)</f>
        <v>-261.26305731799897</v>
      </c>
      <c r="H42" s="194">
        <f t="shared" si="16"/>
        <v>-261.14094869978015</v>
      </c>
      <c r="I42" s="194">
        <f t="shared" si="16"/>
        <v>-261.01395573683266</v>
      </c>
      <c r="J42" s="194">
        <f t="shared" si="16"/>
        <v>-260.88188305536721</v>
      </c>
      <c r="K42" s="194">
        <f t="shared" si="16"/>
        <v>-260.74452746664315</v>
      </c>
      <c r="L42" s="194">
        <f t="shared" si="16"/>
        <v>-260.60167765437012</v>
      </c>
      <c r="M42" s="194">
        <f t="shared" si="16"/>
        <v>-260.45311384960621</v>
      </c>
      <c r="N42" s="194">
        <f t="shared" si="16"/>
        <v>-260.29860749265174</v>
      </c>
      <c r="O42" s="194">
        <f t="shared" si="16"/>
        <v>-260.13792088141912</v>
      </c>
      <c r="P42" s="194">
        <f t="shared" si="16"/>
        <v>-259.97080680573708</v>
      </c>
      <c r="Q42" s="194">
        <f t="shared" si="16"/>
        <v>-259.79700816702785</v>
      </c>
      <c r="R42" s="194">
        <f t="shared" si="16"/>
        <v>-259.61625758277029</v>
      </c>
      <c r="S42" s="194">
        <f t="shared" si="16"/>
        <v>-259.42827697514235</v>
      </c>
      <c r="T42" s="194">
        <f t="shared" si="16"/>
        <v>-259.23277714320926</v>
      </c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82"/>
    </row>
    <row r="43" spans="1:46" ht="13.5" customHeight="1" x14ac:dyDescent="0.2">
      <c r="A43" s="206"/>
      <c r="B43" s="206"/>
      <c r="C43" s="207" t="s">
        <v>56</v>
      </c>
      <c r="D43" s="208">
        <f>Assumptions!F51</f>
        <v>0.57910573242770857</v>
      </c>
      <c r="E43" s="209">
        <f>E34/4.9</f>
        <v>569.79591836734687</v>
      </c>
      <c r="F43" s="202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82"/>
    </row>
    <row r="44" spans="1:46" ht="13.5" customHeight="1" x14ac:dyDescent="0.2">
      <c r="A44" s="206"/>
      <c r="B44" s="206"/>
      <c r="C44" s="210" t="s">
        <v>127</v>
      </c>
      <c r="D44" s="211">
        <f>Assumptions!F52</f>
        <v>0.04</v>
      </c>
      <c r="E44" s="206"/>
      <c r="F44" s="196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82"/>
    </row>
    <row r="45" spans="1:46" ht="13.5" customHeight="1" x14ac:dyDescent="0.2">
      <c r="A45" s="206"/>
      <c r="B45" s="206"/>
      <c r="C45" s="210" t="s">
        <v>59</v>
      </c>
      <c r="D45" s="192">
        <f>Assumptions!F54</f>
        <v>15</v>
      </c>
      <c r="E45" s="206"/>
      <c r="F45" s="196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82"/>
    </row>
    <row r="46" spans="1:46" ht="15.75" customHeight="1" x14ac:dyDescent="0.2">
      <c r="A46" s="206"/>
      <c r="B46" s="206"/>
      <c r="C46" s="212" t="s">
        <v>128</v>
      </c>
      <c r="D46" s="213">
        <v>0</v>
      </c>
      <c r="E46" s="214"/>
      <c r="F46" s="196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82"/>
    </row>
    <row r="47" spans="1:46" ht="15.75" customHeight="1" x14ac:dyDescent="0.2">
      <c r="A47" s="176"/>
      <c r="B47" s="176"/>
      <c r="C47" s="215" t="s">
        <v>129</v>
      </c>
      <c r="D47" s="216" t="s">
        <v>130</v>
      </c>
      <c r="E47" s="217">
        <f>AVERAGEIF(G51:AI51,"1",G47:AI47)</f>
        <v>2.5793536019494741</v>
      </c>
      <c r="F47" s="218">
        <f t="shared" ref="F47:AI47" si="17">F48/F49</f>
        <v>-128.51002865329514</v>
      </c>
      <c r="G47" s="219">
        <f t="shared" si="17"/>
        <v>2.6858160234576713</v>
      </c>
      <c r="H47" s="219">
        <f t="shared" si="17"/>
        <v>2.6691963296621832</v>
      </c>
      <c r="I47" s="219">
        <f t="shared" si="17"/>
        <v>2.6503943295106298</v>
      </c>
      <c r="J47" s="219">
        <f t="shared" si="17"/>
        <v>2.6313734167231639</v>
      </c>
      <c r="K47" s="219">
        <f t="shared" si="17"/>
        <v>2.612126658994474</v>
      </c>
      <c r="L47" s="219">
        <f t="shared" si="17"/>
        <v>2.6186979272579665</v>
      </c>
      <c r="M47" s="219">
        <f t="shared" si="17"/>
        <v>2.6251051929719442</v>
      </c>
      <c r="N47" s="219">
        <f t="shared" si="17"/>
        <v>2.6313419865151508</v>
      </c>
      <c r="O47" s="219">
        <f t="shared" si="17"/>
        <v>2.6374016194779766</v>
      </c>
      <c r="P47" s="219">
        <f t="shared" si="17"/>
        <v>2.6432771753445641</v>
      </c>
      <c r="Q47" s="219">
        <f t="shared" si="17"/>
        <v>2.41878178964682</v>
      </c>
      <c r="R47" s="219">
        <f t="shared" si="17"/>
        <v>2.4241072233746048</v>
      </c>
      <c r="S47" s="219">
        <f t="shared" si="17"/>
        <v>2.4292197134377971</v>
      </c>
      <c r="T47" s="220">
        <f t="shared" si="17"/>
        <v>2.4341110409176907</v>
      </c>
      <c r="U47" s="220" t="e">
        <f t="shared" si="17"/>
        <v>#DIV/0!</v>
      </c>
      <c r="V47" s="220" t="e">
        <f t="shared" si="17"/>
        <v>#DIV/0!</v>
      </c>
      <c r="W47" s="220" t="e">
        <f t="shared" si="17"/>
        <v>#DIV/0!</v>
      </c>
      <c r="X47" s="220" t="e">
        <f t="shared" si="17"/>
        <v>#DIV/0!</v>
      </c>
      <c r="Y47" s="220" t="e">
        <f t="shared" si="17"/>
        <v>#DIV/0!</v>
      </c>
      <c r="Z47" s="220" t="e">
        <f t="shared" si="17"/>
        <v>#DIV/0!</v>
      </c>
      <c r="AA47" s="220" t="e">
        <f t="shared" si="17"/>
        <v>#DIV/0!</v>
      </c>
      <c r="AB47" s="220" t="e">
        <f t="shared" si="17"/>
        <v>#DIV/0!</v>
      </c>
      <c r="AC47" s="220" t="e">
        <f t="shared" si="17"/>
        <v>#DIV/0!</v>
      </c>
      <c r="AD47" s="220" t="e">
        <f t="shared" si="17"/>
        <v>#DIV/0!</v>
      </c>
      <c r="AE47" s="220" t="e">
        <f t="shared" si="17"/>
        <v>#DIV/0!</v>
      </c>
      <c r="AF47" s="220" t="e">
        <f t="shared" si="17"/>
        <v>#DIV/0!</v>
      </c>
      <c r="AG47" s="220" t="e">
        <f t="shared" si="17"/>
        <v>#DIV/0!</v>
      </c>
      <c r="AH47" s="220" t="e">
        <f t="shared" si="17"/>
        <v>#DIV/0!</v>
      </c>
      <c r="AI47" s="220" t="e">
        <f t="shared" si="17"/>
        <v>#DIV/0!</v>
      </c>
      <c r="AJ47" s="220"/>
      <c r="AK47" s="178"/>
      <c r="AL47" s="178"/>
      <c r="AM47" s="178"/>
      <c r="AN47" s="178"/>
      <c r="AO47" s="178"/>
      <c r="AP47" s="178"/>
      <c r="AQ47" s="178"/>
      <c r="AR47" s="178"/>
      <c r="AS47" s="178"/>
      <c r="AT47" s="182"/>
    </row>
    <row r="48" spans="1:46" ht="14" customHeight="1" x14ac:dyDescent="0.2">
      <c r="A48" s="176"/>
      <c r="B48" s="176"/>
      <c r="C48" s="190" t="s">
        <v>131</v>
      </c>
      <c r="D48" s="221"/>
      <c r="E48" s="221"/>
      <c r="F48" s="194">
        <f>F14+F24+F63</f>
        <v>-4784</v>
      </c>
      <c r="G48" s="194">
        <f>G14+G24+G63-G65*(100%-D46)</f>
        <v>701.70450568222168</v>
      </c>
      <c r="H48" s="194">
        <f t="shared" ref="H48:AJ48" si="18">H14+H24+H63</f>
        <v>697.03646179395366</v>
      </c>
      <c r="I48" s="194">
        <f t="shared" si="18"/>
        <v>691.78990820803983</v>
      </c>
      <c r="J48" s="194">
        <f t="shared" si="18"/>
        <v>686.47765197657452</v>
      </c>
      <c r="K48" s="194">
        <f t="shared" si="18"/>
        <v>681.09773138253547</v>
      </c>
      <c r="L48" s="194">
        <f t="shared" si="18"/>
        <v>682.4370731134477</v>
      </c>
      <c r="M48" s="194">
        <f t="shared" si="18"/>
        <v>683.71682169231428</v>
      </c>
      <c r="N48" s="194">
        <f t="shared" si="18"/>
        <v>684.93465492684174</v>
      </c>
      <c r="O48" s="194">
        <f t="shared" si="18"/>
        <v>686.08817382028849</v>
      </c>
      <c r="P48" s="194">
        <f t="shared" si="18"/>
        <v>687.17489988551608</v>
      </c>
      <c r="Q48" s="194">
        <f t="shared" si="18"/>
        <v>628.39227235913313</v>
      </c>
      <c r="R48" s="194">
        <f t="shared" si="18"/>
        <v>629.33764531187546</v>
      </c>
      <c r="S48" s="194">
        <f t="shared" si="18"/>
        <v>630.20828465121679</v>
      </c>
      <c r="T48" s="194">
        <f t="shared" si="18"/>
        <v>631.00136501204088</v>
      </c>
      <c r="U48" s="194">
        <f t="shared" si="18"/>
        <v>632.37475596298327</v>
      </c>
      <c r="V48" s="194">
        <f t="shared" si="18"/>
        <v>634.35187137348532</v>
      </c>
      <c r="W48" s="194">
        <f t="shared" si="18"/>
        <v>636.29629162780782</v>
      </c>
      <c r="X48" s="194">
        <f t="shared" si="18"/>
        <v>638.20694960004323</v>
      </c>
      <c r="Y48" s="194">
        <f t="shared" si="18"/>
        <v>640.08275578105747</v>
      </c>
      <c r="Z48" s="194">
        <f t="shared" si="18"/>
        <v>641.92259785133172</v>
      </c>
      <c r="AA48" s="194">
        <f t="shared" si="18"/>
        <v>643.72534024577874</v>
      </c>
      <c r="AB48" s="194">
        <f t="shared" si="18"/>
        <v>645.48982371037494</v>
      </c>
      <c r="AC48" s="194">
        <f t="shared" si="18"/>
        <v>647.21486485045841</v>
      </c>
      <c r="AD48" s="194">
        <f t="shared" si="18"/>
        <v>648.8992556705299</v>
      </c>
      <c r="AE48" s="194">
        <f t="shared" si="18"/>
        <v>650.54176310539981</v>
      </c>
      <c r="AF48" s="194">
        <f t="shared" si="18"/>
        <v>644.53354471797513</v>
      </c>
      <c r="AG48" s="194">
        <f t="shared" si="18"/>
        <v>638.47278493013107</v>
      </c>
      <c r="AH48" s="194">
        <f t="shared" si="18"/>
        <v>632.35843291385936</v>
      </c>
      <c r="AI48" s="194">
        <f t="shared" si="18"/>
        <v>626.1894168245916</v>
      </c>
      <c r="AJ48" s="194">
        <f t="shared" si="18"/>
        <v>619.96464338086753</v>
      </c>
      <c r="AK48" s="178"/>
      <c r="AL48" s="178"/>
      <c r="AM48" s="178"/>
      <c r="AN48" s="178"/>
      <c r="AO48" s="178"/>
      <c r="AP48" s="178"/>
      <c r="AQ48" s="178"/>
      <c r="AR48" s="178"/>
      <c r="AS48" s="178"/>
      <c r="AT48" s="182"/>
    </row>
    <row r="49" spans="1:46" ht="13.5" customHeight="1" x14ac:dyDescent="0.2">
      <c r="A49" s="176"/>
      <c r="B49" s="176"/>
      <c r="C49" s="190" t="s">
        <v>132</v>
      </c>
      <c r="D49" s="178"/>
      <c r="E49" s="178"/>
      <c r="F49" s="194">
        <f t="shared" ref="F49:AJ49" si="19">-F36-F39</f>
        <v>37.226666666666667</v>
      </c>
      <c r="G49" s="194">
        <f t="shared" si="19"/>
        <v>261.26305731799897</v>
      </c>
      <c r="H49" s="194">
        <f t="shared" si="19"/>
        <v>261.14094869978015</v>
      </c>
      <c r="I49" s="194">
        <f t="shared" si="19"/>
        <v>261.01395573683266</v>
      </c>
      <c r="J49" s="194">
        <f t="shared" si="19"/>
        <v>260.88188305536721</v>
      </c>
      <c r="K49" s="194">
        <f t="shared" si="19"/>
        <v>260.74452746664315</v>
      </c>
      <c r="L49" s="194">
        <f t="shared" si="19"/>
        <v>260.60167765437012</v>
      </c>
      <c r="M49" s="194">
        <f t="shared" si="19"/>
        <v>260.45311384960621</v>
      </c>
      <c r="N49" s="194">
        <f t="shared" si="19"/>
        <v>260.29860749265174</v>
      </c>
      <c r="O49" s="194">
        <f t="shared" si="19"/>
        <v>260.13792088141912</v>
      </c>
      <c r="P49" s="194">
        <f t="shared" si="19"/>
        <v>259.97080680573708</v>
      </c>
      <c r="Q49" s="194">
        <f t="shared" si="19"/>
        <v>259.79700816702785</v>
      </c>
      <c r="R49" s="194">
        <f t="shared" si="19"/>
        <v>259.61625758277029</v>
      </c>
      <c r="S49" s="194">
        <f t="shared" si="19"/>
        <v>259.42827697514235</v>
      </c>
      <c r="T49" s="194">
        <f t="shared" si="19"/>
        <v>259.23277714320926</v>
      </c>
      <c r="U49" s="194">
        <f t="shared" si="19"/>
        <v>0</v>
      </c>
      <c r="V49" s="194">
        <f t="shared" si="19"/>
        <v>0</v>
      </c>
      <c r="W49" s="194">
        <f t="shared" si="19"/>
        <v>0</v>
      </c>
      <c r="X49" s="194">
        <f t="shared" si="19"/>
        <v>0</v>
      </c>
      <c r="Y49" s="194">
        <f t="shared" si="19"/>
        <v>0</v>
      </c>
      <c r="Z49" s="194">
        <f t="shared" si="19"/>
        <v>0</v>
      </c>
      <c r="AA49" s="194">
        <f t="shared" si="19"/>
        <v>0</v>
      </c>
      <c r="AB49" s="194">
        <f t="shared" si="19"/>
        <v>0</v>
      </c>
      <c r="AC49" s="194">
        <f t="shared" si="19"/>
        <v>0</v>
      </c>
      <c r="AD49" s="194">
        <f t="shared" si="19"/>
        <v>0</v>
      </c>
      <c r="AE49" s="194">
        <f t="shared" si="19"/>
        <v>0</v>
      </c>
      <c r="AF49" s="194">
        <f t="shared" si="19"/>
        <v>0</v>
      </c>
      <c r="AG49" s="194">
        <f t="shared" si="19"/>
        <v>0</v>
      </c>
      <c r="AH49" s="194">
        <f t="shared" si="19"/>
        <v>0</v>
      </c>
      <c r="AI49" s="194">
        <f t="shared" si="19"/>
        <v>0</v>
      </c>
      <c r="AJ49" s="194">
        <f t="shared" si="19"/>
        <v>0</v>
      </c>
      <c r="AK49" s="178"/>
      <c r="AL49" s="178"/>
      <c r="AM49" s="178"/>
      <c r="AN49" s="178"/>
      <c r="AO49" s="178"/>
      <c r="AP49" s="178"/>
      <c r="AQ49" s="178"/>
      <c r="AR49" s="178"/>
      <c r="AS49" s="178"/>
      <c r="AT49" s="182"/>
    </row>
    <row r="50" spans="1:46" ht="13.5" customHeight="1" x14ac:dyDescent="0.2">
      <c r="A50" s="176"/>
      <c r="B50" s="176"/>
      <c r="C50" s="190" t="s">
        <v>133</v>
      </c>
      <c r="D50" s="178"/>
      <c r="E50" s="178"/>
      <c r="F50" s="222" t="e">
        <f t="shared" ref="F50:AJ50" si="20">F37/F14</f>
        <v>#DIV/0!</v>
      </c>
      <c r="G50" s="222">
        <f t="shared" si="20"/>
        <v>3.7824366254650301</v>
      </c>
      <c r="H50" s="222">
        <f t="shared" si="20"/>
        <v>3.577738552983734</v>
      </c>
      <c r="I50" s="222">
        <f t="shared" si="20"/>
        <v>3.364236700092575</v>
      </c>
      <c r="J50" s="222">
        <f t="shared" si="20"/>
        <v>3.1380748626524837</v>
      </c>
      <c r="K50" s="222">
        <f t="shared" si="20"/>
        <v>2.8985424299897402</v>
      </c>
      <c r="L50" s="222">
        <f t="shared" si="20"/>
        <v>2.6147339451146689</v>
      </c>
      <c r="M50" s="222">
        <f t="shared" si="20"/>
        <v>2.3222787722552276</v>
      </c>
      <c r="N50" s="222">
        <f t="shared" si="20"/>
        <v>2.0208088815743332</v>
      </c>
      <c r="O50" s="222">
        <f t="shared" si="20"/>
        <v>1.709940573101165</v>
      </c>
      <c r="P50" s="222">
        <f t="shared" si="20"/>
        <v>1.3892737383707499</v>
      </c>
      <c r="Q50" s="222">
        <f t="shared" si="20"/>
        <v>1.0583910835009829</v>
      </c>
      <c r="R50" s="222">
        <f t="shared" si="20"/>
        <v>0.7168573114436354</v>
      </c>
      <c r="S50" s="222">
        <f t="shared" si="20"/>
        <v>0.36421826099613219</v>
      </c>
      <c r="T50" s="222">
        <f t="shared" si="20"/>
        <v>0</v>
      </c>
      <c r="U50" s="222">
        <f t="shared" si="20"/>
        <v>0</v>
      </c>
      <c r="V50" s="222">
        <f t="shared" si="20"/>
        <v>0</v>
      </c>
      <c r="W50" s="222">
        <f t="shared" si="20"/>
        <v>0</v>
      </c>
      <c r="X50" s="222">
        <f t="shared" si="20"/>
        <v>0</v>
      </c>
      <c r="Y50" s="222">
        <f t="shared" si="20"/>
        <v>0</v>
      </c>
      <c r="Z50" s="222">
        <f t="shared" si="20"/>
        <v>0</v>
      </c>
      <c r="AA50" s="222">
        <f t="shared" si="20"/>
        <v>0</v>
      </c>
      <c r="AB50" s="222">
        <f t="shared" si="20"/>
        <v>0</v>
      </c>
      <c r="AC50" s="222">
        <f t="shared" si="20"/>
        <v>0</v>
      </c>
      <c r="AD50" s="222">
        <f t="shared" si="20"/>
        <v>0</v>
      </c>
      <c r="AE50" s="222">
        <f t="shared" si="20"/>
        <v>0</v>
      </c>
      <c r="AF50" s="222">
        <f t="shared" si="20"/>
        <v>0</v>
      </c>
      <c r="AG50" s="222">
        <f t="shared" si="20"/>
        <v>0</v>
      </c>
      <c r="AH50" s="222">
        <f t="shared" si="20"/>
        <v>0</v>
      </c>
      <c r="AI50" s="222">
        <f t="shared" si="20"/>
        <v>0</v>
      </c>
      <c r="AJ50" s="222">
        <f t="shared" si="20"/>
        <v>0</v>
      </c>
      <c r="AK50" s="178"/>
      <c r="AL50" s="178"/>
      <c r="AM50" s="178"/>
      <c r="AN50" s="178"/>
      <c r="AO50" s="178"/>
      <c r="AP50" s="178"/>
      <c r="AQ50" s="178"/>
      <c r="AR50" s="178"/>
      <c r="AS50" s="178"/>
      <c r="AT50" s="182"/>
    </row>
    <row r="51" spans="1:46" ht="12.75" customHeight="1" x14ac:dyDescent="0.2">
      <c r="A51" s="176"/>
      <c r="B51" s="176"/>
      <c r="C51" s="190" t="s">
        <v>134</v>
      </c>
      <c r="D51" s="178"/>
      <c r="E51" s="178"/>
      <c r="F51" s="181">
        <f t="shared" ref="F51:AJ51" si="21">IF(F29&gt;$D$45,0,1)</f>
        <v>1</v>
      </c>
      <c r="G51" s="181">
        <f t="shared" si="21"/>
        <v>1</v>
      </c>
      <c r="H51" s="181">
        <f t="shared" si="21"/>
        <v>1</v>
      </c>
      <c r="I51" s="181">
        <f t="shared" si="21"/>
        <v>1</v>
      </c>
      <c r="J51" s="181">
        <f t="shared" si="21"/>
        <v>1</v>
      </c>
      <c r="K51" s="181">
        <f t="shared" si="21"/>
        <v>1</v>
      </c>
      <c r="L51" s="181">
        <f t="shared" si="21"/>
        <v>1</v>
      </c>
      <c r="M51" s="181">
        <f t="shared" si="21"/>
        <v>1</v>
      </c>
      <c r="N51" s="181">
        <f t="shared" si="21"/>
        <v>1</v>
      </c>
      <c r="O51" s="181">
        <f t="shared" si="21"/>
        <v>1</v>
      </c>
      <c r="P51" s="181">
        <f t="shared" si="21"/>
        <v>1</v>
      </c>
      <c r="Q51" s="181">
        <f t="shared" si="21"/>
        <v>1</v>
      </c>
      <c r="R51" s="181">
        <f t="shared" si="21"/>
        <v>1</v>
      </c>
      <c r="S51" s="181">
        <f t="shared" si="21"/>
        <v>1</v>
      </c>
      <c r="T51" s="181">
        <f t="shared" si="21"/>
        <v>1</v>
      </c>
      <c r="U51" s="181">
        <f t="shared" si="21"/>
        <v>0</v>
      </c>
      <c r="V51" s="181">
        <f t="shared" si="21"/>
        <v>0</v>
      </c>
      <c r="W51" s="181">
        <f t="shared" si="21"/>
        <v>0</v>
      </c>
      <c r="X51" s="181">
        <f t="shared" si="21"/>
        <v>0</v>
      </c>
      <c r="Y51" s="181">
        <f t="shared" si="21"/>
        <v>0</v>
      </c>
      <c r="Z51" s="181">
        <f t="shared" si="21"/>
        <v>0</v>
      </c>
      <c r="AA51" s="181">
        <f t="shared" si="21"/>
        <v>0</v>
      </c>
      <c r="AB51" s="181">
        <f t="shared" si="21"/>
        <v>0</v>
      </c>
      <c r="AC51" s="181">
        <f t="shared" si="21"/>
        <v>0</v>
      </c>
      <c r="AD51" s="181">
        <f t="shared" si="21"/>
        <v>0</v>
      </c>
      <c r="AE51" s="181">
        <f t="shared" si="21"/>
        <v>0</v>
      </c>
      <c r="AF51" s="181">
        <f t="shared" si="21"/>
        <v>0</v>
      </c>
      <c r="AG51" s="181">
        <f t="shared" si="21"/>
        <v>0</v>
      </c>
      <c r="AH51" s="181">
        <f t="shared" si="21"/>
        <v>0</v>
      </c>
      <c r="AI51" s="181">
        <f t="shared" si="21"/>
        <v>0</v>
      </c>
      <c r="AJ51" s="181">
        <f t="shared" si="21"/>
        <v>0</v>
      </c>
      <c r="AK51" s="178"/>
      <c r="AL51" s="178"/>
      <c r="AM51" s="178"/>
      <c r="AN51" s="178"/>
      <c r="AO51" s="178"/>
      <c r="AP51" s="178"/>
      <c r="AQ51" s="178"/>
      <c r="AR51" s="178"/>
      <c r="AS51" s="178"/>
      <c r="AT51" s="182"/>
    </row>
    <row r="52" spans="1:46" ht="13.5" customHeight="1" x14ac:dyDescent="0.2">
      <c r="A52" s="176"/>
      <c r="B52" s="176"/>
      <c r="C52" s="199" t="s">
        <v>135</v>
      </c>
      <c r="D52" s="178"/>
      <c r="E52" s="178"/>
      <c r="F52" s="223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82"/>
    </row>
    <row r="53" spans="1:46" ht="13.5" customHeight="1" x14ac:dyDescent="0.2">
      <c r="A53" s="176"/>
      <c r="B53" s="176"/>
      <c r="C53" s="177"/>
      <c r="D53" s="224"/>
      <c r="E53" s="179" t="s">
        <v>100</v>
      </c>
      <c r="F53" s="225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  <c r="AF53" s="224"/>
      <c r="AG53" s="224"/>
      <c r="AH53" s="224"/>
      <c r="AI53" s="224"/>
      <c r="AJ53" s="224"/>
      <c r="AK53" s="178"/>
      <c r="AL53" s="178"/>
      <c r="AM53" s="178"/>
      <c r="AN53" s="178"/>
      <c r="AO53" s="178"/>
      <c r="AP53" s="178"/>
      <c r="AQ53" s="178"/>
      <c r="AR53" s="178"/>
      <c r="AS53" s="178"/>
      <c r="AT53" s="182"/>
    </row>
    <row r="54" spans="1:46" ht="13.5" customHeight="1" x14ac:dyDescent="0.2">
      <c r="A54" s="176"/>
      <c r="B54" s="176"/>
      <c r="C54" s="183"/>
      <c r="D54" s="178"/>
      <c r="E54" s="184"/>
      <c r="F54" s="180">
        <v>0</v>
      </c>
      <c r="G54" s="181">
        <v>1</v>
      </c>
      <c r="H54" s="181">
        <v>2</v>
      </c>
      <c r="I54" s="181">
        <v>3</v>
      </c>
      <c r="J54" s="181">
        <v>4</v>
      </c>
      <c r="K54" s="181">
        <v>5</v>
      </c>
      <c r="L54" s="181">
        <v>6</v>
      </c>
      <c r="M54" s="181">
        <v>7</v>
      </c>
      <c r="N54" s="181">
        <v>8</v>
      </c>
      <c r="O54" s="181">
        <v>9</v>
      </c>
      <c r="P54" s="181">
        <v>10</v>
      </c>
      <c r="Q54" s="181">
        <v>11</v>
      </c>
      <c r="R54" s="181">
        <v>12</v>
      </c>
      <c r="S54" s="181">
        <v>13</v>
      </c>
      <c r="T54" s="181">
        <v>14</v>
      </c>
      <c r="U54" s="181">
        <v>15</v>
      </c>
      <c r="V54" s="181">
        <v>16</v>
      </c>
      <c r="W54" s="181">
        <v>17</v>
      </c>
      <c r="X54" s="181">
        <v>18</v>
      </c>
      <c r="Y54" s="181">
        <v>19</v>
      </c>
      <c r="Z54" s="181">
        <v>20</v>
      </c>
      <c r="AA54" s="181">
        <v>21</v>
      </c>
      <c r="AB54" s="181">
        <v>22</v>
      </c>
      <c r="AC54" s="181">
        <v>23</v>
      </c>
      <c r="AD54" s="181">
        <v>24</v>
      </c>
      <c r="AE54" s="181">
        <v>25</v>
      </c>
      <c r="AF54" s="181">
        <v>26</v>
      </c>
      <c r="AG54" s="181">
        <v>27</v>
      </c>
      <c r="AH54" s="181">
        <v>28</v>
      </c>
      <c r="AI54" s="181">
        <v>29</v>
      </c>
      <c r="AJ54" s="181">
        <v>30</v>
      </c>
      <c r="AK54" s="178"/>
      <c r="AL54" s="178"/>
      <c r="AM54" s="178"/>
      <c r="AN54" s="178"/>
      <c r="AO54" s="178"/>
      <c r="AP54" s="178"/>
      <c r="AQ54" s="178"/>
      <c r="AR54" s="178"/>
      <c r="AS54" s="178"/>
      <c r="AT54" s="182"/>
    </row>
    <row r="55" spans="1:46" ht="13.5" customHeight="1" x14ac:dyDescent="0.2">
      <c r="A55" s="176"/>
      <c r="B55" s="176"/>
      <c r="C55" s="183"/>
      <c r="D55" s="178"/>
      <c r="E55" s="184"/>
      <c r="F55" s="202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82"/>
    </row>
    <row r="56" spans="1:46" ht="13.5" customHeight="1" x14ac:dyDescent="0.2">
      <c r="A56" s="176"/>
      <c r="B56" s="176"/>
      <c r="C56" s="203" t="s">
        <v>136</v>
      </c>
      <c r="D56" s="226" t="s">
        <v>89</v>
      </c>
      <c r="E56" s="227">
        <f t="shared" ref="E56:E61" si="22">SUM(F56:V56)</f>
        <v>9778.3165916572452</v>
      </c>
      <c r="F56" s="228">
        <f t="shared" ref="F56:AJ56" si="23">SUM(F57:F61)</f>
        <v>-37.226666666666667</v>
      </c>
      <c r="G56" s="229">
        <f t="shared" si="23"/>
        <v>593.07722113769103</v>
      </c>
      <c r="H56" s="229">
        <f t="shared" si="23"/>
        <v>594.63671677858053</v>
      </c>
      <c r="I56" s="229">
        <f t="shared" si="23"/>
        <v>595.86680430299066</v>
      </c>
      <c r="J56" s="229">
        <f t="shared" si="23"/>
        <v>597.29025482626196</v>
      </c>
      <c r="K56" s="229">
        <f t="shared" si="23"/>
        <v>598.91546925714908</v>
      </c>
      <c r="L56" s="229">
        <f t="shared" si="23"/>
        <v>607.54015141398463</v>
      </c>
      <c r="M56" s="229">
        <f t="shared" si="23"/>
        <v>616.39665403581148</v>
      </c>
      <c r="N56" s="229">
        <f t="shared" si="23"/>
        <v>625.49431147501753</v>
      </c>
      <c r="O56" s="229">
        <f t="shared" si="23"/>
        <v>634.84284754133</v>
      </c>
      <c r="P56" s="229">
        <f t="shared" si="23"/>
        <v>644.45239146633799</v>
      </c>
      <c r="Q56" s="229">
        <f t="shared" si="23"/>
        <v>594.53349451412669</v>
      </c>
      <c r="R56" s="229">
        <f t="shared" si="23"/>
        <v>604.69714726400753</v>
      </c>
      <c r="S56" s="229">
        <f t="shared" si="23"/>
        <v>615.1547975923728</v>
      </c>
      <c r="T56" s="229">
        <f t="shared" si="23"/>
        <v>625.91836938178176</v>
      </c>
      <c r="U56" s="229">
        <f t="shared" si="23"/>
        <v>632.37475596298327</v>
      </c>
      <c r="V56" s="229">
        <f t="shared" si="23"/>
        <v>634.35187137348532</v>
      </c>
      <c r="W56" s="229">
        <f t="shared" si="23"/>
        <v>636.29629162780782</v>
      </c>
      <c r="X56" s="229">
        <f t="shared" si="23"/>
        <v>638.20694960004323</v>
      </c>
      <c r="Y56" s="229">
        <f t="shared" si="23"/>
        <v>640.08275578105747</v>
      </c>
      <c r="Z56" s="229">
        <f t="shared" si="23"/>
        <v>641.92259785133172</v>
      </c>
      <c r="AA56" s="229">
        <f t="shared" si="23"/>
        <v>643.72534024577874</v>
      </c>
      <c r="AB56" s="229">
        <f t="shared" si="23"/>
        <v>645.48982371037494</v>
      </c>
      <c r="AC56" s="229">
        <f t="shared" si="23"/>
        <v>647.21486485045841</v>
      </c>
      <c r="AD56" s="229">
        <f t="shared" si="23"/>
        <v>648.8992556705299</v>
      </c>
      <c r="AE56" s="229">
        <f t="shared" si="23"/>
        <v>650.54176310539981</v>
      </c>
      <c r="AF56" s="229">
        <f t="shared" si="23"/>
        <v>644.53354471797513</v>
      </c>
      <c r="AG56" s="229">
        <f t="shared" si="23"/>
        <v>638.47278493013107</v>
      </c>
      <c r="AH56" s="229">
        <f t="shared" si="23"/>
        <v>632.35843291385936</v>
      </c>
      <c r="AI56" s="229">
        <f t="shared" si="23"/>
        <v>626.1894168245916</v>
      </c>
      <c r="AJ56" s="229">
        <f t="shared" si="23"/>
        <v>619.96464338086753</v>
      </c>
      <c r="AK56" s="178"/>
      <c r="AL56" s="178"/>
      <c r="AM56" s="178"/>
      <c r="AN56" s="178"/>
      <c r="AO56" s="178"/>
      <c r="AP56" s="178"/>
      <c r="AQ56" s="178"/>
      <c r="AR56" s="178"/>
      <c r="AS56" s="178"/>
      <c r="AT56" s="182"/>
    </row>
    <row r="57" spans="1:46" ht="13.5" customHeight="1" x14ac:dyDescent="0.2">
      <c r="A57" s="176"/>
      <c r="B57" s="176"/>
      <c r="C57" s="195" t="s">
        <v>105</v>
      </c>
      <c r="D57" s="191" t="s">
        <v>89</v>
      </c>
      <c r="E57" s="192">
        <f t="shared" si="22"/>
        <v>11062.239704532074</v>
      </c>
      <c r="F57" s="196">
        <f t="shared" ref="F57:AJ57" si="24">F14</f>
        <v>0</v>
      </c>
      <c r="G57" s="194">
        <f t="shared" si="24"/>
        <v>697.79469917808228</v>
      </c>
      <c r="H57" s="194">
        <f t="shared" si="24"/>
        <v>693.34944038136996</v>
      </c>
      <c r="I57" s="194">
        <f t="shared" si="24"/>
        <v>688.27861358465759</v>
      </c>
      <c r="J57" s="194">
        <f t="shared" si="24"/>
        <v>683.16970742794524</v>
      </c>
      <c r="K57" s="194">
        <f t="shared" si="24"/>
        <v>678.02196032403299</v>
      </c>
      <c r="L57" s="194">
        <f t="shared" si="24"/>
        <v>680.59339950592175</v>
      </c>
      <c r="M57" s="194">
        <f t="shared" si="24"/>
        <v>683.13836274504922</v>
      </c>
      <c r="N57" s="194">
        <f t="shared" si="24"/>
        <v>685.65586132803469</v>
      </c>
      <c r="O57" s="194">
        <f t="shared" si="24"/>
        <v>688.1448853738118</v>
      </c>
      <c r="P57" s="194">
        <f t="shared" si="24"/>
        <v>690.60440342832624</v>
      </c>
      <c r="Q57" s="194">
        <f t="shared" si="24"/>
        <v>693.03336205162736</v>
      </c>
      <c r="R57" s="194">
        <f t="shared" si="24"/>
        <v>695.43068539720991</v>
      </c>
      <c r="S57" s="194">
        <f t="shared" si="24"/>
        <v>697.79527478346051</v>
      </c>
      <c r="T57" s="194">
        <f t="shared" si="24"/>
        <v>700.12600825705726</v>
      </c>
      <c r="U57" s="194">
        <f t="shared" si="24"/>
        <v>702.42174014817135</v>
      </c>
      <c r="V57" s="194">
        <f t="shared" si="24"/>
        <v>704.68130061731654</v>
      </c>
      <c r="W57" s="194">
        <f t="shared" si="24"/>
        <v>706.9034951936851</v>
      </c>
      <c r="X57" s="194">
        <f t="shared" si="24"/>
        <v>709.08710430481131</v>
      </c>
      <c r="Y57" s="194">
        <f t="shared" si="24"/>
        <v>711.23088279739898</v>
      </c>
      <c r="Z57" s="194">
        <f t="shared" si="24"/>
        <v>713.33355944914103</v>
      </c>
      <c r="AA57" s="194">
        <f t="shared" si="24"/>
        <v>715.39383647136617</v>
      </c>
      <c r="AB57" s="194">
        <f t="shared" si="24"/>
        <v>717.4103890023332</v>
      </c>
      <c r="AC57" s="194">
        <f t="shared" si="24"/>
        <v>719.38186459100007</v>
      </c>
      <c r="AD57" s="194">
        <f t="shared" si="24"/>
        <v>721.30688267108178</v>
      </c>
      <c r="AE57" s="194">
        <f t="shared" si="24"/>
        <v>723.18403402521881</v>
      </c>
      <c r="AF57" s="194">
        <f t="shared" si="24"/>
        <v>716.31749872530486</v>
      </c>
      <c r="AG57" s="194">
        <f t="shared" si="24"/>
        <v>709.39091611062599</v>
      </c>
      <c r="AH57" s="194">
        <f t="shared" si="24"/>
        <v>702.40308523488693</v>
      </c>
      <c r="AI57" s="194">
        <f t="shared" si="24"/>
        <v>695.35278113286654</v>
      </c>
      <c r="AJ57" s="194">
        <f t="shared" si="24"/>
        <v>688.23875434003912</v>
      </c>
      <c r="AK57" s="178"/>
      <c r="AL57" s="178"/>
      <c r="AM57" s="178"/>
      <c r="AN57" s="178"/>
      <c r="AO57" s="178"/>
      <c r="AP57" s="178"/>
      <c r="AQ57" s="178"/>
      <c r="AR57" s="178"/>
      <c r="AS57" s="178"/>
      <c r="AT57" s="182"/>
    </row>
    <row r="58" spans="1:46" ht="13.5" customHeight="1" x14ac:dyDescent="0.2">
      <c r="A58" s="176"/>
      <c r="B58" s="176"/>
      <c r="C58" s="195" t="s">
        <v>107</v>
      </c>
      <c r="D58" s="191" t="s">
        <v>89</v>
      </c>
      <c r="E58" s="192">
        <f t="shared" si="22"/>
        <v>-889.80748549522275</v>
      </c>
      <c r="F58" s="196">
        <f t="shared" ref="F58:AJ58" si="25">F40</f>
        <v>-37.226666666666667</v>
      </c>
      <c r="G58" s="194">
        <f t="shared" si="25"/>
        <v>-108.62728454453064</v>
      </c>
      <c r="H58" s="194">
        <f t="shared" si="25"/>
        <v>-102.39974501537313</v>
      </c>
      <c r="I58" s="194">
        <f t="shared" si="25"/>
        <v>-95.923103905049317</v>
      </c>
      <c r="J58" s="194">
        <f t="shared" si="25"/>
        <v>-89.187397150312549</v>
      </c>
      <c r="K58" s="194">
        <f t="shared" si="25"/>
        <v>-82.18226212538633</v>
      </c>
      <c r="L58" s="194">
        <f t="shared" si="25"/>
        <v>-74.89692169946305</v>
      </c>
      <c r="M58" s="194">
        <f t="shared" si="25"/>
        <v>-67.320167656502832</v>
      </c>
      <c r="N58" s="194">
        <f t="shared" si="25"/>
        <v>-59.440343451824226</v>
      </c>
      <c r="O58" s="194">
        <f t="shared" si="25"/>
        <v>-51.245326278958466</v>
      </c>
      <c r="P58" s="194">
        <f t="shared" si="25"/>
        <v>-42.72250841917807</v>
      </c>
      <c r="Q58" s="194">
        <f t="shared" si="25"/>
        <v>-33.858777845006465</v>
      </c>
      <c r="R58" s="194">
        <f t="shared" si="25"/>
        <v>-24.640498047867986</v>
      </c>
      <c r="S58" s="194">
        <f t="shared" si="25"/>
        <v>-15.053487058843976</v>
      </c>
      <c r="T58" s="194">
        <f t="shared" si="25"/>
        <v>-5.0829956302590045</v>
      </c>
      <c r="U58" s="194">
        <f t="shared" si="25"/>
        <v>0</v>
      </c>
      <c r="V58" s="194">
        <f t="shared" si="25"/>
        <v>0</v>
      </c>
      <c r="W58" s="194">
        <f t="shared" si="25"/>
        <v>0</v>
      </c>
      <c r="X58" s="194">
        <f t="shared" si="25"/>
        <v>0</v>
      </c>
      <c r="Y58" s="194">
        <f t="shared" si="25"/>
        <v>0</v>
      </c>
      <c r="Z58" s="194">
        <f t="shared" si="25"/>
        <v>0</v>
      </c>
      <c r="AA58" s="194">
        <f t="shared" si="25"/>
        <v>0</v>
      </c>
      <c r="AB58" s="194">
        <f t="shared" si="25"/>
        <v>0</v>
      </c>
      <c r="AC58" s="194">
        <f t="shared" si="25"/>
        <v>0</v>
      </c>
      <c r="AD58" s="194">
        <f t="shared" si="25"/>
        <v>0</v>
      </c>
      <c r="AE58" s="194">
        <f t="shared" si="25"/>
        <v>0</v>
      </c>
      <c r="AF58" s="194">
        <f t="shared" si="25"/>
        <v>0</v>
      </c>
      <c r="AG58" s="194">
        <f t="shared" si="25"/>
        <v>0</v>
      </c>
      <c r="AH58" s="194">
        <f t="shared" si="25"/>
        <v>0</v>
      </c>
      <c r="AI58" s="194">
        <f t="shared" si="25"/>
        <v>0</v>
      </c>
      <c r="AJ58" s="194">
        <f t="shared" si="25"/>
        <v>0</v>
      </c>
      <c r="AK58" s="178"/>
      <c r="AL58" s="178"/>
      <c r="AM58" s="178"/>
      <c r="AN58" s="178"/>
      <c r="AO58" s="178"/>
      <c r="AP58" s="178"/>
      <c r="AQ58" s="178"/>
      <c r="AR58" s="178"/>
      <c r="AS58" s="178"/>
      <c r="AT58" s="182"/>
    </row>
    <row r="59" spans="1:46" ht="13.5" customHeight="1" x14ac:dyDescent="0.2">
      <c r="A59" s="176"/>
      <c r="B59" s="176"/>
      <c r="C59" s="195" t="s">
        <v>108</v>
      </c>
      <c r="D59" s="191" t="s">
        <v>89</v>
      </c>
      <c r="E59" s="192">
        <f t="shared" si="22"/>
        <v>0</v>
      </c>
      <c r="F59" s="196">
        <f t="shared" ref="F59:AJ59" si="26">F41</f>
        <v>0</v>
      </c>
      <c r="G59" s="194">
        <f t="shared" si="26"/>
        <v>0</v>
      </c>
      <c r="H59" s="194">
        <f t="shared" si="26"/>
        <v>0</v>
      </c>
      <c r="I59" s="194">
        <f t="shared" si="26"/>
        <v>0</v>
      </c>
      <c r="J59" s="194">
        <f t="shared" si="26"/>
        <v>0</v>
      </c>
      <c r="K59" s="194">
        <f t="shared" si="26"/>
        <v>0</v>
      </c>
      <c r="L59" s="194">
        <f t="shared" si="26"/>
        <v>0</v>
      </c>
      <c r="M59" s="194">
        <f t="shared" si="26"/>
        <v>0</v>
      </c>
      <c r="N59" s="194">
        <f t="shared" si="26"/>
        <v>0</v>
      </c>
      <c r="O59" s="194">
        <f t="shared" si="26"/>
        <v>0</v>
      </c>
      <c r="P59" s="194">
        <f t="shared" si="26"/>
        <v>0</v>
      </c>
      <c r="Q59" s="194">
        <f t="shared" si="26"/>
        <v>0</v>
      </c>
      <c r="R59" s="194">
        <f t="shared" si="26"/>
        <v>0</v>
      </c>
      <c r="S59" s="194">
        <f t="shared" si="26"/>
        <v>0</v>
      </c>
      <c r="T59" s="194">
        <f t="shared" si="26"/>
        <v>0</v>
      </c>
      <c r="U59" s="194">
        <f t="shared" si="26"/>
        <v>0</v>
      </c>
      <c r="V59" s="194">
        <f t="shared" si="26"/>
        <v>0</v>
      </c>
      <c r="W59" s="194">
        <f t="shared" si="26"/>
        <v>0</v>
      </c>
      <c r="X59" s="194">
        <f t="shared" si="26"/>
        <v>0</v>
      </c>
      <c r="Y59" s="194">
        <f t="shared" si="26"/>
        <v>0</v>
      </c>
      <c r="Z59" s="194">
        <f t="shared" si="26"/>
        <v>0</v>
      </c>
      <c r="AA59" s="194">
        <f t="shared" si="26"/>
        <v>0</v>
      </c>
      <c r="AB59" s="194">
        <f t="shared" si="26"/>
        <v>0</v>
      </c>
      <c r="AC59" s="194">
        <f t="shared" si="26"/>
        <v>0</v>
      </c>
      <c r="AD59" s="194">
        <f t="shared" si="26"/>
        <v>0</v>
      </c>
      <c r="AE59" s="194">
        <f t="shared" si="26"/>
        <v>0</v>
      </c>
      <c r="AF59" s="194">
        <f t="shared" si="26"/>
        <v>0</v>
      </c>
      <c r="AG59" s="194">
        <f t="shared" si="26"/>
        <v>0</v>
      </c>
      <c r="AH59" s="194">
        <f t="shared" si="26"/>
        <v>0</v>
      </c>
      <c r="AI59" s="194">
        <f t="shared" si="26"/>
        <v>0</v>
      </c>
      <c r="AJ59" s="194">
        <f t="shared" si="26"/>
        <v>0</v>
      </c>
      <c r="AK59" s="178"/>
      <c r="AL59" s="178"/>
      <c r="AM59" s="178"/>
      <c r="AN59" s="178"/>
      <c r="AO59" s="178"/>
      <c r="AP59" s="178"/>
      <c r="AQ59" s="178"/>
      <c r="AR59" s="178"/>
      <c r="AS59" s="178"/>
      <c r="AT59" s="182"/>
    </row>
    <row r="60" spans="1:46" ht="13.5" customHeight="1" x14ac:dyDescent="0.2">
      <c r="A60" s="176"/>
      <c r="B60" s="176"/>
      <c r="C60" s="195" t="s">
        <v>113</v>
      </c>
      <c r="D60" s="191" t="s">
        <v>89</v>
      </c>
      <c r="E60" s="192">
        <f t="shared" si="22"/>
        <v>-394.11562737960645</v>
      </c>
      <c r="F60" s="196">
        <f t="shared" ref="F60:AJ60" si="27">F24</f>
        <v>0</v>
      </c>
      <c r="G60" s="194">
        <f t="shared" si="27"/>
        <v>3.909806504139377</v>
      </c>
      <c r="H60" s="194">
        <f t="shared" si="27"/>
        <v>3.6870214125837286</v>
      </c>
      <c r="I60" s="194">
        <f t="shared" si="27"/>
        <v>3.5112946233822981</v>
      </c>
      <c r="J60" s="194">
        <f t="shared" si="27"/>
        <v>3.307944548629246</v>
      </c>
      <c r="K60" s="194">
        <f t="shared" si="27"/>
        <v>3.0757710585025002</v>
      </c>
      <c r="L60" s="194">
        <f t="shared" si="27"/>
        <v>1.8436736075259947</v>
      </c>
      <c r="M60" s="194">
        <f t="shared" si="27"/>
        <v>0.57845894726503388</v>
      </c>
      <c r="N60" s="194">
        <f t="shared" si="27"/>
        <v>-0.72120640119297619</v>
      </c>
      <c r="O60" s="194">
        <f t="shared" si="27"/>
        <v>-2.0567115535233356</v>
      </c>
      <c r="P60" s="194">
        <f t="shared" si="27"/>
        <v>-3.4295035428101883</v>
      </c>
      <c r="Q60" s="194">
        <f t="shared" si="27"/>
        <v>-64.641089692494276</v>
      </c>
      <c r="R60" s="194">
        <f t="shared" si="27"/>
        <v>-66.093040085334408</v>
      </c>
      <c r="S60" s="194">
        <f t="shared" si="27"/>
        <v>-67.586990132243727</v>
      </c>
      <c r="T60" s="194">
        <f t="shared" si="27"/>
        <v>-69.124643245016443</v>
      </c>
      <c r="U60" s="194">
        <f t="shared" si="27"/>
        <v>-70.04698418518808</v>
      </c>
      <c r="V60" s="194">
        <f t="shared" si="27"/>
        <v>-70.329429243831228</v>
      </c>
      <c r="W60" s="194">
        <f t="shared" si="27"/>
        <v>-70.607203565877299</v>
      </c>
      <c r="X60" s="194">
        <f t="shared" si="27"/>
        <v>-70.880154704768074</v>
      </c>
      <c r="Y60" s="194">
        <f t="shared" si="27"/>
        <v>-71.148127016341533</v>
      </c>
      <c r="Z60" s="194">
        <f t="shared" si="27"/>
        <v>-71.41096159780929</v>
      </c>
      <c r="AA60" s="194">
        <f t="shared" si="27"/>
        <v>-71.668496225587432</v>
      </c>
      <c r="AB60" s="194">
        <f t="shared" si="27"/>
        <v>-71.920565291958312</v>
      </c>
      <c r="AC60" s="194">
        <f t="shared" si="27"/>
        <v>-72.166999740541669</v>
      </c>
      <c r="AD60" s="194">
        <f t="shared" si="27"/>
        <v>-72.407627000551884</v>
      </c>
      <c r="AE60" s="194">
        <f t="shared" si="27"/>
        <v>-72.642270919819012</v>
      </c>
      <c r="AF60" s="194">
        <f t="shared" si="27"/>
        <v>-71.783954007329768</v>
      </c>
      <c r="AG60" s="194">
        <f t="shared" si="27"/>
        <v>-70.91813118049491</v>
      </c>
      <c r="AH60" s="194">
        <f t="shared" si="27"/>
        <v>-70.044652321027527</v>
      </c>
      <c r="AI60" s="194">
        <f t="shared" si="27"/>
        <v>-69.163364308274978</v>
      </c>
      <c r="AJ60" s="194">
        <f t="shared" si="27"/>
        <v>-68.274110959171551</v>
      </c>
      <c r="AK60" s="178"/>
      <c r="AL60" s="178"/>
      <c r="AM60" s="178"/>
      <c r="AN60" s="178"/>
      <c r="AO60" s="178"/>
      <c r="AP60" s="178"/>
      <c r="AQ60" s="178"/>
      <c r="AR60" s="178"/>
      <c r="AS60" s="178"/>
      <c r="AT60" s="182"/>
    </row>
    <row r="61" spans="1:46" ht="13.5" customHeight="1" x14ac:dyDescent="0.2">
      <c r="A61" s="176"/>
      <c r="B61" s="176"/>
      <c r="C61" s="195" t="s">
        <v>137</v>
      </c>
      <c r="D61" s="191" t="s">
        <v>89</v>
      </c>
      <c r="E61" s="192">
        <f t="shared" si="22"/>
        <v>0</v>
      </c>
      <c r="F61" s="196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78"/>
      <c r="AL61" s="178"/>
      <c r="AM61" s="178"/>
      <c r="AN61" s="178"/>
      <c r="AO61" s="178"/>
      <c r="AP61" s="178"/>
      <c r="AQ61" s="178"/>
      <c r="AR61" s="178"/>
      <c r="AS61" s="178"/>
      <c r="AT61" s="182"/>
    </row>
    <row r="62" spans="1:46" ht="13.5" customHeight="1" x14ac:dyDescent="0.2">
      <c r="A62" s="176"/>
      <c r="B62" s="176"/>
      <c r="C62" s="183"/>
      <c r="D62" s="178"/>
      <c r="E62" s="184"/>
      <c r="F62" s="196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78"/>
      <c r="AL62" s="178"/>
      <c r="AM62" s="178"/>
      <c r="AN62" s="178"/>
      <c r="AO62" s="178"/>
      <c r="AP62" s="178"/>
      <c r="AQ62" s="178"/>
      <c r="AR62" s="178"/>
      <c r="AS62" s="178"/>
      <c r="AT62" s="182"/>
    </row>
    <row r="63" spans="1:46" ht="13.5" customHeight="1" x14ac:dyDescent="0.2">
      <c r="A63" s="176"/>
      <c r="B63" s="176"/>
      <c r="C63" s="203" t="s">
        <v>138</v>
      </c>
      <c r="D63" s="226" t="s">
        <v>89</v>
      </c>
      <c r="E63" s="227">
        <f>SUM(F63:V63)</f>
        <v>-4784</v>
      </c>
      <c r="F63" s="228">
        <f>SUM(F64:F66)</f>
        <v>-4784</v>
      </c>
      <c r="G63" s="229">
        <f t="shared" ref="G63:AJ63" si="28">G64+G65+G66</f>
        <v>0</v>
      </c>
      <c r="H63" s="229">
        <f t="shared" si="28"/>
        <v>0</v>
      </c>
      <c r="I63" s="229">
        <f t="shared" si="28"/>
        <v>0</v>
      </c>
      <c r="J63" s="229">
        <f t="shared" si="28"/>
        <v>0</v>
      </c>
      <c r="K63" s="229">
        <f t="shared" si="28"/>
        <v>0</v>
      </c>
      <c r="L63" s="229">
        <f t="shared" si="28"/>
        <v>0</v>
      </c>
      <c r="M63" s="229">
        <f t="shared" si="28"/>
        <v>0</v>
      </c>
      <c r="N63" s="229">
        <f t="shared" si="28"/>
        <v>0</v>
      </c>
      <c r="O63" s="229">
        <f t="shared" si="28"/>
        <v>0</v>
      </c>
      <c r="P63" s="229">
        <f t="shared" si="28"/>
        <v>0</v>
      </c>
      <c r="Q63" s="229">
        <f t="shared" si="28"/>
        <v>0</v>
      </c>
      <c r="R63" s="229">
        <f t="shared" si="28"/>
        <v>0</v>
      </c>
      <c r="S63" s="229">
        <f t="shared" si="28"/>
        <v>0</v>
      </c>
      <c r="T63" s="229">
        <f t="shared" si="28"/>
        <v>0</v>
      </c>
      <c r="U63" s="229">
        <f t="shared" si="28"/>
        <v>0</v>
      </c>
      <c r="V63" s="229">
        <f t="shared" si="28"/>
        <v>0</v>
      </c>
      <c r="W63" s="229">
        <f t="shared" si="28"/>
        <v>0</v>
      </c>
      <c r="X63" s="229">
        <f t="shared" si="28"/>
        <v>0</v>
      </c>
      <c r="Y63" s="229">
        <f t="shared" si="28"/>
        <v>0</v>
      </c>
      <c r="Z63" s="229">
        <f t="shared" si="28"/>
        <v>0</v>
      </c>
      <c r="AA63" s="229">
        <f t="shared" si="28"/>
        <v>0</v>
      </c>
      <c r="AB63" s="229">
        <f t="shared" si="28"/>
        <v>0</v>
      </c>
      <c r="AC63" s="229">
        <f t="shared" si="28"/>
        <v>0</v>
      </c>
      <c r="AD63" s="229">
        <f t="shared" si="28"/>
        <v>0</v>
      </c>
      <c r="AE63" s="229">
        <f t="shared" si="28"/>
        <v>0</v>
      </c>
      <c r="AF63" s="229">
        <f t="shared" si="28"/>
        <v>0</v>
      </c>
      <c r="AG63" s="229">
        <f t="shared" si="28"/>
        <v>0</v>
      </c>
      <c r="AH63" s="229">
        <f t="shared" si="28"/>
        <v>0</v>
      </c>
      <c r="AI63" s="229">
        <f t="shared" si="28"/>
        <v>0</v>
      </c>
      <c r="AJ63" s="229">
        <f t="shared" si="28"/>
        <v>0</v>
      </c>
      <c r="AK63" s="178"/>
      <c r="AL63" s="178"/>
      <c r="AM63" s="178"/>
      <c r="AN63" s="178"/>
      <c r="AO63" s="178"/>
      <c r="AP63" s="178"/>
      <c r="AQ63" s="178"/>
      <c r="AR63" s="178"/>
      <c r="AS63" s="178"/>
      <c r="AT63" s="182"/>
    </row>
    <row r="64" spans="1:46" ht="13.5" customHeight="1" x14ac:dyDescent="0.2">
      <c r="A64" s="176"/>
      <c r="B64" s="176"/>
      <c r="C64" s="195" t="s">
        <v>139</v>
      </c>
      <c r="D64" s="191" t="s">
        <v>89</v>
      </c>
      <c r="E64" s="192">
        <f>SUM(F64:V64)</f>
        <v>-4784</v>
      </c>
      <c r="F64" s="196">
        <f>-Depr!E5*(1+D77)-Depr!E6</f>
        <v>-4784</v>
      </c>
      <c r="G64" s="194">
        <f>0</f>
        <v>0</v>
      </c>
      <c r="H64" s="194">
        <v>0</v>
      </c>
      <c r="I64" s="194">
        <v>0</v>
      </c>
      <c r="J64" s="194">
        <v>0</v>
      </c>
      <c r="K64" s="194">
        <v>0</v>
      </c>
      <c r="L64" s="194">
        <v>0</v>
      </c>
      <c r="M64" s="194">
        <v>0</v>
      </c>
      <c r="N64" s="194">
        <v>0</v>
      </c>
      <c r="O64" s="194">
        <v>0</v>
      </c>
      <c r="P64" s="194">
        <v>0</v>
      </c>
      <c r="Q64" s="194">
        <v>0</v>
      </c>
      <c r="R64" s="194">
        <v>0</v>
      </c>
      <c r="S64" s="194">
        <v>0</v>
      </c>
      <c r="T64" s="194">
        <v>0</v>
      </c>
      <c r="U64" s="194">
        <v>0</v>
      </c>
      <c r="V64" s="194">
        <v>0</v>
      </c>
      <c r="W64" s="194">
        <v>0</v>
      </c>
      <c r="X64" s="194">
        <v>0</v>
      </c>
      <c r="Y64" s="194">
        <v>0</v>
      </c>
      <c r="Z64" s="194">
        <v>0</v>
      </c>
      <c r="AA64" s="194">
        <v>0</v>
      </c>
      <c r="AB64" s="194">
        <v>0</v>
      </c>
      <c r="AC64" s="194">
        <v>0</v>
      </c>
      <c r="AD64" s="194">
        <v>0</v>
      </c>
      <c r="AE64" s="194">
        <v>0</v>
      </c>
      <c r="AF64" s="194">
        <v>0</v>
      </c>
      <c r="AG64" s="194">
        <v>0</v>
      </c>
      <c r="AH64" s="194">
        <v>0</v>
      </c>
      <c r="AI64" s="194">
        <v>0</v>
      </c>
      <c r="AJ64" s="194">
        <v>0</v>
      </c>
      <c r="AK64" s="178"/>
      <c r="AL64" s="178"/>
      <c r="AM64" s="178"/>
      <c r="AN64" s="178"/>
      <c r="AO64" s="178"/>
      <c r="AP64" s="178"/>
      <c r="AQ64" s="178"/>
      <c r="AR64" s="178"/>
      <c r="AS64" s="178"/>
      <c r="AT64" s="182"/>
    </row>
    <row r="65" spans="1:46" ht="13.5" customHeight="1" x14ac:dyDescent="0.2">
      <c r="A65" s="176"/>
      <c r="B65" s="176"/>
      <c r="C65" s="195" t="s">
        <v>140</v>
      </c>
      <c r="D65" s="191" t="s">
        <v>89</v>
      </c>
      <c r="E65" s="192">
        <f>SUM(F65:AJ65)</f>
        <v>0</v>
      </c>
      <c r="F65" s="196">
        <v>0</v>
      </c>
      <c r="G65" s="194">
        <f>IF(SUM(F$65:$F65)&gt;=$E$77,0,IF(SUM($G$76:G76)&lt;$E$77,G76,$E$77-SUM(F$65:$F65)))</f>
        <v>0</v>
      </c>
      <c r="H65" s="194">
        <f>IF(SUM($F$65:G65)&gt;=$E$77,0,IF(SUM($G$76:H76)&lt;$E$77,H76,$E$77-SUM($F$65:G65)))</f>
        <v>0</v>
      </c>
      <c r="I65" s="194">
        <f>IF(SUM($F$65:H65)&gt;=$E$77,0,IF(SUM($G$76:I76)&lt;$E$77,I76,$E$77-SUM($F$65:H65)))</f>
        <v>0</v>
      </c>
      <c r="J65" s="194">
        <f>IF(SUM($F$65:I65)&gt;=$E$77,0,IF(SUM($G$76:J76)&lt;$E$77,J76,$E$77-SUM($F$65:I65)))</f>
        <v>0</v>
      </c>
      <c r="K65" s="194">
        <f>IF(SUM($F$65:J65)&gt;=$E$77,0,IF(SUM($G$76:K76)&lt;$E$77,K76,$E$77-SUM($F$65:J65)))</f>
        <v>0</v>
      </c>
      <c r="L65" s="194">
        <f>IF(SUM($F$65:K65)&gt;=$E$77,0,IF(SUM($G$76:L76)&lt;$E$77,L76,$E$77-SUM($F$65:K65)))</f>
        <v>0</v>
      </c>
      <c r="M65" s="194">
        <f>IF(SUM($F$65:L65)&gt;=$E$77,0,IF(SUM($G$76:M76)&lt;$E$77,M76,$E$77-SUM($F$65:L65)))</f>
        <v>0</v>
      </c>
      <c r="N65" s="222">
        <f>IF(SUM($F$65:M65)&gt;=$E$77,0,IF(SUM($G$76:N76)&lt;$E$77,N76,$E$77-SUM($F$65:M65)))</f>
        <v>0</v>
      </c>
      <c r="O65" s="194">
        <f>IF(SUM($F$65:N65)&gt;=$E$77,0,IF(SUM($G$76:O76)&lt;$E$77,O76,$E$77-SUM($F$65:N65)))</f>
        <v>0</v>
      </c>
      <c r="P65" s="194">
        <f>IF(SUM($F$65:O65)&gt;=$E$77,0,IF(SUM($G$76:P76)&lt;$E$77,P76,$E$77-SUM($F$65:O65)))</f>
        <v>0</v>
      </c>
      <c r="Q65" s="194">
        <f>IF(SUM($F$65:P65)&gt;=$E$77,0,IF(SUM($G$76:Q76)&lt;$E$77,Q76,$E$77-SUM($F$65:P65)))</f>
        <v>0</v>
      </c>
      <c r="R65" s="194">
        <f>IF(SUM($F$65:Q65)&gt;=$E$77,0,IF(SUM($G$76:R76)&lt;$E$77,R76,$E$77-SUM($F$65:Q65)))</f>
        <v>0</v>
      </c>
      <c r="S65" s="194">
        <f>IF(SUM($F$65:R65)&gt;=$E$77,0,IF(SUM($G$76:S76)&lt;$E$77,S76,$E$77-SUM($F$65:R65)))</f>
        <v>0</v>
      </c>
      <c r="T65" s="194">
        <f>IF(SUM($F$65:S65)&gt;=$E$77,0,IF(SUM($G$76:T76)&lt;$E$77,T76,$E$77-SUM($F$65:S65)))</f>
        <v>0</v>
      </c>
      <c r="U65" s="194">
        <f>IF(SUM($F$65:T65)&gt;=$E$77,0,IF(SUM($G$76:U76)&lt;$E$77,U76,$E$77-SUM($F$65:T65)))</f>
        <v>0</v>
      </c>
      <c r="V65" s="194">
        <f>IF(SUM($F$65:U65)&gt;=$E$77,0,IF(SUM($G$76:V76)&lt;$E$77,V76,$E$77-SUM($F$65:U65)))</f>
        <v>0</v>
      </c>
      <c r="W65" s="194">
        <f>IF(SUM($F$65:V65)&gt;=$E$77,0,IF(SUM($G$76:W76)&lt;$E$77,W76,$E$77-SUM($F$65:V65)))</f>
        <v>0</v>
      </c>
      <c r="X65" s="194">
        <f>IF(SUM($F$65:W65)&gt;=$E$77,0,IF(SUM($G$76:X76)&lt;$E$77,X76,$E$77-SUM($F$65:W65)))</f>
        <v>0</v>
      </c>
      <c r="Y65" s="194">
        <f>IF(SUM($F$65:X65)&gt;=$E$77,0,IF(SUM($G$76:Y76)&lt;$E$77,Y76,$E$77-SUM($F$65:X65)))</f>
        <v>0</v>
      </c>
      <c r="Z65" s="194">
        <f>IF(SUM($F$65:Y65)&gt;=$E$77,0,IF(SUM($G$76:Z76)&lt;$E$77,Z76,$E$77-SUM($F$65:Y65)))</f>
        <v>0</v>
      </c>
      <c r="AA65" s="194">
        <f>IF(SUM($F$65:Z65)&gt;=$E$77,0,IF(SUM($G$76:AA76)&lt;$E$77,AA76,$E$77-SUM($F$65:Z65)))</f>
        <v>0</v>
      </c>
      <c r="AB65" s="194">
        <f>IF(SUM($F$65:AA65)&gt;=$E$77,0,IF(SUM($G$76:AB76)&lt;$E$77,AB76,$E$77-SUM($F$65:AA65)))</f>
        <v>0</v>
      </c>
      <c r="AC65" s="194">
        <f>IF(SUM($F$65:AB65)&gt;=$E$77,0,IF(SUM($G$76:AC76)&lt;$E$77,AC76,$E$77-SUM($F$65:AB65)))</f>
        <v>0</v>
      </c>
      <c r="AD65" s="194">
        <f>IF(SUM($F$65:AC65)&gt;=$E$77,0,IF(SUM($G$76:AD76)&lt;$E$77,AD76,$E$77-SUM($F$65:AC65)))</f>
        <v>0</v>
      </c>
      <c r="AE65" s="194">
        <f>IF(SUM($F$65:AD65)&gt;=$E$77,0,IF(SUM($G$76:AE76)&lt;$E$77,AE76,$E$77-SUM($F$65:AD65)))</f>
        <v>0</v>
      </c>
      <c r="AF65" s="194">
        <f>IF(SUM($F$65:AE65)&gt;=$E$77,0,IF(SUM($G$76:AF76)&lt;$E$77,AF76,$E$77-SUM($F$65:AE65)))</f>
        <v>0</v>
      </c>
      <c r="AG65" s="194">
        <f>IF(SUM($F$65:AF65)&gt;=$E$77,0,IF(SUM($G$76:AG76)&lt;$E$77,AG76,$E$77-SUM($F$65:AF65)))</f>
        <v>0</v>
      </c>
      <c r="AH65" s="194">
        <f>IF(SUM($F$65:AG65)&gt;=$E$77,0,IF(SUM($G$76:AH76)&lt;$E$77,AH76,$E$77-SUM($F$65:AG65)))</f>
        <v>0</v>
      </c>
      <c r="AI65" s="194">
        <f>IF(SUM($F$65:AH65)&gt;=$E$77,0,IF(SUM($G$76:AI76)&lt;$E$77,AI76,$E$77-SUM($F$65:AH65)))</f>
        <v>0</v>
      </c>
      <c r="AJ65" s="194">
        <f>IF(SUM($F$65:AI65)&gt;=$E$77,0,IF(SUM($G$76:AJ76)&lt;$E$77,AJ76,$E$77-SUM($F$65:AI65)))</f>
        <v>0</v>
      </c>
      <c r="AK65" s="178"/>
      <c r="AL65" s="178"/>
      <c r="AM65" s="178"/>
      <c r="AN65" s="178"/>
      <c r="AO65" s="178"/>
      <c r="AP65" s="178"/>
      <c r="AQ65" s="178"/>
      <c r="AR65" s="178"/>
      <c r="AS65" s="178"/>
      <c r="AT65" s="182"/>
    </row>
    <row r="66" spans="1:46" ht="13.5" customHeight="1" x14ac:dyDescent="0.2">
      <c r="A66" s="176"/>
      <c r="B66" s="176"/>
      <c r="C66" s="195" t="s">
        <v>141</v>
      </c>
      <c r="D66" s="191" t="s">
        <v>89</v>
      </c>
      <c r="E66" s="192"/>
      <c r="F66" s="196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78"/>
      <c r="AL66" s="178"/>
      <c r="AM66" s="178"/>
      <c r="AN66" s="178"/>
      <c r="AO66" s="178"/>
      <c r="AP66" s="178"/>
      <c r="AQ66" s="178"/>
      <c r="AR66" s="178"/>
      <c r="AS66" s="178"/>
      <c r="AT66" s="182"/>
    </row>
    <row r="67" spans="1:46" ht="13.5" customHeight="1" x14ac:dyDescent="0.2">
      <c r="A67" s="176"/>
      <c r="B67" s="176"/>
      <c r="C67" s="183"/>
      <c r="D67" s="178"/>
      <c r="E67" s="184"/>
      <c r="F67" s="196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78"/>
      <c r="AL67" s="178"/>
      <c r="AM67" s="178"/>
      <c r="AN67" s="178"/>
      <c r="AO67" s="178"/>
      <c r="AP67" s="178"/>
      <c r="AQ67" s="178"/>
      <c r="AR67" s="178"/>
      <c r="AS67" s="178"/>
      <c r="AT67" s="182"/>
    </row>
    <row r="68" spans="1:46" ht="13.5" customHeight="1" x14ac:dyDescent="0.2">
      <c r="A68" s="176"/>
      <c r="B68" s="176"/>
      <c r="C68" s="203" t="s">
        <v>142</v>
      </c>
      <c r="D68" s="226" t="s">
        <v>89</v>
      </c>
      <c r="E68" s="227">
        <f>SUM(F68:V68)</f>
        <v>2029.2266666666658</v>
      </c>
      <c r="F68" s="228">
        <f t="shared" ref="F68:AJ68" si="29">SUM(F69:F72)</f>
        <v>4821.2266666666665</v>
      </c>
      <c r="G68" s="229">
        <f t="shared" si="29"/>
        <v>-152.63577277346832</v>
      </c>
      <c r="H68" s="229">
        <f t="shared" si="29"/>
        <v>-158.74120368440703</v>
      </c>
      <c r="I68" s="229">
        <f t="shared" si="29"/>
        <v>-165.09085183178334</v>
      </c>
      <c r="J68" s="229">
        <f t="shared" si="29"/>
        <v>-171.69448590505465</v>
      </c>
      <c r="K68" s="229">
        <f t="shared" si="29"/>
        <v>-178.56226534125682</v>
      </c>
      <c r="L68" s="229">
        <f t="shared" si="29"/>
        <v>-185.70475595490709</v>
      </c>
      <c r="M68" s="229">
        <f t="shared" si="29"/>
        <v>-193.13294619310338</v>
      </c>
      <c r="N68" s="229">
        <f t="shared" si="29"/>
        <v>-200.85826404082752</v>
      </c>
      <c r="O68" s="229">
        <f t="shared" si="29"/>
        <v>-208.89259460246063</v>
      </c>
      <c r="P68" s="229">
        <f t="shared" si="29"/>
        <v>-217.24829838655904</v>
      </c>
      <c r="Q68" s="229">
        <f t="shared" si="29"/>
        <v>-225.93823032202141</v>
      </c>
      <c r="R68" s="229">
        <f t="shared" si="29"/>
        <v>-234.97575953490229</v>
      </c>
      <c r="S68" s="229">
        <f t="shared" si="29"/>
        <v>-244.37478991629837</v>
      </c>
      <c r="T68" s="229">
        <f t="shared" si="29"/>
        <v>-254.14978151295028</v>
      </c>
      <c r="U68" s="229">
        <f t="shared" si="29"/>
        <v>0</v>
      </c>
      <c r="V68" s="229">
        <f t="shared" si="29"/>
        <v>0</v>
      </c>
      <c r="W68" s="229">
        <f t="shared" si="29"/>
        <v>0</v>
      </c>
      <c r="X68" s="229">
        <f t="shared" si="29"/>
        <v>0</v>
      </c>
      <c r="Y68" s="229">
        <f t="shared" si="29"/>
        <v>0</v>
      </c>
      <c r="Z68" s="229">
        <f t="shared" si="29"/>
        <v>0</v>
      </c>
      <c r="AA68" s="229">
        <f t="shared" si="29"/>
        <v>0</v>
      </c>
      <c r="AB68" s="229">
        <f t="shared" si="29"/>
        <v>0</v>
      </c>
      <c r="AC68" s="229">
        <f t="shared" si="29"/>
        <v>0</v>
      </c>
      <c r="AD68" s="229">
        <f t="shared" si="29"/>
        <v>0</v>
      </c>
      <c r="AE68" s="229">
        <f t="shared" si="29"/>
        <v>0</v>
      </c>
      <c r="AF68" s="229">
        <f t="shared" si="29"/>
        <v>0</v>
      </c>
      <c r="AG68" s="229">
        <f t="shared" si="29"/>
        <v>0</v>
      </c>
      <c r="AH68" s="229">
        <f t="shared" si="29"/>
        <v>0</v>
      </c>
      <c r="AI68" s="229">
        <f t="shared" si="29"/>
        <v>0</v>
      </c>
      <c r="AJ68" s="229">
        <f t="shared" si="29"/>
        <v>0</v>
      </c>
      <c r="AK68" s="178"/>
      <c r="AL68" s="178"/>
      <c r="AM68" s="178"/>
      <c r="AN68" s="178"/>
      <c r="AO68" s="178"/>
      <c r="AP68" s="178"/>
      <c r="AQ68" s="178"/>
      <c r="AR68" s="178"/>
      <c r="AS68" s="178"/>
      <c r="AT68" s="182"/>
    </row>
    <row r="69" spans="1:46" ht="13.5" customHeight="1" x14ac:dyDescent="0.2">
      <c r="A69" s="176"/>
      <c r="B69" s="176"/>
      <c r="C69" s="195" t="s">
        <v>143</v>
      </c>
      <c r="D69" s="191" t="s">
        <v>89</v>
      </c>
      <c r="E69" s="192">
        <f>SUM(F69:V69)</f>
        <v>2029.2266666666667</v>
      </c>
      <c r="F69" s="230">
        <f>(-F64-F57-F58-F59-F66)*Assumptions!F50</f>
        <v>2029.2266666666667</v>
      </c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78"/>
      <c r="AL69" s="178"/>
      <c r="AM69" s="178"/>
      <c r="AN69" s="178"/>
      <c r="AO69" s="178"/>
      <c r="AP69" s="178"/>
      <c r="AQ69" s="178"/>
      <c r="AR69" s="178"/>
      <c r="AS69" s="178"/>
      <c r="AT69" s="182"/>
    </row>
    <row r="70" spans="1:46" ht="13.5" customHeight="1" x14ac:dyDescent="0.2">
      <c r="A70" s="176"/>
      <c r="B70" s="176"/>
      <c r="C70" s="195" t="s">
        <v>144</v>
      </c>
      <c r="D70" s="191" t="s">
        <v>89</v>
      </c>
      <c r="E70" s="192">
        <f>SUM(F70:V70)</f>
        <v>0</v>
      </c>
      <c r="F70" s="196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78"/>
      <c r="AL70" s="178"/>
      <c r="AM70" s="178"/>
      <c r="AN70" s="178"/>
      <c r="AO70" s="178"/>
      <c r="AP70" s="178"/>
      <c r="AQ70" s="178"/>
      <c r="AR70" s="178"/>
      <c r="AS70" s="178"/>
      <c r="AT70" s="182"/>
    </row>
    <row r="71" spans="1:46" ht="13.5" customHeight="1" x14ac:dyDescent="0.2">
      <c r="A71" s="176"/>
      <c r="B71" s="176"/>
      <c r="C71" s="195" t="s">
        <v>145</v>
      </c>
      <c r="D71" s="191" t="s">
        <v>89</v>
      </c>
      <c r="E71" s="192">
        <f>SUM(F71:V71)</f>
        <v>2792</v>
      </c>
      <c r="F71" s="196">
        <f t="shared" ref="F71:AJ71" si="30">F34</f>
        <v>2792</v>
      </c>
      <c r="G71" s="194">
        <f t="shared" si="30"/>
        <v>0</v>
      </c>
      <c r="H71" s="194">
        <f t="shared" si="30"/>
        <v>0</v>
      </c>
      <c r="I71" s="194">
        <f t="shared" si="30"/>
        <v>0</v>
      </c>
      <c r="J71" s="194">
        <f t="shared" si="30"/>
        <v>0</v>
      </c>
      <c r="K71" s="194">
        <f t="shared" si="30"/>
        <v>0</v>
      </c>
      <c r="L71" s="194">
        <f t="shared" si="30"/>
        <v>0</v>
      </c>
      <c r="M71" s="194">
        <f t="shared" si="30"/>
        <v>0</v>
      </c>
      <c r="N71" s="194">
        <f t="shared" si="30"/>
        <v>0</v>
      </c>
      <c r="O71" s="194">
        <f t="shared" si="30"/>
        <v>0</v>
      </c>
      <c r="P71" s="194">
        <f t="shared" si="30"/>
        <v>0</v>
      </c>
      <c r="Q71" s="194">
        <f t="shared" si="30"/>
        <v>0</v>
      </c>
      <c r="R71" s="194">
        <f t="shared" si="30"/>
        <v>0</v>
      </c>
      <c r="S71" s="194">
        <f t="shared" si="30"/>
        <v>0</v>
      </c>
      <c r="T71" s="194">
        <f t="shared" si="30"/>
        <v>0</v>
      </c>
      <c r="U71" s="194">
        <f t="shared" si="30"/>
        <v>0</v>
      </c>
      <c r="V71" s="194">
        <f t="shared" si="30"/>
        <v>0</v>
      </c>
      <c r="W71" s="194">
        <f t="shared" si="30"/>
        <v>0</v>
      </c>
      <c r="X71" s="194">
        <f t="shared" si="30"/>
        <v>0</v>
      </c>
      <c r="Y71" s="194">
        <f t="shared" si="30"/>
        <v>0</v>
      </c>
      <c r="Z71" s="194">
        <f t="shared" si="30"/>
        <v>0</v>
      </c>
      <c r="AA71" s="194">
        <f t="shared" si="30"/>
        <v>0</v>
      </c>
      <c r="AB71" s="194">
        <f t="shared" si="30"/>
        <v>0</v>
      </c>
      <c r="AC71" s="194">
        <f t="shared" si="30"/>
        <v>0</v>
      </c>
      <c r="AD71" s="194">
        <f t="shared" si="30"/>
        <v>0</v>
      </c>
      <c r="AE71" s="194">
        <f t="shared" si="30"/>
        <v>0</v>
      </c>
      <c r="AF71" s="194">
        <f t="shared" si="30"/>
        <v>0</v>
      </c>
      <c r="AG71" s="194">
        <f t="shared" si="30"/>
        <v>0</v>
      </c>
      <c r="AH71" s="194">
        <f t="shared" si="30"/>
        <v>0</v>
      </c>
      <c r="AI71" s="194">
        <f t="shared" si="30"/>
        <v>0</v>
      </c>
      <c r="AJ71" s="194">
        <f t="shared" si="30"/>
        <v>0</v>
      </c>
      <c r="AK71" s="178"/>
      <c r="AL71" s="178"/>
      <c r="AM71" s="178"/>
      <c r="AN71" s="178"/>
      <c r="AO71" s="178"/>
      <c r="AP71" s="178"/>
      <c r="AQ71" s="178"/>
      <c r="AR71" s="178"/>
      <c r="AS71" s="178"/>
      <c r="AT71" s="182"/>
    </row>
    <row r="72" spans="1:46" ht="13.5" customHeight="1" x14ac:dyDescent="0.2">
      <c r="A72" s="176"/>
      <c r="B72" s="176"/>
      <c r="C72" s="195" t="s">
        <v>146</v>
      </c>
      <c r="D72" s="191" t="s">
        <v>89</v>
      </c>
      <c r="E72" s="192">
        <f>SUM(F72:V72)</f>
        <v>-2792.0000000000005</v>
      </c>
      <c r="F72" s="196">
        <f t="shared" ref="F72:AJ72" si="31">F36</f>
        <v>0</v>
      </c>
      <c r="G72" s="194">
        <f t="shared" si="31"/>
        <v>-152.63577277346832</v>
      </c>
      <c r="H72" s="194">
        <f t="shared" si="31"/>
        <v>-158.74120368440703</v>
      </c>
      <c r="I72" s="194">
        <f t="shared" si="31"/>
        <v>-165.09085183178334</v>
      </c>
      <c r="J72" s="194">
        <f t="shared" si="31"/>
        <v>-171.69448590505465</v>
      </c>
      <c r="K72" s="194">
        <f t="shared" si="31"/>
        <v>-178.56226534125682</v>
      </c>
      <c r="L72" s="194">
        <f t="shared" si="31"/>
        <v>-185.70475595490709</v>
      </c>
      <c r="M72" s="194">
        <f t="shared" si="31"/>
        <v>-193.13294619310338</v>
      </c>
      <c r="N72" s="194">
        <f t="shared" si="31"/>
        <v>-200.85826404082752</v>
      </c>
      <c r="O72" s="194">
        <f t="shared" si="31"/>
        <v>-208.89259460246063</v>
      </c>
      <c r="P72" s="194">
        <f t="shared" si="31"/>
        <v>-217.24829838655904</v>
      </c>
      <c r="Q72" s="194">
        <f t="shared" si="31"/>
        <v>-225.93823032202141</v>
      </c>
      <c r="R72" s="194">
        <f t="shared" si="31"/>
        <v>-234.97575953490229</v>
      </c>
      <c r="S72" s="194">
        <f t="shared" si="31"/>
        <v>-244.37478991629837</v>
      </c>
      <c r="T72" s="194">
        <f t="shared" si="31"/>
        <v>-254.14978151295028</v>
      </c>
      <c r="U72" s="194">
        <f t="shared" si="31"/>
        <v>0</v>
      </c>
      <c r="V72" s="194">
        <f t="shared" si="31"/>
        <v>0</v>
      </c>
      <c r="W72" s="194">
        <f t="shared" si="31"/>
        <v>0</v>
      </c>
      <c r="X72" s="194">
        <f t="shared" si="31"/>
        <v>0</v>
      </c>
      <c r="Y72" s="194">
        <f t="shared" si="31"/>
        <v>0</v>
      </c>
      <c r="Z72" s="194">
        <f t="shared" si="31"/>
        <v>0</v>
      </c>
      <c r="AA72" s="194">
        <f t="shared" si="31"/>
        <v>0</v>
      </c>
      <c r="AB72" s="194">
        <f t="shared" si="31"/>
        <v>0</v>
      </c>
      <c r="AC72" s="194">
        <f t="shared" si="31"/>
        <v>0</v>
      </c>
      <c r="AD72" s="194">
        <f t="shared" si="31"/>
        <v>0</v>
      </c>
      <c r="AE72" s="194">
        <f t="shared" si="31"/>
        <v>0</v>
      </c>
      <c r="AF72" s="194">
        <f t="shared" si="31"/>
        <v>0</v>
      </c>
      <c r="AG72" s="194">
        <f t="shared" si="31"/>
        <v>0</v>
      </c>
      <c r="AH72" s="194">
        <f t="shared" si="31"/>
        <v>0</v>
      </c>
      <c r="AI72" s="194">
        <f t="shared" si="31"/>
        <v>0</v>
      </c>
      <c r="AJ72" s="194">
        <f t="shared" si="31"/>
        <v>0</v>
      </c>
      <c r="AK72" s="178"/>
      <c r="AL72" s="178"/>
      <c r="AM72" s="178"/>
      <c r="AN72" s="178"/>
      <c r="AO72" s="178"/>
      <c r="AP72" s="178"/>
      <c r="AQ72" s="178"/>
      <c r="AR72" s="178"/>
      <c r="AS72" s="178"/>
      <c r="AT72" s="182"/>
    </row>
    <row r="73" spans="1:46" ht="13.5" customHeight="1" x14ac:dyDescent="0.2">
      <c r="A73" s="176"/>
      <c r="B73" s="176"/>
      <c r="C73" s="183"/>
      <c r="D73" s="178"/>
      <c r="E73" s="184"/>
      <c r="F73" s="196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78"/>
      <c r="AL73" s="178"/>
      <c r="AM73" s="178"/>
      <c r="AN73" s="178"/>
      <c r="AO73" s="178"/>
      <c r="AP73" s="178"/>
      <c r="AQ73" s="178"/>
      <c r="AR73" s="178"/>
      <c r="AS73" s="178"/>
      <c r="AT73" s="182"/>
    </row>
    <row r="74" spans="1:46" ht="13.5" customHeight="1" x14ac:dyDescent="0.2">
      <c r="A74" s="176"/>
      <c r="B74" s="176"/>
      <c r="C74" s="203" t="s">
        <v>147</v>
      </c>
      <c r="D74" s="226" t="s">
        <v>89</v>
      </c>
      <c r="E74" s="227">
        <f>SUM(F74:V74)</f>
        <v>7023.5432583239117</v>
      </c>
      <c r="F74" s="228">
        <f t="shared" ref="F74:AJ74" si="32">F56+F63+F68</f>
        <v>0</v>
      </c>
      <c r="G74" s="229">
        <f t="shared" si="32"/>
        <v>440.44144836422271</v>
      </c>
      <c r="H74" s="229">
        <f t="shared" si="32"/>
        <v>435.89551309417351</v>
      </c>
      <c r="I74" s="229">
        <f t="shared" si="32"/>
        <v>430.77595247120735</v>
      </c>
      <c r="J74" s="229">
        <f t="shared" si="32"/>
        <v>425.59576892120731</v>
      </c>
      <c r="K74" s="229">
        <f t="shared" si="32"/>
        <v>420.35320391589227</v>
      </c>
      <c r="L74" s="229">
        <f t="shared" si="32"/>
        <v>421.83539545907752</v>
      </c>
      <c r="M74" s="229">
        <f t="shared" si="32"/>
        <v>423.26370784270807</v>
      </c>
      <c r="N74" s="229">
        <f t="shared" si="32"/>
        <v>424.63604743419</v>
      </c>
      <c r="O74" s="229">
        <f t="shared" si="32"/>
        <v>425.95025293886937</v>
      </c>
      <c r="P74" s="229">
        <f t="shared" si="32"/>
        <v>427.20409307977894</v>
      </c>
      <c r="Q74" s="229">
        <f t="shared" si="32"/>
        <v>368.59526419210528</v>
      </c>
      <c r="R74" s="229">
        <f t="shared" si="32"/>
        <v>369.72138772910523</v>
      </c>
      <c r="S74" s="229">
        <f t="shared" si="32"/>
        <v>370.78000767607443</v>
      </c>
      <c r="T74" s="229">
        <f t="shared" si="32"/>
        <v>371.76858786883145</v>
      </c>
      <c r="U74" s="229">
        <f t="shared" si="32"/>
        <v>632.37475596298327</v>
      </c>
      <c r="V74" s="229">
        <f t="shared" si="32"/>
        <v>634.35187137348532</v>
      </c>
      <c r="W74" s="229">
        <f t="shared" si="32"/>
        <v>636.29629162780782</v>
      </c>
      <c r="X74" s="229">
        <f t="shared" si="32"/>
        <v>638.20694960004323</v>
      </c>
      <c r="Y74" s="229">
        <f t="shared" si="32"/>
        <v>640.08275578105747</v>
      </c>
      <c r="Z74" s="229">
        <f t="shared" si="32"/>
        <v>641.92259785133172</v>
      </c>
      <c r="AA74" s="229">
        <f t="shared" si="32"/>
        <v>643.72534024577874</v>
      </c>
      <c r="AB74" s="229">
        <f t="shared" si="32"/>
        <v>645.48982371037494</v>
      </c>
      <c r="AC74" s="229">
        <f t="shared" si="32"/>
        <v>647.21486485045841</v>
      </c>
      <c r="AD74" s="229">
        <f t="shared" si="32"/>
        <v>648.8992556705299</v>
      </c>
      <c r="AE74" s="229">
        <f t="shared" si="32"/>
        <v>650.54176310539981</v>
      </c>
      <c r="AF74" s="229">
        <f t="shared" si="32"/>
        <v>644.53354471797513</v>
      </c>
      <c r="AG74" s="229">
        <f t="shared" si="32"/>
        <v>638.47278493013107</v>
      </c>
      <c r="AH74" s="229">
        <f t="shared" si="32"/>
        <v>632.35843291385936</v>
      </c>
      <c r="AI74" s="229">
        <f t="shared" si="32"/>
        <v>626.1894168245916</v>
      </c>
      <c r="AJ74" s="229">
        <f t="shared" si="32"/>
        <v>619.96464338086753</v>
      </c>
      <c r="AK74" s="178"/>
      <c r="AL74" s="178"/>
      <c r="AM74" s="178"/>
      <c r="AN74" s="178"/>
      <c r="AO74" s="178"/>
      <c r="AP74" s="178"/>
      <c r="AQ74" s="178"/>
      <c r="AR74" s="178"/>
      <c r="AS74" s="178"/>
      <c r="AT74" s="182"/>
    </row>
    <row r="75" spans="1:46" ht="13.5" customHeight="1" x14ac:dyDescent="0.2">
      <c r="A75" s="176"/>
      <c r="B75" s="176"/>
      <c r="C75" s="203" t="s">
        <v>148</v>
      </c>
      <c r="D75" s="226" t="s">
        <v>89</v>
      </c>
      <c r="E75" s="227">
        <f>U75</f>
        <v>6389.191386950426</v>
      </c>
      <c r="F75" s="228">
        <f>F74</f>
        <v>0</v>
      </c>
      <c r="G75" s="229">
        <f t="shared" ref="G75:AJ75" si="33">F75+G74</f>
        <v>440.44144836422271</v>
      </c>
      <c r="H75" s="229">
        <f t="shared" si="33"/>
        <v>876.33696145839622</v>
      </c>
      <c r="I75" s="229">
        <f t="shared" si="33"/>
        <v>1307.1129139296036</v>
      </c>
      <c r="J75" s="229">
        <f t="shared" si="33"/>
        <v>1732.7086828508109</v>
      </c>
      <c r="K75" s="229">
        <f t="shared" si="33"/>
        <v>2153.0618867667031</v>
      </c>
      <c r="L75" s="229">
        <f t="shared" si="33"/>
        <v>2574.8972822257806</v>
      </c>
      <c r="M75" s="229">
        <f t="shared" si="33"/>
        <v>2998.1609900684889</v>
      </c>
      <c r="N75" s="229">
        <f t="shared" si="33"/>
        <v>3422.7970375026789</v>
      </c>
      <c r="O75" s="229">
        <f t="shared" si="33"/>
        <v>3848.7472904415481</v>
      </c>
      <c r="P75" s="229">
        <f t="shared" si="33"/>
        <v>4275.9513835213274</v>
      </c>
      <c r="Q75" s="229">
        <f t="shared" si="33"/>
        <v>4644.5466477134323</v>
      </c>
      <c r="R75" s="229">
        <f t="shared" si="33"/>
        <v>5014.2680354425374</v>
      </c>
      <c r="S75" s="229">
        <f t="shared" si="33"/>
        <v>5385.0480431186115</v>
      </c>
      <c r="T75" s="229">
        <f t="shared" si="33"/>
        <v>5756.8166309874432</v>
      </c>
      <c r="U75" s="229">
        <f t="shared" si="33"/>
        <v>6389.191386950426</v>
      </c>
      <c r="V75" s="229">
        <f t="shared" si="33"/>
        <v>7023.5432583239117</v>
      </c>
      <c r="W75" s="229">
        <f t="shared" si="33"/>
        <v>7659.8395499517192</v>
      </c>
      <c r="X75" s="229">
        <f t="shared" si="33"/>
        <v>8298.0464995517632</v>
      </c>
      <c r="Y75" s="229">
        <f t="shared" si="33"/>
        <v>8938.1292553328203</v>
      </c>
      <c r="Z75" s="229">
        <f t="shared" si="33"/>
        <v>9580.0518531841517</v>
      </c>
      <c r="AA75" s="229">
        <f t="shared" si="33"/>
        <v>10223.777193429931</v>
      </c>
      <c r="AB75" s="229">
        <f t="shared" si="33"/>
        <v>10869.267017140306</v>
      </c>
      <c r="AC75" s="229">
        <f t="shared" si="33"/>
        <v>11516.481881990765</v>
      </c>
      <c r="AD75" s="229">
        <f t="shared" si="33"/>
        <v>12165.381137661296</v>
      </c>
      <c r="AE75" s="229">
        <f t="shared" si="33"/>
        <v>12815.922900766696</v>
      </c>
      <c r="AF75" s="229">
        <f t="shared" si="33"/>
        <v>13460.456445484671</v>
      </c>
      <c r="AG75" s="229">
        <f t="shared" si="33"/>
        <v>14098.929230414802</v>
      </c>
      <c r="AH75" s="229">
        <f t="shared" si="33"/>
        <v>14731.287663328661</v>
      </c>
      <c r="AI75" s="229">
        <f t="shared" si="33"/>
        <v>15357.477080153252</v>
      </c>
      <c r="AJ75" s="229">
        <f t="shared" si="33"/>
        <v>15977.441723534121</v>
      </c>
      <c r="AK75" s="178"/>
      <c r="AL75" s="178"/>
      <c r="AM75" s="178"/>
      <c r="AN75" s="178"/>
      <c r="AO75" s="178"/>
      <c r="AP75" s="178"/>
      <c r="AQ75" s="178"/>
      <c r="AR75" s="178"/>
      <c r="AS75" s="178"/>
      <c r="AT75" s="182"/>
    </row>
    <row r="76" spans="1:46" ht="13.5" customHeight="1" x14ac:dyDescent="0.2">
      <c r="A76" s="176"/>
      <c r="B76" s="176"/>
      <c r="C76" s="190" t="s">
        <v>149</v>
      </c>
      <c r="D76" s="178"/>
      <c r="E76" s="231">
        <f>SUM(F76:AJ76)</f>
        <v>0</v>
      </c>
      <c r="F76" s="232">
        <f>F5*Assumptions!$F$61</f>
        <v>0</v>
      </c>
      <c r="G76" s="233">
        <f>G5*Assumptions!$F$61</f>
        <v>0</v>
      </c>
      <c r="H76" s="233">
        <f>H5*Assumptions!$F$61</f>
        <v>0</v>
      </c>
      <c r="I76" s="233">
        <f>I5*Assumptions!$F$61</f>
        <v>0</v>
      </c>
      <c r="J76" s="233">
        <f>J5*Assumptions!$F$61</f>
        <v>0</v>
      </c>
      <c r="K76" s="233">
        <f>K5*Assumptions!$F$61</f>
        <v>0</v>
      </c>
      <c r="L76" s="233">
        <f>L5*Assumptions!$F$61</f>
        <v>0</v>
      </c>
      <c r="M76" s="233">
        <f>M5*Assumptions!$F$61</f>
        <v>0</v>
      </c>
      <c r="N76" s="234">
        <f>N5*Assumptions!$F$61</f>
        <v>0</v>
      </c>
      <c r="O76" s="233">
        <f>O5*Assumptions!$F$61</f>
        <v>0</v>
      </c>
      <c r="P76" s="233">
        <f>P5*Assumptions!$F$61</f>
        <v>0</v>
      </c>
      <c r="Q76" s="233">
        <f>Q5*Assumptions!$F$61</f>
        <v>0</v>
      </c>
      <c r="R76" s="233">
        <f>R5*Assumptions!$F$61</f>
        <v>0</v>
      </c>
      <c r="S76" s="233">
        <f>S5*Assumptions!$F$61</f>
        <v>0</v>
      </c>
      <c r="T76" s="233">
        <f>T5*Assumptions!$F$61</f>
        <v>0</v>
      </c>
      <c r="U76" s="233">
        <f>U5*Assumptions!$F$61</f>
        <v>0</v>
      </c>
      <c r="V76" s="233">
        <f>V5*Assumptions!$F$61</f>
        <v>0</v>
      </c>
      <c r="W76" s="233">
        <f>W5*Assumptions!$F$61</f>
        <v>0</v>
      </c>
      <c r="X76" s="233">
        <f>X5*Assumptions!$F$61</f>
        <v>0</v>
      </c>
      <c r="Y76" s="233">
        <f>Y5*Assumptions!$F$61</f>
        <v>0</v>
      </c>
      <c r="Z76" s="233">
        <f>Z5*Assumptions!$F$61</f>
        <v>0</v>
      </c>
      <c r="AA76" s="233">
        <f>AA5*Assumptions!$F$61</f>
        <v>0</v>
      </c>
      <c r="AB76" s="233">
        <f>AB5*Assumptions!$F$61</f>
        <v>0</v>
      </c>
      <c r="AC76" s="233">
        <f>AC5*Assumptions!$F$61</f>
        <v>0</v>
      </c>
      <c r="AD76" s="233">
        <f>AD5*Assumptions!$F$61</f>
        <v>0</v>
      </c>
      <c r="AE76" s="233">
        <f>AE5*Assumptions!$F$61</f>
        <v>0</v>
      </c>
      <c r="AF76" s="233">
        <f>AF5*Assumptions!$F$61</f>
        <v>0</v>
      </c>
      <c r="AG76" s="233">
        <f>AG5*Assumptions!$F$61</f>
        <v>0</v>
      </c>
      <c r="AH76" s="233">
        <f>AH5*Assumptions!$F$61</f>
        <v>0</v>
      </c>
      <c r="AI76" s="233">
        <f>AI5*Assumptions!$F$61</f>
        <v>0</v>
      </c>
      <c r="AJ76" s="233">
        <f>AJ5*Assumptions!$F$61</f>
        <v>0</v>
      </c>
      <c r="AK76" s="178"/>
      <c r="AL76" s="178"/>
      <c r="AM76" s="178"/>
      <c r="AN76" s="178"/>
      <c r="AO76" s="178"/>
      <c r="AP76" s="178"/>
      <c r="AQ76" s="178"/>
      <c r="AR76" s="178"/>
      <c r="AS76" s="178"/>
      <c r="AT76" s="182"/>
    </row>
    <row r="77" spans="1:46" ht="13.5" customHeight="1" x14ac:dyDescent="0.2">
      <c r="A77" s="176"/>
      <c r="B77" s="176"/>
      <c r="C77" s="235" t="s">
        <v>150</v>
      </c>
      <c r="D77" s="236">
        <f>Assumptions!F61</f>
        <v>0</v>
      </c>
      <c r="E77" s="237">
        <f>(Depr!E7)*D77</f>
        <v>0</v>
      </c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83"/>
      <c r="AT77" s="182"/>
    </row>
    <row r="78" spans="1:46" ht="13.5" customHeight="1" x14ac:dyDescent="0.2">
      <c r="A78" s="176"/>
      <c r="B78" s="176"/>
      <c r="C78" s="199" t="s">
        <v>151</v>
      </c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82"/>
    </row>
    <row r="79" spans="1:46" ht="13.5" customHeight="1" x14ac:dyDescent="0.2">
      <c r="A79" s="176"/>
      <c r="B79" s="176"/>
      <c r="C79" s="183"/>
      <c r="D79" s="178"/>
      <c r="E79" s="184"/>
      <c r="F79" s="180">
        <v>1</v>
      </c>
      <c r="G79" s="181">
        <v>2</v>
      </c>
      <c r="H79" s="181">
        <v>3</v>
      </c>
      <c r="I79" s="181">
        <v>4</v>
      </c>
      <c r="J79" s="181">
        <v>5</v>
      </c>
      <c r="K79" s="181">
        <v>6</v>
      </c>
      <c r="L79" s="181">
        <v>7</v>
      </c>
      <c r="M79" s="181">
        <v>8</v>
      </c>
      <c r="N79" s="181">
        <v>9</v>
      </c>
      <c r="O79" s="181">
        <v>10</v>
      </c>
      <c r="P79" s="181">
        <v>11</v>
      </c>
      <c r="Q79" s="181">
        <v>12</v>
      </c>
      <c r="R79" s="181">
        <v>13</v>
      </c>
      <c r="S79" s="181">
        <v>14</v>
      </c>
      <c r="T79" s="181">
        <v>15</v>
      </c>
      <c r="U79" s="181">
        <v>16</v>
      </c>
      <c r="V79" s="181">
        <v>17</v>
      </c>
      <c r="W79" s="181">
        <v>18</v>
      </c>
      <c r="X79" s="181">
        <v>19</v>
      </c>
      <c r="Y79" s="181">
        <v>20</v>
      </c>
      <c r="Z79" s="181">
        <v>21</v>
      </c>
      <c r="AA79" s="181">
        <v>22</v>
      </c>
      <c r="AB79" s="181">
        <v>23</v>
      </c>
      <c r="AC79" s="181">
        <v>24</v>
      </c>
      <c r="AD79" s="181">
        <v>25</v>
      </c>
      <c r="AE79" s="181">
        <v>26</v>
      </c>
      <c r="AF79" s="181">
        <v>27</v>
      </c>
      <c r="AG79" s="181">
        <v>28</v>
      </c>
      <c r="AH79" s="181">
        <v>29</v>
      </c>
      <c r="AI79" s="181">
        <v>30</v>
      </c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82"/>
    </row>
    <row r="80" spans="1:46" ht="13.5" customHeight="1" x14ac:dyDescent="0.2">
      <c r="A80" s="176"/>
      <c r="B80" s="176"/>
      <c r="C80" s="183"/>
      <c r="D80" s="178"/>
      <c r="E80" s="184"/>
      <c r="F80" s="202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82"/>
    </row>
    <row r="81" spans="1:46" ht="13.5" customHeight="1" x14ac:dyDescent="0.2">
      <c r="A81" s="176"/>
      <c r="B81" s="176"/>
      <c r="C81" s="203" t="s">
        <v>152</v>
      </c>
      <c r="D81" s="226" t="s">
        <v>89</v>
      </c>
      <c r="E81" s="227"/>
      <c r="F81" s="228">
        <f t="shared" ref="F81:AI81" si="34">F83+F88</f>
        <v>4784</v>
      </c>
      <c r="G81" s="229">
        <f t="shared" si="34"/>
        <v>4746.0414483642235</v>
      </c>
      <c r="H81" s="229">
        <f t="shared" si="34"/>
        <v>4703.536961458396</v>
      </c>
      <c r="I81" s="229">
        <f t="shared" si="34"/>
        <v>4655.9129139296037</v>
      </c>
      <c r="J81" s="229">
        <f t="shared" si="34"/>
        <v>4603.1086828508105</v>
      </c>
      <c r="K81" s="229">
        <f t="shared" si="34"/>
        <v>4545.0618867667035</v>
      </c>
      <c r="L81" s="229">
        <f t="shared" si="34"/>
        <v>4488.4972822257805</v>
      </c>
      <c r="M81" s="229">
        <f t="shared" si="34"/>
        <v>4433.3609900684887</v>
      </c>
      <c r="N81" s="229">
        <f t="shared" si="34"/>
        <v>4379.5970375026791</v>
      </c>
      <c r="O81" s="229">
        <f t="shared" si="34"/>
        <v>4327.1472904415477</v>
      </c>
      <c r="P81" s="229">
        <f t="shared" si="34"/>
        <v>4275.9513835213274</v>
      </c>
      <c r="Q81" s="229">
        <f t="shared" si="34"/>
        <v>4644.5466477134323</v>
      </c>
      <c r="R81" s="229">
        <f t="shared" si="34"/>
        <v>5014.2680354425374</v>
      </c>
      <c r="S81" s="229">
        <f t="shared" si="34"/>
        <v>5385.0480431186115</v>
      </c>
      <c r="T81" s="229">
        <f t="shared" si="34"/>
        <v>5756.8166309874432</v>
      </c>
      <c r="U81" s="229">
        <f t="shared" si="34"/>
        <v>6389.191386950426</v>
      </c>
      <c r="V81" s="229">
        <f t="shared" si="34"/>
        <v>7023.5432583239117</v>
      </c>
      <c r="W81" s="229">
        <f t="shared" si="34"/>
        <v>7659.8395499517192</v>
      </c>
      <c r="X81" s="229">
        <f t="shared" si="34"/>
        <v>8298.0464995517632</v>
      </c>
      <c r="Y81" s="229">
        <f t="shared" si="34"/>
        <v>8938.1292553328203</v>
      </c>
      <c r="Z81" s="229">
        <f t="shared" si="34"/>
        <v>9580.0518531841517</v>
      </c>
      <c r="AA81" s="229">
        <f t="shared" si="34"/>
        <v>10223.777193429931</v>
      </c>
      <c r="AB81" s="229">
        <f t="shared" si="34"/>
        <v>10869.267017140306</v>
      </c>
      <c r="AC81" s="229">
        <f t="shared" si="34"/>
        <v>11516.481881990765</v>
      </c>
      <c r="AD81" s="229">
        <f t="shared" si="34"/>
        <v>12165.381137661296</v>
      </c>
      <c r="AE81" s="229">
        <f t="shared" si="34"/>
        <v>12815.922900766696</v>
      </c>
      <c r="AF81" s="229">
        <f t="shared" si="34"/>
        <v>13460.456445484671</v>
      </c>
      <c r="AG81" s="229">
        <f t="shared" si="34"/>
        <v>14098.929230414802</v>
      </c>
      <c r="AH81" s="229">
        <f t="shared" si="34"/>
        <v>14731.287663328661</v>
      </c>
      <c r="AI81" s="229">
        <f t="shared" si="34"/>
        <v>15357.477080153252</v>
      </c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82"/>
    </row>
    <row r="82" spans="1:46" ht="13.5" customHeight="1" x14ac:dyDescent="0.2">
      <c r="A82" s="176"/>
      <c r="B82" s="176"/>
      <c r="C82" s="238"/>
      <c r="D82" s="178"/>
      <c r="E82" s="192"/>
      <c r="F82" s="196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78"/>
      <c r="AK82" s="178"/>
      <c r="AL82" s="178"/>
      <c r="AM82" s="178"/>
      <c r="AN82" s="178"/>
      <c r="AO82" s="178"/>
      <c r="AP82" s="178"/>
      <c r="AQ82" s="178"/>
      <c r="AR82" s="178"/>
      <c r="AS82" s="178"/>
      <c r="AT82" s="182"/>
    </row>
    <row r="83" spans="1:46" ht="13.5" customHeight="1" x14ac:dyDescent="0.2">
      <c r="A83" s="176"/>
      <c r="B83" s="176"/>
      <c r="C83" s="239" t="s">
        <v>153</v>
      </c>
      <c r="D83" s="240" t="s">
        <v>89</v>
      </c>
      <c r="E83" s="241"/>
      <c r="F83" s="242">
        <f t="shared" ref="F83:AI83" si="35">SUM(F84:F86)</f>
        <v>4784</v>
      </c>
      <c r="G83" s="243">
        <f t="shared" si="35"/>
        <v>4305.6000000000004</v>
      </c>
      <c r="H83" s="243">
        <f t="shared" si="35"/>
        <v>3827.2000000000003</v>
      </c>
      <c r="I83" s="243">
        <f t="shared" si="35"/>
        <v>3348.8</v>
      </c>
      <c r="J83" s="243">
        <f t="shared" si="35"/>
        <v>2870.4</v>
      </c>
      <c r="K83" s="243">
        <f t="shared" si="35"/>
        <v>2392</v>
      </c>
      <c r="L83" s="243">
        <f t="shared" si="35"/>
        <v>1913.6</v>
      </c>
      <c r="M83" s="243">
        <f t="shared" si="35"/>
        <v>1435.1999999999998</v>
      </c>
      <c r="N83" s="243">
        <f t="shared" si="35"/>
        <v>956.79999999999984</v>
      </c>
      <c r="O83" s="243">
        <f t="shared" si="35"/>
        <v>478.39999999999986</v>
      </c>
      <c r="P83" s="243">
        <f t="shared" si="35"/>
        <v>0</v>
      </c>
      <c r="Q83" s="243">
        <f t="shared" si="35"/>
        <v>0</v>
      </c>
      <c r="R83" s="243">
        <f t="shared" si="35"/>
        <v>0</v>
      </c>
      <c r="S83" s="243">
        <f t="shared" si="35"/>
        <v>0</v>
      </c>
      <c r="T83" s="243">
        <f t="shared" si="35"/>
        <v>0</v>
      </c>
      <c r="U83" s="243">
        <f t="shared" si="35"/>
        <v>0</v>
      </c>
      <c r="V83" s="243">
        <f t="shared" si="35"/>
        <v>0</v>
      </c>
      <c r="W83" s="243">
        <f t="shared" si="35"/>
        <v>0</v>
      </c>
      <c r="X83" s="243">
        <f t="shared" si="35"/>
        <v>0</v>
      </c>
      <c r="Y83" s="243">
        <f t="shared" si="35"/>
        <v>0</v>
      </c>
      <c r="Z83" s="243">
        <f t="shared" si="35"/>
        <v>0</v>
      </c>
      <c r="AA83" s="243">
        <f t="shared" si="35"/>
        <v>0</v>
      </c>
      <c r="AB83" s="243">
        <f t="shared" si="35"/>
        <v>0</v>
      </c>
      <c r="AC83" s="243">
        <f t="shared" si="35"/>
        <v>0</v>
      </c>
      <c r="AD83" s="243">
        <f t="shared" si="35"/>
        <v>0</v>
      </c>
      <c r="AE83" s="243">
        <f t="shared" si="35"/>
        <v>0</v>
      </c>
      <c r="AF83" s="243">
        <f t="shared" si="35"/>
        <v>0</v>
      </c>
      <c r="AG83" s="243">
        <f t="shared" si="35"/>
        <v>0</v>
      </c>
      <c r="AH83" s="243">
        <f t="shared" si="35"/>
        <v>0</v>
      </c>
      <c r="AI83" s="243">
        <f t="shared" si="35"/>
        <v>0</v>
      </c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82"/>
    </row>
    <row r="84" spans="1:46" ht="13.5" customHeight="1" x14ac:dyDescent="0.2">
      <c r="A84" s="176"/>
      <c r="B84" s="176"/>
      <c r="C84" s="195" t="s">
        <v>91</v>
      </c>
      <c r="D84" s="191" t="s">
        <v>89</v>
      </c>
      <c r="E84" s="192"/>
      <c r="F84" s="196">
        <f>Depr!F11</f>
        <v>4784</v>
      </c>
      <c r="G84" s="194">
        <f>Depr!F16</f>
        <v>4305.6000000000004</v>
      </c>
      <c r="H84" s="194">
        <f>Depr!G16</f>
        <v>3827.2000000000003</v>
      </c>
      <c r="I84" s="194">
        <f>Depr!H16</f>
        <v>3348.8</v>
      </c>
      <c r="J84" s="194">
        <f>Depr!I16</f>
        <v>2870.4</v>
      </c>
      <c r="K84" s="194">
        <f>Depr!J16</f>
        <v>2392</v>
      </c>
      <c r="L84" s="194">
        <f>Depr!K16</f>
        <v>1913.6</v>
      </c>
      <c r="M84" s="194">
        <f>Depr!L16</f>
        <v>1435.1999999999998</v>
      </c>
      <c r="N84" s="194">
        <f>Depr!M16</f>
        <v>956.79999999999984</v>
      </c>
      <c r="O84" s="194">
        <f>Depr!N16</f>
        <v>478.39999999999986</v>
      </c>
      <c r="P84" s="194">
        <f>Depr!O16</f>
        <v>0</v>
      </c>
      <c r="Q84" s="194">
        <f>Depr!P16</f>
        <v>0</v>
      </c>
      <c r="R84" s="194">
        <f>Depr!Q16</f>
        <v>0</v>
      </c>
      <c r="S84" s="194">
        <f>Depr!R16</f>
        <v>0</v>
      </c>
      <c r="T84" s="194">
        <f>Depr!S16</f>
        <v>0</v>
      </c>
      <c r="U84" s="194">
        <f>Depr!T16</f>
        <v>0</v>
      </c>
      <c r="V84" s="194">
        <f>Depr!U16</f>
        <v>0</v>
      </c>
      <c r="W84" s="194">
        <f>Depr!V16</f>
        <v>0</v>
      </c>
      <c r="X84" s="194">
        <f>Depr!W16</f>
        <v>0</v>
      </c>
      <c r="Y84" s="194">
        <f>Depr!X16</f>
        <v>0</v>
      </c>
      <c r="Z84" s="194">
        <f>Depr!Y16</f>
        <v>0</v>
      </c>
      <c r="AA84" s="194">
        <f>Depr!Z16</f>
        <v>0</v>
      </c>
      <c r="AB84" s="194">
        <f>Depr!AA16</f>
        <v>0</v>
      </c>
      <c r="AC84" s="194">
        <f>Depr!AB16</f>
        <v>0</v>
      </c>
      <c r="AD84" s="194">
        <f>Depr!AC16</f>
        <v>0</v>
      </c>
      <c r="AE84" s="194">
        <f>Depr!AD16</f>
        <v>0</v>
      </c>
      <c r="AF84" s="194">
        <f>Depr!AE16</f>
        <v>0</v>
      </c>
      <c r="AG84" s="194">
        <f>Depr!AF16</f>
        <v>0</v>
      </c>
      <c r="AH84" s="194">
        <f>Depr!AG16</f>
        <v>0</v>
      </c>
      <c r="AI84" s="194">
        <f>Depr!AH16</f>
        <v>0</v>
      </c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82"/>
    </row>
    <row r="85" spans="1:46" ht="13.5" customHeight="1" x14ac:dyDescent="0.2">
      <c r="A85" s="176"/>
      <c r="B85" s="176"/>
      <c r="C85" s="195" t="s">
        <v>154</v>
      </c>
      <c r="D85" s="191" t="s">
        <v>89</v>
      </c>
      <c r="E85" s="192"/>
      <c r="F85" s="196">
        <v>0</v>
      </c>
      <c r="G85" s="194">
        <v>0</v>
      </c>
      <c r="H85" s="194">
        <v>0</v>
      </c>
      <c r="I85" s="194">
        <v>0</v>
      </c>
      <c r="J85" s="194">
        <v>0</v>
      </c>
      <c r="K85" s="194">
        <v>0</v>
      </c>
      <c r="L85" s="194">
        <v>0</v>
      </c>
      <c r="M85" s="194">
        <v>0</v>
      </c>
      <c r="N85" s="194">
        <v>0</v>
      </c>
      <c r="O85" s="194">
        <v>0</v>
      </c>
      <c r="P85" s="194">
        <v>0</v>
      </c>
      <c r="Q85" s="194">
        <v>0</v>
      </c>
      <c r="R85" s="194">
        <v>0</v>
      </c>
      <c r="S85" s="194">
        <v>0</v>
      </c>
      <c r="T85" s="194">
        <v>0</v>
      </c>
      <c r="U85" s="194">
        <v>0</v>
      </c>
      <c r="V85" s="194">
        <v>0</v>
      </c>
      <c r="W85" s="194">
        <v>0</v>
      </c>
      <c r="X85" s="194">
        <v>0</v>
      </c>
      <c r="Y85" s="194">
        <v>0</v>
      </c>
      <c r="Z85" s="194">
        <v>0</v>
      </c>
      <c r="AA85" s="194">
        <v>0</v>
      </c>
      <c r="AB85" s="194">
        <v>0</v>
      </c>
      <c r="AC85" s="194">
        <v>0</v>
      </c>
      <c r="AD85" s="194">
        <v>0</v>
      </c>
      <c r="AE85" s="194">
        <v>0</v>
      </c>
      <c r="AF85" s="194">
        <v>0</v>
      </c>
      <c r="AG85" s="194">
        <v>0</v>
      </c>
      <c r="AH85" s="194">
        <v>0</v>
      </c>
      <c r="AI85" s="194">
        <v>0</v>
      </c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82"/>
    </row>
    <row r="86" spans="1:46" ht="13.5" customHeight="1" x14ac:dyDescent="0.2">
      <c r="A86" s="176"/>
      <c r="B86" s="176"/>
      <c r="C86" s="195" t="s">
        <v>155</v>
      </c>
      <c r="D86" s="191" t="s">
        <v>89</v>
      </c>
      <c r="E86" s="192"/>
      <c r="F86" s="196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82"/>
    </row>
    <row r="87" spans="1:46" ht="13.5" customHeight="1" x14ac:dyDescent="0.2">
      <c r="A87" s="176"/>
      <c r="B87" s="176"/>
      <c r="C87" s="183"/>
      <c r="D87" s="178"/>
      <c r="E87" s="192"/>
      <c r="F87" s="196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82"/>
    </row>
    <row r="88" spans="1:46" ht="13.5" customHeight="1" x14ac:dyDescent="0.2">
      <c r="A88" s="176"/>
      <c r="B88" s="176"/>
      <c r="C88" s="239" t="s">
        <v>156</v>
      </c>
      <c r="D88" s="240" t="s">
        <v>89</v>
      </c>
      <c r="E88" s="241"/>
      <c r="F88" s="242">
        <f t="shared" ref="F88:AI88" si="36">SUM(F89:F92)</f>
        <v>0</v>
      </c>
      <c r="G88" s="243">
        <f t="shared" si="36"/>
        <v>440.44144836422271</v>
      </c>
      <c r="H88" s="243">
        <f t="shared" si="36"/>
        <v>876.33696145839622</v>
      </c>
      <c r="I88" s="243">
        <f t="shared" si="36"/>
        <v>1307.1129139296036</v>
      </c>
      <c r="J88" s="243">
        <f t="shared" si="36"/>
        <v>1732.7086828508109</v>
      </c>
      <c r="K88" s="243">
        <f t="shared" si="36"/>
        <v>2153.0618867667031</v>
      </c>
      <c r="L88" s="243">
        <f t="shared" si="36"/>
        <v>2574.8972822257806</v>
      </c>
      <c r="M88" s="243">
        <f t="shared" si="36"/>
        <v>2998.1609900684889</v>
      </c>
      <c r="N88" s="243">
        <f t="shared" si="36"/>
        <v>3422.7970375026789</v>
      </c>
      <c r="O88" s="243">
        <f t="shared" si="36"/>
        <v>3848.7472904415481</v>
      </c>
      <c r="P88" s="243">
        <f t="shared" si="36"/>
        <v>4275.9513835213274</v>
      </c>
      <c r="Q88" s="243">
        <f t="shared" si="36"/>
        <v>4644.5466477134323</v>
      </c>
      <c r="R88" s="243">
        <f t="shared" si="36"/>
        <v>5014.2680354425374</v>
      </c>
      <c r="S88" s="243">
        <f t="shared" si="36"/>
        <v>5385.0480431186115</v>
      </c>
      <c r="T88" s="243">
        <f t="shared" si="36"/>
        <v>5756.8166309874432</v>
      </c>
      <c r="U88" s="243">
        <f t="shared" si="36"/>
        <v>6389.191386950426</v>
      </c>
      <c r="V88" s="243">
        <f t="shared" si="36"/>
        <v>7023.5432583239117</v>
      </c>
      <c r="W88" s="243">
        <f t="shared" si="36"/>
        <v>7659.8395499517192</v>
      </c>
      <c r="X88" s="243">
        <f t="shared" si="36"/>
        <v>8298.0464995517632</v>
      </c>
      <c r="Y88" s="243">
        <f t="shared" si="36"/>
        <v>8938.1292553328203</v>
      </c>
      <c r="Z88" s="243">
        <f t="shared" si="36"/>
        <v>9580.0518531841517</v>
      </c>
      <c r="AA88" s="243">
        <f t="shared" si="36"/>
        <v>10223.777193429931</v>
      </c>
      <c r="AB88" s="243">
        <f t="shared" si="36"/>
        <v>10869.267017140306</v>
      </c>
      <c r="AC88" s="243">
        <f t="shared" si="36"/>
        <v>11516.481881990765</v>
      </c>
      <c r="AD88" s="243">
        <f t="shared" si="36"/>
        <v>12165.381137661296</v>
      </c>
      <c r="AE88" s="243">
        <f t="shared" si="36"/>
        <v>12815.922900766696</v>
      </c>
      <c r="AF88" s="243">
        <f t="shared" si="36"/>
        <v>13460.456445484671</v>
      </c>
      <c r="AG88" s="243">
        <f t="shared" si="36"/>
        <v>14098.929230414802</v>
      </c>
      <c r="AH88" s="243">
        <f t="shared" si="36"/>
        <v>14731.287663328661</v>
      </c>
      <c r="AI88" s="243">
        <f t="shared" si="36"/>
        <v>15357.477080153252</v>
      </c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82"/>
    </row>
    <row r="89" spans="1:46" ht="13.5" customHeight="1" x14ac:dyDescent="0.2">
      <c r="A89" s="176"/>
      <c r="B89" s="176"/>
      <c r="C89" s="195" t="s">
        <v>157</v>
      </c>
      <c r="D89" s="191" t="s">
        <v>89</v>
      </c>
      <c r="E89" s="192"/>
      <c r="F89" s="196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82"/>
    </row>
    <row r="90" spans="1:46" ht="13.5" customHeight="1" x14ac:dyDescent="0.2">
      <c r="A90" s="176"/>
      <c r="B90" s="176"/>
      <c r="C90" s="195" t="s">
        <v>158</v>
      </c>
      <c r="D90" s="191" t="s">
        <v>89</v>
      </c>
      <c r="E90" s="192"/>
      <c r="F90" s="196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82"/>
    </row>
    <row r="91" spans="1:46" ht="13.5" customHeight="1" x14ac:dyDescent="0.2">
      <c r="A91" s="176"/>
      <c r="B91" s="176"/>
      <c r="C91" s="195" t="s">
        <v>68</v>
      </c>
      <c r="D91" s="191" t="s">
        <v>89</v>
      </c>
      <c r="E91" s="192"/>
      <c r="F91" s="196">
        <f>E77</f>
        <v>0</v>
      </c>
      <c r="G91" s="194">
        <f>SUM(H65:R65)</f>
        <v>0</v>
      </c>
      <c r="H91" s="194">
        <f>SUM(I65:R65)</f>
        <v>0</v>
      </c>
      <c r="I91" s="194">
        <f t="shared" ref="I91:AI91" si="37">SUM(J65:R65)</f>
        <v>0</v>
      </c>
      <c r="J91" s="194">
        <f t="shared" si="37"/>
        <v>0</v>
      </c>
      <c r="K91" s="194">
        <f t="shared" si="37"/>
        <v>0</v>
      </c>
      <c r="L91" s="194">
        <f t="shared" si="37"/>
        <v>0</v>
      </c>
      <c r="M91" s="194">
        <f t="shared" si="37"/>
        <v>0</v>
      </c>
      <c r="N91" s="194">
        <f t="shared" si="37"/>
        <v>0</v>
      </c>
      <c r="O91" s="194">
        <f t="shared" si="37"/>
        <v>0</v>
      </c>
      <c r="P91" s="194">
        <f t="shared" si="37"/>
        <v>0</v>
      </c>
      <c r="Q91" s="194">
        <f t="shared" si="37"/>
        <v>0</v>
      </c>
      <c r="R91" s="194">
        <f t="shared" si="37"/>
        <v>0</v>
      </c>
      <c r="S91" s="194">
        <f t="shared" si="37"/>
        <v>0</v>
      </c>
      <c r="T91" s="194">
        <f t="shared" si="37"/>
        <v>0</v>
      </c>
      <c r="U91" s="194">
        <f t="shared" si="37"/>
        <v>0</v>
      </c>
      <c r="V91" s="194">
        <f t="shared" si="37"/>
        <v>0</v>
      </c>
      <c r="W91" s="194">
        <f t="shared" si="37"/>
        <v>0</v>
      </c>
      <c r="X91" s="194">
        <f t="shared" si="37"/>
        <v>0</v>
      </c>
      <c r="Y91" s="194">
        <f t="shared" si="37"/>
        <v>0</v>
      </c>
      <c r="Z91" s="194">
        <f t="shared" si="37"/>
        <v>0</v>
      </c>
      <c r="AA91" s="194">
        <f t="shared" si="37"/>
        <v>0</v>
      </c>
      <c r="AB91" s="194">
        <f t="shared" si="37"/>
        <v>0</v>
      </c>
      <c r="AC91" s="194">
        <f t="shared" si="37"/>
        <v>0</v>
      </c>
      <c r="AD91" s="194">
        <f t="shared" si="37"/>
        <v>0</v>
      </c>
      <c r="AE91" s="194">
        <f t="shared" si="37"/>
        <v>0</v>
      </c>
      <c r="AF91" s="194">
        <f t="shared" si="37"/>
        <v>0</v>
      </c>
      <c r="AG91" s="194">
        <f t="shared" si="37"/>
        <v>0</v>
      </c>
      <c r="AH91" s="194">
        <f t="shared" si="37"/>
        <v>0</v>
      </c>
      <c r="AI91" s="194">
        <f t="shared" si="37"/>
        <v>0</v>
      </c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82"/>
    </row>
    <row r="92" spans="1:46" ht="13.5" customHeight="1" x14ac:dyDescent="0.2">
      <c r="A92" s="176"/>
      <c r="B92" s="176"/>
      <c r="C92" s="195" t="s">
        <v>159</v>
      </c>
      <c r="D92" s="191" t="s">
        <v>89</v>
      </c>
      <c r="E92" s="192"/>
      <c r="F92" s="196">
        <f t="shared" ref="F92:AI92" si="38">F75</f>
        <v>0</v>
      </c>
      <c r="G92" s="194">
        <f t="shared" si="38"/>
        <v>440.44144836422271</v>
      </c>
      <c r="H92" s="194">
        <f t="shared" si="38"/>
        <v>876.33696145839622</v>
      </c>
      <c r="I92" s="194">
        <f t="shared" si="38"/>
        <v>1307.1129139296036</v>
      </c>
      <c r="J92" s="194">
        <f t="shared" si="38"/>
        <v>1732.7086828508109</v>
      </c>
      <c r="K92" s="194">
        <f t="shared" si="38"/>
        <v>2153.0618867667031</v>
      </c>
      <c r="L92" s="194">
        <f t="shared" si="38"/>
        <v>2574.8972822257806</v>
      </c>
      <c r="M92" s="194">
        <f t="shared" si="38"/>
        <v>2998.1609900684889</v>
      </c>
      <c r="N92" s="194">
        <f t="shared" si="38"/>
        <v>3422.7970375026789</v>
      </c>
      <c r="O92" s="194">
        <f t="shared" si="38"/>
        <v>3848.7472904415481</v>
      </c>
      <c r="P92" s="194">
        <f t="shared" si="38"/>
        <v>4275.9513835213274</v>
      </c>
      <c r="Q92" s="194">
        <f t="shared" si="38"/>
        <v>4644.5466477134323</v>
      </c>
      <c r="R92" s="194">
        <f t="shared" si="38"/>
        <v>5014.2680354425374</v>
      </c>
      <c r="S92" s="194">
        <f t="shared" si="38"/>
        <v>5385.0480431186115</v>
      </c>
      <c r="T92" s="194">
        <f t="shared" si="38"/>
        <v>5756.8166309874432</v>
      </c>
      <c r="U92" s="194">
        <f t="shared" si="38"/>
        <v>6389.191386950426</v>
      </c>
      <c r="V92" s="194">
        <f t="shared" si="38"/>
        <v>7023.5432583239117</v>
      </c>
      <c r="W92" s="194">
        <f t="shared" si="38"/>
        <v>7659.8395499517192</v>
      </c>
      <c r="X92" s="194">
        <f t="shared" si="38"/>
        <v>8298.0464995517632</v>
      </c>
      <c r="Y92" s="194">
        <f t="shared" si="38"/>
        <v>8938.1292553328203</v>
      </c>
      <c r="Z92" s="194">
        <f t="shared" si="38"/>
        <v>9580.0518531841517</v>
      </c>
      <c r="AA92" s="194">
        <f t="shared" si="38"/>
        <v>10223.777193429931</v>
      </c>
      <c r="AB92" s="194">
        <f t="shared" si="38"/>
        <v>10869.267017140306</v>
      </c>
      <c r="AC92" s="194">
        <f t="shared" si="38"/>
        <v>11516.481881990765</v>
      </c>
      <c r="AD92" s="194">
        <f t="shared" si="38"/>
        <v>12165.381137661296</v>
      </c>
      <c r="AE92" s="194">
        <f t="shared" si="38"/>
        <v>12815.922900766696</v>
      </c>
      <c r="AF92" s="194">
        <f t="shared" si="38"/>
        <v>13460.456445484671</v>
      </c>
      <c r="AG92" s="194">
        <f t="shared" si="38"/>
        <v>14098.929230414802</v>
      </c>
      <c r="AH92" s="194">
        <f t="shared" si="38"/>
        <v>14731.287663328661</v>
      </c>
      <c r="AI92" s="194">
        <f t="shared" si="38"/>
        <v>15357.477080153252</v>
      </c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82"/>
    </row>
    <row r="93" spans="1:46" ht="13.5" customHeight="1" x14ac:dyDescent="0.2">
      <c r="A93" s="176"/>
      <c r="B93" s="176"/>
      <c r="C93" s="183"/>
      <c r="D93" s="178"/>
      <c r="E93" s="192"/>
      <c r="F93" s="196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82"/>
    </row>
    <row r="94" spans="1:46" ht="13.5" customHeight="1" x14ac:dyDescent="0.2">
      <c r="A94" s="176"/>
      <c r="B94" s="176"/>
      <c r="C94" s="203" t="s">
        <v>160</v>
      </c>
      <c r="D94" s="226" t="s">
        <v>89</v>
      </c>
      <c r="E94" s="227"/>
      <c r="F94" s="228">
        <f t="shared" ref="F94:AI94" si="39">F96+F100+F105</f>
        <v>4784</v>
      </c>
      <c r="G94" s="229">
        <f t="shared" si="39"/>
        <v>4746.0414483642226</v>
      </c>
      <c r="H94" s="229">
        <f t="shared" si="39"/>
        <v>4703.536961458396</v>
      </c>
      <c r="I94" s="229">
        <f t="shared" si="39"/>
        <v>4655.9129139296037</v>
      </c>
      <c r="J94" s="229">
        <f t="shared" si="39"/>
        <v>4603.1086828508105</v>
      </c>
      <c r="K94" s="229">
        <f t="shared" si="39"/>
        <v>4545.0618867667035</v>
      </c>
      <c r="L94" s="229">
        <f t="shared" si="39"/>
        <v>4488.4972822257805</v>
      </c>
      <c r="M94" s="229">
        <f t="shared" si="39"/>
        <v>4433.3609900684887</v>
      </c>
      <c r="N94" s="229">
        <f t="shared" si="39"/>
        <v>4379.5970375026791</v>
      </c>
      <c r="O94" s="229">
        <f t="shared" si="39"/>
        <v>4327.1472904415477</v>
      </c>
      <c r="P94" s="229">
        <f t="shared" si="39"/>
        <v>4275.9513835213274</v>
      </c>
      <c r="Q94" s="229">
        <f t="shared" si="39"/>
        <v>4644.5466477134323</v>
      </c>
      <c r="R94" s="229">
        <f t="shared" si="39"/>
        <v>5014.2680354425383</v>
      </c>
      <c r="S94" s="229">
        <f t="shared" si="39"/>
        <v>5385.0480431186124</v>
      </c>
      <c r="T94" s="229">
        <f t="shared" si="39"/>
        <v>5756.8166309874441</v>
      </c>
      <c r="U94" s="229">
        <f t="shared" si="39"/>
        <v>6389.1913869504269</v>
      </c>
      <c r="V94" s="229">
        <f t="shared" si="39"/>
        <v>7023.5432583239126</v>
      </c>
      <c r="W94" s="229">
        <f t="shared" si="39"/>
        <v>7659.8395499517201</v>
      </c>
      <c r="X94" s="229">
        <f t="shared" si="39"/>
        <v>8298.0464995517632</v>
      </c>
      <c r="Y94" s="229">
        <f t="shared" si="39"/>
        <v>8938.1292553328203</v>
      </c>
      <c r="Z94" s="229">
        <f t="shared" si="39"/>
        <v>9580.0518531841517</v>
      </c>
      <c r="AA94" s="229">
        <f t="shared" si="39"/>
        <v>10223.777193429931</v>
      </c>
      <c r="AB94" s="229">
        <f t="shared" si="39"/>
        <v>10869.267017140306</v>
      </c>
      <c r="AC94" s="229">
        <f t="shared" si="39"/>
        <v>11516.481881990765</v>
      </c>
      <c r="AD94" s="229">
        <f t="shared" si="39"/>
        <v>12165.381137661296</v>
      </c>
      <c r="AE94" s="229">
        <f t="shared" si="39"/>
        <v>12815.922900766696</v>
      </c>
      <c r="AF94" s="229">
        <f t="shared" si="39"/>
        <v>13460.456445484671</v>
      </c>
      <c r="AG94" s="229">
        <f t="shared" si="39"/>
        <v>14098.929230414802</v>
      </c>
      <c r="AH94" s="229">
        <f t="shared" si="39"/>
        <v>14731.287663328661</v>
      </c>
      <c r="AI94" s="229">
        <f t="shared" si="39"/>
        <v>15357.477080153252</v>
      </c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82"/>
    </row>
    <row r="95" spans="1:46" ht="13.5" customHeight="1" x14ac:dyDescent="0.2">
      <c r="A95" s="176"/>
      <c r="B95" s="176"/>
      <c r="C95" s="238"/>
      <c r="D95" s="178"/>
      <c r="E95" s="192"/>
      <c r="F95" s="196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82"/>
    </row>
    <row r="96" spans="1:46" ht="13.5" customHeight="1" x14ac:dyDescent="0.2">
      <c r="A96" s="176"/>
      <c r="B96" s="176"/>
      <c r="C96" s="239" t="s">
        <v>161</v>
      </c>
      <c r="D96" s="240" t="s">
        <v>89</v>
      </c>
      <c r="E96" s="241"/>
      <c r="F96" s="242">
        <f t="shared" ref="F96:AI96" si="40">SUM(F97:F98)</f>
        <v>1992</v>
      </c>
      <c r="G96" s="243">
        <f t="shared" si="40"/>
        <v>2106.677221137691</v>
      </c>
      <c r="H96" s="243">
        <f t="shared" si="40"/>
        <v>2222.9139379162716</v>
      </c>
      <c r="I96" s="243">
        <f t="shared" si="40"/>
        <v>2340.3807422192622</v>
      </c>
      <c r="J96" s="243">
        <f t="shared" si="40"/>
        <v>2459.2709970455244</v>
      </c>
      <c r="K96" s="243">
        <f t="shared" si="40"/>
        <v>2579.7864663026735</v>
      </c>
      <c r="L96" s="243">
        <f t="shared" si="40"/>
        <v>2708.9266177166583</v>
      </c>
      <c r="M96" s="243">
        <f t="shared" si="40"/>
        <v>2846.9232717524696</v>
      </c>
      <c r="N96" s="243">
        <f t="shared" si="40"/>
        <v>2994.0175832274872</v>
      </c>
      <c r="O96" s="243">
        <f t="shared" si="40"/>
        <v>3150.4604307688169</v>
      </c>
      <c r="P96" s="243">
        <f t="shared" si="40"/>
        <v>3316.512822235155</v>
      </c>
      <c r="Q96" s="243">
        <f t="shared" si="40"/>
        <v>3911.0463167492817</v>
      </c>
      <c r="R96" s="243">
        <f t="shared" si="40"/>
        <v>4515.7434640132897</v>
      </c>
      <c r="S96" s="243">
        <f t="shared" si="40"/>
        <v>5130.8982616056619</v>
      </c>
      <c r="T96" s="243">
        <f t="shared" si="40"/>
        <v>5756.8166309874441</v>
      </c>
      <c r="U96" s="243">
        <f t="shared" si="40"/>
        <v>6389.1913869504269</v>
      </c>
      <c r="V96" s="243">
        <f t="shared" si="40"/>
        <v>7023.5432583239126</v>
      </c>
      <c r="W96" s="243">
        <f t="shared" si="40"/>
        <v>7659.8395499517201</v>
      </c>
      <c r="X96" s="243">
        <f t="shared" si="40"/>
        <v>8298.0464995517632</v>
      </c>
      <c r="Y96" s="243">
        <f t="shared" si="40"/>
        <v>8938.1292553328203</v>
      </c>
      <c r="Z96" s="243">
        <f t="shared" si="40"/>
        <v>9580.0518531841517</v>
      </c>
      <c r="AA96" s="243">
        <f t="shared" si="40"/>
        <v>10223.777193429931</v>
      </c>
      <c r="AB96" s="243">
        <f t="shared" si="40"/>
        <v>10869.267017140306</v>
      </c>
      <c r="AC96" s="243">
        <f t="shared" si="40"/>
        <v>11516.481881990765</v>
      </c>
      <c r="AD96" s="243">
        <f t="shared" si="40"/>
        <v>12165.381137661296</v>
      </c>
      <c r="AE96" s="243">
        <f t="shared" si="40"/>
        <v>12815.922900766696</v>
      </c>
      <c r="AF96" s="243">
        <f t="shared" si="40"/>
        <v>13460.456445484671</v>
      </c>
      <c r="AG96" s="243">
        <f t="shared" si="40"/>
        <v>14098.929230414802</v>
      </c>
      <c r="AH96" s="243">
        <f t="shared" si="40"/>
        <v>14731.287663328661</v>
      </c>
      <c r="AI96" s="243">
        <f t="shared" si="40"/>
        <v>15357.477080153252</v>
      </c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82"/>
    </row>
    <row r="97" spans="1:46" ht="13.5" customHeight="1" x14ac:dyDescent="0.2">
      <c r="A97" s="176"/>
      <c r="B97" s="176"/>
      <c r="C97" s="195" t="s">
        <v>162</v>
      </c>
      <c r="D97" s="191" t="s">
        <v>89</v>
      </c>
      <c r="E97" s="192"/>
      <c r="F97" s="196">
        <f>F69</f>
        <v>2029.2266666666667</v>
      </c>
      <c r="G97" s="194">
        <f t="shared" ref="G97:AI97" si="41">G69+F97</f>
        <v>2029.2266666666667</v>
      </c>
      <c r="H97" s="194">
        <f t="shared" si="41"/>
        <v>2029.2266666666667</v>
      </c>
      <c r="I97" s="194">
        <f t="shared" si="41"/>
        <v>2029.2266666666667</v>
      </c>
      <c r="J97" s="194">
        <f t="shared" si="41"/>
        <v>2029.2266666666667</v>
      </c>
      <c r="K97" s="194">
        <f t="shared" si="41"/>
        <v>2029.2266666666667</v>
      </c>
      <c r="L97" s="194">
        <f t="shared" si="41"/>
        <v>2029.2266666666667</v>
      </c>
      <c r="M97" s="194">
        <f t="shared" si="41"/>
        <v>2029.2266666666667</v>
      </c>
      <c r="N97" s="194">
        <f t="shared" si="41"/>
        <v>2029.2266666666667</v>
      </c>
      <c r="O97" s="194">
        <f t="shared" si="41"/>
        <v>2029.2266666666667</v>
      </c>
      <c r="P97" s="194">
        <f t="shared" si="41"/>
        <v>2029.2266666666667</v>
      </c>
      <c r="Q97" s="194">
        <f t="shared" si="41"/>
        <v>2029.2266666666667</v>
      </c>
      <c r="R97" s="194">
        <f t="shared" si="41"/>
        <v>2029.2266666666667</v>
      </c>
      <c r="S97" s="194">
        <f t="shared" si="41"/>
        <v>2029.2266666666667</v>
      </c>
      <c r="T97" s="194">
        <f t="shared" si="41"/>
        <v>2029.2266666666667</v>
      </c>
      <c r="U97" s="194">
        <f t="shared" si="41"/>
        <v>2029.2266666666667</v>
      </c>
      <c r="V97" s="194">
        <f t="shared" si="41"/>
        <v>2029.2266666666667</v>
      </c>
      <c r="W97" s="194">
        <f t="shared" si="41"/>
        <v>2029.2266666666667</v>
      </c>
      <c r="X97" s="194">
        <f t="shared" si="41"/>
        <v>2029.2266666666667</v>
      </c>
      <c r="Y97" s="194">
        <f t="shared" si="41"/>
        <v>2029.2266666666667</v>
      </c>
      <c r="Z97" s="194">
        <f t="shared" si="41"/>
        <v>2029.2266666666667</v>
      </c>
      <c r="AA97" s="194">
        <f t="shared" si="41"/>
        <v>2029.2266666666667</v>
      </c>
      <c r="AB97" s="194">
        <f t="shared" si="41"/>
        <v>2029.2266666666667</v>
      </c>
      <c r="AC97" s="194">
        <f t="shared" si="41"/>
        <v>2029.2266666666667</v>
      </c>
      <c r="AD97" s="194">
        <f t="shared" si="41"/>
        <v>2029.2266666666667</v>
      </c>
      <c r="AE97" s="194">
        <f t="shared" si="41"/>
        <v>2029.2266666666667</v>
      </c>
      <c r="AF97" s="194">
        <f t="shared" si="41"/>
        <v>2029.2266666666667</v>
      </c>
      <c r="AG97" s="194">
        <f t="shared" si="41"/>
        <v>2029.2266666666667</v>
      </c>
      <c r="AH97" s="194">
        <f t="shared" si="41"/>
        <v>2029.2266666666667</v>
      </c>
      <c r="AI97" s="194">
        <f t="shared" si="41"/>
        <v>2029.2266666666667</v>
      </c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82"/>
    </row>
    <row r="98" spans="1:46" ht="13.5" customHeight="1" x14ac:dyDescent="0.2">
      <c r="A98" s="176"/>
      <c r="B98" s="176"/>
      <c r="C98" s="195" t="s">
        <v>163</v>
      </c>
      <c r="D98" s="191" t="s">
        <v>89</v>
      </c>
      <c r="E98" s="192"/>
      <c r="F98" s="196">
        <f>F26+F70</f>
        <v>-37.226666666666667</v>
      </c>
      <c r="G98" s="194">
        <f t="shared" ref="G98:AI98" si="42">G26+G70+F98</f>
        <v>77.45055447102439</v>
      </c>
      <c r="H98" s="194">
        <f t="shared" si="42"/>
        <v>193.68727124960498</v>
      </c>
      <c r="I98" s="194">
        <f t="shared" si="42"/>
        <v>311.1540755525956</v>
      </c>
      <c r="J98" s="194">
        <f t="shared" si="42"/>
        <v>430.04433037885758</v>
      </c>
      <c r="K98" s="194">
        <f t="shared" si="42"/>
        <v>550.5597996360068</v>
      </c>
      <c r="L98" s="194">
        <f t="shared" si="42"/>
        <v>679.69995104999157</v>
      </c>
      <c r="M98" s="194">
        <f t="shared" si="42"/>
        <v>817.69660508580296</v>
      </c>
      <c r="N98" s="194">
        <f t="shared" si="42"/>
        <v>964.79091656082051</v>
      </c>
      <c r="O98" s="194">
        <f t="shared" si="42"/>
        <v>1121.2337641021504</v>
      </c>
      <c r="P98" s="194">
        <f t="shared" si="42"/>
        <v>1287.2861555684885</v>
      </c>
      <c r="Q98" s="194">
        <f t="shared" si="42"/>
        <v>1881.8196500826152</v>
      </c>
      <c r="R98" s="194">
        <f t="shared" si="42"/>
        <v>2486.5167973466228</v>
      </c>
      <c r="S98" s="194">
        <f t="shared" si="42"/>
        <v>3101.6715949389954</v>
      </c>
      <c r="T98" s="194">
        <f t="shared" si="42"/>
        <v>3727.5899643207772</v>
      </c>
      <c r="U98" s="194">
        <f t="shared" si="42"/>
        <v>4359.9647202837605</v>
      </c>
      <c r="V98" s="194">
        <f t="shared" si="42"/>
        <v>4994.3165916572461</v>
      </c>
      <c r="W98" s="194">
        <f t="shared" si="42"/>
        <v>5630.6128832850536</v>
      </c>
      <c r="X98" s="194">
        <f t="shared" si="42"/>
        <v>6268.8198328850967</v>
      </c>
      <c r="Y98" s="194">
        <f t="shared" si="42"/>
        <v>6908.9025886661539</v>
      </c>
      <c r="Z98" s="194">
        <f t="shared" si="42"/>
        <v>7550.8251865174852</v>
      </c>
      <c r="AA98" s="194">
        <f t="shared" si="42"/>
        <v>8194.5505267632634</v>
      </c>
      <c r="AB98" s="194">
        <f t="shared" si="42"/>
        <v>8840.0403504736387</v>
      </c>
      <c r="AC98" s="194">
        <f t="shared" si="42"/>
        <v>9487.2552153240977</v>
      </c>
      <c r="AD98" s="194">
        <f t="shared" si="42"/>
        <v>10136.154470994628</v>
      </c>
      <c r="AE98" s="194">
        <f t="shared" si="42"/>
        <v>10786.696234100029</v>
      </c>
      <c r="AF98" s="194">
        <f t="shared" si="42"/>
        <v>11431.229778818004</v>
      </c>
      <c r="AG98" s="194">
        <f t="shared" si="42"/>
        <v>12069.702563748135</v>
      </c>
      <c r="AH98" s="194">
        <f t="shared" si="42"/>
        <v>12702.060996661994</v>
      </c>
      <c r="AI98" s="194">
        <f t="shared" si="42"/>
        <v>13328.250413486585</v>
      </c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82"/>
    </row>
    <row r="99" spans="1:46" ht="13.5" customHeight="1" x14ac:dyDescent="0.2">
      <c r="A99" s="176"/>
      <c r="B99" s="176"/>
      <c r="C99" s="183"/>
      <c r="D99" s="178"/>
      <c r="E99" s="192"/>
      <c r="F99" s="196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82"/>
    </row>
    <row r="100" spans="1:46" ht="13.5" customHeight="1" x14ac:dyDescent="0.2">
      <c r="A100" s="176"/>
      <c r="B100" s="176"/>
      <c r="C100" s="239" t="s">
        <v>164</v>
      </c>
      <c r="D100" s="240" t="s">
        <v>89</v>
      </c>
      <c r="E100" s="241"/>
      <c r="F100" s="242">
        <f t="shared" ref="F100:AI100" si="43">SUM(F101:F103)</f>
        <v>2792</v>
      </c>
      <c r="G100" s="243">
        <f t="shared" si="43"/>
        <v>2639.3642272265315</v>
      </c>
      <c r="H100" s="243">
        <f t="shared" si="43"/>
        <v>2480.6230235421244</v>
      </c>
      <c r="I100" s="243">
        <f t="shared" si="43"/>
        <v>2315.5321717103411</v>
      </c>
      <c r="J100" s="243">
        <f t="shared" si="43"/>
        <v>2143.8376858052866</v>
      </c>
      <c r="K100" s="243">
        <f t="shared" si="43"/>
        <v>1965.2754204640298</v>
      </c>
      <c r="L100" s="243">
        <f t="shared" si="43"/>
        <v>1779.5706645091227</v>
      </c>
      <c r="M100" s="243">
        <f t="shared" si="43"/>
        <v>1586.4377183160193</v>
      </c>
      <c r="N100" s="243">
        <f t="shared" si="43"/>
        <v>1385.5794542751919</v>
      </c>
      <c r="O100" s="243">
        <f t="shared" si="43"/>
        <v>1176.6868596727313</v>
      </c>
      <c r="P100" s="243">
        <f t="shared" si="43"/>
        <v>959.43856128617222</v>
      </c>
      <c r="Q100" s="243">
        <f t="shared" si="43"/>
        <v>733.50033096415086</v>
      </c>
      <c r="R100" s="243">
        <f t="shared" si="43"/>
        <v>498.52457142924857</v>
      </c>
      <c r="S100" s="243">
        <f t="shared" si="43"/>
        <v>254.1497815129502</v>
      </c>
      <c r="T100" s="243">
        <f t="shared" si="43"/>
        <v>0</v>
      </c>
      <c r="U100" s="243">
        <f t="shared" si="43"/>
        <v>0</v>
      </c>
      <c r="V100" s="243">
        <f t="shared" si="43"/>
        <v>0</v>
      </c>
      <c r="W100" s="243">
        <f t="shared" si="43"/>
        <v>0</v>
      </c>
      <c r="X100" s="243">
        <f t="shared" si="43"/>
        <v>0</v>
      </c>
      <c r="Y100" s="243">
        <f t="shared" si="43"/>
        <v>0</v>
      </c>
      <c r="Z100" s="243">
        <f t="shared" si="43"/>
        <v>0</v>
      </c>
      <c r="AA100" s="243">
        <f t="shared" si="43"/>
        <v>0</v>
      </c>
      <c r="AB100" s="243">
        <f t="shared" si="43"/>
        <v>0</v>
      </c>
      <c r="AC100" s="243">
        <f t="shared" si="43"/>
        <v>0</v>
      </c>
      <c r="AD100" s="243">
        <f t="shared" si="43"/>
        <v>0</v>
      </c>
      <c r="AE100" s="243">
        <f t="shared" si="43"/>
        <v>0</v>
      </c>
      <c r="AF100" s="243">
        <f t="shared" si="43"/>
        <v>0</v>
      </c>
      <c r="AG100" s="243">
        <f t="shared" si="43"/>
        <v>0</v>
      </c>
      <c r="AH100" s="243">
        <f t="shared" si="43"/>
        <v>0</v>
      </c>
      <c r="AI100" s="243">
        <f t="shared" si="43"/>
        <v>0</v>
      </c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82"/>
    </row>
    <row r="101" spans="1:46" ht="13.5" customHeight="1" x14ac:dyDescent="0.2">
      <c r="A101" s="176"/>
      <c r="B101" s="176"/>
      <c r="C101" s="195" t="s">
        <v>165</v>
      </c>
      <c r="D101" s="191" t="s">
        <v>89</v>
      </c>
      <c r="E101" s="192"/>
      <c r="F101" s="196">
        <f t="shared" ref="F101:AI101" si="44">G33</f>
        <v>2792</v>
      </c>
      <c r="G101" s="194">
        <f t="shared" si="44"/>
        <v>2639.3642272265315</v>
      </c>
      <c r="H101" s="194">
        <f t="shared" si="44"/>
        <v>2480.6230235421244</v>
      </c>
      <c r="I101" s="194">
        <f t="shared" si="44"/>
        <v>2315.5321717103411</v>
      </c>
      <c r="J101" s="194">
        <f t="shared" si="44"/>
        <v>2143.8376858052866</v>
      </c>
      <c r="K101" s="194">
        <f t="shared" si="44"/>
        <v>1965.2754204640298</v>
      </c>
      <c r="L101" s="194">
        <f t="shared" si="44"/>
        <v>1779.5706645091227</v>
      </c>
      <c r="M101" s="194">
        <f t="shared" si="44"/>
        <v>1586.4377183160193</v>
      </c>
      <c r="N101" s="194">
        <f t="shared" si="44"/>
        <v>1385.5794542751919</v>
      </c>
      <c r="O101" s="194">
        <f t="shared" si="44"/>
        <v>1176.6868596727313</v>
      </c>
      <c r="P101" s="194">
        <f t="shared" si="44"/>
        <v>959.43856128617222</v>
      </c>
      <c r="Q101" s="194">
        <f t="shared" si="44"/>
        <v>733.50033096415086</v>
      </c>
      <c r="R101" s="194">
        <f t="shared" si="44"/>
        <v>498.52457142924857</v>
      </c>
      <c r="S101" s="194">
        <f t="shared" si="44"/>
        <v>254.1497815129502</v>
      </c>
      <c r="T101" s="194">
        <f t="shared" si="44"/>
        <v>0</v>
      </c>
      <c r="U101" s="194">
        <f t="shared" si="44"/>
        <v>0</v>
      </c>
      <c r="V101" s="194">
        <f t="shared" si="44"/>
        <v>0</v>
      </c>
      <c r="W101" s="194">
        <f t="shared" si="44"/>
        <v>0</v>
      </c>
      <c r="X101" s="194">
        <f t="shared" si="44"/>
        <v>0</v>
      </c>
      <c r="Y101" s="194">
        <f t="shared" si="44"/>
        <v>0</v>
      </c>
      <c r="Z101" s="194">
        <f t="shared" si="44"/>
        <v>0</v>
      </c>
      <c r="AA101" s="194">
        <f t="shared" si="44"/>
        <v>0</v>
      </c>
      <c r="AB101" s="194">
        <f t="shared" si="44"/>
        <v>0</v>
      </c>
      <c r="AC101" s="194">
        <f t="shared" si="44"/>
        <v>0</v>
      </c>
      <c r="AD101" s="194">
        <f t="shared" si="44"/>
        <v>0</v>
      </c>
      <c r="AE101" s="194">
        <f t="shared" si="44"/>
        <v>0</v>
      </c>
      <c r="AF101" s="194">
        <f t="shared" si="44"/>
        <v>0</v>
      </c>
      <c r="AG101" s="194">
        <f t="shared" si="44"/>
        <v>0</v>
      </c>
      <c r="AH101" s="194">
        <f t="shared" si="44"/>
        <v>0</v>
      </c>
      <c r="AI101" s="194">
        <f t="shared" si="44"/>
        <v>0</v>
      </c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82"/>
    </row>
    <row r="102" spans="1:46" ht="13.5" customHeight="1" x14ac:dyDescent="0.2">
      <c r="A102" s="176"/>
      <c r="B102" s="176"/>
      <c r="C102" s="195" t="s">
        <v>166</v>
      </c>
      <c r="D102" s="191" t="s">
        <v>89</v>
      </c>
      <c r="E102" s="192"/>
      <c r="F102" s="196">
        <f>F18-F58</f>
        <v>0</v>
      </c>
      <c r="G102" s="194">
        <f t="shared" ref="G102:AI102" si="45">G18-G58+F102</f>
        <v>0</v>
      </c>
      <c r="H102" s="194">
        <f t="shared" si="45"/>
        <v>0</v>
      </c>
      <c r="I102" s="194">
        <f t="shared" si="45"/>
        <v>0</v>
      </c>
      <c r="J102" s="194">
        <f t="shared" si="45"/>
        <v>0</v>
      </c>
      <c r="K102" s="194">
        <f t="shared" si="45"/>
        <v>0</v>
      </c>
      <c r="L102" s="194">
        <f t="shared" si="45"/>
        <v>0</v>
      </c>
      <c r="M102" s="194">
        <f t="shared" si="45"/>
        <v>0</v>
      </c>
      <c r="N102" s="194">
        <f t="shared" si="45"/>
        <v>0</v>
      </c>
      <c r="O102" s="194">
        <f t="shared" si="45"/>
        <v>0</v>
      </c>
      <c r="P102" s="194">
        <f t="shared" si="45"/>
        <v>0</v>
      </c>
      <c r="Q102" s="194">
        <f t="shared" si="45"/>
        <v>0</v>
      </c>
      <c r="R102" s="194">
        <f t="shared" si="45"/>
        <v>0</v>
      </c>
      <c r="S102" s="194">
        <f t="shared" si="45"/>
        <v>0</v>
      </c>
      <c r="T102" s="194">
        <f t="shared" si="45"/>
        <v>0</v>
      </c>
      <c r="U102" s="194">
        <f t="shared" si="45"/>
        <v>0</v>
      </c>
      <c r="V102" s="194">
        <f t="shared" si="45"/>
        <v>0</v>
      </c>
      <c r="W102" s="194">
        <f t="shared" si="45"/>
        <v>0</v>
      </c>
      <c r="X102" s="194">
        <f t="shared" si="45"/>
        <v>0</v>
      </c>
      <c r="Y102" s="194">
        <f t="shared" si="45"/>
        <v>0</v>
      </c>
      <c r="Z102" s="194">
        <f t="shared" si="45"/>
        <v>0</v>
      </c>
      <c r="AA102" s="194">
        <f t="shared" si="45"/>
        <v>0</v>
      </c>
      <c r="AB102" s="194">
        <f t="shared" si="45"/>
        <v>0</v>
      </c>
      <c r="AC102" s="194">
        <f t="shared" si="45"/>
        <v>0</v>
      </c>
      <c r="AD102" s="194">
        <f t="shared" si="45"/>
        <v>0</v>
      </c>
      <c r="AE102" s="194">
        <f t="shared" si="45"/>
        <v>0</v>
      </c>
      <c r="AF102" s="194">
        <f t="shared" si="45"/>
        <v>0</v>
      </c>
      <c r="AG102" s="194">
        <f t="shared" si="45"/>
        <v>0</v>
      </c>
      <c r="AH102" s="194">
        <f t="shared" si="45"/>
        <v>0</v>
      </c>
      <c r="AI102" s="194">
        <f t="shared" si="45"/>
        <v>0</v>
      </c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82"/>
    </row>
    <row r="103" spans="1:46" ht="13.5" customHeight="1" x14ac:dyDescent="0.2">
      <c r="A103" s="176"/>
      <c r="B103" s="176"/>
      <c r="C103" s="195" t="s">
        <v>167</v>
      </c>
      <c r="D103" s="191" t="s">
        <v>89</v>
      </c>
      <c r="E103" s="192"/>
      <c r="F103" s="196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82"/>
    </row>
    <row r="104" spans="1:46" ht="13.5" customHeight="1" x14ac:dyDescent="0.2">
      <c r="A104" s="176"/>
      <c r="B104" s="176"/>
      <c r="C104" s="183"/>
      <c r="D104" s="178"/>
      <c r="E104" s="192"/>
      <c r="F104" s="196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82"/>
    </row>
    <row r="105" spans="1:46" ht="13.5" customHeight="1" x14ac:dyDescent="0.2">
      <c r="A105" s="176"/>
      <c r="B105" s="176"/>
      <c r="C105" s="239" t="s">
        <v>168</v>
      </c>
      <c r="D105" s="191" t="s">
        <v>89</v>
      </c>
      <c r="E105" s="241"/>
      <c r="F105" s="242">
        <f t="shared" ref="F105:AI105" si="46">SUM(F106:F108)</f>
        <v>0</v>
      </c>
      <c r="G105" s="243">
        <f t="shared" si="46"/>
        <v>0</v>
      </c>
      <c r="H105" s="243">
        <f t="shared" si="46"/>
        <v>0</v>
      </c>
      <c r="I105" s="243">
        <f t="shared" si="46"/>
        <v>0</v>
      </c>
      <c r="J105" s="243">
        <f t="shared" si="46"/>
        <v>0</v>
      </c>
      <c r="K105" s="243">
        <f t="shared" si="46"/>
        <v>0</v>
      </c>
      <c r="L105" s="243">
        <f t="shared" si="46"/>
        <v>0</v>
      </c>
      <c r="M105" s="243">
        <f t="shared" si="46"/>
        <v>0</v>
      </c>
      <c r="N105" s="243">
        <f t="shared" si="46"/>
        <v>0</v>
      </c>
      <c r="O105" s="243">
        <f t="shared" si="46"/>
        <v>0</v>
      </c>
      <c r="P105" s="243">
        <f t="shared" si="46"/>
        <v>0</v>
      </c>
      <c r="Q105" s="243">
        <f t="shared" si="46"/>
        <v>0</v>
      </c>
      <c r="R105" s="243">
        <f t="shared" si="46"/>
        <v>0</v>
      </c>
      <c r="S105" s="243">
        <f t="shared" si="46"/>
        <v>0</v>
      </c>
      <c r="T105" s="243">
        <f t="shared" si="46"/>
        <v>0</v>
      </c>
      <c r="U105" s="243">
        <f t="shared" si="46"/>
        <v>0</v>
      </c>
      <c r="V105" s="243">
        <f t="shared" si="46"/>
        <v>0</v>
      </c>
      <c r="W105" s="243">
        <f t="shared" si="46"/>
        <v>0</v>
      </c>
      <c r="X105" s="243">
        <f t="shared" si="46"/>
        <v>0</v>
      </c>
      <c r="Y105" s="243">
        <f t="shared" si="46"/>
        <v>0</v>
      </c>
      <c r="Z105" s="243">
        <f t="shared" si="46"/>
        <v>0</v>
      </c>
      <c r="AA105" s="243">
        <f t="shared" si="46"/>
        <v>0</v>
      </c>
      <c r="AB105" s="243">
        <f t="shared" si="46"/>
        <v>0</v>
      </c>
      <c r="AC105" s="243">
        <f t="shared" si="46"/>
        <v>0</v>
      </c>
      <c r="AD105" s="243">
        <f t="shared" si="46"/>
        <v>0</v>
      </c>
      <c r="AE105" s="243">
        <f t="shared" si="46"/>
        <v>0</v>
      </c>
      <c r="AF105" s="243">
        <f t="shared" si="46"/>
        <v>0</v>
      </c>
      <c r="AG105" s="243">
        <f t="shared" si="46"/>
        <v>0</v>
      </c>
      <c r="AH105" s="243">
        <f t="shared" si="46"/>
        <v>0</v>
      </c>
      <c r="AI105" s="243">
        <f t="shared" si="46"/>
        <v>0</v>
      </c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82"/>
    </row>
    <row r="106" spans="1:46" ht="13.5" customHeight="1" x14ac:dyDescent="0.2">
      <c r="A106" s="176"/>
      <c r="B106" s="176"/>
      <c r="C106" s="195" t="s">
        <v>169</v>
      </c>
      <c r="D106" s="191" t="s">
        <v>89</v>
      </c>
      <c r="E106" s="192"/>
      <c r="F106" s="196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82"/>
    </row>
    <row r="107" spans="1:46" ht="13.5" customHeight="1" x14ac:dyDescent="0.2">
      <c r="A107" s="176"/>
      <c r="B107" s="176"/>
      <c r="C107" s="195" t="s">
        <v>170</v>
      </c>
      <c r="D107" s="191" t="s">
        <v>89</v>
      </c>
      <c r="E107" s="192"/>
      <c r="F107" s="196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82"/>
    </row>
    <row r="108" spans="1:46" ht="13.5" customHeight="1" x14ac:dyDescent="0.2">
      <c r="A108" s="176"/>
      <c r="B108" s="176"/>
      <c r="C108" s="195" t="s">
        <v>171</v>
      </c>
      <c r="D108" s="191" t="s">
        <v>89</v>
      </c>
      <c r="E108" s="192"/>
      <c r="F108" s="196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82"/>
    </row>
    <row r="109" spans="1:46" ht="13.5" customHeight="1" x14ac:dyDescent="0.2">
      <c r="A109" s="176"/>
      <c r="B109" s="176"/>
      <c r="C109" s="183"/>
      <c r="D109" s="178"/>
      <c r="E109" s="192"/>
      <c r="F109" s="196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82"/>
    </row>
    <row r="110" spans="1:46" ht="13.5" customHeight="1" x14ac:dyDescent="0.2">
      <c r="A110" s="13"/>
      <c r="B110" s="13"/>
      <c r="C110" s="244" t="s">
        <v>172</v>
      </c>
      <c r="D110" s="245"/>
      <c r="E110" s="246"/>
      <c r="F110" s="247">
        <f t="shared" ref="F110:AI110" si="47">F81-F94</f>
        <v>0</v>
      </c>
      <c r="G110" s="248">
        <f t="shared" si="47"/>
        <v>0</v>
      </c>
      <c r="H110" s="248">
        <f t="shared" si="47"/>
        <v>0</v>
      </c>
      <c r="I110" s="248">
        <f t="shared" si="47"/>
        <v>0</v>
      </c>
      <c r="J110" s="248">
        <f t="shared" si="47"/>
        <v>0</v>
      </c>
      <c r="K110" s="248">
        <f t="shared" si="47"/>
        <v>0</v>
      </c>
      <c r="L110" s="248">
        <f t="shared" si="47"/>
        <v>0</v>
      </c>
      <c r="M110" s="248">
        <f t="shared" si="47"/>
        <v>0</v>
      </c>
      <c r="N110" s="248">
        <f t="shared" si="47"/>
        <v>0</v>
      </c>
      <c r="O110" s="248">
        <f t="shared" si="47"/>
        <v>0</v>
      </c>
      <c r="P110" s="248">
        <f t="shared" si="47"/>
        <v>0</v>
      </c>
      <c r="Q110" s="248">
        <f t="shared" si="47"/>
        <v>0</v>
      </c>
      <c r="R110" s="248">
        <f t="shared" si="47"/>
        <v>0</v>
      </c>
      <c r="S110" s="248">
        <f t="shared" si="47"/>
        <v>0</v>
      </c>
      <c r="T110" s="248">
        <f t="shared" si="47"/>
        <v>0</v>
      </c>
      <c r="U110" s="248">
        <f t="shared" si="47"/>
        <v>0</v>
      </c>
      <c r="V110" s="248">
        <f t="shared" si="47"/>
        <v>0</v>
      </c>
      <c r="W110" s="248">
        <f t="shared" si="47"/>
        <v>0</v>
      </c>
      <c r="X110" s="248">
        <f t="shared" si="47"/>
        <v>0</v>
      </c>
      <c r="Y110" s="248">
        <f t="shared" si="47"/>
        <v>0</v>
      </c>
      <c r="Z110" s="248">
        <f t="shared" si="47"/>
        <v>0</v>
      </c>
      <c r="AA110" s="248">
        <f t="shared" si="47"/>
        <v>0</v>
      </c>
      <c r="AB110" s="248">
        <f t="shared" si="47"/>
        <v>0</v>
      </c>
      <c r="AC110" s="248">
        <f t="shared" si="47"/>
        <v>0</v>
      </c>
      <c r="AD110" s="248">
        <f t="shared" si="47"/>
        <v>0</v>
      </c>
      <c r="AE110" s="248">
        <f t="shared" si="47"/>
        <v>0</v>
      </c>
      <c r="AF110" s="248">
        <f t="shared" si="47"/>
        <v>0</v>
      </c>
      <c r="AG110" s="248">
        <f t="shared" si="47"/>
        <v>0</v>
      </c>
      <c r="AH110" s="248">
        <f t="shared" si="47"/>
        <v>0</v>
      </c>
      <c r="AI110" s="248">
        <f t="shared" si="47"/>
        <v>0</v>
      </c>
      <c r="AJ110" s="13"/>
      <c r="AK110" s="13"/>
      <c r="AL110" s="13"/>
      <c r="AM110" s="13"/>
      <c r="AN110" s="13"/>
      <c r="AO110" s="13"/>
      <c r="AP110" s="13"/>
      <c r="AQ110" s="13"/>
      <c r="AR110" s="13"/>
      <c r="AS110" s="249"/>
      <c r="AT110" s="250"/>
    </row>
    <row r="111" spans="1:46" ht="13.5" customHeight="1" x14ac:dyDescent="0.2">
      <c r="A111" s="7"/>
      <c r="B111" s="7"/>
      <c r="C111" s="251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  <c r="AM111" s="174"/>
      <c r="AN111" s="174"/>
      <c r="AO111" s="174"/>
      <c r="AP111" s="174"/>
      <c r="AQ111" s="174"/>
      <c r="AR111" s="174"/>
      <c r="AS111" s="174"/>
      <c r="AT111" s="175"/>
    </row>
    <row r="112" spans="1:46" ht="13.5" customHeight="1" x14ac:dyDescent="0.2">
      <c r="A112" s="176"/>
      <c r="B112" s="176"/>
      <c r="C112" s="183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82"/>
    </row>
    <row r="113" spans="1:46" ht="13.5" customHeight="1" x14ac:dyDescent="0.2">
      <c r="A113" s="176"/>
      <c r="B113" s="176"/>
      <c r="C113" s="183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82"/>
    </row>
    <row r="114" spans="1:46" ht="15" customHeight="1" x14ac:dyDescent="0.2">
      <c r="A114" s="176"/>
      <c r="B114" s="176"/>
      <c r="C114" s="183"/>
      <c r="D114" s="178"/>
      <c r="E114" s="178"/>
      <c r="F114" s="194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82"/>
    </row>
    <row r="115" spans="1:46" ht="13.5" customHeight="1" x14ac:dyDescent="0.2">
      <c r="A115" s="176"/>
      <c r="B115" s="176"/>
      <c r="C115" s="183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82"/>
    </row>
    <row r="116" spans="1:46" ht="13.5" customHeight="1" x14ac:dyDescent="0.2">
      <c r="A116" s="176"/>
      <c r="B116" s="176"/>
      <c r="C116" s="183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82"/>
    </row>
    <row r="117" spans="1:46" ht="15" customHeight="1" x14ac:dyDescent="0.2">
      <c r="A117" s="13"/>
      <c r="B117" s="13"/>
      <c r="C117" s="249"/>
      <c r="D117" s="252"/>
      <c r="E117" s="252"/>
      <c r="F117" s="253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  <c r="AM117" s="252"/>
      <c r="AN117" s="252"/>
      <c r="AO117" s="252"/>
      <c r="AP117" s="252"/>
      <c r="AQ117" s="252"/>
      <c r="AR117" s="252"/>
      <c r="AS117" s="252"/>
      <c r="AT117" s="250"/>
    </row>
  </sheetData>
  <conditionalFormatting sqref="F74:AJ75">
    <cfRule type="cellIs" dxfId="3" priority="1" stopIfTrue="1" operator="equal">
      <formula>0</formula>
    </cfRule>
    <cfRule type="cellIs" dxfId="2" priority="2" stopIfTrue="1" operator="lessThan">
      <formula>0</formula>
    </cfRule>
    <cfRule type="cellIs" dxfId="1" priority="3" stopIfTrue="1" operator="greaterThan">
      <formula>0</formula>
    </cfRule>
  </conditionalFormatting>
  <pageMargins left="0.70866099999999999" right="0.70866099999999999" top="0.748031" bottom="0.748031" header="0.31496099999999999" footer="0.31496099999999999"/>
  <pageSetup orientation="landscape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38"/>
  <sheetViews>
    <sheetView showGridLines="0" topLeftCell="C1" workbookViewId="0">
      <selection activeCell="J27" sqref="J27"/>
    </sheetView>
  </sheetViews>
  <sheetFormatPr baseColWidth="10" defaultColWidth="8.83203125" defaultRowHeight="15" customHeight="1" x14ac:dyDescent="0.2"/>
  <cols>
    <col min="1" max="2" width="8.83203125" style="1" hidden="1" customWidth="1"/>
    <col min="3" max="3" width="19.83203125" style="1" customWidth="1"/>
    <col min="4" max="4" width="5.6640625" style="1" customWidth="1"/>
    <col min="5" max="5" width="10" style="1" customWidth="1"/>
    <col min="6" max="6" width="11.1640625" style="1" customWidth="1"/>
    <col min="7" max="14" width="7.1640625" style="1" customWidth="1"/>
    <col min="15" max="21" width="6.5" style="1" customWidth="1"/>
    <col min="22" max="36" width="7.5" style="1" customWidth="1"/>
    <col min="37" max="37" width="8.83203125" style="1" customWidth="1"/>
    <col min="38" max="16384" width="8.83203125" style="1"/>
  </cols>
  <sheetData>
    <row r="1" spans="1:36" ht="13.5" customHeight="1" x14ac:dyDescent="0.2">
      <c r="A1" s="2"/>
      <c r="B1" s="2"/>
      <c r="C1" s="3" t="s">
        <v>173</v>
      </c>
      <c r="D1" s="2"/>
      <c r="E1" s="254" t="s">
        <v>174</v>
      </c>
      <c r="F1" s="255">
        <f>Assumptions!F18</f>
        <v>46082</v>
      </c>
      <c r="G1" s="256">
        <v>1</v>
      </c>
      <c r="H1" s="256">
        <v>2</v>
      </c>
      <c r="I1" s="256">
        <v>3</v>
      </c>
      <c r="J1" s="256">
        <v>4</v>
      </c>
      <c r="K1" s="256">
        <v>5</v>
      </c>
      <c r="L1" s="256">
        <v>6</v>
      </c>
      <c r="M1" s="256">
        <v>7</v>
      </c>
      <c r="N1" s="256">
        <v>8</v>
      </c>
      <c r="O1" s="256">
        <v>9</v>
      </c>
      <c r="P1" s="256">
        <v>10</v>
      </c>
      <c r="Q1" s="256">
        <v>11</v>
      </c>
      <c r="R1" s="256">
        <v>12</v>
      </c>
      <c r="S1" s="256">
        <v>13</v>
      </c>
      <c r="T1" s="256">
        <v>14</v>
      </c>
      <c r="U1" s="256">
        <v>15</v>
      </c>
      <c r="V1" s="256">
        <v>16</v>
      </c>
      <c r="W1" s="256">
        <v>17</v>
      </c>
      <c r="X1" s="256">
        <v>18</v>
      </c>
      <c r="Y1" s="256">
        <v>19</v>
      </c>
      <c r="Z1" s="256">
        <v>20</v>
      </c>
      <c r="AA1" s="256">
        <v>21</v>
      </c>
      <c r="AB1" s="256">
        <v>22</v>
      </c>
      <c r="AC1" s="256">
        <v>23</v>
      </c>
      <c r="AD1" s="256">
        <v>24</v>
      </c>
      <c r="AE1" s="256">
        <v>25</v>
      </c>
      <c r="AF1" s="256">
        <v>26</v>
      </c>
      <c r="AG1" s="256">
        <v>27</v>
      </c>
      <c r="AH1" s="256">
        <v>28</v>
      </c>
      <c r="AI1" s="256">
        <v>29</v>
      </c>
      <c r="AJ1" s="256">
        <v>30</v>
      </c>
    </row>
    <row r="2" spans="1:36" ht="19.5" customHeight="1" x14ac:dyDescent="0.2">
      <c r="A2" s="2"/>
      <c r="B2" s="2"/>
      <c r="C2" s="166"/>
      <c r="D2" s="2"/>
      <c r="E2" s="257" t="s">
        <v>100</v>
      </c>
      <c r="F2" s="258">
        <f>Assumptions!F1</f>
        <v>2026</v>
      </c>
      <c r="G2" s="5">
        <f>Assumptions!G1</f>
        <v>2027</v>
      </c>
      <c r="H2" s="5">
        <f>Assumptions!H1</f>
        <v>2028</v>
      </c>
      <c r="I2" s="5">
        <f>Assumptions!I1</f>
        <v>2029</v>
      </c>
      <c r="J2" s="5">
        <f>Assumptions!J1</f>
        <v>2030</v>
      </c>
      <c r="K2" s="5">
        <f>Assumptions!K1</f>
        <v>2031</v>
      </c>
      <c r="L2" s="5">
        <f>Assumptions!L1</f>
        <v>2032</v>
      </c>
      <c r="M2" s="5">
        <f>Assumptions!M1</f>
        <v>2033</v>
      </c>
      <c r="N2" s="5">
        <f>Assumptions!N1</f>
        <v>2034</v>
      </c>
      <c r="O2" s="5">
        <f>Assumptions!O1</f>
        <v>2035</v>
      </c>
      <c r="P2" s="5">
        <f>Assumptions!P1</f>
        <v>2036</v>
      </c>
      <c r="Q2" s="5">
        <f>Assumptions!Q1</f>
        <v>2037</v>
      </c>
      <c r="R2" s="5">
        <f>Assumptions!R1</f>
        <v>2038</v>
      </c>
      <c r="S2" s="5">
        <f>Assumptions!S1</f>
        <v>2039</v>
      </c>
      <c r="T2" s="5">
        <f>Assumptions!T1</f>
        <v>2040</v>
      </c>
      <c r="U2" s="5">
        <f>Assumptions!U1</f>
        <v>2041</v>
      </c>
      <c r="V2" s="5">
        <f>Assumptions!V1</f>
        <v>2042</v>
      </c>
      <c r="W2" s="5">
        <f>Assumptions!W1</f>
        <v>2043</v>
      </c>
      <c r="X2" s="5">
        <f>Assumptions!X1</f>
        <v>2044</v>
      </c>
      <c r="Y2" s="5">
        <f>Assumptions!Y1</f>
        <v>2045</v>
      </c>
      <c r="Z2" s="5">
        <f>Assumptions!Z1</f>
        <v>2046</v>
      </c>
      <c r="AA2" s="5">
        <f>Assumptions!AA1</f>
        <v>2047</v>
      </c>
      <c r="AB2" s="5">
        <f>Assumptions!AB1</f>
        <v>2048</v>
      </c>
      <c r="AC2" s="5">
        <f>Assumptions!AC1</f>
        <v>2049</v>
      </c>
      <c r="AD2" s="5">
        <f>Assumptions!AD1</f>
        <v>2050</v>
      </c>
      <c r="AE2" s="5">
        <f>Assumptions!AE1</f>
        <v>2051</v>
      </c>
      <c r="AF2" s="5">
        <f>Assumptions!AF1</f>
        <v>2052</v>
      </c>
      <c r="AG2" s="5">
        <f>Assumptions!AG1</f>
        <v>2053</v>
      </c>
      <c r="AH2" s="5">
        <f>Assumptions!AH1</f>
        <v>2054</v>
      </c>
      <c r="AI2" s="5">
        <f>Assumptions!AI1</f>
        <v>2055</v>
      </c>
      <c r="AJ2" s="5">
        <f>Assumptions!AJ1</f>
        <v>2056</v>
      </c>
    </row>
    <row r="3" spans="1:36" ht="13.5" customHeight="1" x14ac:dyDescent="0.2">
      <c r="A3" s="2"/>
      <c r="B3" s="2"/>
      <c r="C3" s="2"/>
      <c r="D3" s="2"/>
      <c r="E3" s="78"/>
      <c r="F3" s="258">
        <v>0</v>
      </c>
      <c r="G3" s="5">
        <v>1</v>
      </c>
      <c r="H3" s="5">
        <v>2</v>
      </c>
      <c r="I3" s="5">
        <v>3</v>
      </c>
      <c r="J3" s="5">
        <v>4</v>
      </c>
      <c r="K3" s="5">
        <v>5</v>
      </c>
      <c r="L3" s="5">
        <v>6</v>
      </c>
      <c r="M3" s="5">
        <v>7</v>
      </c>
      <c r="N3" s="5">
        <v>8</v>
      </c>
      <c r="O3" s="5">
        <v>9</v>
      </c>
      <c r="P3" s="5">
        <v>10</v>
      </c>
      <c r="Q3" s="5">
        <v>11</v>
      </c>
      <c r="R3" s="5">
        <v>12</v>
      </c>
      <c r="S3" s="5">
        <v>13</v>
      </c>
      <c r="T3" s="5">
        <v>14</v>
      </c>
      <c r="U3" s="5">
        <v>15</v>
      </c>
      <c r="V3" s="5">
        <v>16</v>
      </c>
      <c r="W3" s="5">
        <v>17</v>
      </c>
      <c r="X3" s="5">
        <v>18</v>
      </c>
      <c r="Y3" s="5">
        <v>19</v>
      </c>
      <c r="Z3" s="5">
        <v>20</v>
      </c>
      <c r="AA3" s="5">
        <v>21</v>
      </c>
      <c r="AB3" s="5">
        <v>22</v>
      </c>
      <c r="AC3" s="5">
        <v>23</v>
      </c>
      <c r="AD3" s="5">
        <v>24</v>
      </c>
      <c r="AE3" s="5">
        <v>25</v>
      </c>
      <c r="AF3" s="5">
        <v>26</v>
      </c>
      <c r="AG3" s="5">
        <v>27</v>
      </c>
      <c r="AH3" s="5">
        <v>28</v>
      </c>
      <c r="AI3" s="5">
        <v>29</v>
      </c>
      <c r="AJ3" s="5">
        <v>30</v>
      </c>
    </row>
    <row r="4" spans="1:36" ht="13.5" customHeight="1" x14ac:dyDescent="0.2">
      <c r="A4" s="2"/>
      <c r="B4" s="2"/>
      <c r="C4" s="6" t="s">
        <v>175</v>
      </c>
      <c r="D4" s="2"/>
      <c r="E4" s="78"/>
      <c r="F4" s="25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3.5" customHeight="1" x14ac:dyDescent="0.2">
      <c r="A5" s="2"/>
      <c r="B5" s="2"/>
      <c r="C5" s="9" t="s">
        <v>175</v>
      </c>
      <c r="D5" s="9" t="s">
        <v>89</v>
      </c>
      <c r="E5" s="260">
        <f>SUM(F5:V5)</f>
        <v>5031.5432583239117</v>
      </c>
      <c r="F5" s="261">
        <f>'Rep.forms_Financing'!F57+'Rep.forms_Financing'!F60+'Rep.forms_Financing'!F61+'Rep.forms_Financing'!F63</f>
        <v>-4784</v>
      </c>
      <c r="G5" s="29">
        <f>'Rep.forms_Financing'!G56+'Rep.forms_Financing'!G63</f>
        <v>593.07722113769103</v>
      </c>
      <c r="H5" s="29">
        <f>'Rep.forms_Financing'!H56+'Rep.forms_Financing'!H63</f>
        <v>594.63671677858053</v>
      </c>
      <c r="I5" s="29">
        <f>'Rep.forms_Financing'!I56+'Rep.forms_Financing'!I63</f>
        <v>595.86680430299066</v>
      </c>
      <c r="J5" s="29">
        <f>'Rep.forms_Financing'!J56+'Rep.forms_Financing'!J63</f>
        <v>597.29025482626196</v>
      </c>
      <c r="K5" s="29">
        <f>'Rep.forms_Financing'!K56+'Rep.forms_Financing'!K63</f>
        <v>598.91546925714908</v>
      </c>
      <c r="L5" s="29">
        <f>'Rep.forms_Financing'!L56+'Rep.forms_Financing'!L63</f>
        <v>607.54015141398463</v>
      </c>
      <c r="M5" s="29">
        <f>'Rep.forms_Financing'!M56+'Rep.forms_Financing'!M63</f>
        <v>616.39665403581148</v>
      </c>
      <c r="N5" s="29">
        <f>'Rep.forms_Financing'!N56+'Rep.forms_Financing'!N63</f>
        <v>625.49431147501753</v>
      </c>
      <c r="O5" s="29">
        <f>'Rep.forms_Financing'!O56+'Rep.forms_Financing'!O63</f>
        <v>634.84284754133</v>
      </c>
      <c r="P5" s="29">
        <f>'Rep.forms_Financing'!P56+'Rep.forms_Financing'!P63</f>
        <v>644.45239146633799</v>
      </c>
      <c r="Q5" s="29">
        <f>'Rep.forms_Financing'!Q56+'Rep.forms_Financing'!Q63</f>
        <v>594.53349451412669</v>
      </c>
      <c r="R5" s="29">
        <f>'Rep.forms_Financing'!R56+'Rep.forms_Financing'!R63</f>
        <v>604.69714726400753</v>
      </c>
      <c r="S5" s="29">
        <f>'Rep.forms_Financing'!S56+'Rep.forms_Financing'!S63</f>
        <v>615.1547975923728</v>
      </c>
      <c r="T5" s="29">
        <f>'Rep.forms_Financing'!T56+'Rep.forms_Financing'!T63</f>
        <v>625.91836938178176</v>
      </c>
      <c r="U5" s="29">
        <f>'Rep.forms_Financing'!U56+'Rep.forms_Financing'!U63</f>
        <v>632.37475596298327</v>
      </c>
      <c r="V5" s="29">
        <f>'Rep.forms_Financing'!V56+'Rep.forms_Financing'!V63</f>
        <v>634.35187137348532</v>
      </c>
      <c r="W5" s="29">
        <f>'Rep.forms_Financing'!W56+'Rep.forms_Financing'!W63</f>
        <v>636.29629162780782</v>
      </c>
      <c r="X5" s="29">
        <f>'Rep.forms_Financing'!X56+'Rep.forms_Financing'!X63</f>
        <v>638.20694960004323</v>
      </c>
      <c r="Y5" s="29">
        <f>'Rep.forms_Financing'!Y56+'Rep.forms_Financing'!Y63</f>
        <v>640.08275578105747</v>
      </c>
      <c r="Z5" s="29">
        <f>'Rep.forms_Financing'!Z56+'Rep.forms_Financing'!Z63</f>
        <v>641.92259785133172</v>
      </c>
      <c r="AA5" s="29">
        <f>'Rep.forms_Financing'!AA56+'Rep.forms_Financing'!AA63</f>
        <v>643.72534024577874</v>
      </c>
      <c r="AB5" s="29">
        <f>'Rep.forms_Financing'!AB56+'Rep.forms_Financing'!AB63</f>
        <v>645.48982371037494</v>
      </c>
      <c r="AC5" s="29">
        <f>'Rep.forms_Financing'!AC56+'Rep.forms_Financing'!AC63</f>
        <v>647.21486485045841</v>
      </c>
      <c r="AD5" s="29">
        <f>'Rep.forms_Financing'!AD56+'Rep.forms_Financing'!AD63</f>
        <v>648.8992556705299</v>
      </c>
      <c r="AE5" s="29">
        <f>'Rep.forms_Financing'!AE56+'Rep.forms_Financing'!AE63</f>
        <v>650.54176310539981</v>
      </c>
      <c r="AF5" s="29">
        <f>'Rep.forms_Financing'!AF56+'Rep.forms_Financing'!AF63</f>
        <v>644.53354471797513</v>
      </c>
      <c r="AG5" s="29">
        <f>'Rep.forms_Financing'!AG56+'Rep.forms_Financing'!AG63</f>
        <v>638.47278493013107</v>
      </c>
      <c r="AH5" s="29">
        <f>'Rep.forms_Financing'!AH56+'Rep.forms_Financing'!AH63</f>
        <v>632.35843291385936</v>
      </c>
      <c r="AI5" s="29">
        <f>'Rep.forms_Financing'!AI56+'Rep.forms_Financing'!AI63</f>
        <v>626.1894168245916</v>
      </c>
      <c r="AJ5" s="29">
        <f>'Rep.forms_Financing'!AJ56+'Rep.forms_Financing'!AJ63</f>
        <v>619.96464338086753</v>
      </c>
    </row>
    <row r="6" spans="1:36" ht="13.5" customHeight="1" x14ac:dyDescent="0.2">
      <c r="A6" s="2"/>
      <c r="B6" s="2"/>
      <c r="C6" s="9" t="s">
        <v>176</v>
      </c>
      <c r="D6" s="9" t="s">
        <v>89</v>
      </c>
      <c r="E6" s="260">
        <f>V6</f>
        <v>5031.5432583239117</v>
      </c>
      <c r="F6" s="261">
        <f>F5</f>
        <v>-4784</v>
      </c>
      <c r="G6" s="29">
        <f t="shared" ref="G6:AJ6" si="0">F6+G5</f>
        <v>-4190.9227788623093</v>
      </c>
      <c r="H6" s="29">
        <f t="shared" si="0"/>
        <v>-3596.2860620837287</v>
      </c>
      <c r="I6" s="29">
        <f t="shared" si="0"/>
        <v>-3000.419257780738</v>
      </c>
      <c r="J6" s="29">
        <f t="shared" si="0"/>
        <v>-2403.1290029544762</v>
      </c>
      <c r="K6" s="29">
        <f t="shared" si="0"/>
        <v>-1804.213533697327</v>
      </c>
      <c r="L6" s="29">
        <f t="shared" si="0"/>
        <v>-1196.6733822833423</v>
      </c>
      <c r="M6" s="29">
        <f t="shared" si="0"/>
        <v>-580.27672824753085</v>
      </c>
      <c r="N6" s="29">
        <f t="shared" si="0"/>
        <v>45.217583227486671</v>
      </c>
      <c r="O6" s="29">
        <f t="shared" si="0"/>
        <v>680.06043076881667</v>
      </c>
      <c r="P6" s="29">
        <f t="shared" si="0"/>
        <v>1324.5128222351545</v>
      </c>
      <c r="Q6" s="29">
        <f t="shared" si="0"/>
        <v>1919.0463167492812</v>
      </c>
      <c r="R6" s="29">
        <f t="shared" si="0"/>
        <v>2523.7434640132888</v>
      </c>
      <c r="S6" s="29">
        <f t="shared" si="0"/>
        <v>3138.8982616056614</v>
      </c>
      <c r="T6" s="29">
        <f t="shared" si="0"/>
        <v>3764.8166309874432</v>
      </c>
      <c r="U6" s="29">
        <f t="shared" si="0"/>
        <v>4397.191386950426</v>
      </c>
      <c r="V6" s="29">
        <f t="shared" si="0"/>
        <v>5031.5432583239117</v>
      </c>
      <c r="W6" s="29">
        <f t="shared" si="0"/>
        <v>5667.8395499517192</v>
      </c>
      <c r="X6" s="29">
        <f t="shared" si="0"/>
        <v>6306.0464995517623</v>
      </c>
      <c r="Y6" s="29">
        <f t="shared" si="0"/>
        <v>6946.1292553328194</v>
      </c>
      <c r="Z6" s="29">
        <f t="shared" si="0"/>
        <v>7588.0518531841508</v>
      </c>
      <c r="AA6" s="29">
        <f t="shared" si="0"/>
        <v>8231.777193429929</v>
      </c>
      <c r="AB6" s="29">
        <f t="shared" si="0"/>
        <v>8877.2670171403042</v>
      </c>
      <c r="AC6" s="29">
        <f t="shared" si="0"/>
        <v>9524.4818819907632</v>
      </c>
      <c r="AD6" s="29">
        <f t="shared" si="0"/>
        <v>10173.381137661294</v>
      </c>
      <c r="AE6" s="29">
        <f t="shared" si="0"/>
        <v>10823.922900766695</v>
      </c>
      <c r="AF6" s="29">
        <f t="shared" si="0"/>
        <v>11468.45644548467</v>
      </c>
      <c r="AG6" s="29">
        <f t="shared" si="0"/>
        <v>12106.9292304148</v>
      </c>
      <c r="AH6" s="29">
        <f t="shared" si="0"/>
        <v>12739.28766332866</v>
      </c>
      <c r="AI6" s="29">
        <f t="shared" si="0"/>
        <v>13365.47708015325</v>
      </c>
      <c r="AJ6" s="29">
        <f t="shared" si="0"/>
        <v>13985.441723534117</v>
      </c>
    </row>
    <row r="7" spans="1:36" ht="13.5" customHeight="1" x14ac:dyDescent="0.2">
      <c r="A7" s="2"/>
      <c r="B7" s="2"/>
      <c r="C7" s="9" t="s">
        <v>177</v>
      </c>
      <c r="D7" s="9" t="s">
        <v>89</v>
      </c>
      <c r="E7" s="260">
        <f>SUM(F7:U7)</f>
        <v>735.17771473407424</v>
      </c>
      <c r="F7" s="261">
        <f t="shared" ref="F7:AJ7" si="1">F5/POWER(1+$E$10,F3)</f>
        <v>-4784</v>
      </c>
      <c r="G7" s="29">
        <f t="shared" si="1"/>
        <v>553.87608059882837</v>
      </c>
      <c r="H7" s="29">
        <f t="shared" si="1"/>
        <v>518.62620220454153</v>
      </c>
      <c r="I7" s="29">
        <f t="shared" si="1"/>
        <v>485.34805167436178</v>
      </c>
      <c r="J7" s="29">
        <f t="shared" si="1"/>
        <v>454.35037866807016</v>
      </c>
      <c r="K7" s="29">
        <f t="shared" si="1"/>
        <v>425.47334944934681</v>
      </c>
      <c r="L7" s="29">
        <f t="shared" si="1"/>
        <v>403.07251305607531</v>
      </c>
      <c r="M7" s="29">
        <f t="shared" si="1"/>
        <v>381.91774455878544</v>
      </c>
      <c r="N7" s="29">
        <f t="shared" si="1"/>
        <v>361.93809401010822</v>
      </c>
      <c r="O7" s="29">
        <f t="shared" si="1"/>
        <v>343.06667073224713</v>
      </c>
      <c r="P7" s="29">
        <f t="shared" si="1"/>
        <v>325.24041231247395</v>
      </c>
      <c r="Q7" s="29">
        <f t="shared" si="1"/>
        <v>280.21498506806978</v>
      </c>
      <c r="R7" s="29">
        <f t="shared" si="1"/>
        <v>266.16706503697804</v>
      </c>
      <c r="S7" s="29">
        <f t="shared" si="1"/>
        <v>252.87283512158047</v>
      </c>
      <c r="T7" s="29">
        <f t="shared" si="1"/>
        <v>240.29062444444469</v>
      </c>
      <c r="U7" s="29">
        <f t="shared" si="1"/>
        <v>226.72270779816228</v>
      </c>
      <c r="V7" s="29">
        <f t="shared" si="1"/>
        <v>212.39881367213877</v>
      </c>
      <c r="W7" s="29">
        <f t="shared" si="1"/>
        <v>198.96771838394184</v>
      </c>
      <c r="X7" s="29">
        <f t="shared" si="1"/>
        <v>186.37434193035668</v>
      </c>
      <c r="Y7" s="29">
        <f t="shared" si="1"/>
        <v>174.56697550105514</v>
      </c>
      <c r="Z7" s="29">
        <f t="shared" si="1"/>
        <v>163.49707643141204</v>
      </c>
      <c r="AA7" s="29">
        <f t="shared" si="1"/>
        <v>153.11907556484326</v>
      </c>
      <c r="AB7" s="29">
        <f t="shared" si="1"/>
        <v>143.39019627664462</v>
      </c>
      <c r="AC7" s="29">
        <f t="shared" si="1"/>
        <v>134.27028445625632</v>
      </c>
      <c r="AD7" s="29">
        <f t="shared" si="1"/>
        <v>125.72164878712567</v>
      </c>
      <c r="AE7" s="29">
        <f t="shared" si="1"/>
        <v>117.70891070306109</v>
      </c>
      <c r="AF7" s="29">
        <f t="shared" si="1"/>
        <v>108.91333327477382</v>
      </c>
      <c r="AG7" s="29">
        <f t="shared" si="1"/>
        <v>100.75794030279685</v>
      </c>
      <c r="AH7" s="29">
        <f t="shared" si="1"/>
        <v>93.196922563887</v>
      </c>
      <c r="AI7" s="29">
        <f t="shared" si="1"/>
        <v>86.187711054064877</v>
      </c>
      <c r="AJ7" s="29">
        <f t="shared" si="1"/>
        <v>79.690749666783717</v>
      </c>
    </row>
    <row r="8" spans="1:36" ht="13.5" customHeight="1" x14ac:dyDescent="0.2">
      <c r="A8" s="2"/>
      <c r="B8" s="2"/>
      <c r="C8" s="9" t="s">
        <v>178</v>
      </c>
      <c r="D8" s="9" t="s">
        <v>89</v>
      </c>
      <c r="E8" s="260">
        <f>V8</f>
        <v>947.57652840621301</v>
      </c>
      <c r="F8" s="261">
        <f>F7</f>
        <v>-4784</v>
      </c>
      <c r="G8" s="29">
        <f t="shared" ref="G8:AJ8" si="2">F8+G7</f>
        <v>-4230.1239194011714</v>
      </c>
      <c r="H8" s="29">
        <f t="shared" si="2"/>
        <v>-3711.4977171966298</v>
      </c>
      <c r="I8" s="29">
        <f t="shared" si="2"/>
        <v>-3226.1496655222682</v>
      </c>
      <c r="J8" s="29">
        <f t="shared" si="2"/>
        <v>-2771.7992868541978</v>
      </c>
      <c r="K8" s="29">
        <f t="shared" si="2"/>
        <v>-2346.3259374048512</v>
      </c>
      <c r="L8" s="29">
        <f t="shared" si="2"/>
        <v>-1943.2534243487758</v>
      </c>
      <c r="M8" s="29">
        <f t="shared" si="2"/>
        <v>-1561.3356797899903</v>
      </c>
      <c r="N8" s="29">
        <f t="shared" si="2"/>
        <v>-1199.3975857798821</v>
      </c>
      <c r="O8" s="29">
        <f t="shared" si="2"/>
        <v>-856.33091504763502</v>
      </c>
      <c r="P8" s="29">
        <f t="shared" si="2"/>
        <v>-531.09050273516107</v>
      </c>
      <c r="Q8" s="29">
        <f t="shared" si="2"/>
        <v>-250.87551766709129</v>
      </c>
      <c r="R8" s="29">
        <f t="shared" si="2"/>
        <v>15.291547369886757</v>
      </c>
      <c r="S8" s="29">
        <f t="shared" si="2"/>
        <v>268.16438249146722</v>
      </c>
      <c r="T8" s="29">
        <f t="shared" si="2"/>
        <v>508.45500693591191</v>
      </c>
      <c r="U8" s="29">
        <f t="shared" si="2"/>
        <v>735.17771473407424</v>
      </c>
      <c r="V8" s="29">
        <f t="shared" si="2"/>
        <v>947.57652840621301</v>
      </c>
      <c r="W8" s="29">
        <f t="shared" si="2"/>
        <v>1146.5442467901548</v>
      </c>
      <c r="X8" s="29">
        <f t="shared" si="2"/>
        <v>1332.9185887205115</v>
      </c>
      <c r="Y8" s="29">
        <f t="shared" si="2"/>
        <v>1507.4855642215666</v>
      </c>
      <c r="Z8" s="29">
        <f t="shared" si="2"/>
        <v>1670.9826406529787</v>
      </c>
      <c r="AA8" s="29">
        <f t="shared" si="2"/>
        <v>1824.1017162178221</v>
      </c>
      <c r="AB8" s="29">
        <f t="shared" si="2"/>
        <v>1967.4919124944668</v>
      </c>
      <c r="AC8" s="29">
        <f t="shared" si="2"/>
        <v>2101.7621969507231</v>
      </c>
      <c r="AD8" s="29">
        <f t="shared" si="2"/>
        <v>2227.4838457378487</v>
      </c>
      <c r="AE8" s="29">
        <f t="shared" si="2"/>
        <v>2345.1927564409098</v>
      </c>
      <c r="AF8" s="29">
        <f t="shared" si="2"/>
        <v>2454.1060897156835</v>
      </c>
      <c r="AG8" s="29">
        <f t="shared" si="2"/>
        <v>2554.8640300184802</v>
      </c>
      <c r="AH8" s="29">
        <f t="shared" si="2"/>
        <v>2648.060952582367</v>
      </c>
      <c r="AI8" s="29">
        <f t="shared" si="2"/>
        <v>2734.248663636432</v>
      </c>
      <c r="AJ8" s="29">
        <f t="shared" si="2"/>
        <v>2813.9394133032156</v>
      </c>
    </row>
    <row r="9" spans="1:36" ht="13.5" customHeight="1" x14ac:dyDescent="0.2">
      <c r="A9" s="2"/>
      <c r="B9" s="2"/>
      <c r="C9" s="2"/>
      <c r="D9" s="2"/>
      <c r="E9" s="393" t="s">
        <v>210</v>
      </c>
      <c r="F9" s="394" t="s">
        <v>211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13.5" customHeight="1" x14ac:dyDescent="0.2">
      <c r="A10" s="2"/>
      <c r="B10" s="2"/>
      <c r="C10" s="9" t="s">
        <v>179</v>
      </c>
      <c r="D10" s="9" t="s">
        <v>4</v>
      </c>
      <c r="E10" s="262">
        <f>E22*Assumptions!F50+(Assumptions!F52*Assumptions!F51)*(1-Assumptions!F60)</f>
        <v>7.077601274364477E-2</v>
      </c>
      <c r="F10" s="263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13.5" customHeight="1" x14ac:dyDescent="0.2">
      <c r="A11" s="2"/>
      <c r="B11" s="2"/>
      <c r="C11" s="389" t="s">
        <v>207</v>
      </c>
      <c r="D11" s="9" t="s">
        <v>89</v>
      </c>
      <c r="E11" s="264">
        <f>NPV(E10,F5:AJ5)</f>
        <v>2627.9440142603394</v>
      </c>
      <c r="F11" s="261"/>
      <c r="G11" s="29"/>
      <c r="H11" s="34"/>
      <c r="I11" s="2"/>
      <c r="J11" s="34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13.5" customHeight="1" x14ac:dyDescent="0.2">
      <c r="A12" s="2"/>
      <c r="B12" s="2"/>
      <c r="C12" s="389" t="s">
        <v>208</v>
      </c>
      <c r="D12" s="9" t="s">
        <v>4</v>
      </c>
      <c r="E12" s="265">
        <f>IRR(F5:AJ5)</f>
        <v>0.12401300937658477</v>
      </c>
      <c r="F12" s="395">
        <f>IRR(F5:U5)</f>
        <v>9.4106160708311126E-2</v>
      </c>
      <c r="G12" s="2"/>
      <c r="H12" s="34"/>
      <c r="I12" s="2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3.5" customHeight="1" x14ac:dyDescent="0.2">
      <c r="A13" s="2"/>
      <c r="B13" s="2"/>
      <c r="C13" s="9" t="s">
        <v>180</v>
      </c>
      <c r="D13" s="9" t="s">
        <v>37</v>
      </c>
      <c r="E13" s="266">
        <f ca="1">MATCH(0,F6:AJ6,1)-OFFSET(F6,0,MATCH(0,F6:AJ6,1)-1)/OFFSET(F5,0,MATCH(0,F6:AJ6,1))-((MONTH($F$1)-1)/12)</f>
        <v>8.7610423749697706</v>
      </c>
      <c r="F13" s="259"/>
      <c r="G13" s="2"/>
      <c r="H13" s="3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13.5" customHeight="1" x14ac:dyDescent="0.2">
      <c r="A14" s="2"/>
      <c r="B14" s="2"/>
      <c r="C14" s="9" t="s">
        <v>181</v>
      </c>
      <c r="D14" s="9" t="s">
        <v>37</v>
      </c>
      <c r="E14" s="266">
        <f ca="1">IF(E11&lt;0,0,MATCH(0,F8:AJ8,1)-OFFSET(F8,0,MATCH(0,F8:AJ8,1)-1)/OFFSET(F7,0,MATCH(0,F8:AJ8,1))-((MONTH($F$1)-1)/12))</f>
        <v>12.775882396014088</v>
      </c>
      <c r="F14" s="25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13.5" customHeight="1" x14ac:dyDescent="0.2">
      <c r="A15" s="2"/>
      <c r="B15" s="2"/>
      <c r="C15" s="65"/>
      <c r="D15" s="65"/>
      <c r="E15" s="267"/>
      <c r="F15" s="25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15.5" customHeight="1" x14ac:dyDescent="0.2">
      <c r="A16" s="2"/>
      <c r="B16" s="2"/>
      <c r="C16" s="268" t="s">
        <v>182</v>
      </c>
      <c r="D16" s="61"/>
      <c r="E16" s="269"/>
      <c r="F16" s="259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3.25" customHeight="1" x14ac:dyDescent="0.2">
      <c r="A17" s="2"/>
      <c r="B17" s="2"/>
      <c r="C17" s="9" t="s">
        <v>183</v>
      </c>
      <c r="D17" s="9" t="s">
        <v>89</v>
      </c>
      <c r="E17" s="260">
        <f>SUM(F17:AE17)</f>
        <v>13578.696234100029</v>
      </c>
      <c r="F17" s="261">
        <f>'Rep.forms_Financing'!F74-'Rep.forms_Financing'!F69-'Rep.forms_Financing'!F70+Assumptions!G76*0</f>
        <v>-2029.2266666666667</v>
      </c>
      <c r="G17" s="29">
        <f>G5</f>
        <v>593.07722113769103</v>
      </c>
      <c r="H17" s="29">
        <f t="shared" ref="H17:AJ17" si="3">H5</f>
        <v>594.63671677858053</v>
      </c>
      <c r="I17" s="29">
        <f t="shared" si="3"/>
        <v>595.86680430299066</v>
      </c>
      <c r="J17" s="29">
        <f t="shared" si="3"/>
        <v>597.29025482626196</v>
      </c>
      <c r="K17" s="29">
        <f t="shared" si="3"/>
        <v>598.91546925714908</v>
      </c>
      <c r="L17" s="29">
        <f t="shared" si="3"/>
        <v>607.54015141398463</v>
      </c>
      <c r="M17" s="29">
        <f t="shared" si="3"/>
        <v>616.39665403581148</v>
      </c>
      <c r="N17" s="29">
        <f t="shared" si="3"/>
        <v>625.49431147501753</v>
      </c>
      <c r="O17" s="29">
        <f t="shared" si="3"/>
        <v>634.84284754133</v>
      </c>
      <c r="P17" s="29">
        <f t="shared" si="3"/>
        <v>644.45239146633799</v>
      </c>
      <c r="Q17" s="29">
        <f t="shared" si="3"/>
        <v>594.53349451412669</v>
      </c>
      <c r="R17" s="29">
        <f t="shared" si="3"/>
        <v>604.69714726400753</v>
      </c>
      <c r="S17" s="29">
        <f t="shared" si="3"/>
        <v>615.1547975923728</v>
      </c>
      <c r="T17" s="29">
        <f t="shared" si="3"/>
        <v>625.91836938178176</v>
      </c>
      <c r="U17" s="29">
        <f t="shared" si="3"/>
        <v>632.37475596298327</v>
      </c>
      <c r="V17" s="29">
        <f t="shared" si="3"/>
        <v>634.35187137348532</v>
      </c>
      <c r="W17" s="29">
        <f t="shared" si="3"/>
        <v>636.29629162780782</v>
      </c>
      <c r="X17" s="29">
        <f t="shared" si="3"/>
        <v>638.20694960004323</v>
      </c>
      <c r="Y17" s="29">
        <f t="shared" si="3"/>
        <v>640.08275578105747</v>
      </c>
      <c r="Z17" s="29">
        <f t="shared" si="3"/>
        <v>641.92259785133172</v>
      </c>
      <c r="AA17" s="29">
        <f t="shared" si="3"/>
        <v>643.72534024577874</v>
      </c>
      <c r="AB17" s="29">
        <f t="shared" si="3"/>
        <v>645.48982371037494</v>
      </c>
      <c r="AC17" s="29">
        <f t="shared" si="3"/>
        <v>647.21486485045841</v>
      </c>
      <c r="AD17" s="29">
        <f t="shared" si="3"/>
        <v>648.8992556705299</v>
      </c>
      <c r="AE17" s="29">
        <f t="shared" si="3"/>
        <v>650.54176310539981</v>
      </c>
      <c r="AF17" s="29">
        <f t="shared" si="3"/>
        <v>644.53354471797513</v>
      </c>
      <c r="AG17" s="29">
        <f t="shared" si="3"/>
        <v>638.47278493013107</v>
      </c>
      <c r="AH17" s="29">
        <f t="shared" si="3"/>
        <v>632.35843291385936</v>
      </c>
      <c r="AI17" s="29">
        <f t="shared" si="3"/>
        <v>626.1894168245916</v>
      </c>
      <c r="AJ17" s="29">
        <f t="shared" si="3"/>
        <v>619.96464338086753</v>
      </c>
    </row>
    <row r="18" spans="1:36" ht="13.25" customHeight="1" x14ac:dyDescent="0.2">
      <c r="A18" s="2"/>
      <c r="B18" s="2"/>
      <c r="C18" s="9" t="s">
        <v>184</v>
      </c>
      <c r="D18" s="9" t="s">
        <v>89</v>
      </c>
      <c r="E18" s="260">
        <f>AE18</f>
        <v>13578.696234100029</v>
      </c>
      <c r="F18" s="261">
        <f>F17</f>
        <v>-2029.2266666666667</v>
      </c>
      <c r="G18" s="29">
        <f t="shared" ref="G18:AJ18" si="4">F18+G17</f>
        <v>-1436.1494455289758</v>
      </c>
      <c r="H18" s="29">
        <f t="shared" si="4"/>
        <v>-841.51272875039524</v>
      </c>
      <c r="I18" s="29">
        <f t="shared" si="4"/>
        <v>-245.64592444740458</v>
      </c>
      <c r="J18" s="29">
        <f t="shared" si="4"/>
        <v>351.64433037885738</v>
      </c>
      <c r="K18" s="29">
        <f t="shared" si="4"/>
        <v>950.55979963600646</v>
      </c>
      <c r="L18" s="29">
        <f t="shared" si="4"/>
        <v>1558.099951049991</v>
      </c>
      <c r="M18" s="29">
        <f t="shared" si="4"/>
        <v>2174.4966050858025</v>
      </c>
      <c r="N18" s="29">
        <f t="shared" si="4"/>
        <v>2799.9909165608201</v>
      </c>
      <c r="O18" s="29">
        <f t="shared" si="4"/>
        <v>3434.8337641021499</v>
      </c>
      <c r="P18" s="29">
        <f t="shared" si="4"/>
        <v>4079.2861555684876</v>
      </c>
      <c r="Q18" s="29">
        <f t="shared" si="4"/>
        <v>4673.8196500826143</v>
      </c>
      <c r="R18" s="29">
        <f t="shared" si="4"/>
        <v>5278.5167973466214</v>
      </c>
      <c r="S18" s="29">
        <f t="shared" si="4"/>
        <v>5893.6715949389945</v>
      </c>
      <c r="T18" s="29">
        <f t="shared" si="4"/>
        <v>6519.5899643207758</v>
      </c>
      <c r="U18" s="29">
        <f t="shared" si="4"/>
        <v>7151.9647202837587</v>
      </c>
      <c r="V18" s="29">
        <f t="shared" si="4"/>
        <v>7786.3165916572443</v>
      </c>
      <c r="W18" s="29">
        <f t="shared" si="4"/>
        <v>8422.6128832850518</v>
      </c>
      <c r="X18" s="29">
        <f t="shared" si="4"/>
        <v>9060.8198328850958</v>
      </c>
      <c r="Y18" s="29">
        <f t="shared" si="4"/>
        <v>9700.902588666153</v>
      </c>
      <c r="Z18" s="29">
        <f t="shared" si="4"/>
        <v>10342.825186517484</v>
      </c>
      <c r="AA18" s="29">
        <f t="shared" si="4"/>
        <v>10986.550526763263</v>
      </c>
      <c r="AB18" s="29">
        <f t="shared" si="4"/>
        <v>11632.040350473639</v>
      </c>
      <c r="AC18" s="29">
        <f t="shared" si="4"/>
        <v>12279.255215324098</v>
      </c>
      <c r="AD18" s="29">
        <f t="shared" si="4"/>
        <v>12928.154470994628</v>
      </c>
      <c r="AE18" s="29">
        <f t="shared" si="4"/>
        <v>13578.696234100029</v>
      </c>
      <c r="AF18" s="29">
        <f t="shared" si="4"/>
        <v>14223.229778818004</v>
      </c>
      <c r="AG18" s="29">
        <f t="shared" si="4"/>
        <v>14861.702563748135</v>
      </c>
      <c r="AH18" s="29">
        <f t="shared" si="4"/>
        <v>15494.060996661994</v>
      </c>
      <c r="AI18" s="29">
        <f t="shared" si="4"/>
        <v>16120.250413486585</v>
      </c>
      <c r="AJ18" s="29">
        <f t="shared" si="4"/>
        <v>16740.215056867451</v>
      </c>
    </row>
    <row r="19" spans="1:36" ht="13.25" customHeight="1" x14ac:dyDescent="0.2">
      <c r="A19" s="2"/>
      <c r="B19" s="2"/>
      <c r="C19" s="9" t="s">
        <v>185</v>
      </c>
      <c r="D19" s="9" t="s">
        <v>89</v>
      </c>
      <c r="E19" s="260">
        <f>SUM(F19:AE19)</f>
        <v>2766.0003940853817</v>
      </c>
      <c r="F19" s="261">
        <f t="shared" ref="F19:AJ19" si="5">F17/POWER(1+$E$22,F3)</f>
        <v>-2029.2266666666667</v>
      </c>
      <c r="G19" s="29">
        <f t="shared" si="5"/>
        <v>529.53323315865271</v>
      </c>
      <c r="H19" s="29">
        <f t="shared" si="5"/>
        <v>474.04074998292447</v>
      </c>
      <c r="I19" s="29">
        <f t="shared" si="5"/>
        <v>424.1262216305679</v>
      </c>
      <c r="J19" s="29">
        <f t="shared" si="5"/>
        <v>379.58875499711792</v>
      </c>
      <c r="K19" s="29">
        <f t="shared" si="5"/>
        <v>339.8407215618135</v>
      </c>
      <c r="L19" s="29">
        <f t="shared" si="5"/>
        <v>307.79874807110622</v>
      </c>
      <c r="M19" s="29">
        <f t="shared" si="5"/>
        <v>278.82654278938588</v>
      </c>
      <c r="N19" s="29">
        <f t="shared" si="5"/>
        <v>252.62666160126301</v>
      </c>
      <c r="O19" s="29">
        <f t="shared" si="5"/>
        <v>228.93069511125611</v>
      </c>
      <c r="P19" s="29">
        <f t="shared" si="5"/>
        <v>207.49642230903109</v>
      </c>
      <c r="Q19" s="29">
        <f t="shared" si="5"/>
        <v>170.91417275918764</v>
      </c>
      <c r="R19" s="29">
        <f t="shared" si="5"/>
        <v>155.21069647780072</v>
      </c>
      <c r="S19" s="29">
        <f t="shared" si="5"/>
        <v>140.9776025427002</v>
      </c>
      <c r="T19" s="29">
        <f t="shared" si="5"/>
        <v>128.07529945575186</v>
      </c>
      <c r="U19" s="29">
        <f t="shared" si="5"/>
        <v>115.53250363229745</v>
      </c>
      <c r="V19" s="29">
        <f t="shared" si="5"/>
        <v>103.47653145168213</v>
      </c>
      <c r="W19" s="29">
        <f t="shared" si="5"/>
        <v>92.672954031150425</v>
      </c>
      <c r="X19" s="29">
        <f t="shared" si="5"/>
        <v>82.992170135947973</v>
      </c>
      <c r="Y19" s="29">
        <f t="shared" si="5"/>
        <v>74.317945716845003</v>
      </c>
      <c r="Z19" s="29">
        <f t="shared" si="5"/>
        <v>66.54603915143916</v>
      </c>
      <c r="AA19" s="29">
        <f t="shared" si="5"/>
        <v>59.582967521201148</v>
      </c>
      <c r="AB19" s="29">
        <f t="shared" si="5"/>
        <v>53.344899487052238</v>
      </c>
      <c r="AC19" s="29">
        <f t="shared" si="5"/>
        <v>47.756661801303622</v>
      </c>
      <c r="AD19" s="29">
        <f t="shared" si="5"/>
        <v>42.75084781837721</v>
      </c>
      <c r="AE19" s="29">
        <f t="shared" si="5"/>
        <v>38.267017556192499</v>
      </c>
      <c r="AF19" s="29">
        <f t="shared" si="5"/>
        <v>33.851423467996547</v>
      </c>
      <c r="AG19" s="29">
        <f t="shared" si="5"/>
        <v>29.940274516275668</v>
      </c>
      <c r="AH19" s="29">
        <f t="shared" si="5"/>
        <v>26.476384519487588</v>
      </c>
      <c r="AI19" s="29">
        <f t="shared" si="5"/>
        <v>23.409011011882225</v>
      </c>
      <c r="AJ19" s="29">
        <f t="shared" si="5"/>
        <v>20.693132675006211</v>
      </c>
    </row>
    <row r="20" spans="1:36" ht="13.5" customHeight="1" x14ac:dyDescent="0.2">
      <c r="A20" s="2"/>
      <c r="B20" s="2"/>
      <c r="C20" s="9" t="s">
        <v>186</v>
      </c>
      <c r="D20" s="9" t="s">
        <v>89</v>
      </c>
      <c r="E20" s="260">
        <f>AE20</f>
        <v>2766.0003940853817</v>
      </c>
      <c r="F20" s="261">
        <f>F19</f>
        <v>-2029.2266666666667</v>
      </c>
      <c r="G20" s="29">
        <f t="shared" ref="G20:AJ20" si="6">F20+G19</f>
        <v>-1499.6934335080141</v>
      </c>
      <c r="H20" s="29">
        <f t="shared" si="6"/>
        <v>-1025.6526835250897</v>
      </c>
      <c r="I20" s="29">
        <f t="shared" si="6"/>
        <v>-601.52646189452184</v>
      </c>
      <c r="J20" s="29">
        <f t="shared" si="6"/>
        <v>-221.93770689740393</v>
      </c>
      <c r="K20" s="29">
        <f t="shared" si="6"/>
        <v>117.90301466440957</v>
      </c>
      <c r="L20" s="29">
        <f t="shared" si="6"/>
        <v>425.70176273551579</v>
      </c>
      <c r="M20" s="29">
        <f t="shared" si="6"/>
        <v>704.52830552490173</v>
      </c>
      <c r="N20" s="29">
        <f t="shared" si="6"/>
        <v>957.15496712616471</v>
      </c>
      <c r="O20" s="29">
        <f t="shared" si="6"/>
        <v>1186.0856622374208</v>
      </c>
      <c r="P20" s="29">
        <f t="shared" si="6"/>
        <v>1393.5820845464518</v>
      </c>
      <c r="Q20" s="29">
        <f t="shared" si="6"/>
        <v>1564.4962573056396</v>
      </c>
      <c r="R20" s="29">
        <f t="shared" si="6"/>
        <v>1719.7069537834402</v>
      </c>
      <c r="S20" s="29">
        <f t="shared" si="6"/>
        <v>1860.6845563261404</v>
      </c>
      <c r="T20" s="29">
        <f t="shared" si="6"/>
        <v>1988.7598557818924</v>
      </c>
      <c r="U20" s="29">
        <f t="shared" si="6"/>
        <v>2104.2923594141898</v>
      </c>
      <c r="V20" s="29">
        <f t="shared" si="6"/>
        <v>2207.768890865872</v>
      </c>
      <c r="W20" s="29">
        <f t="shared" si="6"/>
        <v>2300.4418448970223</v>
      </c>
      <c r="X20" s="29">
        <f t="shared" si="6"/>
        <v>2383.4340150329704</v>
      </c>
      <c r="Y20" s="29">
        <f t="shared" si="6"/>
        <v>2457.7519607498152</v>
      </c>
      <c r="Z20" s="29">
        <f t="shared" si="6"/>
        <v>2524.2979999012546</v>
      </c>
      <c r="AA20" s="29">
        <f t="shared" si="6"/>
        <v>2583.8809674224558</v>
      </c>
      <c r="AB20" s="29">
        <f t="shared" si="6"/>
        <v>2637.2258669095081</v>
      </c>
      <c r="AC20" s="29">
        <f t="shared" si="6"/>
        <v>2684.9825287108119</v>
      </c>
      <c r="AD20" s="29">
        <f t="shared" si="6"/>
        <v>2727.7333765291892</v>
      </c>
      <c r="AE20" s="29">
        <f t="shared" si="6"/>
        <v>2766.0003940853817</v>
      </c>
      <c r="AF20" s="29">
        <f t="shared" si="6"/>
        <v>2799.8518175533782</v>
      </c>
      <c r="AG20" s="29">
        <f t="shared" si="6"/>
        <v>2829.7920920696538</v>
      </c>
      <c r="AH20" s="29">
        <f t="shared" si="6"/>
        <v>2856.2684765891413</v>
      </c>
      <c r="AI20" s="29">
        <f t="shared" si="6"/>
        <v>2879.6774876010236</v>
      </c>
      <c r="AJ20" s="29">
        <f t="shared" si="6"/>
        <v>2900.37062027603</v>
      </c>
    </row>
    <row r="21" spans="1:36" ht="13.5" customHeight="1" x14ac:dyDescent="0.2">
      <c r="A21" s="2"/>
      <c r="B21" s="2"/>
      <c r="C21" s="2"/>
      <c r="D21" s="2"/>
      <c r="E21" s="270"/>
      <c r="F21" s="25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3.5" customHeight="1" x14ac:dyDescent="0.2">
      <c r="A22" s="2"/>
      <c r="B22" s="2"/>
      <c r="C22" s="9" t="s">
        <v>187</v>
      </c>
      <c r="D22" s="271" t="s">
        <v>4</v>
      </c>
      <c r="E22" s="272">
        <v>0.12</v>
      </c>
      <c r="F22" s="273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spans="1:36" ht="13.5" customHeight="1" x14ac:dyDescent="0.2">
      <c r="A23" s="2"/>
      <c r="B23" s="2"/>
      <c r="C23" s="389" t="s">
        <v>207</v>
      </c>
      <c r="D23" s="9" t="s">
        <v>89</v>
      </c>
      <c r="E23" s="274">
        <f>NPV(E22,F17:AJ17)</f>
        <v>2589.6166252464536</v>
      </c>
      <c r="F23" s="261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"/>
      <c r="AG23" s="2"/>
      <c r="AH23" s="2"/>
      <c r="AI23" s="2"/>
      <c r="AJ23" s="2"/>
    </row>
    <row r="24" spans="1:36" ht="13.5" customHeight="1" x14ac:dyDescent="0.2">
      <c r="A24" s="2"/>
      <c r="B24" s="2"/>
      <c r="C24" s="389" t="s">
        <v>209</v>
      </c>
      <c r="D24" s="9" t="s">
        <v>4</v>
      </c>
      <c r="E24" s="265">
        <f>IRR(F17:AJ17)</f>
        <v>0.29655172037742195</v>
      </c>
      <c r="F24" s="395">
        <f>IRR(F17:U17)</f>
        <v>0.28987294958994303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3.5" customHeight="1" x14ac:dyDescent="0.2">
      <c r="A25" s="2"/>
      <c r="B25" s="2"/>
      <c r="C25" s="9" t="s">
        <v>180</v>
      </c>
      <c r="D25" s="9" t="s">
        <v>37</v>
      </c>
      <c r="E25" s="275">
        <f ca="1">MATCH(0,F18:AJ18,1)-OFFSET(F18,0,MATCH(0,F18:AJ18,1)-1)/OFFSET(F17,0,MATCH(0,F18:AJ18,1))-((MONTH($F$1)-1)/12)</f>
        <v>4.2446005898514514</v>
      </c>
      <c r="F25" s="25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13.5" customHeight="1" x14ac:dyDescent="0.2">
      <c r="A26" s="2"/>
      <c r="B26" s="2"/>
      <c r="C26" s="9" t="s">
        <v>181</v>
      </c>
      <c r="D26" s="9" t="s">
        <v>37</v>
      </c>
      <c r="E26" s="275">
        <f ca="1">IF(E23&lt;0,0,MATCH(0,F20:AJ20,1)-OFFSET(F20,0,MATCH(0,F20:AJ20,1)-1)/OFFSET(F19,0,MATCH(0,F20:AJ20,1))-((MONTH($F$1)-1)/12))</f>
        <v>5.4863972330256354</v>
      </c>
      <c r="F26" s="2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38" spans="7:7" ht="15" customHeight="1" x14ac:dyDescent="0.2">
      <c r="G38" s="277"/>
    </row>
  </sheetData>
  <conditionalFormatting sqref="E11 E23">
    <cfRule type="cellIs" dxfId="0" priority="1" stopIfTrue="1" operator="lessThan">
      <formula>0</formula>
    </cfRule>
  </conditionalFormatting>
  <pageMargins left="0.39370100000000002" right="0.39370100000000002" top="0.748031" bottom="0.748031" header="0.31496099999999999" footer="0.31496099999999999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Depr</vt:lpstr>
      <vt:lpstr>Rep.forms_Financing</vt:lpstr>
      <vt:lpstr>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 Novikov</cp:lastModifiedBy>
  <dcterms:created xsi:type="dcterms:W3CDTF">2025-03-15T15:37:21Z</dcterms:created>
  <dcterms:modified xsi:type="dcterms:W3CDTF">2026-02-03T15:43:29Z</dcterms:modified>
</cp:coreProperties>
</file>