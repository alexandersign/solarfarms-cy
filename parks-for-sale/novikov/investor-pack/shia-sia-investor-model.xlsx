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ocument_Sources" sheetId="2" r:id="rId2"/>
    <sheet name="Assumptions" sheetId="3" r:id="rId3"/>
    <sheet name="Revenue_Model" sheetId="4" r:id="rId4"/>
    <sheet name="CAPEX" sheetId="5" r:id="rId5"/>
    <sheet name="OPEX" sheetId="6" r:id="rId6"/>
    <sheet name="P_and_L" sheetId="7" r:id="rId7"/>
    <sheet name="DAM_Sensitivit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Sia Solar Park + BESS — Investor Financial Model</v>
      </c>
    </row>
    <row r="2">
      <c r="A2" t="str">
        <v>PARK-RTB-SIA-2026 | Lighthief Cyprus Ltd | 2026-06-15</v>
      </c>
    </row>
    <row r="3"/>
    <row r="4">
      <c r="A4" t="str">
        <v>ABOUT THIS MODEL</v>
      </c>
    </row>
    <row r="5">
      <c r="A5" t="str">
        <v>Indicative 100% equity economics. All cited figures trace to Novikov DD package (May 2026),</v>
      </c>
    </row>
    <row r="6">
      <c r="A6" t="str">
        <v>EAC connection OCR (ref 498000141), PVGIS yield run (Jun 2026), Lighthief EPC v4 pricing,</v>
      </c>
    </row>
    <row r="7">
      <c r="A7" t="str">
        <v>and TSOC DAM sample (Oct 2025 – Feb 2026). Not an offer to sell securities.</v>
      </c>
    </row>
    <row r="8"/>
    <row r="9">
      <c r="A9" t="str">
        <v>SHEETS</v>
      </c>
    </row>
    <row r="10">
      <c r="A10" t="str">
        <v>• Document_Sources — assumption registry with DD / market references</v>
      </c>
    </row>
    <row r="11">
      <c r="A11" t="str">
        <v>• Assumptions — editable inputs</v>
      </c>
    </row>
    <row r="12">
      <c r="A12" t="str">
        <v>• Revenue_Model — energy + DAM dispatch</v>
      </c>
    </row>
    <row r="13">
      <c r="A13" t="str">
        <v>• CAPEX — line items with unit rates</v>
      </c>
    </row>
    <row r="14">
      <c r="A14" t="str">
        <v>• OPEX — annual operating costs</v>
      </c>
    </row>
    <row r="15">
      <c r="A15" t="str">
        <v>• P_and_L — 10-year simplified cash flow</v>
      </c>
    </row>
    <row r="16">
      <c r="A16" t="str">
        <v>• DAM_Sensitivity — merchant price scenarios</v>
      </c>
    </row>
    <row r="17"/>
    <row r="18">
      <c r="A18" t="str">
        <v>KEY OUTPUTS (Y1)</v>
      </c>
    </row>
    <row r="19">
      <c r="A19" t="str">
        <v>Total CAPEX €3.94M | Gross revenue €680k | FCF €468k</v>
      </c>
    </row>
    <row r="20">
      <c r="A20" t="str">
        <v>Cash-on-cash 11.9% | Simple payback 8.4 years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28.83203125" customWidth="1"/>
    <col min="2" max="2" width="22.83203125" customWidth="1"/>
    <col min="3" max="3" width="55.83203125" customWidth="1"/>
  </cols>
  <sheetData>
    <row r="1">
      <c r="A1" t="str">
        <v>Parameter</v>
      </c>
      <c r="B1" t="str">
        <v>Value</v>
      </c>
      <c r="C1" t="str">
        <v>Source document / method</v>
      </c>
    </row>
    <row r="2">
      <c r="A2" t="str">
        <v>CERA licence</v>
      </c>
      <c r="B2" t="str">
        <v>E3511</v>
      </c>
      <c r="C2" t="str">
        <v>DD package — CERA E3511 Apr 2025</v>
      </c>
    </row>
    <row r="3">
      <c r="A3" t="str">
        <v>Town planning</v>
      </c>
      <c r="B3" t="str">
        <v>3.32 MWp</v>
      </c>
      <c r="C3" t="str">
        <v>Issued 2025-05-05</v>
      </c>
    </row>
    <row r="4">
      <c r="A4" t="str">
        <v>Land</v>
      </c>
      <c r="B4" t="str">
        <v>Plot 316, Sheet XXXIX/47, Sia, Larnaca District</v>
      </c>
      <c r="C4" t="str">
        <v>Lease executed 2025-05</v>
      </c>
    </row>
    <row r="5">
      <c r="A5" t="str">
        <v>EAC connection ref</v>
      </c>
      <c r="B5" t="str">
        <v>498000141</v>
      </c>
      <c r="C5" t="str">
        <v>EAC connection/498000141_Grid_Connection_Terms_SIA.pdf</v>
      </c>
    </row>
    <row r="6">
      <c r="A6" t="str">
        <v>EAC grid works (prelim.)</v>
      </c>
      <c r="B6">
        <v>83842.14</v>
      </c>
      <c r="C6" t="str">
        <v>OCR 498000141 — NOT BINDING</v>
      </c>
    </row>
    <row r="7">
      <c r="A7" t="str">
        <v>EAC deposit paid</v>
      </c>
      <c r="B7">
        <v>4988.61</v>
      </c>
      <c r="C7" t="str">
        <v>Paid 2022-02-22</v>
      </c>
    </row>
    <row r="8">
      <c r="A8" t="str">
        <v>EAC annual telecom</v>
      </c>
      <c r="B8">
        <v>180</v>
      </c>
      <c r="C8" t="str">
        <v>Connection terms OCR</v>
      </c>
    </row>
    <row r="9">
      <c r="A9" t="str">
        <v>EAC substation sublease</v>
      </c>
      <c r="B9">
        <v>10</v>
      </c>
      <c r="C9" t="str">
        <v>Connection terms OCR</v>
      </c>
    </row>
    <row r="10">
      <c r="A10" t="str">
        <v>AC export limit</v>
      </c>
      <c r="B10" t="str">
        <v>2.7 MW</v>
      </c>
      <c r="C10" t="str">
        <v>Huawei SUN2000-150K — 3 × 330 kW (per DD technical summary)</v>
      </c>
    </row>
    <row r="11">
      <c r="A11" t="str">
        <v>PV layout</v>
      </c>
      <c r="B11" t="str">
        <v>Bifacial east–west 10° (50% aspect −90° + 50% aspect +90°)</v>
      </c>
      <c r="C11" t="str">
        <v>PVGIS API v5.2 2026-06-15</v>
      </c>
    </row>
    <row r="12">
      <c r="A12" t="str">
        <v>PV yield (model)</v>
      </c>
      <c r="B12">
        <v>1480</v>
      </c>
      <c r="C12" t="str">
        <v>scripts/pvgis-park-yield.py</v>
      </c>
    </row>
    <row r="13">
      <c r="A13" t="str">
        <v>Curtailment base</v>
      </c>
      <c r="B13" t="str">
        <v>45%</v>
      </c>
      <c r="C13" t="str">
        <v>E-W flatter profile vs 50% south baseline</v>
      </c>
    </row>
    <row r="14">
      <c r="A14" t="str">
        <v>BESS size</v>
      </c>
      <c r="B14" t="str">
        <v>2.5 MW / 7.5 MWh</v>
      </c>
      <c r="C14" t="str">
        <v>3h — energy cap 280 cycle days/yr</v>
      </c>
    </row>
    <row r="15">
      <c r="A15" t="str">
        <v>Solar DAM price</v>
      </c>
      <c r="B15">
        <v>140.88</v>
      </c>
      <c r="C15" t="str">
        <v>134 TSOC day-ahead days (1 Oct 2025 – 11 Feb 2026), 6,432 half-hourly prints</v>
      </c>
    </row>
    <row r="16">
      <c r="A16" t="str">
        <v>BESS discharge price</v>
      </c>
      <c r="B16">
        <v>195</v>
      </c>
      <c r="C16" t="str">
        <v>Measured evening avg €182.99; blended conservative</v>
      </c>
    </row>
    <row r="17">
      <c r="A17" t="str">
        <v>BESS RTE</v>
      </c>
      <c r="B17">
        <v>0.8632</v>
      </c>
      <c r="C17" t="str">
        <v>Galascope 2.5 MW 2025 actual</v>
      </c>
    </row>
    <row r="18">
      <c r="A18" t="str">
        <v>BESS capture</v>
      </c>
      <c r="B18" t="str">
        <v>87.4%</v>
      </c>
      <c r="C18" t="str">
        <v>Curtailed energy × cap at MWh×280 days</v>
      </c>
    </row>
    <row r="19">
      <c r="A19" t="str">
        <v>PV EPC rate</v>
      </c>
      <c r="B19">
        <v>720000</v>
      </c>
      <c r="C19" t="str">
        <v>lib/deals/rtb-deal-types.ts LH_EPC + RTB_COSTS; Lighthief-EPC-Confirmed-Adders-v4-Feb2026.xlsx</v>
      </c>
    </row>
    <row r="20">
      <c r="A20" t="str">
        <v>BESS EPC rate</v>
      </c>
      <c r="B20">
        <v>127000</v>
      </c>
      <c r="C20" t="str">
        <v>lib/deals/rtb-deal-types.ts LH_EPC + RTB_COSTS; Lighthief-EPC-Confirmed-Adders-v4-Feb2026.xlsx</v>
      </c>
    </row>
    <row r="21">
      <c r="A21" t="str">
        <v>RTB acquisition</v>
      </c>
      <c r="B21">
        <v>600000</v>
      </c>
      <c r="C21" t="str">
        <v>RTB_COSTS.withConnectionTerms</v>
      </c>
    </row>
    <row r="22">
      <c r="A22" t="str">
        <v>PV O&amp;M</v>
      </c>
      <c r="B22">
        <v>8000</v>
      </c>
      <c r="C22" t="str">
        <v>Shia-Sia scoped O&amp;M rate (investor pack assumption — confirm at NDA)</v>
      </c>
    </row>
    <row r="23">
      <c r="A23" t="str">
        <v>Land lease</v>
      </c>
      <c r="B23">
        <v>18000</v>
      </c>
      <c r="C23" t="str">
        <v>INDICATIVE — executed lease May 2025 on file; annual rent not OCR’d from deed</v>
      </c>
    </row>
    <row r="24">
      <c r="A24" t="str">
        <v>Seller PPA (not in base)</v>
      </c>
      <c r="B24" t="str">
        <v>$0.16/kWh</v>
      </c>
      <c r="C24" t="str">
        <v>Draft v2 — January 2026, not executed</v>
      </c>
    </row>
    <row r="25">
      <c r="A25" t="str">
        <v>Seller FM total CAPEX</v>
      </c>
      <c r="B25">
        <v>4780000</v>
      </c>
      <c r="C25" t="str">
        <v>FM_3,2MW_250126_BESS.xlsx — comparison only</v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Assumption</v>
      </c>
      <c r="B1" t="str">
        <v>Value</v>
      </c>
    </row>
    <row r="2">
      <c r="A2" t="str">
        <v>Solar MWp</v>
      </c>
      <c r="B2" s="1">
        <v>3.2</v>
      </c>
    </row>
    <row r="3">
      <c r="A3" t="str">
        <v>Specific yield kWh/kWp</v>
      </c>
      <c r="B3" s="1">
        <v>1480</v>
      </c>
    </row>
    <row r="4">
      <c r="A4" t="str">
        <v>Curtailment %</v>
      </c>
      <c r="B4" s="1">
        <v>0.45</v>
      </c>
    </row>
    <row r="5">
      <c r="A5" t="str">
        <v>BESS MWh</v>
      </c>
      <c r="B5" s="1">
        <v>7.5</v>
      </c>
    </row>
    <row r="6">
      <c r="A6" t="str">
        <v>BESS power MW</v>
      </c>
      <c r="B6" s="1">
        <v>2.5</v>
      </c>
    </row>
    <row r="7">
      <c r="A7" t="str">
        <v>Solar sell €/MWh</v>
      </c>
      <c r="B7" s="1">
        <v>140.88</v>
      </c>
    </row>
    <row r="8">
      <c r="A8" t="str">
        <v>BESS discharge €/MWh</v>
      </c>
      <c r="B8" s="1">
        <v>195</v>
      </c>
    </row>
    <row r="9">
      <c r="A9" t="str">
        <v>Aggregator fee %</v>
      </c>
      <c r="B9" s="1">
        <v>0.1</v>
      </c>
    </row>
    <row r="10">
      <c r="A10" t="str">
        <v>CIT %</v>
      </c>
      <c r="B10" s="1">
        <v>0.15</v>
      </c>
    </row>
    <row r="11">
      <c r="A11" t="str">
        <v>RTB acquisition €</v>
      </c>
      <c r="B11" s="1">
        <v>600000</v>
      </c>
    </row>
    <row r="12">
      <c r="A12" t="str">
        <v>EAC grid works €</v>
      </c>
      <c r="B12" s="1">
        <v>83842</v>
      </c>
    </row>
    <row r="13">
      <c r="A13" t="str">
        <v>PV EPC €</v>
      </c>
      <c r="B13" s="1">
        <v>2304000</v>
      </c>
    </row>
    <row r="14">
      <c r="A14" t="str">
        <v>BESS EPC €</v>
      </c>
      <c r="B14" s="1">
        <v>952500</v>
      </c>
    </row>
    <row r="15">
      <c r="A15" t="str">
        <v>Total CAPEX €</v>
      </c>
      <c r="B15" s="1">
        <v>3940342</v>
      </c>
    </row>
    <row r="16">
      <c r="A16" t="str">
        <v>PV O&amp;M €/yr</v>
      </c>
      <c r="B16" s="1">
        <v>25600</v>
      </c>
    </row>
    <row r="17">
      <c r="A17" t="str">
        <v>BESS O&amp;M €/yr</v>
      </c>
      <c r="B17" s="1">
        <v>18525</v>
      </c>
    </row>
    <row r="18">
      <c r="A18" t="str">
        <v>Land lease €/yr</v>
      </c>
      <c r="B18" s="1">
        <v>18000</v>
      </c>
    </row>
    <row r="19">
      <c r="A19" t="str">
        <v>EAC fees €/yr</v>
      </c>
      <c r="B19" s="1">
        <v>190</v>
      </c>
    </row>
    <row r="20">
      <c r="A20" t="str">
        <v>Insurance+admin €/yr</v>
      </c>
      <c r="B20" s="1">
        <v>34702</v>
      </c>
    </row>
  </sheetData>
  <ignoredErrors>
    <ignoredError numberStoredAsText="1" sqref="A1:B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12.83203125" customWidth="1"/>
    <col min="3" max="3" width="12.83203125" customWidth="1"/>
    <col min="4" max="4" width="14.83203125" customWidth="1"/>
  </cols>
  <sheetData>
    <row r="1">
      <c r="A1" t="str">
        <v>Line</v>
      </c>
      <c r="B1" t="str">
        <v>MWh/yr</v>
      </c>
      <c r="C1" t="str">
        <v>€/MWh</v>
      </c>
      <c r="D1" t="str">
        <v>EUR Y1</v>
      </c>
    </row>
    <row r="2">
      <c r="A2" t="str">
        <v>Gross generation</v>
      </c>
      <c r="B2">
        <v>4736</v>
      </c>
      <c r="C2" t="str">
        <v/>
      </c>
      <c r="D2" t="str">
        <v/>
      </c>
    </row>
    <row r="3">
      <c r="A3" t="str">
        <v>Curtailed</v>
      </c>
      <c r="B3">
        <v>2131</v>
      </c>
      <c r="C3" t="str">
        <v>0 (stored)</v>
      </c>
      <c r="D3">
        <v>0</v>
      </c>
    </row>
    <row r="4">
      <c r="A4" t="str">
        <v>Uncurtailed solar export</v>
      </c>
      <c r="B4">
        <v>2605</v>
      </c>
      <c r="C4">
        <v>140.88</v>
      </c>
      <c r="D4">
        <v>366992</v>
      </c>
    </row>
    <row r="5">
      <c r="A5" t="str">
        <v>BESS discharged</v>
      </c>
      <c r="B5">
        <v>1607</v>
      </c>
      <c r="C5">
        <v>195</v>
      </c>
      <c r="D5">
        <v>313365</v>
      </c>
    </row>
    <row r="6">
      <c r="A6" t="str">
        <v>Gross revenue Y1</v>
      </c>
      <c r="B6" t="str">
        <v/>
      </c>
      <c r="C6" t="str">
        <v/>
      </c>
      <c r="D6">
        <v>680357</v>
      </c>
    </row>
    <row r="7">
      <c r="A7" t="str">
        <v>BESS capture %</v>
      </c>
      <c r="B7" t="str">
        <v/>
      </c>
      <c r="C7" t="str">
        <v/>
      </c>
      <c r="D7">
        <v>0.8737681839511966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38.83203125" customWidth="1"/>
    <col min="2" max="2" width="8.83203125" customWidth="1"/>
    <col min="3" max="3" width="10.83203125" customWidth="1"/>
    <col min="4" max="4" width="14.83203125" customWidth="1"/>
    <col min="5" max="5" width="14.83203125" customWidth="1"/>
    <col min="6" max="6" width="42.83203125" customWidth="1"/>
  </cols>
  <sheetData>
    <row r="1">
      <c r="A1" t="str">
        <v>Item</v>
      </c>
      <c r="B1" t="str">
        <v>Qty</v>
      </c>
      <c r="C1" t="str">
        <v>Unit</v>
      </c>
      <c r="D1" t="str">
        <v>Unit rate €</v>
      </c>
      <c r="E1" t="str">
        <v>Total €</v>
      </c>
      <c r="F1" t="str">
        <v>Source</v>
      </c>
    </row>
    <row r="2">
      <c r="A2" t="str">
        <v>RTB acquisition (incl. connection terms issued)</v>
      </c>
      <c r="B2">
        <v>1</v>
      </c>
      <c r="C2" t="str">
        <v>lump sum</v>
      </c>
      <c r="D2">
        <v>600000</v>
      </c>
      <c r="E2">
        <v>600000</v>
      </c>
      <c r="F2" t="str">
        <v>RTB_COSTS.withConnectionTerms — DD May 2026</v>
      </c>
    </row>
    <row r="3">
      <c r="A3" t="str">
        <v>EAC grid infrastructure works</v>
      </c>
      <c r="B3">
        <v>1</v>
      </c>
      <c r="C3" t="str">
        <v>lump sum</v>
      </c>
      <c r="D3">
        <v>83842</v>
      </c>
      <c r="E3">
        <v>83842</v>
      </c>
      <c r="F3" t="str">
        <v>OCR 498000141 — Preliminary estimate only — not binding; final cost after EAC Techno-Economic Study</v>
      </c>
    </row>
    <row r="4">
      <c r="A4" t="str">
        <v>PV EPC</v>
      </c>
      <c r="B4">
        <v>3.2</v>
      </c>
      <c r="C4" t="str">
        <v>MWp</v>
      </c>
      <c r="D4">
        <v>720000</v>
      </c>
      <c r="E4">
        <v>2304000</v>
      </c>
      <c r="F4" t="str">
        <v>€0.72/Wp turnkey (Lighthief)</v>
      </c>
    </row>
    <row r="5">
      <c r="A5" t="str">
        <v>BESS EPC</v>
      </c>
      <c r="B5">
        <v>7.5</v>
      </c>
      <c r="C5" t="str">
        <v>MWh</v>
      </c>
      <c r="D5">
        <v>127000</v>
      </c>
      <c r="E5">
        <v>952500</v>
      </c>
      <c r="F5" t="str">
        <v>€127k/MWh ex VAT (Tier-1 LFP OEM, Lighthief installed)</v>
      </c>
    </row>
    <row r="6">
      <c r="A6" t="str">
        <v>Total project CAPEX</v>
      </c>
      <c r="B6" t="str">
        <v/>
      </c>
      <c r="C6" t="str">
        <v/>
      </c>
      <c r="D6" t="str">
        <v/>
      </c>
      <c r="E6">
        <v>3940342</v>
      </c>
      <c r="F6" t="str">
        <v>Sum — ex VAT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Seller comparison (NOT in Lighthief stack)</v>
      </c>
      <c r="B8" t="str">
        <v/>
      </c>
      <c r="C8" t="str">
        <v/>
      </c>
      <c r="D8" t="str">
        <v/>
      </c>
      <c r="E8">
        <v>4780000</v>
      </c>
      <c r="F8" t="str">
        <v>FM_3,2MW_250126_BESS.xlsx</v>
      </c>
    </row>
    <row r="9">
      <c r="A9" t="str">
        <v xml:space="preserve">  of which seller dev/licence</v>
      </c>
      <c r="B9" t="str">
        <v/>
      </c>
      <c r="C9" t="str">
        <v/>
      </c>
      <c r="D9" t="str">
        <v/>
      </c>
      <c r="E9">
        <v>1600000</v>
      </c>
      <c r="F9" t="str">
        <v>Novikov embedded development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8.83203125" customWidth="1"/>
    <col min="2" max="2" width="12.83203125" customWidth="1"/>
    <col min="3" max="3" width="28.83203125" customWidth="1"/>
    <col min="4" max="4" width="40.83203125" customWidth="1"/>
  </cols>
  <sheetData>
    <row r="1">
      <c r="A1" t="str">
        <v>Cost line</v>
      </c>
      <c r="B1" t="str">
        <v>EUR/yr</v>
      </c>
      <c r="C1" t="str">
        <v>Basis</v>
      </c>
      <c r="D1" t="str">
        <v>Source</v>
      </c>
    </row>
    <row r="2">
      <c r="A2" t="str">
        <v>PV O&amp;M</v>
      </c>
      <c r="B2">
        <v>25600</v>
      </c>
      <c r="C2" t="str">
        <v>€8000/MWp × 3.2 MWp</v>
      </c>
      <c r="D2" t="str">
        <v>Shia-Sia scoped O&amp;M rate (investor pack assumption — confirm at NDA)</v>
      </c>
    </row>
    <row r="3">
      <c r="A3" t="str">
        <v>BESS O&amp;M</v>
      </c>
      <c r="B3">
        <v>18525</v>
      </c>
      <c r="C3" t="str">
        <v>€2470/MWh × 7.5 MWh</v>
      </c>
      <c r="D3" t="str">
        <v>BESS_DEFAULTS.omPerMWhPerYear — basic O&amp;M; LTSA Tier C quoted separately</v>
      </c>
    </row>
    <row r="4">
      <c r="A4" t="str">
        <v>Land lease</v>
      </c>
      <c r="B4">
        <v>18000</v>
      </c>
      <c r="C4" t="str">
        <v>Annual</v>
      </c>
      <c r="D4" t="str">
        <v>INDICATIVE — executed lease May 2025 on file; annual rent not OCR’d from deed</v>
      </c>
    </row>
    <row r="5">
      <c r="A5" t="str">
        <v>EAC telecom / metering</v>
      </c>
      <c r="B5">
        <v>180</v>
      </c>
      <c r="C5" t="str">
        <v>Per connection terms</v>
      </c>
      <c r="D5" t="str">
        <v>498000141 OCR</v>
      </c>
    </row>
    <row r="6">
      <c r="A6" t="str">
        <v>EAC substation sublease</v>
      </c>
      <c r="B6">
        <v>10</v>
      </c>
      <c r="C6" t="str">
        <v>Per connection terms</v>
      </c>
      <c r="D6" t="str">
        <v>498000141 OCR</v>
      </c>
    </row>
    <row r="7">
      <c r="A7" t="str">
        <v>Insurance + admin + SCADA</v>
      </c>
      <c r="B7">
        <v>34702</v>
      </c>
      <c r="C7" t="str">
        <v>0.5% CAPEX + €15000 admin</v>
      </c>
      <c r="D7" t="str">
        <v>Standard RTB model</v>
      </c>
    </row>
    <row r="8">
      <c r="A8" t="str">
        <v>Total OPEX Y1</v>
      </c>
      <c r="B8">
        <v>97017</v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4.83203125" customWidth="1"/>
  </cols>
  <sheetData>
    <row r="1">
      <c r="A1" t="str">
        <v>Year</v>
      </c>
      <c r="B1" t="str">
        <v>Gross rev</v>
      </c>
      <c r="C1" t="str">
        <v>EBITDA</v>
      </c>
      <c r="D1" t="str">
        <v>Tax</v>
      </c>
      <c r="E1" t="str">
        <v>FCF</v>
      </c>
      <c r="F1" t="str">
        <v>Cumulative FCF</v>
      </c>
    </row>
    <row r="2">
      <c r="A2" s="1">
        <v>1</v>
      </c>
      <c r="B2" s="1">
        <v>680357</v>
      </c>
      <c r="C2" s="1">
        <v>515304.30000000005</v>
      </c>
      <c r="D2" s="1">
        <v>46872</v>
      </c>
      <c r="E2" s="1">
        <v>468432.30000000005</v>
      </c>
      <c r="F2" s="2">
        <f>E2</f>
        <v>0</v>
      </c>
    </row>
    <row r="3">
      <c r="A3" s="1">
        <v>2</v>
      </c>
      <c r="B3" s="1">
        <v>676955</v>
      </c>
      <c r="C3" s="1">
        <v>512728</v>
      </c>
      <c r="D3" s="1">
        <v>46485</v>
      </c>
      <c r="E3" s="1">
        <v>466243</v>
      </c>
      <c r="F3" s="2">
        <f>F2+E3</f>
        <v>0</v>
      </c>
    </row>
    <row r="4">
      <c r="A4" s="1">
        <v>3</v>
      </c>
      <c r="B4" s="1">
        <v>676955</v>
      </c>
      <c r="C4" s="1">
        <v>512728</v>
      </c>
      <c r="D4" s="1">
        <v>46485</v>
      </c>
      <c r="E4" s="1">
        <v>466243</v>
      </c>
      <c r="F4" s="2">
        <f>F3+E4</f>
        <v>0</v>
      </c>
    </row>
    <row r="5">
      <c r="A5" s="1">
        <v>4</v>
      </c>
      <c r="B5" s="1">
        <v>676955</v>
      </c>
      <c r="C5" s="1">
        <v>512728</v>
      </c>
      <c r="D5" s="1">
        <v>46485</v>
      </c>
      <c r="E5" s="1">
        <v>466243</v>
      </c>
      <c r="F5" s="2">
        <f>F4+E5</f>
        <v>0</v>
      </c>
    </row>
    <row r="6">
      <c r="A6" s="1">
        <v>5</v>
      </c>
      <c r="B6" s="1">
        <v>676955</v>
      </c>
      <c r="C6" s="1">
        <v>512728</v>
      </c>
      <c r="D6" s="1">
        <v>46485</v>
      </c>
      <c r="E6" s="1">
        <v>466243</v>
      </c>
      <c r="F6" s="2">
        <f>F5+E6</f>
        <v>0</v>
      </c>
    </row>
    <row r="7">
      <c r="A7" s="1">
        <v>6</v>
      </c>
      <c r="B7" s="1">
        <v>676955</v>
      </c>
      <c r="C7" s="1">
        <v>512728</v>
      </c>
      <c r="D7" s="1">
        <v>46485</v>
      </c>
      <c r="E7" s="1">
        <v>466243</v>
      </c>
      <c r="F7" s="2">
        <f>F6+E7</f>
        <v>0</v>
      </c>
    </row>
    <row r="8">
      <c r="A8" s="1">
        <v>7</v>
      </c>
      <c r="B8" s="1">
        <v>676955</v>
      </c>
      <c r="C8" s="1">
        <v>512728</v>
      </c>
      <c r="D8" s="1">
        <v>46485</v>
      </c>
      <c r="E8" s="1">
        <v>466243</v>
      </c>
      <c r="F8" s="2">
        <f>F7+E8</f>
        <v>0</v>
      </c>
    </row>
    <row r="9">
      <c r="A9" s="1">
        <v>8</v>
      </c>
      <c r="B9" s="1">
        <v>676955</v>
      </c>
      <c r="C9" s="1">
        <v>512728</v>
      </c>
      <c r="D9" s="1">
        <v>46485</v>
      </c>
      <c r="E9" s="1">
        <v>466243</v>
      </c>
      <c r="F9" s="2">
        <f>F8+E9</f>
        <v>0</v>
      </c>
    </row>
    <row r="10">
      <c r="A10" s="1">
        <v>9</v>
      </c>
      <c r="B10" s="1">
        <v>676955</v>
      </c>
      <c r="C10" s="1">
        <v>512728</v>
      </c>
      <c r="D10" s="1">
        <v>46485</v>
      </c>
      <c r="E10" s="1">
        <v>466243</v>
      </c>
      <c r="F10" s="2">
        <f>F9+E10</f>
        <v>0</v>
      </c>
    </row>
    <row r="11">
      <c r="A11" s="1">
        <v>10</v>
      </c>
      <c r="B11" s="1">
        <v>676955</v>
      </c>
      <c r="C11" s="1">
        <v>512728</v>
      </c>
      <c r="D11" s="1">
        <v>46485</v>
      </c>
      <c r="E11" s="1">
        <v>466243</v>
      </c>
      <c r="F11" s="2">
        <f>F10+E11</f>
        <v>0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Scenario</v>
      </c>
      <c r="B1" t="str">
        <v>Solar €/MWh</v>
      </c>
      <c r="C1" t="str">
        <v>BESS €/MWh</v>
      </c>
      <c r="D1" t="str">
        <v>Gross Y1</v>
      </c>
      <c r="E1" t="str">
        <v>FCF Y1</v>
      </c>
      <c r="F1" t="str">
        <v>Cash yield</v>
      </c>
      <c r="G1" t="str">
        <v>Payback yr</v>
      </c>
    </row>
    <row r="2">
      <c r="A2" t="str">
        <v>Base (model)</v>
      </c>
      <c r="B2">
        <v>140.88</v>
      </c>
      <c r="C2">
        <v>195</v>
      </c>
      <c r="D2">
        <v>680357</v>
      </c>
      <c r="E2">
        <v>468432.30000000005</v>
      </c>
      <c r="F2">
        <v>0.11888112757725092</v>
      </c>
      <c r="G2">
        <v>8.411764090563352</v>
      </c>
    </row>
    <row r="3">
      <c r="A3" t="str">
        <v>TSOC measured BESS only</v>
      </c>
      <c r="B3">
        <v>140.88</v>
      </c>
      <c r="C3">
        <v>182.99</v>
      </c>
      <c r="D3">
        <v>661057</v>
      </c>
      <c r="E3">
        <v>453668</v>
      </c>
      <c r="F3">
        <v>0.11513424469246579</v>
      </c>
      <c r="G3">
        <v>8.685513182208233</v>
      </c>
    </row>
    <row r="4">
      <c r="A4" t="str">
        <v>Conservative</v>
      </c>
      <c r="B4">
        <v>120</v>
      </c>
      <c r="C4">
        <v>165</v>
      </c>
      <c r="D4">
        <v>577755</v>
      </c>
      <c r="E4">
        <v>389942</v>
      </c>
      <c r="F4">
        <v>0.09896133381315632</v>
      </c>
      <c r="G4">
        <v>10.104956769156399</v>
      </c>
    </row>
    <row r="5">
      <c r="A5" t="str">
        <v>Stress</v>
      </c>
      <c r="B5">
        <v>100</v>
      </c>
      <c r="C5">
        <v>150</v>
      </c>
      <c r="D5">
        <v>501550</v>
      </c>
      <c r="E5">
        <v>331645</v>
      </c>
      <c r="F5">
        <v>0.08416655204040664</v>
      </c>
      <c r="G5">
        <v>11.881204299778377</v>
      </c>
    </row>
    <row r="6">
      <c r="A6" t="str">
        <v>PPA solar €148 + cautious BESS</v>
      </c>
      <c r="B6">
        <v>148</v>
      </c>
      <c r="C6">
        <v>165</v>
      </c>
      <c r="D6">
        <v>650695</v>
      </c>
      <c r="E6">
        <v>445741</v>
      </c>
      <c r="F6">
        <v>0.11312228735475245</v>
      </c>
      <c r="G6">
        <v>8.839990981299657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Document_Sources</vt:lpstr>
      <vt:lpstr>Assumptions</vt:lpstr>
      <vt:lpstr>Revenue_Model</vt:lpstr>
      <vt:lpstr>CAPEX</vt:lpstr>
      <vt:lpstr>OPEX</vt:lpstr>
      <vt:lpstr>P_and_L</vt:lpstr>
      <vt:lpstr>DAM_Sensitivity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