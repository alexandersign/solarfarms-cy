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ebt Schedule" sheetId="2" state="visible" r:id="rId4"/>
    <sheet name="Cash Flow" sheetId="3" state="visible" r:id="rId5"/>
    <sheet name="Returns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<sst xmlns="http://schemas.openxmlformats.org/spreadsheetml/2006/main" count="114" uniqueCount="100">
  <si>
    <t xml:space="preserve">45.20 MW Solar Park – Cyprus</t>
  </si>
  <si>
    <t xml:space="preserve">Preliminary Financial Model – Assumptions</t>
  </si>
  <si>
    <t xml:space="preserve">PROJECT</t>
  </si>
  <si>
    <t xml:space="preserve">Installed capacity (MW)</t>
  </si>
  <si>
    <t xml:space="preserve">MW</t>
  </si>
  <si>
    <t xml:space="preserve">Total CAPEX (EPC, BESS, project rights)</t>
  </si>
  <si>
    <t xml:space="preserve">EUR mm</t>
  </si>
  <si>
    <t xml:space="preserve">Source: user-provided data (handwritten note)</t>
  </si>
  <si>
    <t xml:space="preserve">FINANCING STRUCTURE</t>
  </si>
  <si>
    <t xml:space="preserve">Equity share</t>
  </si>
  <si>
    <t xml:space="preserve">Debt share (bank)</t>
  </si>
  <si>
    <t xml:space="preserve">Equity amount</t>
  </si>
  <si>
    <t xml:space="preserve">Debt amount (bank loan)</t>
  </si>
  <si>
    <t xml:space="preserve">Loan interest rate</t>
  </si>
  <si>
    <t xml:space="preserve">Loan term</t>
  </si>
  <si>
    <t xml:space="preserve">years</t>
  </si>
  <si>
    <t xml:space="preserve">REVENUE AND OPERATING COSTS (YEAR 1)</t>
  </si>
  <si>
    <t xml:space="preserve">Annual revenue (Year 1)</t>
  </si>
  <si>
    <t xml:space="preserve">O&amp;M (Year 1)</t>
  </si>
  <si>
    <t xml:space="preserve">Land lease (Year 1)</t>
  </si>
  <si>
    <t xml:space="preserve">Insurance (Year 1)</t>
  </si>
  <si>
    <t xml:space="preserve">Total OPEX (Year 1)</t>
  </si>
  <si>
    <t xml:space="preserve">ADDITIONAL ASSUMPTIONS (to be verified – not provided by user)</t>
  </si>
  <si>
    <t xml:space="preserve">Revenue degradation/escalation p.a.</t>
  </si>
  <si>
    <t xml:space="preserve">ASSUMPTION: typical annual PV panel degradation ~0.4%/yr. Please verify against module datasheet / PPA terms.</t>
  </si>
  <si>
    <t xml:space="preserve">OPEX escalation p.a. (inflation)</t>
  </si>
  <si>
    <t xml:space="preserve">ASSUMPTION: standard inflation on O&amp;M/insurance/land lease costs, 2%/yr.</t>
  </si>
  <si>
    <t xml:space="preserve">Project operating life</t>
  </si>
  <si>
    <t xml:space="preserve">ASSUMPTION: typical PV+BESS asset life assumed in the model, 25 years.</t>
  </si>
  <si>
    <t xml:space="preserve">Depreciation period (straight-line)</t>
  </si>
  <si>
    <t xml:space="preserve">ASSUMPTION: straight-line depreciation of total CAPEX over project life (simplification – BESS may have a shorter useful life).</t>
  </si>
  <si>
    <t xml:space="preserve">Corporate tax rate (Cyprus)</t>
  </si>
  <si>
    <t xml:space="preserve">Cyprus standard corporate income tax rate = 12.5%.</t>
  </si>
  <si>
    <t xml:space="preserve">Equity discount rate (required investor return)</t>
  </si>
  <si>
    <t xml:space="preserve">ASSUMPTION: required equity return for a Cyprus RE project ~10%. Please adjust to your own return hurdle.</t>
  </si>
  <si>
    <t xml:space="preserve">Project discount rate (indicative WACC)</t>
  </si>
  <si>
    <t xml:space="preserve">Loan Amortization Schedule (fixed annuity)</t>
  </si>
  <si>
    <t xml:space="preserve">Loan amount, interest rate and term are pulled from the Assumptions sheet</t>
  </si>
  <si>
    <t xml:space="preserve">Year</t>
  </si>
  <si>
    <t xml:space="preserve">Opening balance</t>
  </si>
  <si>
    <t xml:space="preserve">Interest</t>
  </si>
  <si>
    <t xml:space="preserve">Principal repayment</t>
  </si>
  <si>
    <t xml:space="preserve">Annual payment (annuity)</t>
  </si>
  <si>
    <t xml:space="preserve">Closing balance</t>
  </si>
  <si>
    <t xml:space="preserve">Total interest</t>
  </si>
  <si>
    <t xml:space="preserve">Total principal (=loan amount)</t>
  </si>
  <si>
    <t xml:space="preserve">Ending balance (check = 0)</t>
  </si>
  <si>
    <t xml:space="preserve">Cash Flow Statement – 25 Years (EUR mm)</t>
  </si>
  <si>
    <t xml:space="preserve">Revenue</t>
  </si>
  <si>
    <t xml:space="preserve">  O&amp;M</t>
  </si>
  <si>
    <t xml:space="preserve">  Land lease</t>
  </si>
  <si>
    <t xml:space="preserve">  Insurance</t>
  </si>
  <si>
    <t xml:space="preserve">Total OPEX</t>
  </si>
  <si>
    <t xml:space="preserve">EBITDA</t>
  </si>
  <si>
    <t xml:space="preserve">Depreciation</t>
  </si>
  <si>
    <t xml:space="preserve">EBIT</t>
  </si>
  <si>
    <t xml:space="preserve">Loan interest</t>
  </si>
  <si>
    <t xml:space="preserve">EBT (pre-tax profit)</t>
  </si>
  <si>
    <t xml:space="preserve">Corporate tax</t>
  </si>
  <si>
    <t xml:space="preserve">Net income</t>
  </si>
  <si>
    <t xml:space="preserve">Loan principal repayment</t>
  </si>
  <si>
    <t xml:space="preserve">Equity Cash Flow</t>
  </si>
  <si>
    <t xml:space="preserve">Project Cash Flow (unlevered, Project FCF)</t>
  </si>
  <si>
    <t xml:space="preserve">DSCR (EBITDA / debt service)</t>
  </si>
  <si>
    <t xml:space="preserve">Cumulative equity cash flow</t>
  </si>
  <si>
    <t xml:space="preserve">Results – Project Viability</t>
  </si>
  <si>
    <t xml:space="preserve">EQUITY RETURNS (INVESTOR)</t>
  </si>
  <si>
    <t xml:space="preserve">Equity IRR (levered)</t>
  </si>
  <si>
    <t xml:space="preserve">Equity NPV @ equity discount rate</t>
  </si>
  <si>
    <t xml:space="preserve">Equity multiple (sum of FCFE / equity invested)</t>
  </si>
  <si>
    <t xml:space="preserve">Simple equity payback (undiscounted)</t>
  </si>
  <si>
    <t xml:space="preserve">years (approx.)</t>
  </si>
  <si>
    <t xml:space="preserve">PROJECT RETURNS (UNLEVERED)</t>
  </si>
  <si>
    <t xml:space="preserve">Project IRR (unlevered)</t>
  </si>
  <si>
    <t xml:space="preserve">Project NPV @ WACC</t>
  </si>
  <si>
    <t xml:space="preserve">LOAN SECURITY (BANK)</t>
  </si>
  <si>
    <t xml:space="preserve">Average DSCR (Years 1-15)</t>
  </si>
  <si>
    <t xml:space="preserve">Minimum DSCR (Years 1-15)</t>
  </si>
  <si>
    <t xml:space="preserve">Lenders financing PV/BESS projects typically require min. DSCR of ~1.20-1.35x</t>
  </si>
  <si>
    <t xml:space="preserve">Annual loan payment (annuity)</t>
  </si>
  <si>
    <t xml:space="preserve">EUR mm/yr</t>
  </si>
  <si>
    <t xml:space="preserve">KEY YEAR 1 FIGURES (sanity check)</t>
  </si>
  <si>
    <t xml:space="preserve">EBITDA Year 1</t>
  </si>
  <si>
    <t xml:space="preserve">EBITDA margin Year 1</t>
  </si>
  <si>
    <t xml:space="preserve">FCFE Year 1</t>
  </si>
  <si>
    <t xml:space="preserve">Sensitivity Analysis – Equity IRR</t>
  </si>
  <si>
    <t xml:space="preserve">Impact of revenue change (rows) and CAPEX change (columns) on equity IRR. Financing structure (30/70) and interest rate held as in the base case.</t>
  </si>
  <si>
    <t xml:space="preserve">Revenue \ CAPEX</t>
  </si>
  <si>
    <t xml:space="preserve">Note: base scenario (0%/0%) highlighted in yellow = matches the Cash Flow sheet.</t>
  </si>
  <si>
    <t xml:space="preserve">Helper equity cash flows per scenario (EUR mm) - do not delete, feeds the table above</t>
  </si>
  <si>
    <t xml:space="preserve">Scenario #</t>
  </si>
  <si>
    <t xml:space="preserve">Revenue delta</t>
  </si>
  <si>
    <t xml:space="preserve">CAPEX delta</t>
  </si>
  <si>
    <t xml:space="preserve">Scenario CAPEX (EUR mm)</t>
  </si>
  <si>
    <t xml:space="preserve">Scenario equity (EUR mm)</t>
  </si>
  <si>
    <t xml:space="preserve">Scenario debt (EUR mm)</t>
  </si>
  <si>
    <t xml:space="preserve">Scenario annual loan payment</t>
  </si>
  <si>
    <t xml:space="preserve">Year (0-25) / Equity CF</t>
  </si>
  <si>
    <t xml:space="preserve">Scenario equity IRR</t>
  </si>
  <si>
    <t xml:space="preserve">Loan schedule (scenario) - year/opening/interest/principal/closing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</si>
</sst>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#,##0.00"/>
    <numFmt numFmtId="167" formatCode="#,##0.000"/>
    <numFmt numFmtId="168" formatCode="#,##0.00;\(#,##0.00\);\-"/>
    <numFmt numFmtId="169" formatCode="0.00\x"/>
    <numFmt numFmtId="170" formatCode="0"/>
    <numFmt numFmtId="171" formatCode="\+0%;\-0%;0%"/>
    <numFmt numFmtId="172" formatCode="[$$-409]#,##0.00;[RED]\-[$$-409]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45.2</v>
      </c>
      <c r="C5" s="7" t="s">
        <v>4</v>
      </c>
    </row>
    <row r="6" customFormat="false" ht="15" hidden="false" customHeight="false" outlineLevel="0" collapsed="false">
      <c r="A6" s="5" t="s">
        <v>5</v>
      </c>
      <c r="B6" s="6" t="n">
        <v>65.25</v>
      </c>
      <c r="C6" s="7" t="s">
        <v>6</v>
      </c>
      <c r="D6" s="8" t="s">
        <v>7</v>
      </c>
    </row>
    <row r="8" customFormat="false" ht="15" hidden="false" customHeight="false" outlineLevel="0" collapsed="false">
      <c r="A8" s="3" t="s">
        <v>8</v>
      </c>
      <c r="B8" s="4"/>
      <c r="C8" s="4"/>
    </row>
    <row r="9" customFormat="false" ht="15" hidden="false" customHeight="false" outlineLevel="0" collapsed="false">
      <c r="A9" s="5" t="s">
        <v>9</v>
      </c>
      <c r="B9" s="9" t="n">
        <v>0.3</v>
      </c>
    </row>
    <row r="10" customFormat="false" ht="15" hidden="false" customHeight="false" outlineLevel="0" collapsed="false">
      <c r="A10" s="5" t="s">
        <v>10</v>
      </c>
      <c r="B10" s="10" t="n">
        <f aca="false">1-B9</f>
        <v>0.7</v>
      </c>
    </row>
    <row r="11" customFormat="false" ht="15" hidden="false" customHeight="false" outlineLevel="0" collapsed="false">
      <c r="A11" s="11" t="s">
        <v>11</v>
      </c>
      <c r="B11" s="12" t="n">
        <f aca="false">B6*B9</f>
        <v>19.575</v>
      </c>
      <c r="C11" s="7" t="s">
        <v>6</v>
      </c>
    </row>
    <row r="12" customFormat="false" ht="15" hidden="false" customHeight="false" outlineLevel="0" collapsed="false">
      <c r="A12" s="11" t="s">
        <v>12</v>
      </c>
      <c r="B12" s="12" t="n">
        <f aca="false">B6*B10</f>
        <v>45.675</v>
      </c>
      <c r="C12" s="7" t="s">
        <v>6</v>
      </c>
    </row>
    <row r="13" customFormat="false" ht="15" hidden="false" customHeight="false" outlineLevel="0" collapsed="false">
      <c r="A13" s="5" t="s">
        <v>13</v>
      </c>
      <c r="B13" s="9" t="n">
        <v>0.05</v>
      </c>
    </row>
    <row r="14" customFormat="false" ht="15" hidden="false" customHeight="false" outlineLevel="0" collapsed="false">
      <c r="A14" s="5" t="s">
        <v>14</v>
      </c>
      <c r="B14" s="6" t="n">
        <v>15</v>
      </c>
      <c r="C14" s="7" t="s">
        <v>15</v>
      </c>
    </row>
    <row r="16" customFormat="false" ht="15" hidden="false" customHeight="false" outlineLevel="0" collapsed="false">
      <c r="A16" s="3" t="s">
        <v>16</v>
      </c>
      <c r="B16" s="4"/>
      <c r="C16" s="4"/>
    </row>
    <row r="17" customFormat="false" ht="15" hidden="false" customHeight="false" outlineLevel="0" collapsed="false">
      <c r="A17" s="5" t="s">
        <v>17</v>
      </c>
      <c r="B17" s="6" t="n">
        <v>9.7</v>
      </c>
      <c r="C17" s="7" t="s">
        <v>6</v>
      </c>
    </row>
    <row r="18" customFormat="false" ht="15" hidden="false" customHeight="false" outlineLevel="0" collapsed="false">
      <c r="A18" s="5" t="s">
        <v>18</v>
      </c>
      <c r="B18" s="6" t="n">
        <v>0.7</v>
      </c>
      <c r="C18" s="7" t="s">
        <v>6</v>
      </c>
    </row>
    <row r="19" customFormat="false" ht="15" hidden="false" customHeight="false" outlineLevel="0" collapsed="false">
      <c r="A19" s="5" t="s">
        <v>19</v>
      </c>
      <c r="B19" s="6" t="n">
        <v>0.12</v>
      </c>
      <c r="C19" s="7" t="s">
        <v>6</v>
      </c>
    </row>
    <row r="20" customFormat="false" ht="15" hidden="false" customHeight="false" outlineLevel="0" collapsed="false">
      <c r="A20" s="5" t="s">
        <v>20</v>
      </c>
      <c r="B20" s="6" t="n">
        <v>0.1</v>
      </c>
      <c r="C20" s="7" t="s">
        <v>6</v>
      </c>
    </row>
    <row r="21" customFormat="false" ht="15" hidden="false" customHeight="false" outlineLevel="0" collapsed="false">
      <c r="A21" s="11" t="s">
        <v>21</v>
      </c>
      <c r="B21" s="12" t="n">
        <f aca="false">SUM(B18:B20)</f>
        <v>0.92</v>
      </c>
      <c r="C21" s="7" t="s">
        <v>6</v>
      </c>
    </row>
    <row r="23" customFormat="false" ht="15" hidden="false" customHeight="false" outlineLevel="0" collapsed="false">
      <c r="A23" s="3" t="s">
        <v>22</v>
      </c>
      <c r="B23" s="4"/>
      <c r="C23" s="4"/>
    </row>
    <row r="24" customFormat="false" ht="15" hidden="false" customHeight="false" outlineLevel="0" collapsed="false">
      <c r="A24" s="5" t="s">
        <v>23</v>
      </c>
      <c r="B24" s="13" t="n">
        <v>-0.004</v>
      </c>
      <c r="D24" s="8" t="s">
        <v>24</v>
      </c>
    </row>
    <row r="25" customFormat="false" ht="15" hidden="false" customHeight="false" outlineLevel="0" collapsed="false">
      <c r="A25" s="5" t="s">
        <v>25</v>
      </c>
      <c r="B25" s="13" t="n">
        <v>0.02</v>
      </c>
      <c r="D25" s="8" t="s">
        <v>26</v>
      </c>
    </row>
    <row r="26" customFormat="false" ht="15" hidden="false" customHeight="false" outlineLevel="0" collapsed="false">
      <c r="A26" s="5" t="s">
        <v>27</v>
      </c>
      <c r="B26" s="14" t="n">
        <v>25</v>
      </c>
      <c r="C26" s="7" t="s">
        <v>15</v>
      </c>
      <c r="D26" s="8" t="s">
        <v>28</v>
      </c>
    </row>
    <row r="27" customFormat="false" ht="15" hidden="false" customHeight="false" outlineLevel="0" collapsed="false">
      <c r="A27" s="5" t="s">
        <v>29</v>
      </c>
      <c r="B27" s="14" t="n">
        <v>25</v>
      </c>
      <c r="C27" s="7" t="s">
        <v>15</v>
      </c>
      <c r="D27" s="8" t="s">
        <v>30</v>
      </c>
    </row>
    <row r="28" customFormat="false" ht="15" hidden="false" customHeight="false" outlineLevel="0" collapsed="false">
      <c r="A28" s="5" t="s">
        <v>31</v>
      </c>
      <c r="B28" s="13" t="n">
        <v>0.125</v>
      </c>
      <c r="D28" s="8" t="s">
        <v>32</v>
      </c>
    </row>
    <row r="29" customFormat="false" ht="15" hidden="false" customHeight="false" outlineLevel="0" collapsed="false">
      <c r="A29" s="5" t="s">
        <v>33</v>
      </c>
      <c r="B29" s="13" t="n">
        <v>0.1</v>
      </c>
      <c r="D29" s="8" t="s">
        <v>34</v>
      </c>
    </row>
    <row r="30" customFormat="false" ht="15" hidden="false" customHeight="false" outlineLevel="0" collapsed="false">
      <c r="A30" s="5" t="s">
        <v>35</v>
      </c>
      <c r="B30" s="13" t="n">
        <v>0.07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15" t="s">
        <v>37</v>
      </c>
    </row>
    <row r="4" customFormat="false" ht="39.55" hidden="false" customHeight="false" outlineLevel="0" collapsed="false">
      <c r="A4" s="16" t="s">
        <v>38</v>
      </c>
      <c r="B4" s="16" t="s">
        <v>39</v>
      </c>
      <c r="C4" s="16" t="s">
        <v>40</v>
      </c>
      <c r="D4" s="16" t="s">
        <v>41</v>
      </c>
      <c r="E4" s="16" t="s">
        <v>42</v>
      </c>
      <c r="F4" s="16" t="s">
        <v>43</v>
      </c>
    </row>
    <row r="5" customFormat="false" ht="15" hidden="false" customHeight="false" outlineLevel="0" collapsed="false">
      <c r="A5" s="7" t="n">
        <v>1</v>
      </c>
      <c r="B5" s="17" t="n">
        <f aca="false">Assumptions!$B$12</f>
        <v>45.675</v>
      </c>
      <c r="C5" s="17" t="n">
        <f aca="false">B5*Assumptions!$B$13</f>
        <v>2.28375</v>
      </c>
      <c r="D5" s="17" t="n">
        <f aca="false">E5-C5</f>
        <v>2.11668398655224</v>
      </c>
      <c r="E5" s="17" t="n">
        <f aca="false">-PMT(Assumptions!$B$13,Assumptions!$B$14,Assumptions!$B$12)</f>
        <v>4.40043398655224</v>
      </c>
      <c r="F5" s="17" t="n">
        <f aca="false">B5-D5</f>
        <v>43.5583160134478</v>
      </c>
    </row>
    <row r="6" customFormat="false" ht="15" hidden="false" customHeight="false" outlineLevel="0" collapsed="false">
      <c r="A6" s="7" t="n">
        <v>2</v>
      </c>
      <c r="B6" s="17" t="n">
        <f aca="false">F5</f>
        <v>43.5583160134478</v>
      </c>
      <c r="C6" s="17" t="n">
        <f aca="false">B6*Assumptions!$B$13</f>
        <v>2.17791580067239</v>
      </c>
      <c r="D6" s="17" t="n">
        <f aca="false">E6-C6</f>
        <v>2.22251818587985</v>
      </c>
      <c r="E6" s="17" t="n">
        <f aca="false">-PMT(Assumptions!$B$13,Assumptions!$B$14,Assumptions!$B$12)</f>
        <v>4.40043398655224</v>
      </c>
      <c r="F6" s="17" t="n">
        <f aca="false">B6-D6</f>
        <v>41.3357978275679</v>
      </c>
    </row>
    <row r="7" customFormat="false" ht="15" hidden="false" customHeight="false" outlineLevel="0" collapsed="false">
      <c r="A7" s="7" t="n">
        <v>3</v>
      </c>
      <c r="B7" s="17" t="n">
        <f aca="false">F6</f>
        <v>41.3357978275679</v>
      </c>
      <c r="C7" s="17" t="n">
        <f aca="false">B7*Assumptions!$B$13</f>
        <v>2.0667898913784</v>
      </c>
      <c r="D7" s="17" t="n">
        <f aca="false">E7-C7</f>
        <v>2.33364409517384</v>
      </c>
      <c r="E7" s="17" t="n">
        <f aca="false">-PMT(Assumptions!$B$13,Assumptions!$B$14,Assumptions!$B$12)</f>
        <v>4.40043398655224</v>
      </c>
      <c r="F7" s="17" t="n">
        <f aca="false">B7-D7</f>
        <v>39.0021537323941</v>
      </c>
    </row>
    <row r="8" customFormat="false" ht="15" hidden="false" customHeight="false" outlineLevel="0" collapsed="false">
      <c r="A8" s="7" t="n">
        <v>4</v>
      </c>
      <c r="B8" s="17" t="n">
        <f aca="false">F7</f>
        <v>39.0021537323941</v>
      </c>
      <c r="C8" s="17" t="n">
        <f aca="false">B8*Assumptions!$B$13</f>
        <v>1.9501076866197</v>
      </c>
      <c r="D8" s="17" t="n">
        <f aca="false">E8-C8</f>
        <v>2.45032629993253</v>
      </c>
      <c r="E8" s="17" t="n">
        <f aca="false">-PMT(Assumptions!$B$13,Assumptions!$B$14,Assumptions!$B$12)</f>
        <v>4.40043398655224</v>
      </c>
      <c r="F8" s="17" t="n">
        <f aca="false">B8-D8</f>
        <v>36.5518274324615</v>
      </c>
    </row>
    <row r="9" customFormat="false" ht="15" hidden="false" customHeight="false" outlineLevel="0" collapsed="false">
      <c r="A9" s="7" t="n">
        <v>5</v>
      </c>
      <c r="B9" s="17" t="n">
        <f aca="false">F8</f>
        <v>36.5518274324615</v>
      </c>
      <c r="C9" s="17" t="n">
        <f aca="false">B9*Assumptions!$B$13</f>
        <v>1.82759137162308</v>
      </c>
      <c r="D9" s="17" t="n">
        <f aca="false">E9-C9</f>
        <v>2.57284261492916</v>
      </c>
      <c r="E9" s="17" t="n">
        <f aca="false">-PMT(Assumptions!$B$13,Assumptions!$B$14,Assumptions!$B$12)</f>
        <v>4.40043398655224</v>
      </c>
      <c r="F9" s="17" t="n">
        <f aca="false">B9-D9</f>
        <v>33.9789848175324</v>
      </c>
    </row>
    <row r="10" customFormat="false" ht="15" hidden="false" customHeight="false" outlineLevel="0" collapsed="false">
      <c r="A10" s="7" t="n">
        <v>6</v>
      </c>
      <c r="B10" s="17" t="n">
        <f aca="false">F9</f>
        <v>33.9789848175324</v>
      </c>
      <c r="C10" s="17" t="n">
        <f aca="false">B10*Assumptions!$B$13</f>
        <v>1.69894924087662</v>
      </c>
      <c r="D10" s="17" t="n">
        <f aca="false">E10-C10</f>
        <v>2.70148474567562</v>
      </c>
      <c r="E10" s="17" t="n">
        <f aca="false">-PMT(Assumptions!$B$13,Assumptions!$B$14,Assumptions!$B$12)</f>
        <v>4.40043398655224</v>
      </c>
      <c r="F10" s="17" t="n">
        <f aca="false">B10-D10</f>
        <v>31.2775000718567</v>
      </c>
    </row>
    <row r="11" customFormat="false" ht="15" hidden="false" customHeight="false" outlineLevel="0" collapsed="false">
      <c r="A11" s="7" t="n">
        <v>7</v>
      </c>
      <c r="B11" s="17" t="n">
        <f aca="false">F10</f>
        <v>31.2775000718567</v>
      </c>
      <c r="C11" s="17" t="n">
        <f aca="false">B11*Assumptions!$B$13</f>
        <v>1.56387500359284</v>
      </c>
      <c r="D11" s="17" t="n">
        <f aca="false">E11-C11</f>
        <v>2.8365589829594</v>
      </c>
      <c r="E11" s="17" t="n">
        <f aca="false">-PMT(Assumptions!$B$13,Assumptions!$B$14,Assumptions!$B$12)</f>
        <v>4.40043398655224</v>
      </c>
      <c r="F11" s="17" t="n">
        <f aca="false">B11-D11</f>
        <v>28.4409410888973</v>
      </c>
    </row>
    <row r="12" customFormat="false" ht="15" hidden="false" customHeight="false" outlineLevel="0" collapsed="false">
      <c r="A12" s="7" t="n">
        <v>8</v>
      </c>
      <c r="B12" s="17" t="n">
        <f aca="false">F11</f>
        <v>28.4409410888973</v>
      </c>
      <c r="C12" s="17" t="n">
        <f aca="false">B12*Assumptions!$B$13</f>
        <v>1.42204705444487</v>
      </c>
      <c r="D12" s="17" t="n">
        <f aca="false">E12-C12</f>
        <v>2.97838693210737</v>
      </c>
      <c r="E12" s="17" t="n">
        <f aca="false">-PMT(Assumptions!$B$13,Assumptions!$B$14,Assumptions!$B$12)</f>
        <v>4.40043398655224</v>
      </c>
      <c r="F12" s="17" t="n">
        <f aca="false">B12-D12</f>
        <v>25.46255415679</v>
      </c>
    </row>
    <row r="13" customFormat="false" ht="15" hidden="false" customHeight="false" outlineLevel="0" collapsed="false">
      <c r="A13" s="7" t="n">
        <v>9</v>
      </c>
      <c r="B13" s="17" t="n">
        <f aca="false">F12</f>
        <v>25.46255415679</v>
      </c>
      <c r="C13" s="17" t="n">
        <f aca="false">B13*Assumptions!$B$13</f>
        <v>1.2731277078395</v>
      </c>
      <c r="D13" s="17" t="n">
        <f aca="false">E13-C13</f>
        <v>3.12730627871274</v>
      </c>
      <c r="E13" s="17" t="n">
        <f aca="false">-PMT(Assumptions!$B$13,Assumptions!$B$14,Assumptions!$B$12)</f>
        <v>4.40043398655224</v>
      </c>
      <c r="F13" s="17" t="n">
        <f aca="false">B13-D13</f>
        <v>22.3352478780772</v>
      </c>
    </row>
    <row r="14" customFormat="false" ht="15" hidden="false" customHeight="false" outlineLevel="0" collapsed="false">
      <c r="A14" s="7" t="n">
        <v>10</v>
      </c>
      <c r="B14" s="17" t="n">
        <f aca="false">F13</f>
        <v>22.3352478780772</v>
      </c>
      <c r="C14" s="17" t="n">
        <f aca="false">B14*Assumptions!$B$13</f>
        <v>1.11676239390386</v>
      </c>
      <c r="D14" s="17" t="n">
        <f aca="false">E14-C14</f>
        <v>3.28367159264838</v>
      </c>
      <c r="E14" s="17" t="n">
        <f aca="false">-PMT(Assumptions!$B$13,Assumptions!$B$14,Assumptions!$B$12)</f>
        <v>4.40043398655224</v>
      </c>
      <c r="F14" s="17" t="n">
        <f aca="false">B14-D14</f>
        <v>19.0515762854289</v>
      </c>
    </row>
    <row r="15" customFormat="false" ht="15" hidden="false" customHeight="false" outlineLevel="0" collapsed="false">
      <c r="A15" s="7" t="n">
        <v>11</v>
      </c>
      <c r="B15" s="17" t="n">
        <f aca="false">F14</f>
        <v>19.0515762854289</v>
      </c>
      <c r="C15" s="17" t="n">
        <f aca="false">B15*Assumptions!$B$13</f>
        <v>0.952578814271443</v>
      </c>
      <c r="D15" s="17" t="n">
        <f aca="false">E15-C15</f>
        <v>3.44785517228079</v>
      </c>
      <c r="E15" s="17" t="n">
        <f aca="false">-PMT(Assumptions!$B$13,Assumptions!$B$14,Assumptions!$B$12)</f>
        <v>4.40043398655224</v>
      </c>
      <c r="F15" s="17" t="n">
        <f aca="false">B15-D15</f>
        <v>15.6037211131481</v>
      </c>
    </row>
    <row r="16" customFormat="false" ht="15" hidden="false" customHeight="false" outlineLevel="0" collapsed="false">
      <c r="A16" s="7" t="n">
        <v>12</v>
      </c>
      <c r="B16" s="17" t="n">
        <f aca="false">F15</f>
        <v>15.6037211131481</v>
      </c>
      <c r="C16" s="17" t="n">
        <f aca="false">B16*Assumptions!$B$13</f>
        <v>0.780186055657403</v>
      </c>
      <c r="D16" s="17" t="n">
        <f aca="false">E16-C16</f>
        <v>3.62024793089483</v>
      </c>
      <c r="E16" s="17" t="n">
        <f aca="false">-PMT(Assumptions!$B$13,Assumptions!$B$14,Assumptions!$B$12)</f>
        <v>4.40043398655224</v>
      </c>
      <c r="F16" s="17" t="n">
        <f aca="false">B16-D16</f>
        <v>11.9834731822532</v>
      </c>
    </row>
    <row r="17" customFormat="false" ht="15" hidden="false" customHeight="false" outlineLevel="0" collapsed="false">
      <c r="A17" s="7" t="n">
        <v>13</v>
      </c>
      <c r="B17" s="17" t="n">
        <f aca="false">F16</f>
        <v>11.9834731822532</v>
      </c>
      <c r="C17" s="17" t="n">
        <f aca="false">B17*Assumptions!$B$13</f>
        <v>0.599173659112662</v>
      </c>
      <c r="D17" s="17" t="n">
        <f aca="false">E17-C17</f>
        <v>3.80126032743958</v>
      </c>
      <c r="E17" s="17" t="n">
        <f aca="false">-PMT(Assumptions!$B$13,Assumptions!$B$14,Assumptions!$B$12)</f>
        <v>4.40043398655224</v>
      </c>
      <c r="F17" s="17" t="n">
        <f aca="false">B17-D17</f>
        <v>8.18221285481365</v>
      </c>
    </row>
    <row r="18" customFormat="false" ht="15" hidden="false" customHeight="false" outlineLevel="0" collapsed="false">
      <c r="A18" s="7" t="n">
        <v>14</v>
      </c>
      <c r="B18" s="17" t="n">
        <f aca="false">F17</f>
        <v>8.18221285481365</v>
      </c>
      <c r="C18" s="17" t="n">
        <f aca="false">B18*Assumptions!$B$13</f>
        <v>0.409110642740683</v>
      </c>
      <c r="D18" s="17" t="n">
        <f aca="false">E18-C18</f>
        <v>3.99132334381156</v>
      </c>
      <c r="E18" s="17" t="n">
        <f aca="false">-PMT(Assumptions!$B$13,Assumptions!$B$14,Assumptions!$B$12)</f>
        <v>4.40043398655224</v>
      </c>
      <c r="F18" s="17" t="n">
        <f aca="false">B18-D18</f>
        <v>4.1908895110021</v>
      </c>
    </row>
    <row r="19" customFormat="false" ht="15" hidden="false" customHeight="false" outlineLevel="0" collapsed="false">
      <c r="A19" s="7" t="n">
        <v>15</v>
      </c>
      <c r="B19" s="17" t="n">
        <f aca="false">F18</f>
        <v>4.1908895110021</v>
      </c>
      <c r="C19" s="17" t="n">
        <f aca="false">B19*Assumptions!$B$13</f>
        <v>0.209544475550105</v>
      </c>
      <c r="D19" s="17" t="n">
        <f aca="false">E19-C19</f>
        <v>4.19088951100213</v>
      </c>
      <c r="E19" s="17" t="n">
        <f aca="false">-PMT(Assumptions!$B$13,Assumptions!$B$14,Assumptions!$B$12)</f>
        <v>4.40043398655224</v>
      </c>
      <c r="F19" s="17" t="n">
        <f aca="false">B19-D19</f>
        <v>-3.46389583683049E-014</v>
      </c>
    </row>
    <row r="21" customFormat="false" ht="15" hidden="false" customHeight="false" outlineLevel="0" collapsed="false">
      <c r="A21" s="11" t="s">
        <v>44</v>
      </c>
      <c r="C21" s="18" t="n">
        <f aca="false">SUM(C5:C19)</f>
        <v>20.3315097982835</v>
      </c>
    </row>
    <row r="22" customFormat="false" ht="15" hidden="false" customHeight="false" outlineLevel="0" collapsed="false">
      <c r="A22" s="11" t="s">
        <v>45</v>
      </c>
      <c r="D22" s="18" t="n">
        <f aca="false">SUM(D5:D19)</f>
        <v>45.675</v>
      </c>
    </row>
    <row r="23" customFormat="false" ht="15" hidden="false" customHeight="false" outlineLevel="0" collapsed="false">
      <c r="A23" s="11" t="s">
        <v>46</v>
      </c>
      <c r="F23" s="18" t="n">
        <f aca="false">F19</f>
        <v>-3.46389583683049E-014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"/>
    <col collapsed="false" customWidth="true" hidden="false" outlineLevel="0" max="29" min="3" style="0" width="11"/>
  </cols>
  <sheetData>
    <row r="1" customFormat="false" ht="17.35" hidden="false" customHeight="false" outlineLevel="0" collapsed="false">
      <c r="A1" s="1" t="s">
        <v>47</v>
      </c>
    </row>
    <row r="3" customFormat="false" ht="15" hidden="false" customHeight="false" outlineLevel="0" collapsed="false">
      <c r="A3" s="3" t="s">
        <v>38</v>
      </c>
      <c r="B3" s="4"/>
      <c r="C3" s="19" t="n">
        <v>0</v>
      </c>
      <c r="D3" s="19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</row>
    <row r="4" customFormat="false" ht="15" hidden="false" customHeight="false" outlineLevel="0" collapsed="false">
      <c r="A4" s="7" t="s">
        <v>48</v>
      </c>
      <c r="C4" s="20"/>
      <c r="D4" s="21" t="n">
        <f aca="false">Assumptions!$B$17*(1+Assumptions!$B$24)^(1-1)</f>
        <v>9.7</v>
      </c>
      <c r="E4" s="21" t="n">
        <f aca="false">Assumptions!$B$17*(1+Assumptions!$B$24)^(2-1)</f>
        <v>9.6612</v>
      </c>
      <c r="F4" s="21" t="n">
        <f aca="false">Assumptions!$B$17*(1+Assumptions!$B$24)^(3-1)</f>
        <v>9.6225552</v>
      </c>
      <c r="G4" s="21" t="n">
        <f aca="false">Assumptions!$B$17*(1+Assumptions!$B$24)^(4-1)</f>
        <v>9.5840649792</v>
      </c>
      <c r="H4" s="21" t="n">
        <f aca="false">Assumptions!$B$17*(1+Assumptions!$B$24)^(5-1)</f>
        <v>9.5457287192832</v>
      </c>
      <c r="I4" s="21" t="n">
        <f aca="false">Assumptions!$B$17*(1+Assumptions!$B$24)^(6-1)</f>
        <v>9.50754580440607</v>
      </c>
      <c r="J4" s="21" t="n">
        <f aca="false">Assumptions!$B$17*(1+Assumptions!$B$24)^(7-1)</f>
        <v>9.46951562118844</v>
      </c>
      <c r="K4" s="21" t="n">
        <f aca="false">Assumptions!$B$17*(1+Assumptions!$B$24)^(8-1)</f>
        <v>9.43163755870369</v>
      </c>
      <c r="L4" s="21" t="n">
        <f aca="false">Assumptions!$B$17*(1+Assumptions!$B$24)^(9-1)</f>
        <v>9.39391100846888</v>
      </c>
      <c r="M4" s="21" t="n">
        <f aca="false">Assumptions!$B$17*(1+Assumptions!$B$24)^(10-1)</f>
        <v>9.356335364435</v>
      </c>
      <c r="N4" s="21" t="n">
        <f aca="false">Assumptions!$B$17*(1+Assumptions!$B$24)^(11-1)</f>
        <v>9.31891002297726</v>
      </c>
      <c r="O4" s="21" t="n">
        <f aca="false">Assumptions!$B$17*(1+Assumptions!$B$24)^(12-1)</f>
        <v>9.28163438288535</v>
      </c>
      <c r="P4" s="21" t="n">
        <f aca="false">Assumptions!$B$17*(1+Assumptions!$B$24)^(13-1)</f>
        <v>9.24450784535381</v>
      </c>
      <c r="Q4" s="21" t="n">
        <f aca="false">Assumptions!$B$17*(1+Assumptions!$B$24)^(14-1)</f>
        <v>9.20752981397239</v>
      </c>
      <c r="R4" s="21" t="n">
        <f aca="false">Assumptions!$B$17*(1+Assumptions!$B$24)^(15-1)</f>
        <v>9.1706996947165</v>
      </c>
      <c r="S4" s="21" t="n">
        <f aca="false">Assumptions!$B$17*(1+Assumptions!$B$24)^(16-1)</f>
        <v>9.13401689593764</v>
      </c>
      <c r="T4" s="21" t="n">
        <f aca="false">Assumptions!$B$17*(1+Assumptions!$B$24)^(17-1)</f>
        <v>9.09748082835389</v>
      </c>
      <c r="U4" s="21" t="n">
        <f aca="false">Assumptions!$B$17*(1+Assumptions!$B$24)^(18-1)</f>
        <v>9.06109090504047</v>
      </c>
      <c r="V4" s="21" t="n">
        <f aca="false">Assumptions!$B$17*(1+Assumptions!$B$24)^(19-1)</f>
        <v>9.02484654142031</v>
      </c>
      <c r="W4" s="21" t="n">
        <f aca="false">Assumptions!$B$17*(1+Assumptions!$B$24)^(20-1)</f>
        <v>8.98874715525463</v>
      </c>
      <c r="X4" s="21" t="n">
        <f aca="false">Assumptions!$B$17*(1+Assumptions!$B$24)^(21-1)</f>
        <v>8.95279216663361</v>
      </c>
      <c r="Y4" s="21" t="n">
        <f aca="false">Assumptions!$B$17*(1+Assumptions!$B$24)^(22-1)</f>
        <v>8.91698099796708</v>
      </c>
      <c r="Z4" s="21" t="n">
        <f aca="false">Assumptions!$B$17*(1+Assumptions!$B$24)^(23-1)</f>
        <v>8.88131307397521</v>
      </c>
      <c r="AA4" s="21" t="n">
        <f aca="false">Assumptions!$B$17*(1+Assumptions!$B$24)^(24-1)</f>
        <v>8.84578782167931</v>
      </c>
      <c r="AB4" s="21" t="n">
        <f aca="false">Assumptions!$B$17*(1+Assumptions!$B$24)^(25-1)</f>
        <v>8.81040467039259</v>
      </c>
    </row>
    <row r="5" customFormat="false" ht="15" hidden="false" customHeight="false" outlineLevel="0" collapsed="false">
      <c r="A5" s="7" t="s">
        <v>49</v>
      </c>
      <c r="C5" s="20"/>
      <c r="D5" s="21" t="n">
        <f aca="false">Assumptions!$B$18*(1+Assumptions!$B$25)^(1-1)</f>
        <v>0.7</v>
      </c>
      <c r="E5" s="21" t="n">
        <f aca="false">Assumptions!$B$18*(1+Assumptions!$B$25)^(2-1)</f>
        <v>0.714</v>
      </c>
      <c r="F5" s="21" t="n">
        <f aca="false">Assumptions!$B$18*(1+Assumptions!$B$25)^(3-1)</f>
        <v>0.72828</v>
      </c>
      <c r="G5" s="21" t="n">
        <f aca="false">Assumptions!$B$18*(1+Assumptions!$B$25)^(4-1)</f>
        <v>0.7428456</v>
      </c>
      <c r="H5" s="21" t="n">
        <f aca="false">Assumptions!$B$18*(1+Assumptions!$B$25)^(5-1)</f>
        <v>0.757702512</v>
      </c>
      <c r="I5" s="21" t="n">
        <f aca="false">Assumptions!$B$18*(1+Assumptions!$B$25)^(6-1)</f>
        <v>0.77285656224</v>
      </c>
      <c r="J5" s="21" t="n">
        <f aca="false">Assumptions!$B$18*(1+Assumptions!$B$25)^(7-1)</f>
        <v>0.7883136934848</v>
      </c>
      <c r="K5" s="21" t="n">
        <f aca="false">Assumptions!$B$18*(1+Assumptions!$B$25)^(8-1)</f>
        <v>0.804079967354496</v>
      </c>
      <c r="L5" s="21" t="n">
        <f aca="false">Assumptions!$B$18*(1+Assumptions!$B$25)^(9-1)</f>
        <v>0.820161566701586</v>
      </c>
      <c r="M5" s="21" t="n">
        <f aca="false">Assumptions!$B$18*(1+Assumptions!$B$25)^(10-1)</f>
        <v>0.836564798035618</v>
      </c>
      <c r="N5" s="21" t="n">
        <f aca="false">Assumptions!$B$18*(1+Assumptions!$B$25)^(11-1)</f>
        <v>0.85329609399633</v>
      </c>
      <c r="O5" s="21" t="n">
        <f aca="false">Assumptions!$B$18*(1+Assumptions!$B$25)^(12-1)</f>
        <v>0.870362015876257</v>
      </c>
      <c r="P5" s="21" t="n">
        <f aca="false">Assumptions!$B$18*(1+Assumptions!$B$25)^(13-1)</f>
        <v>0.887769256193782</v>
      </c>
      <c r="Q5" s="21" t="n">
        <f aca="false">Assumptions!$B$18*(1+Assumptions!$B$25)^(14-1)</f>
        <v>0.905524641317658</v>
      </c>
      <c r="R5" s="21" t="n">
        <f aca="false">Assumptions!$B$18*(1+Assumptions!$B$25)^(15-1)</f>
        <v>0.923635134144011</v>
      </c>
      <c r="S5" s="21" t="n">
        <f aca="false">Assumptions!$B$18*(1+Assumptions!$B$25)^(16-1)</f>
        <v>0.942107836826891</v>
      </c>
      <c r="T5" s="21" t="n">
        <f aca="false">Assumptions!$B$18*(1+Assumptions!$B$25)^(17-1)</f>
        <v>0.960949993563429</v>
      </c>
      <c r="U5" s="21" t="n">
        <f aca="false">Assumptions!$B$18*(1+Assumptions!$B$25)^(18-1)</f>
        <v>0.980168993434697</v>
      </c>
      <c r="V5" s="21" t="n">
        <f aca="false">Assumptions!$B$18*(1+Assumptions!$B$25)^(19-1)</f>
        <v>0.999772373303391</v>
      </c>
      <c r="W5" s="21" t="n">
        <f aca="false">Assumptions!$B$18*(1+Assumptions!$B$25)^(20-1)</f>
        <v>1.01976782076946</v>
      </c>
      <c r="X5" s="21" t="n">
        <f aca="false">Assumptions!$B$18*(1+Assumptions!$B$25)^(21-1)</f>
        <v>1.04016317718485</v>
      </c>
      <c r="Y5" s="21" t="n">
        <f aca="false">Assumptions!$B$18*(1+Assumptions!$B$25)^(22-1)</f>
        <v>1.06096644072855</v>
      </c>
      <c r="Z5" s="21" t="n">
        <f aca="false">Assumptions!$B$18*(1+Assumptions!$B$25)^(23-1)</f>
        <v>1.08218576954312</v>
      </c>
      <c r="AA5" s="21" t="n">
        <f aca="false">Assumptions!$B$18*(1+Assumptions!$B$25)^(24-1)</f>
        <v>1.10382948493398</v>
      </c>
      <c r="AB5" s="21" t="n">
        <f aca="false">Assumptions!$B$18*(1+Assumptions!$B$25)^(25-1)</f>
        <v>1.12590607463266</v>
      </c>
    </row>
    <row r="6" customFormat="false" ht="15" hidden="false" customHeight="false" outlineLevel="0" collapsed="false">
      <c r="A6" s="7" t="s">
        <v>50</v>
      </c>
      <c r="C6" s="20"/>
      <c r="D6" s="21" t="n">
        <f aca="false">Assumptions!$B$19*(1+Assumptions!$B$25)^(1-1)</f>
        <v>0.12</v>
      </c>
      <c r="E6" s="21" t="n">
        <f aca="false">Assumptions!$B$19*(1+Assumptions!$B$25)^(2-1)</f>
        <v>0.1224</v>
      </c>
      <c r="F6" s="21" t="n">
        <f aca="false">Assumptions!$B$19*(1+Assumptions!$B$25)^(3-1)</f>
        <v>0.124848</v>
      </c>
      <c r="G6" s="21" t="n">
        <f aca="false">Assumptions!$B$19*(1+Assumptions!$B$25)^(4-1)</f>
        <v>0.12734496</v>
      </c>
      <c r="H6" s="21" t="n">
        <f aca="false">Assumptions!$B$19*(1+Assumptions!$B$25)^(5-1)</f>
        <v>0.1298918592</v>
      </c>
      <c r="I6" s="21" t="n">
        <f aca="false">Assumptions!$B$19*(1+Assumptions!$B$25)^(6-1)</f>
        <v>0.132489696384</v>
      </c>
      <c r="J6" s="21" t="n">
        <f aca="false">Assumptions!$B$19*(1+Assumptions!$B$25)^(7-1)</f>
        <v>0.13513949031168</v>
      </c>
      <c r="K6" s="21" t="n">
        <f aca="false">Assumptions!$B$19*(1+Assumptions!$B$25)^(8-1)</f>
        <v>0.137842280117914</v>
      </c>
      <c r="L6" s="21" t="n">
        <f aca="false">Assumptions!$B$19*(1+Assumptions!$B$25)^(9-1)</f>
        <v>0.140599125720272</v>
      </c>
      <c r="M6" s="21" t="n">
        <f aca="false">Assumptions!$B$19*(1+Assumptions!$B$25)^(10-1)</f>
        <v>0.143411108234677</v>
      </c>
      <c r="N6" s="21" t="n">
        <f aca="false">Assumptions!$B$19*(1+Assumptions!$B$25)^(11-1)</f>
        <v>0.146279330399371</v>
      </c>
      <c r="O6" s="21" t="n">
        <f aca="false">Assumptions!$B$19*(1+Assumptions!$B$25)^(12-1)</f>
        <v>0.149204917007358</v>
      </c>
      <c r="P6" s="21" t="n">
        <f aca="false">Assumptions!$B$19*(1+Assumptions!$B$25)^(13-1)</f>
        <v>0.152189015347505</v>
      </c>
      <c r="Q6" s="21" t="n">
        <f aca="false">Assumptions!$B$19*(1+Assumptions!$B$25)^(14-1)</f>
        <v>0.155232795654456</v>
      </c>
      <c r="R6" s="21" t="n">
        <f aca="false">Assumptions!$B$19*(1+Assumptions!$B$25)^(15-1)</f>
        <v>0.158337451567545</v>
      </c>
      <c r="S6" s="21" t="n">
        <f aca="false">Assumptions!$B$19*(1+Assumptions!$B$25)^(16-1)</f>
        <v>0.161504200598896</v>
      </c>
      <c r="T6" s="21" t="n">
        <f aca="false">Assumptions!$B$19*(1+Assumptions!$B$25)^(17-1)</f>
        <v>0.164734284610874</v>
      </c>
      <c r="U6" s="21" t="n">
        <f aca="false">Assumptions!$B$19*(1+Assumptions!$B$25)^(18-1)</f>
        <v>0.168028970303091</v>
      </c>
      <c r="V6" s="21" t="n">
        <f aca="false">Assumptions!$B$19*(1+Assumptions!$B$25)^(19-1)</f>
        <v>0.171389549709153</v>
      </c>
      <c r="W6" s="21" t="n">
        <f aca="false">Assumptions!$B$19*(1+Assumptions!$B$25)^(20-1)</f>
        <v>0.174817340703336</v>
      </c>
      <c r="X6" s="21" t="n">
        <f aca="false">Assumptions!$B$19*(1+Assumptions!$B$25)^(21-1)</f>
        <v>0.178313687517403</v>
      </c>
      <c r="Y6" s="21" t="n">
        <f aca="false">Assumptions!$B$19*(1+Assumptions!$B$25)^(22-1)</f>
        <v>0.181879961267751</v>
      </c>
      <c r="Z6" s="21" t="n">
        <f aca="false">Assumptions!$B$19*(1+Assumptions!$B$25)^(23-1)</f>
        <v>0.185517560493106</v>
      </c>
      <c r="AA6" s="21" t="n">
        <f aca="false">Assumptions!$B$19*(1+Assumptions!$B$25)^(24-1)</f>
        <v>0.189227911702968</v>
      </c>
      <c r="AB6" s="21" t="n">
        <f aca="false">Assumptions!$B$19*(1+Assumptions!$B$25)^(25-1)</f>
        <v>0.193012469937027</v>
      </c>
    </row>
    <row r="7" customFormat="false" ht="15" hidden="false" customHeight="false" outlineLevel="0" collapsed="false">
      <c r="A7" s="7" t="s">
        <v>51</v>
      </c>
      <c r="C7" s="20"/>
      <c r="D7" s="21" t="n">
        <f aca="false">Assumptions!$B$20*(1+Assumptions!$B$25)^(1-1)</f>
        <v>0.1</v>
      </c>
      <c r="E7" s="21" t="n">
        <f aca="false">Assumptions!$B$20*(1+Assumptions!$B$25)^(2-1)</f>
        <v>0.102</v>
      </c>
      <c r="F7" s="21" t="n">
        <f aca="false">Assumptions!$B$20*(1+Assumptions!$B$25)^(3-1)</f>
        <v>0.10404</v>
      </c>
      <c r="G7" s="21" t="n">
        <f aca="false">Assumptions!$B$20*(1+Assumptions!$B$25)^(4-1)</f>
        <v>0.1061208</v>
      </c>
      <c r="H7" s="21" t="n">
        <f aca="false">Assumptions!$B$20*(1+Assumptions!$B$25)^(5-1)</f>
        <v>0.108243216</v>
      </c>
      <c r="I7" s="21" t="n">
        <f aca="false">Assumptions!$B$20*(1+Assumptions!$B$25)^(6-1)</f>
        <v>0.11040808032</v>
      </c>
      <c r="J7" s="21" t="n">
        <f aca="false">Assumptions!$B$20*(1+Assumptions!$B$25)^(7-1)</f>
        <v>0.1126162419264</v>
      </c>
      <c r="K7" s="21" t="n">
        <f aca="false">Assumptions!$B$20*(1+Assumptions!$B$25)^(8-1)</f>
        <v>0.114868566764928</v>
      </c>
      <c r="L7" s="21" t="n">
        <f aca="false">Assumptions!$B$20*(1+Assumptions!$B$25)^(9-1)</f>
        <v>0.117165938100227</v>
      </c>
      <c r="M7" s="21" t="n">
        <f aca="false">Assumptions!$B$20*(1+Assumptions!$B$25)^(10-1)</f>
        <v>0.119509256862231</v>
      </c>
      <c r="N7" s="21" t="n">
        <f aca="false">Assumptions!$B$20*(1+Assumptions!$B$25)^(11-1)</f>
        <v>0.121899441999476</v>
      </c>
      <c r="O7" s="21" t="n">
        <f aca="false">Assumptions!$B$20*(1+Assumptions!$B$25)^(12-1)</f>
        <v>0.124337430839465</v>
      </c>
      <c r="P7" s="21" t="n">
        <f aca="false">Assumptions!$B$20*(1+Assumptions!$B$25)^(13-1)</f>
        <v>0.126824179456255</v>
      </c>
      <c r="Q7" s="21" t="n">
        <f aca="false">Assumptions!$B$20*(1+Assumptions!$B$25)^(14-1)</f>
        <v>0.12936066304538</v>
      </c>
      <c r="R7" s="21" t="n">
        <f aca="false">Assumptions!$B$20*(1+Assumptions!$B$25)^(15-1)</f>
        <v>0.131947876306287</v>
      </c>
      <c r="S7" s="21" t="n">
        <f aca="false">Assumptions!$B$20*(1+Assumptions!$B$25)^(16-1)</f>
        <v>0.134586833832413</v>
      </c>
      <c r="T7" s="21" t="n">
        <f aca="false">Assumptions!$B$20*(1+Assumptions!$B$25)^(17-1)</f>
        <v>0.137278570509061</v>
      </c>
      <c r="U7" s="21" t="n">
        <f aca="false">Assumptions!$B$20*(1+Assumptions!$B$25)^(18-1)</f>
        <v>0.140024141919242</v>
      </c>
      <c r="V7" s="21" t="n">
        <f aca="false">Assumptions!$B$20*(1+Assumptions!$B$25)^(19-1)</f>
        <v>0.142824624757627</v>
      </c>
      <c r="W7" s="21" t="n">
        <f aca="false">Assumptions!$B$20*(1+Assumptions!$B$25)^(20-1)</f>
        <v>0.14568111725278</v>
      </c>
      <c r="X7" s="21" t="n">
        <f aca="false">Assumptions!$B$20*(1+Assumptions!$B$25)^(21-1)</f>
        <v>0.148594739597836</v>
      </c>
      <c r="Y7" s="21" t="n">
        <f aca="false">Assumptions!$B$20*(1+Assumptions!$B$25)^(22-1)</f>
        <v>0.151566634389792</v>
      </c>
      <c r="Z7" s="21" t="n">
        <f aca="false">Assumptions!$B$20*(1+Assumptions!$B$25)^(23-1)</f>
        <v>0.154597967077588</v>
      </c>
      <c r="AA7" s="21" t="n">
        <f aca="false">Assumptions!$B$20*(1+Assumptions!$B$25)^(24-1)</f>
        <v>0.15768992641914</v>
      </c>
      <c r="AB7" s="21" t="n">
        <f aca="false">Assumptions!$B$20*(1+Assumptions!$B$25)^(25-1)</f>
        <v>0.160843724947523</v>
      </c>
    </row>
    <row r="8" customFormat="false" ht="15" hidden="false" customHeight="false" outlineLevel="0" collapsed="false">
      <c r="A8" s="11" t="s">
        <v>52</v>
      </c>
      <c r="C8" s="20"/>
      <c r="D8" s="21" t="n">
        <f aca="false">SUM(D5:D7)</f>
        <v>0.92</v>
      </c>
      <c r="E8" s="21" t="n">
        <f aca="false">SUM(E5:E7)</f>
        <v>0.9384</v>
      </c>
      <c r="F8" s="21" t="n">
        <f aca="false">SUM(F5:F7)</f>
        <v>0.957168</v>
      </c>
      <c r="G8" s="21" t="n">
        <f aca="false">SUM(G5:G7)</f>
        <v>0.97631136</v>
      </c>
      <c r="H8" s="21" t="n">
        <f aca="false">SUM(H5:H7)</f>
        <v>0.9958375872</v>
      </c>
      <c r="I8" s="21" t="n">
        <f aca="false">SUM(I5:I7)</f>
        <v>1.015754338944</v>
      </c>
      <c r="J8" s="21" t="n">
        <f aca="false">SUM(J5:J7)</f>
        <v>1.03606942572288</v>
      </c>
      <c r="K8" s="21" t="n">
        <f aca="false">SUM(K5:K7)</f>
        <v>1.05679081423734</v>
      </c>
      <c r="L8" s="21" t="n">
        <f aca="false">SUM(L5:L7)</f>
        <v>1.07792663052208</v>
      </c>
      <c r="M8" s="21" t="n">
        <f aca="false">SUM(M5:M7)</f>
        <v>1.09948516313253</v>
      </c>
      <c r="N8" s="21" t="n">
        <f aca="false">SUM(N5:N7)</f>
        <v>1.12147486639518</v>
      </c>
      <c r="O8" s="21" t="n">
        <f aca="false">SUM(O5:O7)</f>
        <v>1.14390436372308</v>
      </c>
      <c r="P8" s="21" t="n">
        <f aca="false">SUM(P5:P7)</f>
        <v>1.16678245099754</v>
      </c>
      <c r="Q8" s="21" t="n">
        <f aca="false">SUM(Q5:Q7)</f>
        <v>1.19011810001749</v>
      </c>
      <c r="R8" s="21" t="n">
        <f aca="false">SUM(R5:R7)</f>
        <v>1.21392046201784</v>
      </c>
      <c r="S8" s="21" t="n">
        <f aca="false">SUM(S5:S7)</f>
        <v>1.2381988712582</v>
      </c>
      <c r="T8" s="21" t="n">
        <f aca="false">SUM(T5:T7)</f>
        <v>1.26296284868336</v>
      </c>
      <c r="U8" s="21" t="n">
        <f aca="false">SUM(U5:U7)</f>
        <v>1.28822210565703</v>
      </c>
      <c r="V8" s="21" t="n">
        <f aca="false">SUM(V5:V7)</f>
        <v>1.31398654777017</v>
      </c>
      <c r="W8" s="21" t="n">
        <f aca="false">SUM(W5:W7)</f>
        <v>1.34026627872557</v>
      </c>
      <c r="X8" s="21" t="n">
        <f aca="false">SUM(X5:X7)</f>
        <v>1.36707160430009</v>
      </c>
      <c r="Y8" s="21" t="n">
        <f aca="false">SUM(Y5:Y7)</f>
        <v>1.39441303638609</v>
      </c>
      <c r="Z8" s="21" t="n">
        <f aca="false">SUM(Z5:Z7)</f>
        <v>1.42230129711381</v>
      </c>
      <c r="AA8" s="21" t="n">
        <f aca="false">SUM(AA5:AA7)</f>
        <v>1.45074732305609</v>
      </c>
      <c r="AB8" s="21" t="n">
        <f aca="false">SUM(AB5:AB7)</f>
        <v>1.47976226951721</v>
      </c>
    </row>
    <row r="9" customFormat="false" ht="15" hidden="false" customHeight="false" outlineLevel="0" collapsed="false">
      <c r="A9" s="11" t="s">
        <v>53</v>
      </c>
      <c r="C9" s="20"/>
      <c r="D9" s="21" t="n">
        <f aca="false">D4-D8</f>
        <v>8.78</v>
      </c>
      <c r="E9" s="21" t="n">
        <f aca="false">E4-E8</f>
        <v>8.7228</v>
      </c>
      <c r="F9" s="21" t="n">
        <f aca="false">F4-F8</f>
        <v>8.6653872</v>
      </c>
      <c r="G9" s="21" t="n">
        <f aca="false">G4-G8</f>
        <v>8.6077536192</v>
      </c>
      <c r="H9" s="21" t="n">
        <f aca="false">H4-H8</f>
        <v>8.5498911320832</v>
      </c>
      <c r="I9" s="21" t="n">
        <f aca="false">I4-I8</f>
        <v>8.49179146546207</v>
      </c>
      <c r="J9" s="21" t="n">
        <f aca="false">J4-J8</f>
        <v>8.43344619546556</v>
      </c>
      <c r="K9" s="21" t="n">
        <f aca="false">K4-K8</f>
        <v>8.37484674446635</v>
      </c>
      <c r="L9" s="21" t="n">
        <f aca="false">L4-L8</f>
        <v>8.31598437794679</v>
      </c>
      <c r="M9" s="21" t="n">
        <f aca="false">M4-M8</f>
        <v>8.25685020130247</v>
      </c>
      <c r="N9" s="21" t="n">
        <f aca="false">N4-N8</f>
        <v>8.19743515658208</v>
      </c>
      <c r="O9" s="21" t="n">
        <f aca="false">O4-O8</f>
        <v>8.13773001916227</v>
      </c>
      <c r="P9" s="21" t="n">
        <f aca="false">P4-P8</f>
        <v>8.07772539435627</v>
      </c>
      <c r="Q9" s="21" t="n">
        <f aca="false">Q4-Q8</f>
        <v>8.0174117139549</v>
      </c>
      <c r="R9" s="21" t="n">
        <f aca="false">R4-R8</f>
        <v>7.95677923269866</v>
      </c>
      <c r="S9" s="21" t="n">
        <f aca="false">S4-S8</f>
        <v>7.89581802467944</v>
      </c>
      <c r="T9" s="21" t="n">
        <f aca="false">T4-T8</f>
        <v>7.83451797967052</v>
      </c>
      <c r="U9" s="21" t="n">
        <f aca="false">U4-U8</f>
        <v>7.77286879938344</v>
      </c>
      <c r="V9" s="21" t="n">
        <f aca="false">V4-V8</f>
        <v>7.71085999365014</v>
      </c>
      <c r="W9" s="21" t="n">
        <f aca="false">W4-W8</f>
        <v>7.64848087652905</v>
      </c>
      <c r="X9" s="21" t="n">
        <f aca="false">X4-X8</f>
        <v>7.58572056233352</v>
      </c>
      <c r="Y9" s="21" t="n">
        <f aca="false">Y4-Y8</f>
        <v>7.52256796158099</v>
      </c>
      <c r="Z9" s="21" t="n">
        <f aca="false">Z4-Z8</f>
        <v>7.4590117768614</v>
      </c>
      <c r="AA9" s="21" t="n">
        <f aca="false">AA4-AA8</f>
        <v>7.39504049862322</v>
      </c>
      <c r="AB9" s="21" t="n">
        <f aca="false">AB4-AB8</f>
        <v>7.33064240087538</v>
      </c>
    </row>
    <row r="10" customFormat="false" ht="15" hidden="false" customHeight="false" outlineLevel="0" collapsed="false">
      <c r="A10" s="7" t="s">
        <v>54</v>
      </c>
      <c r="C10" s="20"/>
      <c r="D10" s="21" t="n">
        <f aca="false">IF(1&lt;=Assumptions!$B$27,Assumptions!$B$6/Assumptions!$B$27,0)</f>
        <v>2.61</v>
      </c>
      <c r="E10" s="21" t="n">
        <f aca="false">IF(2&lt;=Assumptions!$B$27,Assumptions!$B$6/Assumptions!$B$27,0)</f>
        <v>2.61</v>
      </c>
      <c r="F10" s="21" t="n">
        <f aca="false">IF(3&lt;=Assumptions!$B$27,Assumptions!$B$6/Assumptions!$B$27,0)</f>
        <v>2.61</v>
      </c>
      <c r="G10" s="21" t="n">
        <f aca="false">IF(4&lt;=Assumptions!$B$27,Assumptions!$B$6/Assumptions!$B$27,0)</f>
        <v>2.61</v>
      </c>
      <c r="H10" s="21" t="n">
        <f aca="false">IF(5&lt;=Assumptions!$B$27,Assumptions!$B$6/Assumptions!$B$27,0)</f>
        <v>2.61</v>
      </c>
      <c r="I10" s="21" t="n">
        <f aca="false">IF(6&lt;=Assumptions!$B$27,Assumptions!$B$6/Assumptions!$B$27,0)</f>
        <v>2.61</v>
      </c>
      <c r="J10" s="21" t="n">
        <f aca="false">IF(7&lt;=Assumptions!$B$27,Assumptions!$B$6/Assumptions!$B$27,0)</f>
        <v>2.61</v>
      </c>
      <c r="K10" s="21" t="n">
        <f aca="false">IF(8&lt;=Assumptions!$B$27,Assumptions!$B$6/Assumptions!$B$27,0)</f>
        <v>2.61</v>
      </c>
      <c r="L10" s="21" t="n">
        <f aca="false">IF(9&lt;=Assumptions!$B$27,Assumptions!$B$6/Assumptions!$B$27,0)</f>
        <v>2.61</v>
      </c>
      <c r="M10" s="21" t="n">
        <f aca="false">IF(10&lt;=Assumptions!$B$27,Assumptions!$B$6/Assumptions!$B$27,0)</f>
        <v>2.61</v>
      </c>
      <c r="N10" s="21" t="n">
        <f aca="false">IF(11&lt;=Assumptions!$B$27,Assumptions!$B$6/Assumptions!$B$27,0)</f>
        <v>2.61</v>
      </c>
      <c r="O10" s="21" t="n">
        <f aca="false">IF(12&lt;=Assumptions!$B$27,Assumptions!$B$6/Assumptions!$B$27,0)</f>
        <v>2.61</v>
      </c>
      <c r="P10" s="21" t="n">
        <f aca="false">IF(13&lt;=Assumptions!$B$27,Assumptions!$B$6/Assumptions!$B$27,0)</f>
        <v>2.61</v>
      </c>
      <c r="Q10" s="21" t="n">
        <f aca="false">IF(14&lt;=Assumptions!$B$27,Assumptions!$B$6/Assumptions!$B$27,0)</f>
        <v>2.61</v>
      </c>
      <c r="R10" s="21" t="n">
        <f aca="false">IF(15&lt;=Assumptions!$B$27,Assumptions!$B$6/Assumptions!$B$27,0)</f>
        <v>2.61</v>
      </c>
      <c r="S10" s="21" t="n">
        <f aca="false">IF(16&lt;=Assumptions!$B$27,Assumptions!$B$6/Assumptions!$B$27,0)</f>
        <v>2.61</v>
      </c>
      <c r="T10" s="21" t="n">
        <f aca="false">IF(17&lt;=Assumptions!$B$27,Assumptions!$B$6/Assumptions!$B$27,0)</f>
        <v>2.61</v>
      </c>
      <c r="U10" s="21" t="n">
        <f aca="false">IF(18&lt;=Assumptions!$B$27,Assumptions!$B$6/Assumptions!$B$27,0)</f>
        <v>2.61</v>
      </c>
      <c r="V10" s="21" t="n">
        <f aca="false">IF(19&lt;=Assumptions!$B$27,Assumptions!$B$6/Assumptions!$B$27,0)</f>
        <v>2.61</v>
      </c>
      <c r="W10" s="21" t="n">
        <f aca="false">IF(20&lt;=Assumptions!$B$27,Assumptions!$B$6/Assumptions!$B$27,0)</f>
        <v>2.61</v>
      </c>
      <c r="X10" s="21" t="n">
        <f aca="false">IF(21&lt;=Assumptions!$B$27,Assumptions!$B$6/Assumptions!$B$27,0)</f>
        <v>2.61</v>
      </c>
      <c r="Y10" s="21" t="n">
        <f aca="false">IF(22&lt;=Assumptions!$B$27,Assumptions!$B$6/Assumptions!$B$27,0)</f>
        <v>2.61</v>
      </c>
      <c r="Z10" s="21" t="n">
        <f aca="false">IF(23&lt;=Assumptions!$B$27,Assumptions!$B$6/Assumptions!$B$27,0)</f>
        <v>2.61</v>
      </c>
      <c r="AA10" s="21" t="n">
        <f aca="false">IF(24&lt;=Assumptions!$B$27,Assumptions!$B$6/Assumptions!$B$27,0)</f>
        <v>2.61</v>
      </c>
      <c r="AB10" s="21" t="n">
        <f aca="false">IF(25&lt;=Assumptions!$B$27,Assumptions!$B$6/Assumptions!$B$27,0)</f>
        <v>2.61</v>
      </c>
    </row>
    <row r="11" customFormat="false" ht="15" hidden="false" customHeight="false" outlineLevel="0" collapsed="false">
      <c r="A11" s="11" t="s">
        <v>55</v>
      </c>
      <c r="C11" s="20"/>
      <c r="D11" s="21" t="n">
        <f aca="false">D9-D10</f>
        <v>6.17</v>
      </c>
      <c r="E11" s="21" t="n">
        <f aca="false">E9-E10</f>
        <v>6.1128</v>
      </c>
      <c r="F11" s="21" t="n">
        <f aca="false">F9-F10</f>
        <v>6.0553872</v>
      </c>
      <c r="G11" s="21" t="n">
        <f aca="false">G9-G10</f>
        <v>5.9977536192</v>
      </c>
      <c r="H11" s="21" t="n">
        <f aca="false">H9-H10</f>
        <v>5.9398911320832</v>
      </c>
      <c r="I11" s="21" t="n">
        <f aca="false">I9-I10</f>
        <v>5.88179146546207</v>
      </c>
      <c r="J11" s="21" t="n">
        <f aca="false">J9-J10</f>
        <v>5.82344619546556</v>
      </c>
      <c r="K11" s="21" t="n">
        <f aca="false">K9-K10</f>
        <v>5.76484674446635</v>
      </c>
      <c r="L11" s="21" t="n">
        <f aca="false">L9-L10</f>
        <v>5.70598437794679</v>
      </c>
      <c r="M11" s="21" t="n">
        <f aca="false">M9-M10</f>
        <v>5.64685020130247</v>
      </c>
      <c r="N11" s="21" t="n">
        <f aca="false">N9-N10</f>
        <v>5.58743515658208</v>
      </c>
      <c r="O11" s="21" t="n">
        <f aca="false">O9-O10</f>
        <v>5.52773001916227</v>
      </c>
      <c r="P11" s="21" t="n">
        <f aca="false">P9-P10</f>
        <v>5.46772539435627</v>
      </c>
      <c r="Q11" s="21" t="n">
        <f aca="false">Q9-Q10</f>
        <v>5.4074117139549</v>
      </c>
      <c r="R11" s="21" t="n">
        <f aca="false">R9-R10</f>
        <v>5.34677923269866</v>
      </c>
      <c r="S11" s="21" t="n">
        <f aca="false">S9-S10</f>
        <v>5.28581802467944</v>
      </c>
      <c r="T11" s="21" t="n">
        <f aca="false">T9-T10</f>
        <v>5.22451797967052</v>
      </c>
      <c r="U11" s="21" t="n">
        <f aca="false">U9-U10</f>
        <v>5.16286879938344</v>
      </c>
      <c r="V11" s="21" t="n">
        <f aca="false">V9-V10</f>
        <v>5.10085999365014</v>
      </c>
      <c r="W11" s="21" t="n">
        <f aca="false">W9-W10</f>
        <v>5.03848087652905</v>
      </c>
      <c r="X11" s="21" t="n">
        <f aca="false">X9-X10</f>
        <v>4.97572056233352</v>
      </c>
      <c r="Y11" s="21" t="n">
        <f aca="false">Y9-Y10</f>
        <v>4.91256796158099</v>
      </c>
      <c r="Z11" s="21" t="n">
        <f aca="false">Z9-Z10</f>
        <v>4.8490117768614</v>
      </c>
      <c r="AA11" s="21" t="n">
        <f aca="false">AA9-AA10</f>
        <v>4.78504049862322</v>
      </c>
      <c r="AB11" s="21" t="n">
        <f aca="false">AB9-AB10</f>
        <v>4.72064240087538</v>
      </c>
    </row>
    <row r="12" customFormat="false" ht="15" hidden="false" customHeight="false" outlineLevel="0" collapsed="false">
      <c r="A12" s="7" t="s">
        <v>56</v>
      </c>
      <c r="C12" s="20"/>
      <c r="D12" s="21" t="n">
        <f aca="false">IF(1&lt;=Assumptions!$B$14,INDEX('Debt Schedule'!$C$5:$C$19,1),0)</f>
        <v>2.28375</v>
      </c>
      <c r="E12" s="21" t="n">
        <f aca="false">IF(2&lt;=Assumptions!$B$14,INDEX('Debt Schedule'!$C$5:$C$19,2),0)</f>
        <v>2.17791580067239</v>
      </c>
      <c r="F12" s="21" t="n">
        <f aca="false">IF(3&lt;=Assumptions!$B$14,INDEX('Debt Schedule'!$C$5:$C$19,3),0)</f>
        <v>2.0667898913784</v>
      </c>
      <c r="G12" s="21" t="n">
        <f aca="false">IF(4&lt;=Assumptions!$B$14,INDEX('Debt Schedule'!$C$5:$C$19,4),0)</f>
        <v>1.9501076866197</v>
      </c>
      <c r="H12" s="21" t="n">
        <f aca="false">IF(5&lt;=Assumptions!$B$14,INDEX('Debt Schedule'!$C$5:$C$19,5),0)</f>
        <v>1.82759137162308</v>
      </c>
      <c r="I12" s="21" t="n">
        <f aca="false">IF(6&lt;=Assumptions!$B$14,INDEX('Debt Schedule'!$C$5:$C$19,6),0)</f>
        <v>1.69894924087662</v>
      </c>
      <c r="J12" s="21" t="n">
        <f aca="false">IF(7&lt;=Assumptions!$B$14,INDEX('Debt Schedule'!$C$5:$C$19,7),0)</f>
        <v>1.56387500359284</v>
      </c>
      <c r="K12" s="21" t="n">
        <f aca="false">IF(8&lt;=Assumptions!$B$14,INDEX('Debt Schedule'!$C$5:$C$19,8),0)</f>
        <v>1.42204705444487</v>
      </c>
      <c r="L12" s="21" t="n">
        <f aca="false">IF(9&lt;=Assumptions!$B$14,INDEX('Debt Schedule'!$C$5:$C$19,9),0)</f>
        <v>1.2731277078395</v>
      </c>
      <c r="M12" s="21" t="n">
        <f aca="false">IF(10&lt;=Assumptions!$B$14,INDEX('Debt Schedule'!$C$5:$C$19,10),0)</f>
        <v>1.11676239390386</v>
      </c>
      <c r="N12" s="21" t="n">
        <f aca="false">IF(11&lt;=Assumptions!$B$14,INDEX('Debt Schedule'!$C$5:$C$19,11),0)</f>
        <v>0.952578814271443</v>
      </c>
      <c r="O12" s="21" t="n">
        <f aca="false">IF(12&lt;=Assumptions!$B$14,INDEX('Debt Schedule'!$C$5:$C$19,12),0)</f>
        <v>0.780186055657403</v>
      </c>
      <c r="P12" s="21" t="n">
        <f aca="false">IF(13&lt;=Assumptions!$B$14,INDEX('Debt Schedule'!$C$5:$C$19,13),0)</f>
        <v>0.599173659112662</v>
      </c>
      <c r="Q12" s="21" t="n">
        <f aca="false">IF(14&lt;=Assumptions!$B$14,INDEX('Debt Schedule'!$C$5:$C$19,14),0)</f>
        <v>0.409110642740683</v>
      </c>
      <c r="R12" s="21" t="n">
        <f aca="false">IF(15&lt;=Assumptions!$B$14,INDEX('Debt Schedule'!$C$5:$C$19,15),0)</f>
        <v>0.209544475550105</v>
      </c>
      <c r="S12" s="21" t="n">
        <f aca="false">IF(16&lt;=Assumptions!$B$14,INDEX('Debt Schedule'!$C$5:$C$19,16),0)</f>
        <v>0</v>
      </c>
      <c r="T12" s="21" t="n">
        <f aca="false">IF(17&lt;=Assumptions!$B$14,INDEX('Debt Schedule'!$C$5:$C$19,17),0)</f>
        <v>0</v>
      </c>
      <c r="U12" s="21" t="n">
        <f aca="false">IF(18&lt;=Assumptions!$B$14,INDEX('Debt Schedule'!$C$5:$C$19,18),0)</f>
        <v>0</v>
      </c>
      <c r="V12" s="21" t="n">
        <f aca="false">IF(19&lt;=Assumptions!$B$14,INDEX('Debt Schedule'!$C$5:$C$19,19),0)</f>
        <v>0</v>
      </c>
      <c r="W12" s="21" t="n">
        <f aca="false">IF(20&lt;=Assumptions!$B$14,INDEX('Debt Schedule'!$C$5:$C$19,20),0)</f>
        <v>0</v>
      </c>
      <c r="X12" s="21" t="n">
        <f aca="false">IF(21&lt;=Assumptions!$B$14,INDEX('Debt Schedule'!$C$5:$C$19,21),0)</f>
        <v>0</v>
      </c>
      <c r="Y12" s="21" t="n">
        <f aca="false">IF(22&lt;=Assumptions!$B$14,INDEX('Debt Schedule'!$C$5:$C$19,22),0)</f>
        <v>0</v>
      </c>
      <c r="Z12" s="21" t="n">
        <f aca="false">IF(23&lt;=Assumptions!$B$14,INDEX('Debt Schedule'!$C$5:$C$19,23),0)</f>
        <v>0</v>
      </c>
      <c r="AA12" s="21" t="n">
        <f aca="false">IF(24&lt;=Assumptions!$B$14,INDEX('Debt Schedule'!$C$5:$C$19,24),0)</f>
        <v>0</v>
      </c>
      <c r="AB12" s="21" t="n">
        <f aca="false">IF(25&lt;=Assumptions!$B$14,INDEX('Debt Schedule'!$C$5:$C$19,25),0)</f>
        <v>0</v>
      </c>
    </row>
    <row r="13" customFormat="false" ht="15" hidden="false" customHeight="false" outlineLevel="0" collapsed="false">
      <c r="A13" s="11" t="s">
        <v>57</v>
      </c>
      <c r="C13" s="20"/>
      <c r="D13" s="21" t="n">
        <f aca="false">D11-D12</f>
        <v>3.88625</v>
      </c>
      <c r="E13" s="21" t="n">
        <f aca="false">E11-E12</f>
        <v>3.93488419932761</v>
      </c>
      <c r="F13" s="21" t="n">
        <f aca="false">F11-F12</f>
        <v>3.9885973086216</v>
      </c>
      <c r="G13" s="21" t="n">
        <f aca="false">G11-G12</f>
        <v>4.0476459325803</v>
      </c>
      <c r="H13" s="21" t="n">
        <f aca="false">H11-H12</f>
        <v>4.11229976046012</v>
      </c>
      <c r="I13" s="21" t="n">
        <f aca="false">I11-I12</f>
        <v>4.18284222458545</v>
      </c>
      <c r="J13" s="21" t="n">
        <f aca="false">J11-J12</f>
        <v>4.25957119187273</v>
      </c>
      <c r="K13" s="21" t="n">
        <f aca="false">K11-K12</f>
        <v>4.34279969002148</v>
      </c>
      <c r="L13" s="21" t="n">
        <f aca="false">L11-L12</f>
        <v>4.43285667010729</v>
      </c>
      <c r="M13" s="21" t="n">
        <f aca="false">M11-M12</f>
        <v>4.53008780739861</v>
      </c>
      <c r="N13" s="21" t="n">
        <f aca="false">N11-N12</f>
        <v>4.63485634231064</v>
      </c>
      <c r="O13" s="21" t="n">
        <f aca="false">O11-O12</f>
        <v>4.74754396350487</v>
      </c>
      <c r="P13" s="21" t="n">
        <f aca="false">P11-P12</f>
        <v>4.86855173524361</v>
      </c>
      <c r="Q13" s="21" t="n">
        <f aca="false">Q11-Q12</f>
        <v>4.99830107121422</v>
      </c>
      <c r="R13" s="21" t="n">
        <f aca="false">R11-R12</f>
        <v>5.13723475714856</v>
      </c>
      <c r="S13" s="21" t="n">
        <f aca="false">S11-S12</f>
        <v>5.28581802467944</v>
      </c>
      <c r="T13" s="21" t="n">
        <f aca="false">T11-T12</f>
        <v>5.22451797967052</v>
      </c>
      <c r="U13" s="21" t="n">
        <f aca="false">U11-U12</f>
        <v>5.16286879938344</v>
      </c>
      <c r="V13" s="21" t="n">
        <f aca="false">V11-V12</f>
        <v>5.10085999365014</v>
      </c>
      <c r="W13" s="21" t="n">
        <f aca="false">W11-W12</f>
        <v>5.03848087652905</v>
      </c>
      <c r="X13" s="21" t="n">
        <f aca="false">X11-X12</f>
        <v>4.97572056233352</v>
      </c>
      <c r="Y13" s="21" t="n">
        <f aca="false">Y11-Y12</f>
        <v>4.91256796158099</v>
      </c>
      <c r="Z13" s="21" t="n">
        <f aca="false">Z11-Z12</f>
        <v>4.8490117768614</v>
      </c>
      <c r="AA13" s="21" t="n">
        <f aca="false">AA11-AA12</f>
        <v>4.78504049862322</v>
      </c>
      <c r="AB13" s="21" t="n">
        <f aca="false">AB11-AB12</f>
        <v>4.72064240087538</v>
      </c>
    </row>
    <row r="14" customFormat="false" ht="15" hidden="false" customHeight="false" outlineLevel="0" collapsed="false">
      <c r="A14" s="7" t="s">
        <v>58</v>
      </c>
      <c r="C14" s="20"/>
      <c r="D14" s="21" t="n">
        <f aca="false">MAX(D13,0)*Assumptions!$B$28</f>
        <v>0.48578125</v>
      </c>
      <c r="E14" s="21" t="n">
        <f aca="false">MAX(E13,0)*Assumptions!$B$28</f>
        <v>0.491860524915952</v>
      </c>
      <c r="F14" s="21" t="n">
        <f aca="false">MAX(F13,0)*Assumptions!$B$28</f>
        <v>0.498574663577701</v>
      </c>
      <c r="G14" s="21" t="n">
        <f aca="false">MAX(G13,0)*Assumptions!$B$28</f>
        <v>0.505955741572537</v>
      </c>
      <c r="H14" s="21" t="n">
        <f aca="false">MAX(H13,0)*Assumptions!$B$28</f>
        <v>0.514037470057515</v>
      </c>
      <c r="I14" s="21" t="n">
        <f aca="false">MAX(I13,0)*Assumptions!$B$28</f>
        <v>0.522855278073181</v>
      </c>
      <c r="J14" s="21" t="n">
        <f aca="false">MAX(J13,0)*Assumptions!$B$28</f>
        <v>0.532446398984091</v>
      </c>
      <c r="K14" s="21" t="n">
        <f aca="false">MAX(K13,0)*Assumptions!$B$28</f>
        <v>0.542849961252685</v>
      </c>
      <c r="L14" s="21" t="n">
        <f aca="false">MAX(L13,0)*Assumptions!$B$28</f>
        <v>0.554107083763412</v>
      </c>
      <c r="M14" s="21" t="n">
        <f aca="false">MAX(M13,0)*Assumptions!$B$28</f>
        <v>0.566260975924826</v>
      </c>
      <c r="N14" s="21" t="n">
        <f aca="false">MAX(N13,0)*Assumptions!$B$28</f>
        <v>0.57935704278883</v>
      </c>
      <c r="O14" s="21" t="n">
        <f aca="false">MAX(O13,0)*Assumptions!$B$28</f>
        <v>0.593442995438108</v>
      </c>
      <c r="P14" s="21" t="n">
        <f aca="false">MAX(P13,0)*Assumptions!$B$28</f>
        <v>0.608568966905451</v>
      </c>
      <c r="Q14" s="21" t="n">
        <f aca="false">MAX(Q13,0)*Assumptions!$B$28</f>
        <v>0.624787633901777</v>
      </c>
      <c r="R14" s="21" t="n">
        <f aca="false">MAX(R13,0)*Assumptions!$B$28</f>
        <v>0.642154344643569</v>
      </c>
      <c r="S14" s="21" t="n">
        <f aca="false">MAX(S13,0)*Assumptions!$B$28</f>
        <v>0.66072725308493</v>
      </c>
      <c r="T14" s="21" t="n">
        <f aca="false">MAX(T13,0)*Assumptions!$B$28</f>
        <v>0.653064747458815</v>
      </c>
      <c r="U14" s="21" t="n">
        <f aca="false">MAX(U13,0)*Assumptions!$B$28</f>
        <v>0.64535859992293</v>
      </c>
      <c r="V14" s="21" t="n">
        <f aca="false">MAX(V13,0)*Assumptions!$B$28</f>
        <v>0.637607499206267</v>
      </c>
      <c r="W14" s="21" t="n">
        <f aca="false">MAX(W13,0)*Assumptions!$B$28</f>
        <v>0.629810109566132</v>
      </c>
      <c r="X14" s="21" t="n">
        <f aca="false">MAX(X13,0)*Assumptions!$B$28</f>
        <v>0.62196507029169</v>
      </c>
      <c r="Y14" s="21" t="n">
        <f aca="false">MAX(Y13,0)*Assumptions!$B$28</f>
        <v>0.614070995197623</v>
      </c>
      <c r="Z14" s="21" t="n">
        <f aca="false">MAX(Z13,0)*Assumptions!$B$28</f>
        <v>0.606126472107675</v>
      </c>
      <c r="AA14" s="21" t="n">
        <f aca="false">MAX(AA13,0)*Assumptions!$B$28</f>
        <v>0.598130062327902</v>
      </c>
      <c r="AB14" s="21" t="n">
        <f aca="false">MAX(AB13,0)*Assumptions!$B$28</f>
        <v>0.590080300109423</v>
      </c>
    </row>
    <row r="15" customFormat="false" ht="15" hidden="false" customHeight="false" outlineLevel="0" collapsed="false">
      <c r="A15" s="11" t="s">
        <v>59</v>
      </c>
      <c r="C15" s="20"/>
      <c r="D15" s="21" t="n">
        <f aca="false">D13-D14</f>
        <v>3.40046875</v>
      </c>
      <c r="E15" s="21" t="n">
        <f aca="false">E13-E14</f>
        <v>3.44302367441166</v>
      </c>
      <c r="F15" s="21" t="n">
        <f aca="false">F13-F14</f>
        <v>3.4900226450439</v>
      </c>
      <c r="G15" s="21" t="n">
        <f aca="false">G13-G14</f>
        <v>3.54169019100776</v>
      </c>
      <c r="H15" s="21" t="n">
        <f aca="false">H13-H14</f>
        <v>3.59826229040261</v>
      </c>
      <c r="I15" s="21" t="n">
        <f aca="false">I13-I14</f>
        <v>3.65998694651227</v>
      </c>
      <c r="J15" s="21" t="n">
        <f aca="false">J13-J14</f>
        <v>3.72712479288863</v>
      </c>
      <c r="K15" s="21" t="n">
        <f aca="false">K13-K14</f>
        <v>3.7999497287688</v>
      </c>
      <c r="L15" s="21" t="n">
        <f aca="false">L13-L14</f>
        <v>3.87874958634388</v>
      </c>
      <c r="M15" s="21" t="n">
        <f aca="false">M13-M14</f>
        <v>3.96382683147378</v>
      </c>
      <c r="N15" s="21" t="n">
        <f aca="false">N13-N14</f>
        <v>4.05549929952181</v>
      </c>
      <c r="O15" s="21" t="n">
        <f aca="false">O13-O14</f>
        <v>4.15410096806676</v>
      </c>
      <c r="P15" s="21" t="n">
        <f aca="false">P13-P14</f>
        <v>4.25998276833815</v>
      </c>
      <c r="Q15" s="21" t="n">
        <f aca="false">Q13-Q14</f>
        <v>4.37351343731244</v>
      </c>
      <c r="R15" s="21" t="n">
        <f aca="false">R13-R14</f>
        <v>4.49508041250499</v>
      </c>
      <c r="S15" s="21" t="n">
        <f aca="false">S13-S14</f>
        <v>4.62509077159451</v>
      </c>
      <c r="T15" s="21" t="n">
        <f aca="false">T13-T14</f>
        <v>4.57145323221171</v>
      </c>
      <c r="U15" s="21" t="n">
        <f aca="false">U13-U14</f>
        <v>4.51751019946051</v>
      </c>
      <c r="V15" s="21" t="n">
        <f aca="false">V13-V14</f>
        <v>4.46325249444387</v>
      </c>
      <c r="W15" s="21" t="n">
        <f aca="false">W13-W14</f>
        <v>4.40867076696292</v>
      </c>
      <c r="X15" s="21" t="n">
        <f aca="false">X13-X14</f>
        <v>4.35375549204183</v>
      </c>
      <c r="Y15" s="21" t="n">
        <f aca="false">Y13-Y14</f>
        <v>4.29849696638336</v>
      </c>
      <c r="Z15" s="21" t="n">
        <f aca="false">Z13-Z14</f>
        <v>4.24288530475372</v>
      </c>
      <c r="AA15" s="21" t="n">
        <f aca="false">AA13-AA14</f>
        <v>4.18691043629532</v>
      </c>
      <c r="AB15" s="21" t="n">
        <f aca="false">AB13-AB14</f>
        <v>4.13056210076596</v>
      </c>
    </row>
    <row r="16" customFormat="false" ht="15" hidden="false" customHeight="false" outlineLevel="0" collapsed="false">
      <c r="A16" s="7" t="s">
        <v>60</v>
      </c>
      <c r="C16" s="20"/>
      <c r="D16" s="21" t="n">
        <f aca="false">IF(1&lt;=Assumptions!$B$14,INDEX('Debt Schedule'!$D$5:$D$19,1),0)</f>
        <v>2.11668398655224</v>
      </c>
      <c r="E16" s="21" t="n">
        <f aca="false">IF(2&lt;=Assumptions!$B$14,INDEX('Debt Schedule'!$D$5:$D$19,2),0)</f>
        <v>2.22251818587985</v>
      </c>
      <c r="F16" s="21" t="n">
        <f aca="false">IF(3&lt;=Assumptions!$B$14,INDEX('Debt Schedule'!$D$5:$D$19,3),0)</f>
        <v>2.33364409517384</v>
      </c>
      <c r="G16" s="21" t="n">
        <f aca="false">IF(4&lt;=Assumptions!$B$14,INDEX('Debt Schedule'!$D$5:$D$19,4),0)</f>
        <v>2.45032629993253</v>
      </c>
      <c r="H16" s="21" t="n">
        <f aca="false">IF(5&lt;=Assumptions!$B$14,INDEX('Debt Schedule'!$D$5:$D$19,5),0)</f>
        <v>2.57284261492916</v>
      </c>
      <c r="I16" s="21" t="n">
        <f aca="false">IF(6&lt;=Assumptions!$B$14,INDEX('Debt Schedule'!$D$5:$D$19,6),0)</f>
        <v>2.70148474567562</v>
      </c>
      <c r="J16" s="21" t="n">
        <f aca="false">IF(7&lt;=Assumptions!$B$14,INDEX('Debt Schedule'!$D$5:$D$19,7),0)</f>
        <v>2.8365589829594</v>
      </c>
      <c r="K16" s="21" t="n">
        <f aca="false">IF(8&lt;=Assumptions!$B$14,INDEX('Debt Schedule'!$D$5:$D$19,8),0)</f>
        <v>2.97838693210737</v>
      </c>
      <c r="L16" s="21" t="n">
        <f aca="false">IF(9&lt;=Assumptions!$B$14,INDEX('Debt Schedule'!$D$5:$D$19,9),0)</f>
        <v>3.12730627871274</v>
      </c>
      <c r="M16" s="21" t="n">
        <f aca="false">IF(10&lt;=Assumptions!$B$14,INDEX('Debt Schedule'!$D$5:$D$19,10),0)</f>
        <v>3.28367159264838</v>
      </c>
      <c r="N16" s="21" t="n">
        <f aca="false">IF(11&lt;=Assumptions!$B$14,INDEX('Debt Schedule'!$D$5:$D$19,11),0)</f>
        <v>3.44785517228079</v>
      </c>
      <c r="O16" s="21" t="n">
        <f aca="false">IF(12&lt;=Assumptions!$B$14,INDEX('Debt Schedule'!$D$5:$D$19,12),0)</f>
        <v>3.62024793089483</v>
      </c>
      <c r="P16" s="21" t="n">
        <f aca="false">IF(13&lt;=Assumptions!$B$14,INDEX('Debt Schedule'!$D$5:$D$19,13),0)</f>
        <v>3.80126032743958</v>
      </c>
      <c r="Q16" s="21" t="n">
        <f aca="false">IF(14&lt;=Assumptions!$B$14,INDEX('Debt Schedule'!$D$5:$D$19,14),0)</f>
        <v>3.99132334381156</v>
      </c>
      <c r="R16" s="21" t="n">
        <f aca="false">IF(15&lt;=Assumptions!$B$14,INDEX('Debt Schedule'!$D$5:$D$19,15),0)</f>
        <v>4.19088951100213</v>
      </c>
      <c r="S16" s="21" t="n">
        <f aca="false">IF(16&lt;=Assumptions!$B$14,INDEX('Debt Schedule'!$D$5:$D$19,16),0)</f>
        <v>0</v>
      </c>
      <c r="T16" s="21" t="n">
        <f aca="false">IF(17&lt;=Assumptions!$B$14,INDEX('Debt Schedule'!$D$5:$D$19,17),0)</f>
        <v>0</v>
      </c>
      <c r="U16" s="21" t="n">
        <f aca="false">IF(18&lt;=Assumptions!$B$14,INDEX('Debt Schedule'!$D$5:$D$19,18),0)</f>
        <v>0</v>
      </c>
      <c r="V16" s="21" t="n">
        <f aca="false">IF(19&lt;=Assumptions!$B$14,INDEX('Debt Schedule'!$D$5:$D$19,19),0)</f>
        <v>0</v>
      </c>
      <c r="W16" s="21" t="n">
        <f aca="false">IF(20&lt;=Assumptions!$B$14,INDEX('Debt Schedule'!$D$5:$D$19,20),0)</f>
        <v>0</v>
      </c>
      <c r="X16" s="21" t="n">
        <f aca="false">IF(21&lt;=Assumptions!$B$14,INDEX('Debt Schedule'!$D$5:$D$19,21),0)</f>
        <v>0</v>
      </c>
      <c r="Y16" s="21" t="n">
        <f aca="false">IF(22&lt;=Assumptions!$B$14,INDEX('Debt Schedule'!$D$5:$D$19,22),0)</f>
        <v>0</v>
      </c>
      <c r="Z16" s="21" t="n">
        <f aca="false">IF(23&lt;=Assumptions!$B$14,INDEX('Debt Schedule'!$D$5:$D$19,23),0)</f>
        <v>0</v>
      </c>
      <c r="AA16" s="21" t="n">
        <f aca="false">IF(24&lt;=Assumptions!$B$14,INDEX('Debt Schedule'!$D$5:$D$19,24),0)</f>
        <v>0</v>
      </c>
      <c r="AB16" s="21" t="n">
        <f aca="false">IF(25&lt;=Assumptions!$B$14,INDEX('Debt Schedule'!$D$5:$D$19,25),0)</f>
        <v>0</v>
      </c>
    </row>
    <row r="17" customFormat="false" ht="15" hidden="false" customHeight="false" outlineLevel="0" collapsed="false">
      <c r="A17" s="11" t="s">
        <v>61</v>
      </c>
      <c r="C17" s="21" t="n">
        <f aca="false">-Assumptions!$B$11</f>
        <v>-19.575</v>
      </c>
      <c r="D17" s="21" t="n">
        <f aca="false">D15+D10-D16</f>
        <v>3.89378476344776</v>
      </c>
      <c r="E17" s="21" t="n">
        <f aca="false">E15+E10-E16</f>
        <v>3.83050548853181</v>
      </c>
      <c r="F17" s="21" t="n">
        <f aca="false">F15+F10-F16</f>
        <v>3.76637854987006</v>
      </c>
      <c r="G17" s="21" t="n">
        <f aca="false">G15+G10-G16</f>
        <v>3.70136389107523</v>
      </c>
      <c r="H17" s="21" t="n">
        <f aca="false">H15+H10-H16</f>
        <v>3.63541967547345</v>
      </c>
      <c r="I17" s="21" t="n">
        <f aca="false">I15+I10-I16</f>
        <v>3.56850220083665</v>
      </c>
      <c r="J17" s="21" t="n">
        <f aca="false">J15+J10-J16</f>
        <v>3.50056580992923</v>
      </c>
      <c r="K17" s="21" t="n">
        <f aca="false">K15+K10-K16</f>
        <v>3.43156279666143</v>
      </c>
      <c r="L17" s="21" t="n">
        <f aca="false">L15+L10-L16</f>
        <v>3.36144330763114</v>
      </c>
      <c r="M17" s="21" t="n">
        <f aca="false">M15+M10-M16</f>
        <v>3.29015523882541</v>
      </c>
      <c r="N17" s="21" t="n">
        <f aca="false">N15+N10-N16</f>
        <v>3.21764412724101</v>
      </c>
      <c r="O17" s="21" t="n">
        <f aca="false">O15+O10-O16</f>
        <v>3.14385303717192</v>
      </c>
      <c r="P17" s="21" t="n">
        <f aca="false">P15+P10-P16</f>
        <v>3.06872244089858</v>
      </c>
      <c r="Q17" s="21" t="n">
        <f aca="false">Q15+Q10-Q16</f>
        <v>2.99219009350089</v>
      </c>
      <c r="R17" s="21" t="n">
        <f aca="false">R15+R10-R16</f>
        <v>2.91419090150285</v>
      </c>
      <c r="S17" s="21" t="n">
        <f aca="false">S15+S10-S16</f>
        <v>7.23509077159451</v>
      </c>
      <c r="T17" s="21" t="n">
        <f aca="false">T15+T10-T16</f>
        <v>7.18145323221171</v>
      </c>
      <c r="U17" s="21" t="n">
        <f aca="false">U15+U10-U16</f>
        <v>7.12751019946051</v>
      </c>
      <c r="V17" s="21" t="n">
        <f aca="false">V15+V10-V16</f>
        <v>7.07325249444387</v>
      </c>
      <c r="W17" s="21" t="n">
        <f aca="false">W15+W10-W16</f>
        <v>7.01867076696292</v>
      </c>
      <c r="X17" s="21" t="n">
        <f aca="false">X15+X10-X16</f>
        <v>6.96375549204183</v>
      </c>
      <c r="Y17" s="21" t="n">
        <f aca="false">Y15+Y10-Y16</f>
        <v>6.90849696638336</v>
      </c>
      <c r="Z17" s="21" t="n">
        <f aca="false">Z15+Z10-Z16</f>
        <v>6.85288530475372</v>
      </c>
      <c r="AA17" s="21" t="n">
        <f aca="false">AA15+AA10-AA16</f>
        <v>6.79691043629532</v>
      </c>
      <c r="AB17" s="21" t="n">
        <f aca="false">AB15+AB10-AB16</f>
        <v>6.74056210076596</v>
      </c>
    </row>
    <row r="18" customFormat="false" ht="15" hidden="false" customHeight="false" outlineLevel="0" collapsed="false">
      <c r="A18" s="11" t="s">
        <v>62</v>
      </c>
      <c r="C18" s="21" t="n">
        <f aca="false">-Assumptions!$B$6</f>
        <v>-65.25</v>
      </c>
      <c r="D18" s="21" t="n">
        <f aca="false">(D11-MAX(D11,0)*Assumptions!$B$28)+D10</f>
        <v>8.00875</v>
      </c>
      <c r="E18" s="21" t="n">
        <f aca="false">(E11-MAX(E11,0)*Assumptions!$B$28)+E10</f>
        <v>7.9587</v>
      </c>
      <c r="F18" s="21" t="n">
        <f aca="false">(F11-MAX(F11,0)*Assumptions!$B$28)+F10</f>
        <v>7.9084638</v>
      </c>
      <c r="G18" s="21" t="n">
        <f aca="false">(G11-MAX(G11,0)*Assumptions!$B$28)+G10</f>
        <v>7.8580344168</v>
      </c>
      <c r="H18" s="21" t="n">
        <f aca="false">(H11-MAX(H11,0)*Assumptions!$B$28)+H10</f>
        <v>7.8074047405728</v>
      </c>
      <c r="I18" s="21" t="n">
        <f aca="false">(I11-MAX(I11,0)*Assumptions!$B$28)+I10</f>
        <v>7.75656753227931</v>
      </c>
      <c r="J18" s="21" t="n">
        <f aca="false">(J11-MAX(J11,0)*Assumptions!$B$28)+J10</f>
        <v>7.70551542103237</v>
      </c>
      <c r="K18" s="21" t="n">
        <f aca="false">(K11-MAX(K11,0)*Assumptions!$B$28)+K10</f>
        <v>7.65424090140806</v>
      </c>
      <c r="L18" s="21" t="n">
        <f aca="false">(L11-MAX(L11,0)*Assumptions!$B$28)+L10</f>
        <v>7.60273633070344</v>
      </c>
      <c r="M18" s="21" t="n">
        <f aca="false">(M11-MAX(M11,0)*Assumptions!$B$28)+M10</f>
        <v>7.55099392613966</v>
      </c>
      <c r="N18" s="21" t="n">
        <f aca="false">(N11-MAX(N11,0)*Assumptions!$B$28)+N10</f>
        <v>7.49900576200932</v>
      </c>
      <c r="O18" s="21" t="n">
        <f aca="false">(O11-MAX(O11,0)*Assumptions!$B$28)+O10</f>
        <v>7.44676376676699</v>
      </c>
      <c r="P18" s="21" t="n">
        <f aca="false">(P11-MAX(P11,0)*Assumptions!$B$28)+P10</f>
        <v>7.39425972006173</v>
      </c>
      <c r="Q18" s="21" t="n">
        <f aca="false">(Q11-MAX(Q11,0)*Assumptions!$B$28)+Q10</f>
        <v>7.34148524971054</v>
      </c>
      <c r="R18" s="21" t="n">
        <f aca="false">(R11-MAX(R11,0)*Assumptions!$B$28)+R10</f>
        <v>7.28843182861133</v>
      </c>
      <c r="S18" s="21" t="n">
        <f aca="false">(S11-MAX(S11,0)*Assumptions!$B$28)+S10</f>
        <v>7.23509077159451</v>
      </c>
      <c r="T18" s="21" t="n">
        <f aca="false">(T11-MAX(T11,0)*Assumptions!$B$28)+T10</f>
        <v>7.18145323221171</v>
      </c>
      <c r="U18" s="21" t="n">
        <f aca="false">(U11-MAX(U11,0)*Assumptions!$B$28)+U10</f>
        <v>7.12751019946051</v>
      </c>
      <c r="V18" s="21" t="n">
        <f aca="false">(V11-MAX(V11,0)*Assumptions!$B$28)+V10</f>
        <v>7.07325249444387</v>
      </c>
      <c r="W18" s="21" t="n">
        <f aca="false">(W11-MAX(W11,0)*Assumptions!$B$28)+W10</f>
        <v>7.01867076696292</v>
      </c>
      <c r="X18" s="21" t="n">
        <f aca="false">(X11-MAX(X11,0)*Assumptions!$B$28)+X10</f>
        <v>6.96375549204183</v>
      </c>
      <c r="Y18" s="21" t="n">
        <f aca="false">(Y11-MAX(Y11,0)*Assumptions!$B$28)+Y10</f>
        <v>6.90849696638336</v>
      </c>
      <c r="Z18" s="21" t="n">
        <f aca="false">(Z11-MAX(Z11,0)*Assumptions!$B$28)+Z10</f>
        <v>6.85288530475372</v>
      </c>
      <c r="AA18" s="21" t="n">
        <f aca="false">(AA11-MAX(AA11,0)*Assumptions!$B$28)+AA10</f>
        <v>6.79691043629532</v>
      </c>
      <c r="AB18" s="21" t="n">
        <f aca="false">(AB11-MAX(AB11,0)*Assumptions!$B$28)+AB10</f>
        <v>6.74056210076596</v>
      </c>
    </row>
    <row r="19" customFormat="false" ht="15" hidden="false" customHeight="false" outlineLevel="0" collapsed="false">
      <c r="A19" s="11" t="s">
        <v>63</v>
      </c>
      <c r="C19" s="22"/>
      <c r="D19" s="23" t="n">
        <f aca="false">IF((D12+D16)=0,"n/d",D9/(D12+D16))</f>
        <v>1.99525774658403</v>
      </c>
      <c r="E19" s="23" t="n">
        <f aca="false">IF((E12+E16)=0,"n/d",E9/(E12+E16))</f>
        <v>1.98225902869057</v>
      </c>
      <c r="F19" s="23" t="n">
        <f aca="false">IF((F12+F16)=0,"n/d",F9/(F12+F16))</f>
        <v>1.96921195193054</v>
      </c>
      <c r="G19" s="23" t="n">
        <f aca="false">IF((G12+G16)=0,"n/d",G9/(G12+G16))</f>
        <v>1.95611470266464</v>
      </c>
      <c r="H19" s="23" t="n">
        <f aca="false">IF((H12+H16)=0,"n/d",H9/(H12+H16))</f>
        <v>1.94296543436664</v>
      </c>
      <c r="I19" s="23" t="n">
        <f aca="false">IF((I12+I16)=0,"n/d",I9/(I12+I16))</f>
        <v>1.92976226695209</v>
      </c>
      <c r="J19" s="23" t="n">
        <f aca="false">IF((J12+J16)=0,"n/d",J9/(J12+J16))</f>
        <v>1.91650328609365</v>
      </c>
      <c r="K19" s="23" t="n">
        <f aca="false">IF((K12+K16)=0,"n/d",K9/(K12+K16))</f>
        <v>1.90318654252284</v>
      </c>
      <c r="L19" s="23" t="n">
        <f aca="false">IF((L12+L16)=0,"n/d",L9/(L12+L16))</f>
        <v>1.88981005131778</v>
      </c>
      <c r="M19" s="23" t="n">
        <f aca="false">IF((M12+M16)=0,"n/d",M9/(M12+M16))</f>
        <v>1.87637179117684</v>
      </c>
      <c r="N19" s="23" t="n">
        <f aca="false">IF((N12+N16)=0,"n/d",N9/(N12+N16))</f>
        <v>1.86286970367775</v>
      </c>
      <c r="O19" s="23" t="n">
        <f aca="false">IF((O12+O16)=0,"n/d",O9/(O12+O16))</f>
        <v>1.84930169252197</v>
      </c>
      <c r="P19" s="23" t="n">
        <f aca="false">IF((P12+P16)=0,"n/d",P9/(P12+P16))</f>
        <v>1.835665622764</v>
      </c>
      <c r="Q19" s="23" t="n">
        <f aca="false">IF((Q12+Q16)=0,"n/d",Q9/(Q12+Q16))</f>
        <v>1.82195932002529</v>
      </c>
      <c r="R19" s="23" t="n">
        <f aca="false">IF((R12+R16)=0,"n/d",R9/(R12+R16))</f>
        <v>1.80818056969259</v>
      </c>
      <c r="S19" s="23" t="str">
        <f aca="false">IF((S12+S16)=0,"n/d",S9/(S12+S16))</f>
        <v>n/d</v>
      </c>
      <c r="T19" s="23" t="str">
        <f aca="false">IF((T12+T16)=0,"n/d",T9/(T12+T16))</f>
        <v>n/d</v>
      </c>
      <c r="U19" s="23" t="str">
        <f aca="false">IF((U12+U16)=0,"n/d",U9/(U12+U16))</f>
        <v>n/d</v>
      </c>
      <c r="V19" s="23" t="str">
        <f aca="false">IF((V12+V16)=0,"n/d",V9/(V12+V16))</f>
        <v>n/d</v>
      </c>
      <c r="W19" s="23" t="str">
        <f aca="false">IF((W12+W16)=0,"n/d",W9/(W12+W16))</f>
        <v>n/d</v>
      </c>
      <c r="X19" s="23" t="str">
        <f aca="false">IF((X12+X16)=0,"n/d",X9/(X12+X16))</f>
        <v>n/d</v>
      </c>
      <c r="Y19" s="23" t="str">
        <f aca="false">IF((Y12+Y16)=0,"n/d",Y9/(Y12+Y16))</f>
        <v>n/d</v>
      </c>
      <c r="Z19" s="23" t="str">
        <f aca="false">IF((Z12+Z16)=0,"n/d",Z9/(Z12+Z16))</f>
        <v>n/d</v>
      </c>
      <c r="AA19" s="23" t="str">
        <f aca="false">IF((AA12+AA16)=0,"n/d",AA9/(AA12+AA16))</f>
        <v>n/d</v>
      </c>
      <c r="AB19" s="23" t="str">
        <f aca="false">IF((AB12+AB16)=0,"n/d",AB9/(AB12+AB16))</f>
        <v>n/d</v>
      </c>
    </row>
    <row r="20" customFormat="false" ht="15" hidden="false" customHeight="false" outlineLevel="0" collapsed="false">
      <c r="A20" s="7" t="s">
        <v>64</v>
      </c>
      <c r="C20" s="21" t="n">
        <f aca="false">C17</f>
        <v>-19.575</v>
      </c>
      <c r="D20" s="21" t="n">
        <f aca="false">C20+D17</f>
        <v>-15.6812152365522</v>
      </c>
      <c r="E20" s="21" t="n">
        <f aca="false">D20+E17</f>
        <v>-11.8507097480204</v>
      </c>
      <c r="F20" s="21" t="n">
        <f aca="false">E20+F17</f>
        <v>-8.08433119815036</v>
      </c>
      <c r="G20" s="21" t="n">
        <f aca="false">F20+G17</f>
        <v>-4.38296730707514</v>
      </c>
      <c r="H20" s="21" t="n">
        <f aca="false">G20+H17</f>
        <v>-0.747547631601694</v>
      </c>
      <c r="I20" s="21" t="n">
        <f aca="false">H20+I17</f>
        <v>2.82095456923495</v>
      </c>
      <c r="J20" s="21" t="n">
        <f aca="false">I20+J17</f>
        <v>6.32152037916419</v>
      </c>
      <c r="K20" s="21" t="n">
        <f aca="false">J20+K17</f>
        <v>9.75308317582562</v>
      </c>
      <c r="L20" s="21" t="n">
        <f aca="false">K20+L17</f>
        <v>13.1145264834568</v>
      </c>
      <c r="M20" s="21" t="n">
        <f aca="false">L20+M17</f>
        <v>16.4046817222822</v>
      </c>
      <c r="N20" s="21" t="n">
        <f aca="false">M20+N17</f>
        <v>19.6223258495232</v>
      </c>
      <c r="O20" s="21" t="n">
        <f aca="false">N20+O17</f>
        <v>22.7661788866951</v>
      </c>
      <c r="P20" s="21" t="n">
        <f aca="false">O20+P17</f>
        <v>25.8349013275937</v>
      </c>
      <c r="Q20" s="21" t="n">
        <f aca="false">P20+Q17</f>
        <v>28.8270914210946</v>
      </c>
      <c r="R20" s="21" t="n">
        <f aca="false">Q20+R17</f>
        <v>31.7412823225974</v>
      </c>
      <c r="S20" s="21" t="n">
        <f aca="false">R20+S17</f>
        <v>38.9763730941919</v>
      </c>
      <c r="T20" s="21" t="n">
        <f aca="false">S20+T17</f>
        <v>46.1578263264036</v>
      </c>
      <c r="U20" s="21" t="n">
        <f aca="false">T20+U17</f>
        <v>53.2853365258641</v>
      </c>
      <c r="V20" s="21" t="n">
        <f aca="false">U20+V17</f>
        <v>60.358589020308</v>
      </c>
      <c r="W20" s="21" t="n">
        <f aca="false">V20+W17</f>
        <v>67.3772597872709</v>
      </c>
      <c r="X20" s="21" t="n">
        <f aca="false">W20+X17</f>
        <v>74.3410152793128</v>
      </c>
      <c r="Y20" s="21" t="n">
        <f aca="false">X20+Y17</f>
        <v>81.2495122456961</v>
      </c>
      <c r="Z20" s="21" t="n">
        <f aca="false">Y20+Z17</f>
        <v>88.1023975504499</v>
      </c>
      <c r="AA20" s="21" t="n">
        <f aca="false">Z20+AA17</f>
        <v>94.8993079867452</v>
      </c>
      <c r="AB20" s="21" t="n">
        <f aca="false">AA20+AB17</f>
        <v>101.639870087511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3" t="s">
        <v>66</v>
      </c>
      <c r="B3" s="4"/>
      <c r="C3" s="4"/>
    </row>
    <row r="4" customFormat="false" ht="15" hidden="false" customHeight="false" outlineLevel="0" collapsed="false">
      <c r="A4" s="11" t="s">
        <v>67</v>
      </c>
      <c r="B4" s="24" t="n">
        <f aca="false">IRR('Cash Flow'!C17:AB17)</f>
        <v>0.193297555299304</v>
      </c>
    </row>
    <row r="5" customFormat="false" ht="15" hidden="false" customHeight="false" outlineLevel="0" collapsed="false">
      <c r="A5" s="7" t="s">
        <v>68</v>
      </c>
      <c r="B5" s="25" t="n">
        <f aca="false">'Cash Flow'!C17+NPV(Assumptions!$B$29,'Cash Flow'!D17:AB17)</f>
        <v>17.6995395290147</v>
      </c>
      <c r="C5" s="7" t="s">
        <v>6</v>
      </c>
    </row>
    <row r="6" customFormat="false" ht="15" hidden="false" customHeight="false" outlineLevel="0" collapsed="false">
      <c r="A6" s="7" t="s">
        <v>69</v>
      </c>
      <c r="B6" s="23" t="n">
        <f aca="false">SUM('Cash Flow'!D17:AB17)/Assumptions!$B$11</f>
        <v>6.19233052809763</v>
      </c>
    </row>
    <row r="7" customFormat="false" ht="15" hidden="false" customHeight="false" outlineLevel="0" collapsed="false">
      <c r="A7" s="7" t="s">
        <v>70</v>
      </c>
      <c r="B7" s="26" t="n">
        <f aca="false">SUMPRODUCT(--('Cash Flow'!C20:AB20&lt;0))</f>
        <v>6</v>
      </c>
      <c r="C7" s="7" t="s">
        <v>71</v>
      </c>
    </row>
    <row r="9" customFormat="false" ht="15" hidden="false" customHeight="false" outlineLevel="0" collapsed="false">
      <c r="A9" s="3" t="s">
        <v>72</v>
      </c>
      <c r="B9" s="4"/>
      <c r="C9" s="4"/>
    </row>
    <row r="10" customFormat="false" ht="15" hidden="false" customHeight="false" outlineLevel="0" collapsed="false">
      <c r="A10" s="11" t="s">
        <v>73</v>
      </c>
      <c r="B10" s="24" t="n">
        <f aca="false">IRR('Cash Flow'!C18:AB18)</f>
        <v>0.108103866727586</v>
      </c>
    </row>
    <row r="11" customFormat="false" ht="15" hidden="false" customHeight="false" outlineLevel="0" collapsed="false">
      <c r="A11" s="7" t="s">
        <v>74</v>
      </c>
      <c r="B11" s="25" t="n">
        <f aca="false">'Cash Flow'!C18+NPV(Assumptions!$B$30,'Cash Flow'!D18:AB18)</f>
        <v>22.8968768156777</v>
      </c>
      <c r="C11" s="7" t="s">
        <v>6</v>
      </c>
    </row>
    <row r="13" customFormat="false" ht="15" hidden="false" customHeight="false" outlineLevel="0" collapsed="false">
      <c r="A13" s="3" t="s">
        <v>75</v>
      </c>
      <c r="B13" s="4"/>
      <c r="C13" s="4"/>
    </row>
    <row r="14" customFormat="false" ht="15" hidden="false" customHeight="false" outlineLevel="0" collapsed="false">
      <c r="A14" s="11" t="s">
        <v>76</v>
      </c>
      <c r="B14" s="27" t="n">
        <f aca="false">AVERAGE('Cash Flow'!D19:R19)</f>
        <v>1.90262798073208</v>
      </c>
    </row>
    <row r="15" customFormat="false" ht="15" hidden="false" customHeight="false" outlineLevel="0" collapsed="false">
      <c r="A15" s="11" t="s">
        <v>77</v>
      </c>
      <c r="B15" s="27" t="n">
        <f aca="false">MIN('Cash Flow'!D19:R19)</f>
        <v>1.80818056969259</v>
      </c>
      <c r="C15" s="8" t="s">
        <v>78</v>
      </c>
    </row>
    <row r="16" customFormat="false" ht="15" hidden="false" customHeight="false" outlineLevel="0" collapsed="false">
      <c r="A16" s="7" t="s">
        <v>79</v>
      </c>
      <c r="B16" s="25" t="n">
        <f aca="false">'Debt Schedule'!$E$5</f>
        <v>4.40043398655224</v>
      </c>
      <c r="C16" s="7" t="s">
        <v>80</v>
      </c>
    </row>
    <row r="18" customFormat="false" ht="15" hidden="false" customHeight="false" outlineLevel="0" collapsed="false">
      <c r="A18" s="3" t="s">
        <v>81</v>
      </c>
      <c r="B18" s="4"/>
      <c r="C18" s="4"/>
    </row>
    <row r="19" customFormat="false" ht="15" hidden="false" customHeight="false" outlineLevel="0" collapsed="false">
      <c r="A19" s="7" t="s">
        <v>82</v>
      </c>
      <c r="B19" s="25" t="n">
        <f aca="false">'Cash Flow'!D9</f>
        <v>8.78</v>
      </c>
      <c r="C19" s="7" t="s">
        <v>6</v>
      </c>
    </row>
    <row r="20" customFormat="false" ht="15" hidden="false" customHeight="false" outlineLevel="0" collapsed="false">
      <c r="A20" s="7" t="s">
        <v>83</v>
      </c>
      <c r="B20" s="10" t="n">
        <f aca="false">'Cash Flow'!D9/'Cash Flow'!D4</f>
        <v>0.905154639175258</v>
      </c>
    </row>
    <row r="21" customFormat="false" ht="15" hidden="false" customHeight="false" outlineLevel="0" collapsed="false">
      <c r="A21" s="7" t="s">
        <v>84</v>
      </c>
      <c r="B21" s="25" t="n">
        <f aca="false">'Cash Flow'!D17</f>
        <v>3.89378476344776</v>
      </c>
      <c r="C21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8" t="s">
        <v>86</v>
      </c>
    </row>
    <row r="4" customFormat="false" ht="15" hidden="false" customHeight="false" outlineLevel="0" collapsed="false">
      <c r="A4" s="28" t="s">
        <v>87</v>
      </c>
      <c r="B4" s="29" t="n">
        <v>-0.1</v>
      </c>
      <c r="C4" s="29" t="n">
        <v>0</v>
      </c>
      <c r="D4" s="29" t="n">
        <v>0.1</v>
      </c>
    </row>
    <row r="5" customFormat="false" ht="15" hidden="false" customHeight="false" outlineLevel="0" collapsed="false">
      <c r="A5" s="30" t="n">
        <v>-0.2</v>
      </c>
      <c r="B5" s="10" t="n">
        <f aca="false">C$65</f>
        <v>0.143762752609701</v>
      </c>
      <c r="C5" s="10" t="n">
        <f aca="false">D$65</f>
        <v>0.113981861028239</v>
      </c>
      <c r="D5" s="10" t="n">
        <f aca="false">E$65</f>
        <v>0.0903074125116519</v>
      </c>
    </row>
    <row r="6" customFormat="false" ht="15" hidden="false" customHeight="false" outlineLevel="0" collapsed="false">
      <c r="A6" s="30" t="n">
        <v>-0.1</v>
      </c>
      <c r="B6" s="10" t="n">
        <f aca="false">F$65</f>
        <v>0.188428557861875</v>
      </c>
      <c r="C6" s="10" t="n">
        <f aca="false">G$65</f>
        <v>0.152992692306074</v>
      </c>
      <c r="D6" s="10" t="n">
        <f aca="false">H$65</f>
        <v>0.124908652343972</v>
      </c>
    </row>
    <row r="7" customFormat="false" ht="15" hidden="false" customHeight="false" outlineLevel="0" collapsed="false">
      <c r="A7" s="30" t="n">
        <v>0</v>
      </c>
      <c r="B7" s="10" t="n">
        <f aca="false">I$65</f>
        <v>0.234505804557944</v>
      </c>
      <c r="C7" s="31" t="n">
        <f aca="false">J$65</f>
        <v>0.193297555299304</v>
      </c>
      <c r="D7" s="10" t="n">
        <f aca="false">K$65</f>
        <v>0.160553592116361</v>
      </c>
    </row>
    <row r="8" customFormat="false" ht="15" hidden="false" customHeight="false" outlineLevel="0" collapsed="false">
      <c r="A8" s="30" t="n">
        <v>0.1</v>
      </c>
      <c r="B8" s="10" t="n">
        <f aca="false">L$65</f>
        <v>0.281624912063989</v>
      </c>
      <c r="C8" s="10" t="n">
        <f aca="false">M$65</f>
        <v>0.23474124923985</v>
      </c>
      <c r="D8" s="10" t="n">
        <f aca="false">N$65</f>
        <v>0.197275365277787</v>
      </c>
    </row>
    <row r="9" customFormat="false" ht="15" hidden="false" customHeight="false" outlineLevel="0" collapsed="false">
      <c r="A9" s="30" t="n">
        <v>0.2</v>
      </c>
      <c r="B9" s="10" t="n">
        <f aca="false">O$65</f>
        <v>0.329410985592742</v>
      </c>
      <c r="C9" s="10" t="n">
        <f aca="false">P$65</f>
        <v>0.277044928202452</v>
      </c>
      <c r="D9" s="10" t="n">
        <f aca="false">Q$65</f>
        <v>0.234933237405818</v>
      </c>
    </row>
    <row r="12" customFormat="false" ht="15" hidden="false" customHeight="false" outlineLevel="0" collapsed="false">
      <c r="A12" s="8" t="s">
        <v>88</v>
      </c>
    </row>
    <row r="28" customFormat="false" ht="15" hidden="false" customHeight="false" outlineLevel="0" collapsed="false">
      <c r="A28" s="8" t="s">
        <v>89</v>
      </c>
    </row>
    <row r="30" customFormat="false" ht="15" hidden="false" customHeight="false" outlineLevel="0" collapsed="false">
      <c r="A30" s="7" t="s">
        <v>90</v>
      </c>
      <c r="C30" s="7" t="n">
        <v>1</v>
      </c>
      <c r="D30" s="7" t="n">
        <v>2</v>
      </c>
      <c r="E30" s="7" t="n">
        <v>3</v>
      </c>
      <c r="F30" s="7" t="n">
        <v>4</v>
      </c>
      <c r="G30" s="7" t="n">
        <v>5</v>
      </c>
      <c r="H30" s="7" t="n">
        <v>6</v>
      </c>
      <c r="I30" s="7" t="n">
        <v>7</v>
      </c>
      <c r="J30" s="7" t="n">
        <v>8</v>
      </c>
      <c r="K30" s="7" t="n">
        <v>9</v>
      </c>
      <c r="L30" s="7" t="n">
        <v>10</v>
      </c>
      <c r="M30" s="7" t="n">
        <v>11</v>
      </c>
      <c r="N30" s="7" t="n">
        <v>12</v>
      </c>
      <c r="O30" s="7" t="n">
        <v>13</v>
      </c>
      <c r="P30" s="7" t="n">
        <v>14</v>
      </c>
      <c r="Q30" s="7" t="n">
        <v>15</v>
      </c>
    </row>
    <row r="31" customFormat="false" ht="15" hidden="false" customHeight="false" outlineLevel="0" collapsed="false">
      <c r="A31" s="7" t="s">
        <v>91</v>
      </c>
      <c r="C31" s="32" t="n">
        <v>-0.2</v>
      </c>
      <c r="D31" s="32" t="n">
        <v>-0.2</v>
      </c>
      <c r="E31" s="32" t="n">
        <v>-0.2</v>
      </c>
      <c r="F31" s="32" t="n">
        <v>-0.1</v>
      </c>
      <c r="G31" s="32" t="n">
        <v>-0.1</v>
      </c>
      <c r="H31" s="32" t="n">
        <v>-0.1</v>
      </c>
      <c r="I31" s="32" t="n">
        <v>0</v>
      </c>
      <c r="J31" s="32" t="n">
        <v>0</v>
      </c>
      <c r="K31" s="32" t="n">
        <v>0</v>
      </c>
      <c r="L31" s="32" t="n">
        <v>0.1</v>
      </c>
      <c r="M31" s="32" t="n">
        <v>0.1</v>
      </c>
      <c r="N31" s="32" t="n">
        <v>0.1</v>
      </c>
      <c r="O31" s="32" t="n">
        <v>0.2</v>
      </c>
      <c r="P31" s="32" t="n">
        <v>0.2</v>
      </c>
      <c r="Q31" s="32" t="n">
        <v>0.2</v>
      </c>
    </row>
    <row r="32" customFormat="false" ht="15" hidden="false" customHeight="false" outlineLevel="0" collapsed="false">
      <c r="A32" s="7" t="s">
        <v>92</v>
      </c>
      <c r="C32" s="32" t="n">
        <v>-0.1</v>
      </c>
      <c r="D32" s="32" t="n">
        <v>0</v>
      </c>
      <c r="E32" s="32" t="n">
        <v>0.1</v>
      </c>
      <c r="F32" s="32" t="n">
        <v>-0.1</v>
      </c>
      <c r="G32" s="32" t="n">
        <v>0</v>
      </c>
      <c r="H32" s="32" t="n">
        <v>0.1</v>
      </c>
      <c r="I32" s="32" t="n">
        <v>-0.1</v>
      </c>
      <c r="J32" s="32" t="n">
        <v>0</v>
      </c>
      <c r="K32" s="32" t="n">
        <v>0.1</v>
      </c>
      <c r="L32" s="32" t="n">
        <v>-0.1</v>
      </c>
      <c r="M32" s="32" t="n">
        <v>0</v>
      </c>
      <c r="N32" s="32" t="n">
        <v>0.1</v>
      </c>
      <c r="O32" s="32" t="n">
        <v>-0.1</v>
      </c>
      <c r="P32" s="32" t="n">
        <v>0</v>
      </c>
      <c r="Q32" s="32" t="n">
        <v>0.1</v>
      </c>
    </row>
    <row r="33" customFormat="false" ht="15" hidden="false" customHeight="false" outlineLevel="0" collapsed="false">
      <c r="A33" s="7" t="s">
        <v>93</v>
      </c>
      <c r="C33" s="7" t="n">
        <f aca="false">Assumptions!$B$6*(1+C$32)</f>
        <v>58.725</v>
      </c>
      <c r="D33" s="7" t="n">
        <f aca="false">Assumptions!$B$6*(1+D$32)</f>
        <v>65.25</v>
      </c>
      <c r="E33" s="7" t="n">
        <f aca="false">Assumptions!$B$6*(1+E$32)</f>
        <v>71.775</v>
      </c>
      <c r="F33" s="7" t="n">
        <f aca="false">Assumptions!$B$6*(1+F$32)</f>
        <v>58.725</v>
      </c>
      <c r="G33" s="7" t="n">
        <f aca="false">Assumptions!$B$6*(1+G$32)</f>
        <v>65.25</v>
      </c>
      <c r="H33" s="7" t="n">
        <f aca="false">Assumptions!$B$6*(1+H$32)</f>
        <v>71.775</v>
      </c>
      <c r="I33" s="7" t="n">
        <f aca="false">Assumptions!$B$6*(1+I$32)</f>
        <v>58.725</v>
      </c>
      <c r="J33" s="7" t="n">
        <f aca="false">Assumptions!$B$6*(1+J$32)</f>
        <v>65.25</v>
      </c>
      <c r="K33" s="7" t="n">
        <f aca="false">Assumptions!$B$6*(1+K$32)</f>
        <v>71.775</v>
      </c>
      <c r="L33" s="7" t="n">
        <f aca="false">Assumptions!$B$6*(1+L$32)</f>
        <v>58.725</v>
      </c>
      <c r="M33" s="7" t="n">
        <f aca="false">Assumptions!$B$6*(1+M$32)</f>
        <v>65.25</v>
      </c>
      <c r="N33" s="7" t="n">
        <f aca="false">Assumptions!$B$6*(1+N$32)</f>
        <v>71.775</v>
      </c>
      <c r="O33" s="7" t="n">
        <f aca="false">Assumptions!$B$6*(1+O$32)</f>
        <v>58.725</v>
      </c>
      <c r="P33" s="7" t="n">
        <f aca="false">Assumptions!$B$6*(1+P$32)</f>
        <v>65.25</v>
      </c>
      <c r="Q33" s="7" t="n">
        <f aca="false">Assumptions!$B$6*(1+Q$32)</f>
        <v>71.775</v>
      </c>
    </row>
    <row r="34" customFormat="false" ht="15" hidden="false" customHeight="false" outlineLevel="0" collapsed="false">
      <c r="A34" s="7" t="s">
        <v>94</v>
      </c>
      <c r="C34" s="7" t="n">
        <f aca="false">C$33*Assumptions!$B$9</f>
        <v>17.6175</v>
      </c>
      <c r="D34" s="7" t="n">
        <f aca="false">D$33*Assumptions!$B$9</f>
        <v>19.575</v>
      </c>
      <c r="E34" s="7" t="n">
        <f aca="false">E$33*Assumptions!$B$9</f>
        <v>21.5325</v>
      </c>
      <c r="F34" s="7" t="n">
        <f aca="false">F$33*Assumptions!$B$9</f>
        <v>17.6175</v>
      </c>
      <c r="G34" s="7" t="n">
        <f aca="false">G$33*Assumptions!$B$9</f>
        <v>19.575</v>
      </c>
      <c r="H34" s="7" t="n">
        <f aca="false">H$33*Assumptions!$B$9</f>
        <v>21.5325</v>
      </c>
      <c r="I34" s="7" t="n">
        <f aca="false">I$33*Assumptions!$B$9</f>
        <v>17.6175</v>
      </c>
      <c r="J34" s="7" t="n">
        <f aca="false">J$33*Assumptions!$B$9</f>
        <v>19.575</v>
      </c>
      <c r="K34" s="7" t="n">
        <f aca="false">K$33*Assumptions!$B$9</f>
        <v>21.5325</v>
      </c>
      <c r="L34" s="7" t="n">
        <f aca="false">L$33*Assumptions!$B$9</f>
        <v>17.6175</v>
      </c>
      <c r="M34" s="7" t="n">
        <f aca="false">M$33*Assumptions!$B$9</f>
        <v>19.575</v>
      </c>
      <c r="N34" s="7" t="n">
        <f aca="false">N$33*Assumptions!$B$9</f>
        <v>21.5325</v>
      </c>
      <c r="O34" s="7" t="n">
        <f aca="false">O$33*Assumptions!$B$9</f>
        <v>17.6175</v>
      </c>
      <c r="P34" s="7" t="n">
        <f aca="false">P$33*Assumptions!$B$9</f>
        <v>19.575</v>
      </c>
      <c r="Q34" s="7" t="n">
        <f aca="false">Q$33*Assumptions!$B$9</f>
        <v>21.5325</v>
      </c>
    </row>
    <row r="35" customFormat="false" ht="15" hidden="false" customHeight="false" outlineLevel="0" collapsed="false">
      <c r="A35" s="7" t="s">
        <v>95</v>
      </c>
      <c r="C35" s="7" t="n">
        <f aca="false">C$33*Assumptions!$B$10</f>
        <v>41.1075</v>
      </c>
      <c r="D35" s="7" t="n">
        <f aca="false">D$33*Assumptions!$B$10</f>
        <v>45.675</v>
      </c>
      <c r="E35" s="7" t="n">
        <f aca="false">E$33*Assumptions!$B$10</f>
        <v>50.2425</v>
      </c>
      <c r="F35" s="7" t="n">
        <f aca="false">F$33*Assumptions!$B$10</f>
        <v>41.1075</v>
      </c>
      <c r="G35" s="7" t="n">
        <f aca="false">G$33*Assumptions!$B$10</f>
        <v>45.675</v>
      </c>
      <c r="H35" s="7" t="n">
        <f aca="false">H$33*Assumptions!$B$10</f>
        <v>50.2425</v>
      </c>
      <c r="I35" s="7" t="n">
        <f aca="false">I$33*Assumptions!$B$10</f>
        <v>41.1075</v>
      </c>
      <c r="J35" s="7" t="n">
        <f aca="false">J$33*Assumptions!$B$10</f>
        <v>45.675</v>
      </c>
      <c r="K35" s="7" t="n">
        <f aca="false">K$33*Assumptions!$B$10</f>
        <v>50.2425</v>
      </c>
      <c r="L35" s="7" t="n">
        <f aca="false">L$33*Assumptions!$B$10</f>
        <v>41.1075</v>
      </c>
      <c r="M35" s="7" t="n">
        <f aca="false">M$33*Assumptions!$B$10</f>
        <v>45.675</v>
      </c>
      <c r="N35" s="7" t="n">
        <f aca="false">N$33*Assumptions!$B$10</f>
        <v>50.2425</v>
      </c>
      <c r="O35" s="7" t="n">
        <f aca="false">O$33*Assumptions!$B$10</f>
        <v>41.1075</v>
      </c>
      <c r="P35" s="7" t="n">
        <f aca="false">P$33*Assumptions!$B$10</f>
        <v>45.675</v>
      </c>
      <c r="Q35" s="7" t="n">
        <f aca="false">Q$33*Assumptions!$B$10</f>
        <v>50.2425</v>
      </c>
    </row>
    <row r="36" customFormat="false" ht="15" hidden="false" customHeight="false" outlineLevel="0" collapsed="false">
      <c r="A36" s="7" t="s">
        <v>96</v>
      </c>
      <c r="C36" s="33" t="n">
        <f aca="false">-PMT(Assumptions!$B$13,Assumptions!$B$14,C$35)</f>
        <v>3.96039058789701</v>
      </c>
      <c r="D36" s="33" t="n">
        <f aca="false">-PMT(Assumptions!$B$13,Assumptions!$B$14,D$35)</f>
        <v>4.40043398655224</v>
      </c>
      <c r="E36" s="33" t="n">
        <f aca="false">-PMT(Assumptions!$B$13,Assumptions!$B$14,E$35)</f>
        <v>4.84047738520746</v>
      </c>
      <c r="F36" s="33" t="n">
        <f aca="false">-PMT(Assumptions!$B$13,Assumptions!$B$14,F$35)</f>
        <v>3.96039058789701</v>
      </c>
      <c r="G36" s="33" t="n">
        <f aca="false">-PMT(Assumptions!$B$13,Assumptions!$B$14,G$35)</f>
        <v>4.40043398655224</v>
      </c>
      <c r="H36" s="33" t="n">
        <f aca="false">-PMT(Assumptions!$B$13,Assumptions!$B$14,H$35)</f>
        <v>4.84047738520746</v>
      </c>
      <c r="I36" s="33" t="n">
        <f aca="false">-PMT(Assumptions!$B$13,Assumptions!$B$14,I$35)</f>
        <v>3.96039058789701</v>
      </c>
      <c r="J36" s="33" t="n">
        <f aca="false">-PMT(Assumptions!$B$13,Assumptions!$B$14,J$35)</f>
        <v>4.40043398655224</v>
      </c>
      <c r="K36" s="33" t="n">
        <f aca="false">-PMT(Assumptions!$B$13,Assumptions!$B$14,K$35)</f>
        <v>4.84047738520746</v>
      </c>
      <c r="L36" s="33" t="n">
        <f aca="false">-PMT(Assumptions!$B$13,Assumptions!$B$14,L$35)</f>
        <v>3.96039058789701</v>
      </c>
      <c r="M36" s="33" t="n">
        <f aca="false">-PMT(Assumptions!$B$13,Assumptions!$B$14,M$35)</f>
        <v>4.40043398655224</v>
      </c>
      <c r="N36" s="33" t="n">
        <f aca="false">-PMT(Assumptions!$B$13,Assumptions!$B$14,N$35)</f>
        <v>4.84047738520746</v>
      </c>
      <c r="O36" s="33" t="n">
        <f aca="false">-PMT(Assumptions!$B$13,Assumptions!$B$14,O$35)</f>
        <v>3.96039058789701</v>
      </c>
      <c r="P36" s="33" t="n">
        <f aca="false">-PMT(Assumptions!$B$13,Assumptions!$B$14,P$35)</f>
        <v>4.40043398655224</v>
      </c>
      <c r="Q36" s="33" t="n">
        <f aca="false">-PMT(Assumptions!$B$13,Assumptions!$B$14,Q$35)</f>
        <v>4.84047738520746</v>
      </c>
    </row>
    <row r="37" customFormat="false" ht="15" hidden="false" customHeight="false" outlineLevel="0" collapsed="false">
      <c r="A37" s="7" t="s">
        <v>97</v>
      </c>
    </row>
    <row r="38" customFormat="false" ht="15" hidden="false" customHeight="false" outlineLevel="0" collapsed="false">
      <c r="A38" s="7" t="n">
        <v>0</v>
      </c>
      <c r="C38" s="7" t="n">
        <f aca="false">-C$34</f>
        <v>-17.6175</v>
      </c>
      <c r="D38" s="7" t="n">
        <f aca="false">-D$34</f>
        <v>-19.575</v>
      </c>
      <c r="E38" s="7" t="n">
        <f aca="false">-E$34</f>
        <v>-21.5325</v>
      </c>
      <c r="F38" s="7" t="n">
        <f aca="false">-F$34</f>
        <v>-17.6175</v>
      </c>
      <c r="G38" s="7" t="n">
        <f aca="false">-G$34</f>
        <v>-19.575</v>
      </c>
      <c r="H38" s="7" t="n">
        <f aca="false">-H$34</f>
        <v>-21.5325</v>
      </c>
      <c r="I38" s="7" t="n">
        <f aca="false">-I$34</f>
        <v>-17.6175</v>
      </c>
      <c r="J38" s="7" t="n">
        <f aca="false">-J$34</f>
        <v>-19.575</v>
      </c>
      <c r="K38" s="7" t="n">
        <f aca="false">-K$34</f>
        <v>-21.5325</v>
      </c>
      <c r="L38" s="7" t="n">
        <f aca="false">-L$34</f>
        <v>-17.6175</v>
      </c>
      <c r="M38" s="7" t="n">
        <f aca="false">-M$34</f>
        <v>-19.575</v>
      </c>
      <c r="N38" s="7" t="n">
        <f aca="false">-N$34</f>
        <v>-21.5325</v>
      </c>
      <c r="O38" s="7" t="n">
        <f aca="false">-O$34</f>
        <v>-17.6175</v>
      </c>
      <c r="P38" s="7" t="n">
        <f aca="false">-P$34</f>
        <v>-19.575</v>
      </c>
      <c r="Q38" s="7" t="n">
        <f aca="false">-Q$34</f>
        <v>-21.5325</v>
      </c>
    </row>
    <row r="39" customFormat="false" ht="15" hidden="false" customHeight="false" outlineLevel="0" collapsed="false">
      <c r="A39" s="7" t="n">
        <v>1</v>
      </c>
      <c r="C39" s="25" t="n">
        <f aca="false">(((((Assumptions!$B$17*(1+C$31)*(1+Assumptions!$B$24)^(1-1))-(Assumptions!$B$21*(1+Assumptions!$B$25)^(1-1)))-(IF(1&lt;=Assumptions!$B$27,C$33/Assumptions!$B$27,0)))-((C$35*(1+Assumptions!$B$13)^(1-1)-C$36*(((1+Assumptions!$B$13)^(1-1)-1)/Assumptions!$B$13))*Assumptions!$B$13))-(MAX(((((Assumptions!$B$17*(1+C$31)*(1+Assumptions!$B$24)^(1-1))-(Assumptions!$B$21*(1+Assumptions!$B$25)^(1-1)))-(IF(1&lt;=Assumptions!$B$27,C$33/Assumptions!$B$27,0)))-((C$35*(1+Assumptions!$B$13)^(1-1)-C$36*(((1+Assumptions!$B$13)^(1-1)-1)/Assumptions!$B$13))*Assumptions!$B$13)),0)*Assumptions!$B$28))+(IF(1&lt;=Assumptions!$B$27,C$33/Assumptions!$B$27,0))-(C$36-((C$35*(1+Assumptions!$B$13)^(1-1)-C$36*(((1+Assumptions!$B$13)^(1-1)-1)/Assumptions!$B$13))*Assumptions!$B$13))</f>
        <v>2.57515628710299</v>
      </c>
      <c r="D39" s="25" t="n">
        <f aca="false">(((((Assumptions!$B$17*(1+D$31)*(1+Assumptions!$B$24)^(1-1))-(Assumptions!$B$21*(1+Assumptions!$B$25)^(1-1)))-(IF(1&lt;=Assumptions!$B$27,D$33/Assumptions!$B$27,0)))-((D$35*(1+Assumptions!$B$13)^(1-1)-D$36*(((1+Assumptions!$B$13)^(1-1)-1)/Assumptions!$B$13))*Assumptions!$B$13))-(MAX(((((Assumptions!$B$17*(1+D$31)*(1+Assumptions!$B$24)^(1-1))-(Assumptions!$B$21*(1+Assumptions!$B$25)^(1-1)))-(IF(1&lt;=Assumptions!$B$27,D$33/Assumptions!$B$27,0)))-((D$35*(1+Assumptions!$B$13)^(1-1)-D$36*(((1+Assumptions!$B$13)^(1-1)-1)/Assumptions!$B$13))*Assumptions!$B$13)),0)*Assumptions!$B$28))+(IF(1&lt;=Assumptions!$B$27,D$33/Assumptions!$B$27,0))-(D$36-((D$35*(1+Assumptions!$B$13)^(1-1)-D$36*(((1+Assumptions!$B$13)^(1-1)-1)/Assumptions!$B$13))*Assumptions!$B$13))</f>
        <v>2.19628476344776</v>
      </c>
      <c r="E39" s="25" t="n">
        <f aca="false">(((((Assumptions!$B$17*(1+E$31)*(1+Assumptions!$B$24)^(1-1))-(Assumptions!$B$21*(1+Assumptions!$B$25)^(1-1)))-(IF(1&lt;=Assumptions!$B$27,E$33/Assumptions!$B$27,0)))-((E$35*(1+Assumptions!$B$13)^(1-1)-E$36*(((1+Assumptions!$B$13)^(1-1)-1)/Assumptions!$B$13))*Assumptions!$B$13))-(MAX(((((Assumptions!$B$17*(1+E$31)*(1+Assumptions!$B$24)^(1-1))-(Assumptions!$B$21*(1+Assumptions!$B$25)^(1-1)))-(IF(1&lt;=Assumptions!$B$27,E$33/Assumptions!$B$27,0)))-((E$35*(1+Assumptions!$B$13)^(1-1)-E$36*(((1+Assumptions!$B$13)^(1-1)-1)/Assumptions!$B$13))*Assumptions!$B$13)),0)*Assumptions!$B$28))+(IF(1&lt;=Assumptions!$B$27,E$33/Assumptions!$B$27,0))-(E$36-((E$35*(1+Assumptions!$B$13)^(1-1)-E$36*(((1+Assumptions!$B$13)^(1-1)-1)/Assumptions!$B$13))*Assumptions!$B$13))</f>
        <v>1.81741323979254</v>
      </c>
      <c r="F39" s="25" t="n">
        <f aca="false">(((((Assumptions!$B$17*(1+F$31)*(1+Assumptions!$B$24)^(1-1))-(Assumptions!$B$21*(1+Assumptions!$B$25)^(1-1)))-(IF(1&lt;=Assumptions!$B$27,F$33/Assumptions!$B$27,0)))-((F$35*(1+Assumptions!$B$13)^(1-1)-F$36*(((1+Assumptions!$B$13)^(1-1)-1)/Assumptions!$B$13))*Assumptions!$B$13))-(MAX(((((Assumptions!$B$17*(1+F$31)*(1+Assumptions!$B$24)^(1-1))-(Assumptions!$B$21*(1+Assumptions!$B$25)^(1-1)))-(IF(1&lt;=Assumptions!$B$27,F$33/Assumptions!$B$27,0)))-((F$35*(1+Assumptions!$B$13)^(1-1)-F$36*(((1+Assumptions!$B$13)^(1-1)-1)/Assumptions!$B$13))*Assumptions!$B$13)),0)*Assumptions!$B$28))+(IF(1&lt;=Assumptions!$B$27,F$33/Assumptions!$B$27,0))-(F$36-((F$35*(1+Assumptions!$B$13)^(1-1)-F$36*(((1+Assumptions!$B$13)^(1-1)-1)/Assumptions!$B$13))*Assumptions!$B$13))</f>
        <v>3.42390628710299</v>
      </c>
      <c r="G39" s="25" t="n">
        <f aca="false">(((((Assumptions!$B$17*(1+G$31)*(1+Assumptions!$B$24)^(1-1))-(Assumptions!$B$21*(1+Assumptions!$B$25)^(1-1)))-(IF(1&lt;=Assumptions!$B$27,G$33/Assumptions!$B$27,0)))-((G$35*(1+Assumptions!$B$13)^(1-1)-G$36*(((1+Assumptions!$B$13)^(1-1)-1)/Assumptions!$B$13))*Assumptions!$B$13))-(MAX(((((Assumptions!$B$17*(1+G$31)*(1+Assumptions!$B$24)^(1-1))-(Assumptions!$B$21*(1+Assumptions!$B$25)^(1-1)))-(IF(1&lt;=Assumptions!$B$27,G$33/Assumptions!$B$27,0)))-((G$35*(1+Assumptions!$B$13)^(1-1)-G$36*(((1+Assumptions!$B$13)^(1-1)-1)/Assumptions!$B$13))*Assumptions!$B$13)),0)*Assumptions!$B$28))+(IF(1&lt;=Assumptions!$B$27,G$33/Assumptions!$B$27,0))-(G$36-((G$35*(1+Assumptions!$B$13)^(1-1)-G$36*(((1+Assumptions!$B$13)^(1-1)-1)/Assumptions!$B$13))*Assumptions!$B$13))</f>
        <v>3.04503476344776</v>
      </c>
      <c r="H39" s="25" t="n">
        <f aca="false">(((((Assumptions!$B$17*(1+H$31)*(1+Assumptions!$B$24)^(1-1))-(Assumptions!$B$21*(1+Assumptions!$B$25)^(1-1)))-(IF(1&lt;=Assumptions!$B$27,H$33/Assumptions!$B$27,0)))-((H$35*(1+Assumptions!$B$13)^(1-1)-H$36*(((1+Assumptions!$B$13)^(1-1)-1)/Assumptions!$B$13))*Assumptions!$B$13))-(MAX(((((Assumptions!$B$17*(1+H$31)*(1+Assumptions!$B$24)^(1-1))-(Assumptions!$B$21*(1+Assumptions!$B$25)^(1-1)))-(IF(1&lt;=Assumptions!$B$27,H$33/Assumptions!$B$27,0)))-((H$35*(1+Assumptions!$B$13)^(1-1)-H$36*(((1+Assumptions!$B$13)^(1-1)-1)/Assumptions!$B$13))*Assumptions!$B$13)),0)*Assumptions!$B$28))+(IF(1&lt;=Assumptions!$B$27,H$33/Assumptions!$B$27,0))-(H$36-((H$35*(1+Assumptions!$B$13)^(1-1)-H$36*(((1+Assumptions!$B$13)^(1-1)-1)/Assumptions!$B$13))*Assumptions!$B$13))</f>
        <v>2.66616323979254</v>
      </c>
      <c r="I39" s="25" t="n">
        <f aca="false">(((((Assumptions!$B$17*(1+I$31)*(1+Assumptions!$B$24)^(1-1))-(Assumptions!$B$21*(1+Assumptions!$B$25)^(1-1)))-(IF(1&lt;=Assumptions!$B$27,I$33/Assumptions!$B$27,0)))-((I$35*(1+Assumptions!$B$13)^(1-1)-I$36*(((1+Assumptions!$B$13)^(1-1)-1)/Assumptions!$B$13))*Assumptions!$B$13))-(MAX(((((Assumptions!$B$17*(1+I$31)*(1+Assumptions!$B$24)^(1-1))-(Assumptions!$B$21*(1+Assumptions!$B$25)^(1-1)))-(IF(1&lt;=Assumptions!$B$27,I$33/Assumptions!$B$27,0)))-((I$35*(1+Assumptions!$B$13)^(1-1)-I$36*(((1+Assumptions!$B$13)^(1-1)-1)/Assumptions!$B$13))*Assumptions!$B$13)),0)*Assumptions!$B$28))+(IF(1&lt;=Assumptions!$B$27,I$33/Assumptions!$B$27,0))-(I$36-((I$35*(1+Assumptions!$B$13)^(1-1)-I$36*(((1+Assumptions!$B$13)^(1-1)-1)/Assumptions!$B$13))*Assumptions!$B$13))</f>
        <v>4.27265628710299</v>
      </c>
      <c r="J39" s="25" t="n">
        <f aca="false">(((((Assumptions!$B$17*(1+J$31)*(1+Assumptions!$B$24)^(1-1))-(Assumptions!$B$21*(1+Assumptions!$B$25)^(1-1)))-(IF(1&lt;=Assumptions!$B$27,J$33/Assumptions!$B$27,0)))-((J$35*(1+Assumptions!$B$13)^(1-1)-J$36*(((1+Assumptions!$B$13)^(1-1)-1)/Assumptions!$B$13))*Assumptions!$B$13))-(MAX(((((Assumptions!$B$17*(1+J$31)*(1+Assumptions!$B$24)^(1-1))-(Assumptions!$B$21*(1+Assumptions!$B$25)^(1-1)))-(IF(1&lt;=Assumptions!$B$27,J$33/Assumptions!$B$27,0)))-((J$35*(1+Assumptions!$B$13)^(1-1)-J$36*(((1+Assumptions!$B$13)^(1-1)-1)/Assumptions!$B$13))*Assumptions!$B$13)),0)*Assumptions!$B$28))+(IF(1&lt;=Assumptions!$B$27,J$33/Assumptions!$B$27,0))-(J$36-((J$35*(1+Assumptions!$B$13)^(1-1)-J$36*(((1+Assumptions!$B$13)^(1-1)-1)/Assumptions!$B$13))*Assumptions!$B$13))</f>
        <v>3.89378476344776</v>
      </c>
      <c r="K39" s="25" t="n">
        <f aca="false">(((((Assumptions!$B$17*(1+K$31)*(1+Assumptions!$B$24)^(1-1))-(Assumptions!$B$21*(1+Assumptions!$B$25)^(1-1)))-(IF(1&lt;=Assumptions!$B$27,K$33/Assumptions!$B$27,0)))-((K$35*(1+Assumptions!$B$13)^(1-1)-K$36*(((1+Assumptions!$B$13)^(1-1)-1)/Assumptions!$B$13))*Assumptions!$B$13))-(MAX(((((Assumptions!$B$17*(1+K$31)*(1+Assumptions!$B$24)^(1-1))-(Assumptions!$B$21*(1+Assumptions!$B$25)^(1-1)))-(IF(1&lt;=Assumptions!$B$27,K$33/Assumptions!$B$27,0)))-((K$35*(1+Assumptions!$B$13)^(1-1)-K$36*(((1+Assumptions!$B$13)^(1-1)-1)/Assumptions!$B$13))*Assumptions!$B$13)),0)*Assumptions!$B$28))+(IF(1&lt;=Assumptions!$B$27,K$33/Assumptions!$B$27,0))-(K$36-((K$35*(1+Assumptions!$B$13)^(1-1)-K$36*(((1+Assumptions!$B$13)^(1-1)-1)/Assumptions!$B$13))*Assumptions!$B$13))</f>
        <v>3.51491323979254</v>
      </c>
      <c r="L39" s="25" t="n">
        <f aca="false">(((((Assumptions!$B$17*(1+L$31)*(1+Assumptions!$B$24)^(1-1))-(Assumptions!$B$21*(1+Assumptions!$B$25)^(1-1)))-(IF(1&lt;=Assumptions!$B$27,L$33/Assumptions!$B$27,0)))-((L$35*(1+Assumptions!$B$13)^(1-1)-L$36*(((1+Assumptions!$B$13)^(1-1)-1)/Assumptions!$B$13))*Assumptions!$B$13))-(MAX(((((Assumptions!$B$17*(1+L$31)*(1+Assumptions!$B$24)^(1-1))-(Assumptions!$B$21*(1+Assumptions!$B$25)^(1-1)))-(IF(1&lt;=Assumptions!$B$27,L$33/Assumptions!$B$27,0)))-((L$35*(1+Assumptions!$B$13)^(1-1)-L$36*(((1+Assumptions!$B$13)^(1-1)-1)/Assumptions!$B$13))*Assumptions!$B$13)),0)*Assumptions!$B$28))+(IF(1&lt;=Assumptions!$B$27,L$33/Assumptions!$B$27,0))-(L$36-((L$35*(1+Assumptions!$B$13)^(1-1)-L$36*(((1+Assumptions!$B$13)^(1-1)-1)/Assumptions!$B$13))*Assumptions!$B$13))</f>
        <v>5.12140628710299</v>
      </c>
      <c r="M39" s="25" t="n">
        <f aca="false">(((((Assumptions!$B$17*(1+M$31)*(1+Assumptions!$B$24)^(1-1))-(Assumptions!$B$21*(1+Assumptions!$B$25)^(1-1)))-(IF(1&lt;=Assumptions!$B$27,M$33/Assumptions!$B$27,0)))-((M$35*(1+Assumptions!$B$13)^(1-1)-M$36*(((1+Assumptions!$B$13)^(1-1)-1)/Assumptions!$B$13))*Assumptions!$B$13))-(MAX(((((Assumptions!$B$17*(1+M$31)*(1+Assumptions!$B$24)^(1-1))-(Assumptions!$B$21*(1+Assumptions!$B$25)^(1-1)))-(IF(1&lt;=Assumptions!$B$27,M$33/Assumptions!$B$27,0)))-((M$35*(1+Assumptions!$B$13)^(1-1)-M$36*(((1+Assumptions!$B$13)^(1-1)-1)/Assumptions!$B$13))*Assumptions!$B$13)),0)*Assumptions!$B$28))+(IF(1&lt;=Assumptions!$B$27,M$33/Assumptions!$B$27,0))-(M$36-((M$35*(1+Assumptions!$B$13)^(1-1)-M$36*(((1+Assumptions!$B$13)^(1-1)-1)/Assumptions!$B$13))*Assumptions!$B$13))</f>
        <v>4.74253476344776</v>
      </c>
      <c r="N39" s="25" t="n">
        <f aca="false">(((((Assumptions!$B$17*(1+N$31)*(1+Assumptions!$B$24)^(1-1))-(Assumptions!$B$21*(1+Assumptions!$B$25)^(1-1)))-(IF(1&lt;=Assumptions!$B$27,N$33/Assumptions!$B$27,0)))-((N$35*(1+Assumptions!$B$13)^(1-1)-N$36*(((1+Assumptions!$B$13)^(1-1)-1)/Assumptions!$B$13))*Assumptions!$B$13))-(MAX(((((Assumptions!$B$17*(1+N$31)*(1+Assumptions!$B$24)^(1-1))-(Assumptions!$B$21*(1+Assumptions!$B$25)^(1-1)))-(IF(1&lt;=Assumptions!$B$27,N$33/Assumptions!$B$27,0)))-((N$35*(1+Assumptions!$B$13)^(1-1)-N$36*(((1+Assumptions!$B$13)^(1-1)-1)/Assumptions!$B$13))*Assumptions!$B$13)),0)*Assumptions!$B$28))+(IF(1&lt;=Assumptions!$B$27,N$33/Assumptions!$B$27,0))-(N$36-((N$35*(1+Assumptions!$B$13)^(1-1)-N$36*(((1+Assumptions!$B$13)^(1-1)-1)/Assumptions!$B$13))*Assumptions!$B$13))</f>
        <v>4.36366323979254</v>
      </c>
      <c r="O39" s="25" t="n">
        <f aca="false">(((((Assumptions!$B$17*(1+O$31)*(1+Assumptions!$B$24)^(1-1))-(Assumptions!$B$21*(1+Assumptions!$B$25)^(1-1)))-(IF(1&lt;=Assumptions!$B$27,O$33/Assumptions!$B$27,0)))-((O$35*(1+Assumptions!$B$13)^(1-1)-O$36*(((1+Assumptions!$B$13)^(1-1)-1)/Assumptions!$B$13))*Assumptions!$B$13))-(MAX(((((Assumptions!$B$17*(1+O$31)*(1+Assumptions!$B$24)^(1-1))-(Assumptions!$B$21*(1+Assumptions!$B$25)^(1-1)))-(IF(1&lt;=Assumptions!$B$27,O$33/Assumptions!$B$27,0)))-((O$35*(1+Assumptions!$B$13)^(1-1)-O$36*(((1+Assumptions!$B$13)^(1-1)-1)/Assumptions!$B$13))*Assumptions!$B$13)),0)*Assumptions!$B$28))+(IF(1&lt;=Assumptions!$B$27,O$33/Assumptions!$B$27,0))-(O$36-((O$35*(1+Assumptions!$B$13)^(1-1)-O$36*(((1+Assumptions!$B$13)^(1-1)-1)/Assumptions!$B$13))*Assumptions!$B$13))</f>
        <v>5.97015628710299</v>
      </c>
      <c r="P39" s="25" t="n">
        <f aca="false">(((((Assumptions!$B$17*(1+P$31)*(1+Assumptions!$B$24)^(1-1))-(Assumptions!$B$21*(1+Assumptions!$B$25)^(1-1)))-(IF(1&lt;=Assumptions!$B$27,P$33/Assumptions!$B$27,0)))-((P$35*(1+Assumptions!$B$13)^(1-1)-P$36*(((1+Assumptions!$B$13)^(1-1)-1)/Assumptions!$B$13))*Assumptions!$B$13))-(MAX(((((Assumptions!$B$17*(1+P$31)*(1+Assumptions!$B$24)^(1-1))-(Assumptions!$B$21*(1+Assumptions!$B$25)^(1-1)))-(IF(1&lt;=Assumptions!$B$27,P$33/Assumptions!$B$27,0)))-((P$35*(1+Assumptions!$B$13)^(1-1)-P$36*(((1+Assumptions!$B$13)^(1-1)-1)/Assumptions!$B$13))*Assumptions!$B$13)),0)*Assumptions!$B$28))+(IF(1&lt;=Assumptions!$B$27,P$33/Assumptions!$B$27,0))-(P$36-((P$35*(1+Assumptions!$B$13)^(1-1)-P$36*(((1+Assumptions!$B$13)^(1-1)-1)/Assumptions!$B$13))*Assumptions!$B$13))</f>
        <v>5.59128476344776</v>
      </c>
      <c r="Q39" s="25" t="n">
        <f aca="false">(((((Assumptions!$B$17*(1+Q$31)*(1+Assumptions!$B$24)^(1-1))-(Assumptions!$B$21*(1+Assumptions!$B$25)^(1-1)))-(IF(1&lt;=Assumptions!$B$27,Q$33/Assumptions!$B$27,0)))-((Q$35*(1+Assumptions!$B$13)^(1-1)-Q$36*(((1+Assumptions!$B$13)^(1-1)-1)/Assumptions!$B$13))*Assumptions!$B$13))-(MAX(((((Assumptions!$B$17*(1+Q$31)*(1+Assumptions!$B$24)^(1-1))-(Assumptions!$B$21*(1+Assumptions!$B$25)^(1-1)))-(IF(1&lt;=Assumptions!$B$27,Q$33/Assumptions!$B$27,0)))-((Q$35*(1+Assumptions!$B$13)^(1-1)-Q$36*(((1+Assumptions!$B$13)^(1-1)-1)/Assumptions!$B$13))*Assumptions!$B$13)),0)*Assumptions!$B$28))+(IF(1&lt;=Assumptions!$B$27,Q$33/Assumptions!$B$27,0))-(Q$36-((Q$35*(1+Assumptions!$B$13)^(1-1)-Q$36*(((1+Assumptions!$B$13)^(1-1)-1)/Assumptions!$B$13))*Assumptions!$B$13))</f>
        <v>5.21241323979254</v>
      </c>
    </row>
    <row r="40" customFormat="false" ht="15" hidden="false" customHeight="false" outlineLevel="0" collapsed="false">
      <c r="A40" s="7" t="n">
        <v>2</v>
      </c>
      <c r="C40" s="25" t="n">
        <f aca="false">(((((Assumptions!$B$17*(1+C$31)*(1+Assumptions!$B$24)^(2-1))-(Assumptions!$B$21*(1+Assumptions!$B$25)^(2-1)))-(IF(2&lt;=Assumptions!$B$27,C$33/Assumptions!$B$27,0)))-((C$35*(1+Assumptions!$B$13)^(2-1)-C$36*(((1+Assumptions!$B$13)^(2-1)-1)/Assumptions!$B$13))*Assumptions!$B$13))-(MAX(((((Assumptions!$B$17*(1+C$31)*(1+Assumptions!$B$24)^(2-1))-(Assumptions!$B$21*(1+Assumptions!$B$25)^(2-1)))-(IF(2&lt;=Assumptions!$B$27,C$33/Assumptions!$B$27,0)))-((C$35*(1+Assumptions!$B$13)^(2-1)-C$36*(((1+Assumptions!$B$13)^(2-1)-1)/Assumptions!$B$13))*Assumptions!$B$13)),0)*Assumptions!$B$28))+(IF(2&lt;=Assumptions!$B$27,C$33/Assumptions!$B$27,0))-(C$36-((C$35*(1+Assumptions!$B$13)^(2-1)-C$36*(((1+Assumptions!$B$13)^(2-1)-1)/Assumptions!$B$13))*Assumptions!$B$13))</f>
        <v>2.51998993967863</v>
      </c>
      <c r="D40" s="25" t="n">
        <f aca="false">(((((Assumptions!$B$17*(1+D$31)*(1+Assumptions!$B$24)^(2-1))-(Assumptions!$B$21*(1+Assumptions!$B$25)^(2-1)))-(IF(2&lt;=Assumptions!$B$27,D$33/Assumptions!$B$27,0)))-((D$35*(1+Assumptions!$B$13)^(2-1)-D$36*(((1+Assumptions!$B$13)^(2-1)-1)/Assumptions!$B$13))*Assumptions!$B$13))-(MAX(((((Assumptions!$B$17*(1+D$31)*(1+Assumptions!$B$24)^(2-1))-(Assumptions!$B$21*(1+Assumptions!$B$25)^(2-1)))-(IF(2&lt;=Assumptions!$B$27,D$33/Assumptions!$B$27,0)))-((D$35*(1+Assumptions!$B$13)^(2-1)-D$36*(((1+Assumptions!$B$13)^(2-1)-1)/Assumptions!$B$13))*Assumptions!$B$13)),0)*Assumptions!$B$28))+(IF(2&lt;=Assumptions!$B$27,D$33/Assumptions!$B$27,0))-(D$36-((D$35*(1+Assumptions!$B$13)^(2-1)-D$36*(((1+Assumptions!$B$13)^(2-1)-1)/Assumptions!$B$13))*Assumptions!$B$13))</f>
        <v>2.13979548853181</v>
      </c>
      <c r="E40" s="25" t="n">
        <f aca="false">(((((Assumptions!$B$17*(1+E$31)*(1+Assumptions!$B$24)^(2-1))-(Assumptions!$B$21*(1+Assumptions!$B$25)^(2-1)))-(IF(2&lt;=Assumptions!$B$27,E$33/Assumptions!$B$27,0)))-((E$35*(1+Assumptions!$B$13)^(2-1)-E$36*(((1+Assumptions!$B$13)^(2-1)-1)/Assumptions!$B$13))*Assumptions!$B$13))-(MAX(((((Assumptions!$B$17*(1+E$31)*(1+Assumptions!$B$24)^(2-1))-(Assumptions!$B$21*(1+Assumptions!$B$25)^(2-1)))-(IF(2&lt;=Assumptions!$B$27,E$33/Assumptions!$B$27,0)))-((E$35*(1+Assumptions!$B$13)^(2-1)-E$36*(((1+Assumptions!$B$13)^(2-1)-1)/Assumptions!$B$13))*Assumptions!$B$13)),0)*Assumptions!$B$28))+(IF(2&lt;=Assumptions!$B$27,E$33/Assumptions!$B$27,0))-(E$36-((E$35*(1+Assumptions!$B$13)^(2-1)-E$36*(((1+Assumptions!$B$13)^(2-1)-1)/Assumptions!$B$13))*Assumptions!$B$13))</f>
        <v>1.75960103738499</v>
      </c>
      <c r="F40" s="25" t="n">
        <f aca="false">(((((Assumptions!$B$17*(1+F$31)*(1+Assumptions!$B$24)^(2-1))-(Assumptions!$B$21*(1+Assumptions!$B$25)^(2-1)))-(IF(2&lt;=Assumptions!$B$27,F$33/Assumptions!$B$27,0)))-((F$35*(1+Assumptions!$B$13)^(2-1)-F$36*(((1+Assumptions!$B$13)^(2-1)-1)/Assumptions!$B$13))*Assumptions!$B$13))-(MAX(((((Assumptions!$B$17*(1+F$31)*(1+Assumptions!$B$24)^(2-1))-(Assumptions!$B$21*(1+Assumptions!$B$25)^(2-1)))-(IF(2&lt;=Assumptions!$B$27,F$33/Assumptions!$B$27,0)))-((F$35*(1+Assumptions!$B$13)^(2-1)-F$36*(((1+Assumptions!$B$13)^(2-1)-1)/Assumptions!$B$13))*Assumptions!$B$13)),0)*Assumptions!$B$28))+(IF(2&lt;=Assumptions!$B$27,F$33/Assumptions!$B$27,0))-(F$36-((F$35*(1+Assumptions!$B$13)^(2-1)-F$36*(((1+Assumptions!$B$13)^(2-1)-1)/Assumptions!$B$13))*Assumptions!$B$13))</f>
        <v>3.36534493967863</v>
      </c>
      <c r="G40" s="25" t="n">
        <f aca="false">(((((Assumptions!$B$17*(1+G$31)*(1+Assumptions!$B$24)^(2-1))-(Assumptions!$B$21*(1+Assumptions!$B$25)^(2-1)))-(IF(2&lt;=Assumptions!$B$27,G$33/Assumptions!$B$27,0)))-((G$35*(1+Assumptions!$B$13)^(2-1)-G$36*(((1+Assumptions!$B$13)^(2-1)-1)/Assumptions!$B$13))*Assumptions!$B$13))-(MAX(((((Assumptions!$B$17*(1+G$31)*(1+Assumptions!$B$24)^(2-1))-(Assumptions!$B$21*(1+Assumptions!$B$25)^(2-1)))-(IF(2&lt;=Assumptions!$B$27,G$33/Assumptions!$B$27,0)))-((G$35*(1+Assumptions!$B$13)^(2-1)-G$36*(((1+Assumptions!$B$13)^(2-1)-1)/Assumptions!$B$13))*Assumptions!$B$13)),0)*Assumptions!$B$28))+(IF(2&lt;=Assumptions!$B$27,G$33/Assumptions!$B$27,0))-(G$36-((G$35*(1+Assumptions!$B$13)^(2-1)-G$36*(((1+Assumptions!$B$13)^(2-1)-1)/Assumptions!$B$13))*Assumptions!$B$13))</f>
        <v>2.98515048853181</v>
      </c>
      <c r="H40" s="25" t="n">
        <f aca="false">(((((Assumptions!$B$17*(1+H$31)*(1+Assumptions!$B$24)^(2-1))-(Assumptions!$B$21*(1+Assumptions!$B$25)^(2-1)))-(IF(2&lt;=Assumptions!$B$27,H$33/Assumptions!$B$27,0)))-((H$35*(1+Assumptions!$B$13)^(2-1)-H$36*(((1+Assumptions!$B$13)^(2-1)-1)/Assumptions!$B$13))*Assumptions!$B$13))-(MAX(((((Assumptions!$B$17*(1+H$31)*(1+Assumptions!$B$24)^(2-1))-(Assumptions!$B$21*(1+Assumptions!$B$25)^(2-1)))-(IF(2&lt;=Assumptions!$B$27,H$33/Assumptions!$B$27,0)))-((H$35*(1+Assumptions!$B$13)^(2-1)-H$36*(((1+Assumptions!$B$13)^(2-1)-1)/Assumptions!$B$13))*Assumptions!$B$13)),0)*Assumptions!$B$28))+(IF(2&lt;=Assumptions!$B$27,H$33/Assumptions!$B$27,0))-(H$36-((H$35*(1+Assumptions!$B$13)^(2-1)-H$36*(((1+Assumptions!$B$13)^(2-1)-1)/Assumptions!$B$13))*Assumptions!$B$13))</f>
        <v>2.60495603738499</v>
      </c>
      <c r="I40" s="25" t="n">
        <f aca="false">(((((Assumptions!$B$17*(1+I$31)*(1+Assumptions!$B$24)^(2-1))-(Assumptions!$B$21*(1+Assumptions!$B$25)^(2-1)))-(IF(2&lt;=Assumptions!$B$27,I$33/Assumptions!$B$27,0)))-((I$35*(1+Assumptions!$B$13)^(2-1)-I$36*(((1+Assumptions!$B$13)^(2-1)-1)/Assumptions!$B$13))*Assumptions!$B$13))-(MAX(((((Assumptions!$B$17*(1+I$31)*(1+Assumptions!$B$24)^(2-1))-(Assumptions!$B$21*(1+Assumptions!$B$25)^(2-1)))-(IF(2&lt;=Assumptions!$B$27,I$33/Assumptions!$B$27,0)))-((I$35*(1+Assumptions!$B$13)^(2-1)-I$36*(((1+Assumptions!$B$13)^(2-1)-1)/Assumptions!$B$13))*Assumptions!$B$13)),0)*Assumptions!$B$28))+(IF(2&lt;=Assumptions!$B$27,I$33/Assumptions!$B$27,0))-(I$36-((I$35*(1+Assumptions!$B$13)^(2-1)-I$36*(((1+Assumptions!$B$13)^(2-1)-1)/Assumptions!$B$13))*Assumptions!$B$13))</f>
        <v>4.21069993967863</v>
      </c>
      <c r="J40" s="25" t="n">
        <f aca="false">(((((Assumptions!$B$17*(1+J$31)*(1+Assumptions!$B$24)^(2-1))-(Assumptions!$B$21*(1+Assumptions!$B$25)^(2-1)))-(IF(2&lt;=Assumptions!$B$27,J$33/Assumptions!$B$27,0)))-((J$35*(1+Assumptions!$B$13)^(2-1)-J$36*(((1+Assumptions!$B$13)^(2-1)-1)/Assumptions!$B$13))*Assumptions!$B$13))-(MAX(((((Assumptions!$B$17*(1+J$31)*(1+Assumptions!$B$24)^(2-1))-(Assumptions!$B$21*(1+Assumptions!$B$25)^(2-1)))-(IF(2&lt;=Assumptions!$B$27,J$33/Assumptions!$B$27,0)))-((J$35*(1+Assumptions!$B$13)^(2-1)-J$36*(((1+Assumptions!$B$13)^(2-1)-1)/Assumptions!$B$13))*Assumptions!$B$13)),0)*Assumptions!$B$28))+(IF(2&lt;=Assumptions!$B$27,J$33/Assumptions!$B$27,0))-(J$36-((J$35*(1+Assumptions!$B$13)^(2-1)-J$36*(((1+Assumptions!$B$13)^(2-1)-1)/Assumptions!$B$13))*Assumptions!$B$13))</f>
        <v>3.83050548853181</v>
      </c>
      <c r="K40" s="25" t="n">
        <f aca="false">(((((Assumptions!$B$17*(1+K$31)*(1+Assumptions!$B$24)^(2-1))-(Assumptions!$B$21*(1+Assumptions!$B$25)^(2-1)))-(IF(2&lt;=Assumptions!$B$27,K$33/Assumptions!$B$27,0)))-((K$35*(1+Assumptions!$B$13)^(2-1)-K$36*(((1+Assumptions!$B$13)^(2-1)-1)/Assumptions!$B$13))*Assumptions!$B$13))-(MAX(((((Assumptions!$B$17*(1+K$31)*(1+Assumptions!$B$24)^(2-1))-(Assumptions!$B$21*(1+Assumptions!$B$25)^(2-1)))-(IF(2&lt;=Assumptions!$B$27,K$33/Assumptions!$B$27,0)))-((K$35*(1+Assumptions!$B$13)^(2-1)-K$36*(((1+Assumptions!$B$13)^(2-1)-1)/Assumptions!$B$13))*Assumptions!$B$13)),0)*Assumptions!$B$28))+(IF(2&lt;=Assumptions!$B$27,K$33/Assumptions!$B$27,0))-(K$36-((K$35*(1+Assumptions!$B$13)^(2-1)-K$36*(((1+Assumptions!$B$13)^(2-1)-1)/Assumptions!$B$13))*Assumptions!$B$13))</f>
        <v>3.45031103738499</v>
      </c>
      <c r="L40" s="25" t="n">
        <f aca="false">(((((Assumptions!$B$17*(1+L$31)*(1+Assumptions!$B$24)^(2-1))-(Assumptions!$B$21*(1+Assumptions!$B$25)^(2-1)))-(IF(2&lt;=Assumptions!$B$27,L$33/Assumptions!$B$27,0)))-((L$35*(1+Assumptions!$B$13)^(2-1)-L$36*(((1+Assumptions!$B$13)^(2-1)-1)/Assumptions!$B$13))*Assumptions!$B$13))-(MAX(((((Assumptions!$B$17*(1+L$31)*(1+Assumptions!$B$24)^(2-1))-(Assumptions!$B$21*(1+Assumptions!$B$25)^(2-1)))-(IF(2&lt;=Assumptions!$B$27,L$33/Assumptions!$B$27,0)))-((L$35*(1+Assumptions!$B$13)^(2-1)-L$36*(((1+Assumptions!$B$13)^(2-1)-1)/Assumptions!$B$13))*Assumptions!$B$13)),0)*Assumptions!$B$28))+(IF(2&lt;=Assumptions!$B$27,L$33/Assumptions!$B$27,0))-(L$36-((L$35*(1+Assumptions!$B$13)^(2-1)-L$36*(((1+Assumptions!$B$13)^(2-1)-1)/Assumptions!$B$13))*Assumptions!$B$13))</f>
        <v>5.05605493967863</v>
      </c>
      <c r="M40" s="25" t="n">
        <f aca="false">(((((Assumptions!$B$17*(1+M$31)*(1+Assumptions!$B$24)^(2-1))-(Assumptions!$B$21*(1+Assumptions!$B$25)^(2-1)))-(IF(2&lt;=Assumptions!$B$27,M$33/Assumptions!$B$27,0)))-((M$35*(1+Assumptions!$B$13)^(2-1)-M$36*(((1+Assumptions!$B$13)^(2-1)-1)/Assumptions!$B$13))*Assumptions!$B$13))-(MAX(((((Assumptions!$B$17*(1+M$31)*(1+Assumptions!$B$24)^(2-1))-(Assumptions!$B$21*(1+Assumptions!$B$25)^(2-1)))-(IF(2&lt;=Assumptions!$B$27,M$33/Assumptions!$B$27,0)))-((M$35*(1+Assumptions!$B$13)^(2-1)-M$36*(((1+Assumptions!$B$13)^(2-1)-1)/Assumptions!$B$13))*Assumptions!$B$13)),0)*Assumptions!$B$28))+(IF(2&lt;=Assumptions!$B$27,M$33/Assumptions!$B$27,0))-(M$36-((M$35*(1+Assumptions!$B$13)^(2-1)-M$36*(((1+Assumptions!$B$13)^(2-1)-1)/Assumptions!$B$13))*Assumptions!$B$13))</f>
        <v>4.67586048853181</v>
      </c>
      <c r="N40" s="25" t="n">
        <f aca="false">(((((Assumptions!$B$17*(1+N$31)*(1+Assumptions!$B$24)^(2-1))-(Assumptions!$B$21*(1+Assumptions!$B$25)^(2-1)))-(IF(2&lt;=Assumptions!$B$27,N$33/Assumptions!$B$27,0)))-((N$35*(1+Assumptions!$B$13)^(2-1)-N$36*(((1+Assumptions!$B$13)^(2-1)-1)/Assumptions!$B$13))*Assumptions!$B$13))-(MAX(((((Assumptions!$B$17*(1+N$31)*(1+Assumptions!$B$24)^(2-1))-(Assumptions!$B$21*(1+Assumptions!$B$25)^(2-1)))-(IF(2&lt;=Assumptions!$B$27,N$33/Assumptions!$B$27,0)))-((N$35*(1+Assumptions!$B$13)^(2-1)-N$36*(((1+Assumptions!$B$13)^(2-1)-1)/Assumptions!$B$13))*Assumptions!$B$13)),0)*Assumptions!$B$28))+(IF(2&lt;=Assumptions!$B$27,N$33/Assumptions!$B$27,0))-(N$36-((N$35*(1+Assumptions!$B$13)^(2-1)-N$36*(((1+Assumptions!$B$13)^(2-1)-1)/Assumptions!$B$13))*Assumptions!$B$13))</f>
        <v>4.29566603738499</v>
      </c>
      <c r="O40" s="25" t="n">
        <f aca="false">(((((Assumptions!$B$17*(1+O$31)*(1+Assumptions!$B$24)^(2-1))-(Assumptions!$B$21*(1+Assumptions!$B$25)^(2-1)))-(IF(2&lt;=Assumptions!$B$27,O$33/Assumptions!$B$27,0)))-((O$35*(1+Assumptions!$B$13)^(2-1)-O$36*(((1+Assumptions!$B$13)^(2-1)-1)/Assumptions!$B$13))*Assumptions!$B$13))-(MAX(((((Assumptions!$B$17*(1+O$31)*(1+Assumptions!$B$24)^(2-1))-(Assumptions!$B$21*(1+Assumptions!$B$25)^(2-1)))-(IF(2&lt;=Assumptions!$B$27,O$33/Assumptions!$B$27,0)))-((O$35*(1+Assumptions!$B$13)^(2-1)-O$36*(((1+Assumptions!$B$13)^(2-1)-1)/Assumptions!$B$13))*Assumptions!$B$13)),0)*Assumptions!$B$28))+(IF(2&lt;=Assumptions!$B$27,O$33/Assumptions!$B$27,0))-(O$36-((O$35*(1+Assumptions!$B$13)^(2-1)-O$36*(((1+Assumptions!$B$13)^(2-1)-1)/Assumptions!$B$13))*Assumptions!$B$13))</f>
        <v>5.90140993967863</v>
      </c>
      <c r="P40" s="25" t="n">
        <f aca="false">(((((Assumptions!$B$17*(1+P$31)*(1+Assumptions!$B$24)^(2-1))-(Assumptions!$B$21*(1+Assumptions!$B$25)^(2-1)))-(IF(2&lt;=Assumptions!$B$27,P$33/Assumptions!$B$27,0)))-((P$35*(1+Assumptions!$B$13)^(2-1)-P$36*(((1+Assumptions!$B$13)^(2-1)-1)/Assumptions!$B$13))*Assumptions!$B$13))-(MAX(((((Assumptions!$B$17*(1+P$31)*(1+Assumptions!$B$24)^(2-1))-(Assumptions!$B$21*(1+Assumptions!$B$25)^(2-1)))-(IF(2&lt;=Assumptions!$B$27,P$33/Assumptions!$B$27,0)))-((P$35*(1+Assumptions!$B$13)^(2-1)-P$36*(((1+Assumptions!$B$13)^(2-1)-1)/Assumptions!$B$13))*Assumptions!$B$13)),0)*Assumptions!$B$28))+(IF(2&lt;=Assumptions!$B$27,P$33/Assumptions!$B$27,0))-(P$36-((P$35*(1+Assumptions!$B$13)^(2-1)-P$36*(((1+Assumptions!$B$13)^(2-1)-1)/Assumptions!$B$13))*Assumptions!$B$13))</f>
        <v>5.52121548853181</v>
      </c>
      <c r="Q40" s="25" t="n">
        <f aca="false">(((((Assumptions!$B$17*(1+Q$31)*(1+Assumptions!$B$24)^(2-1))-(Assumptions!$B$21*(1+Assumptions!$B$25)^(2-1)))-(IF(2&lt;=Assumptions!$B$27,Q$33/Assumptions!$B$27,0)))-((Q$35*(1+Assumptions!$B$13)^(2-1)-Q$36*(((1+Assumptions!$B$13)^(2-1)-1)/Assumptions!$B$13))*Assumptions!$B$13))-(MAX(((((Assumptions!$B$17*(1+Q$31)*(1+Assumptions!$B$24)^(2-1))-(Assumptions!$B$21*(1+Assumptions!$B$25)^(2-1)))-(IF(2&lt;=Assumptions!$B$27,Q$33/Assumptions!$B$27,0)))-((Q$35*(1+Assumptions!$B$13)^(2-1)-Q$36*(((1+Assumptions!$B$13)^(2-1)-1)/Assumptions!$B$13))*Assumptions!$B$13)),0)*Assumptions!$B$28))+(IF(2&lt;=Assumptions!$B$27,Q$33/Assumptions!$B$27,0))-(Q$36-((Q$35*(1+Assumptions!$B$13)^(2-1)-Q$36*(((1+Assumptions!$B$13)^(2-1)-1)/Assumptions!$B$13))*Assumptions!$B$13))</f>
        <v>5.14102103738499</v>
      </c>
    </row>
    <row r="41" customFormat="false" ht="15" hidden="false" customHeight="false" outlineLevel="0" collapsed="false">
      <c r="A41" s="7" t="n">
        <v>3</v>
      </c>
      <c r="C41" s="25" t="n">
        <f aca="false">(((((Assumptions!$B$17*(1+C$31)*(1+Assumptions!$B$24)^(3-1))-(Assumptions!$B$21*(1+Assumptions!$B$25)^(3-1)))-(IF(3&lt;=Assumptions!$B$27,C$33/Assumptions!$B$27,0)))-((C$35*(1+Assumptions!$B$13)^(3-1)-C$36*(((1+Assumptions!$B$13)^(3-1)-1)/Assumptions!$B$13))*Assumptions!$B$13))-(MAX(((((Assumptions!$B$17*(1+C$31)*(1+Assumptions!$B$24)^(3-1))-(Assumptions!$B$21*(1+Assumptions!$B$25)^(3-1)))-(IF(3&lt;=Assumptions!$B$27,C$33/Assumptions!$B$27,0)))-((C$35*(1+Assumptions!$B$13)^(3-1)-C$36*(((1+Assumptions!$B$13)^(3-1)-1)/Assumptions!$B$13))*Assumptions!$B$13)),0)*Assumptions!$B$28))+(IF(3&lt;=Assumptions!$B$27,C$33/Assumptions!$B$27,0))-(C$36-((C$35*(1+Assumptions!$B$13)^(3-1)-C$36*(((1+Assumptions!$B$13)^(3-1)-1)/Assumptions!$B$13))*Assumptions!$B$13))</f>
        <v>2.46401491488306</v>
      </c>
      <c r="D41" s="25" t="n">
        <f aca="false">(((((Assumptions!$B$17*(1+D$31)*(1+Assumptions!$B$24)^(3-1))-(Assumptions!$B$21*(1+Assumptions!$B$25)^(3-1)))-(IF(3&lt;=Assumptions!$B$27,D$33/Assumptions!$B$27,0)))-((D$35*(1+Assumptions!$B$13)^(3-1)-D$36*(((1+Assumptions!$B$13)^(3-1)-1)/Assumptions!$B$13))*Assumptions!$B$13))-(MAX(((((Assumptions!$B$17*(1+D$31)*(1+Assumptions!$B$24)^(3-1))-(Assumptions!$B$21*(1+Assumptions!$B$25)^(3-1)))-(IF(3&lt;=Assumptions!$B$27,D$33/Assumptions!$B$27,0)))-((D$35*(1+Assumptions!$B$13)^(3-1)-D$36*(((1+Assumptions!$B$13)^(3-1)-1)/Assumptions!$B$13))*Assumptions!$B$13)),0)*Assumptions!$B$28))+(IF(3&lt;=Assumptions!$B$27,D$33/Assumptions!$B$27,0))-(D$36-((D$35*(1+Assumptions!$B$13)^(3-1)-D$36*(((1+Assumptions!$B$13)^(3-1)-1)/Assumptions!$B$13))*Assumptions!$B$13))</f>
        <v>2.08243138987006</v>
      </c>
      <c r="E41" s="25" t="n">
        <f aca="false">(((((Assumptions!$B$17*(1+E$31)*(1+Assumptions!$B$24)^(3-1))-(Assumptions!$B$21*(1+Assumptions!$B$25)^(3-1)))-(IF(3&lt;=Assumptions!$B$27,E$33/Assumptions!$B$27,0)))-((E$35*(1+Assumptions!$B$13)^(3-1)-E$36*(((1+Assumptions!$B$13)^(3-1)-1)/Assumptions!$B$13))*Assumptions!$B$13))-(MAX(((((Assumptions!$B$17*(1+E$31)*(1+Assumptions!$B$24)^(3-1))-(Assumptions!$B$21*(1+Assumptions!$B$25)^(3-1)))-(IF(3&lt;=Assumptions!$B$27,E$33/Assumptions!$B$27,0)))-((E$35*(1+Assumptions!$B$13)^(3-1)-E$36*(((1+Assumptions!$B$13)^(3-1)-1)/Assumptions!$B$13))*Assumptions!$B$13)),0)*Assumptions!$B$28))+(IF(3&lt;=Assumptions!$B$27,E$33/Assumptions!$B$27,0))-(E$36-((E$35*(1+Assumptions!$B$13)^(3-1)-E$36*(((1+Assumptions!$B$13)^(3-1)-1)/Assumptions!$B$13))*Assumptions!$B$13))</f>
        <v>1.70084786485707</v>
      </c>
      <c r="F41" s="25" t="n">
        <f aca="false">(((((Assumptions!$B$17*(1+F$31)*(1+Assumptions!$B$24)^(3-1))-(Assumptions!$B$21*(1+Assumptions!$B$25)^(3-1)))-(IF(3&lt;=Assumptions!$B$27,F$33/Assumptions!$B$27,0)))-((F$35*(1+Assumptions!$B$13)^(3-1)-F$36*(((1+Assumptions!$B$13)^(3-1)-1)/Assumptions!$B$13))*Assumptions!$B$13))-(MAX(((((Assumptions!$B$17*(1+F$31)*(1+Assumptions!$B$24)^(3-1))-(Assumptions!$B$21*(1+Assumptions!$B$25)^(3-1)))-(IF(3&lt;=Assumptions!$B$27,F$33/Assumptions!$B$27,0)))-((F$35*(1+Assumptions!$B$13)^(3-1)-F$36*(((1+Assumptions!$B$13)^(3-1)-1)/Assumptions!$B$13))*Assumptions!$B$13)),0)*Assumptions!$B$28))+(IF(3&lt;=Assumptions!$B$27,F$33/Assumptions!$B$27,0))-(F$36-((F$35*(1+Assumptions!$B$13)^(3-1)-F$36*(((1+Assumptions!$B$13)^(3-1)-1)/Assumptions!$B$13))*Assumptions!$B$13))</f>
        <v>3.30598849488306</v>
      </c>
      <c r="G41" s="25" t="n">
        <f aca="false">(((((Assumptions!$B$17*(1+G$31)*(1+Assumptions!$B$24)^(3-1))-(Assumptions!$B$21*(1+Assumptions!$B$25)^(3-1)))-(IF(3&lt;=Assumptions!$B$27,G$33/Assumptions!$B$27,0)))-((G$35*(1+Assumptions!$B$13)^(3-1)-G$36*(((1+Assumptions!$B$13)^(3-1)-1)/Assumptions!$B$13))*Assumptions!$B$13))-(MAX(((((Assumptions!$B$17*(1+G$31)*(1+Assumptions!$B$24)^(3-1))-(Assumptions!$B$21*(1+Assumptions!$B$25)^(3-1)))-(IF(3&lt;=Assumptions!$B$27,G$33/Assumptions!$B$27,0)))-((G$35*(1+Assumptions!$B$13)^(3-1)-G$36*(((1+Assumptions!$B$13)^(3-1)-1)/Assumptions!$B$13))*Assumptions!$B$13)),0)*Assumptions!$B$28))+(IF(3&lt;=Assumptions!$B$27,G$33/Assumptions!$B$27,0))-(G$36-((G$35*(1+Assumptions!$B$13)^(3-1)-G$36*(((1+Assumptions!$B$13)^(3-1)-1)/Assumptions!$B$13))*Assumptions!$B$13))</f>
        <v>2.92440496987006</v>
      </c>
      <c r="H41" s="25" t="n">
        <f aca="false">(((((Assumptions!$B$17*(1+H$31)*(1+Assumptions!$B$24)^(3-1))-(Assumptions!$B$21*(1+Assumptions!$B$25)^(3-1)))-(IF(3&lt;=Assumptions!$B$27,H$33/Assumptions!$B$27,0)))-((H$35*(1+Assumptions!$B$13)^(3-1)-H$36*(((1+Assumptions!$B$13)^(3-1)-1)/Assumptions!$B$13))*Assumptions!$B$13))-(MAX(((((Assumptions!$B$17*(1+H$31)*(1+Assumptions!$B$24)^(3-1))-(Assumptions!$B$21*(1+Assumptions!$B$25)^(3-1)))-(IF(3&lt;=Assumptions!$B$27,H$33/Assumptions!$B$27,0)))-((H$35*(1+Assumptions!$B$13)^(3-1)-H$36*(((1+Assumptions!$B$13)^(3-1)-1)/Assumptions!$B$13))*Assumptions!$B$13)),0)*Assumptions!$B$28))+(IF(3&lt;=Assumptions!$B$27,H$33/Assumptions!$B$27,0))-(H$36-((H$35*(1+Assumptions!$B$13)^(3-1)-H$36*(((1+Assumptions!$B$13)^(3-1)-1)/Assumptions!$B$13))*Assumptions!$B$13))</f>
        <v>2.54282144485707</v>
      </c>
      <c r="I41" s="25" t="n">
        <f aca="false">(((((Assumptions!$B$17*(1+I$31)*(1+Assumptions!$B$24)^(3-1))-(Assumptions!$B$21*(1+Assumptions!$B$25)^(3-1)))-(IF(3&lt;=Assumptions!$B$27,I$33/Assumptions!$B$27,0)))-((I$35*(1+Assumptions!$B$13)^(3-1)-I$36*(((1+Assumptions!$B$13)^(3-1)-1)/Assumptions!$B$13))*Assumptions!$B$13))-(MAX(((((Assumptions!$B$17*(1+I$31)*(1+Assumptions!$B$24)^(3-1))-(Assumptions!$B$21*(1+Assumptions!$B$25)^(3-1)))-(IF(3&lt;=Assumptions!$B$27,I$33/Assumptions!$B$27,0)))-((I$35*(1+Assumptions!$B$13)^(3-1)-I$36*(((1+Assumptions!$B$13)^(3-1)-1)/Assumptions!$B$13))*Assumptions!$B$13)),0)*Assumptions!$B$28))+(IF(3&lt;=Assumptions!$B$27,I$33/Assumptions!$B$27,0))-(I$36-((I$35*(1+Assumptions!$B$13)^(3-1)-I$36*(((1+Assumptions!$B$13)^(3-1)-1)/Assumptions!$B$13))*Assumptions!$B$13))</f>
        <v>4.14796207488306</v>
      </c>
      <c r="J41" s="25" t="n">
        <f aca="false">(((((Assumptions!$B$17*(1+J$31)*(1+Assumptions!$B$24)^(3-1))-(Assumptions!$B$21*(1+Assumptions!$B$25)^(3-1)))-(IF(3&lt;=Assumptions!$B$27,J$33/Assumptions!$B$27,0)))-((J$35*(1+Assumptions!$B$13)^(3-1)-J$36*(((1+Assumptions!$B$13)^(3-1)-1)/Assumptions!$B$13))*Assumptions!$B$13))-(MAX(((((Assumptions!$B$17*(1+J$31)*(1+Assumptions!$B$24)^(3-1))-(Assumptions!$B$21*(1+Assumptions!$B$25)^(3-1)))-(IF(3&lt;=Assumptions!$B$27,J$33/Assumptions!$B$27,0)))-((J$35*(1+Assumptions!$B$13)^(3-1)-J$36*(((1+Assumptions!$B$13)^(3-1)-1)/Assumptions!$B$13))*Assumptions!$B$13)),0)*Assumptions!$B$28))+(IF(3&lt;=Assumptions!$B$27,J$33/Assumptions!$B$27,0))-(J$36-((J$35*(1+Assumptions!$B$13)^(3-1)-J$36*(((1+Assumptions!$B$13)^(3-1)-1)/Assumptions!$B$13))*Assumptions!$B$13))</f>
        <v>3.76637854987006</v>
      </c>
      <c r="K41" s="25" t="n">
        <f aca="false">(((((Assumptions!$B$17*(1+K$31)*(1+Assumptions!$B$24)^(3-1))-(Assumptions!$B$21*(1+Assumptions!$B$25)^(3-1)))-(IF(3&lt;=Assumptions!$B$27,K$33/Assumptions!$B$27,0)))-((K$35*(1+Assumptions!$B$13)^(3-1)-K$36*(((1+Assumptions!$B$13)^(3-1)-1)/Assumptions!$B$13))*Assumptions!$B$13))-(MAX(((((Assumptions!$B$17*(1+K$31)*(1+Assumptions!$B$24)^(3-1))-(Assumptions!$B$21*(1+Assumptions!$B$25)^(3-1)))-(IF(3&lt;=Assumptions!$B$27,K$33/Assumptions!$B$27,0)))-((K$35*(1+Assumptions!$B$13)^(3-1)-K$36*(((1+Assumptions!$B$13)^(3-1)-1)/Assumptions!$B$13))*Assumptions!$B$13)),0)*Assumptions!$B$28))+(IF(3&lt;=Assumptions!$B$27,K$33/Assumptions!$B$27,0))-(K$36-((K$35*(1+Assumptions!$B$13)^(3-1)-K$36*(((1+Assumptions!$B$13)^(3-1)-1)/Assumptions!$B$13))*Assumptions!$B$13))</f>
        <v>3.38479502485707</v>
      </c>
      <c r="L41" s="25" t="n">
        <f aca="false">(((((Assumptions!$B$17*(1+L$31)*(1+Assumptions!$B$24)^(3-1))-(Assumptions!$B$21*(1+Assumptions!$B$25)^(3-1)))-(IF(3&lt;=Assumptions!$B$27,L$33/Assumptions!$B$27,0)))-((L$35*(1+Assumptions!$B$13)^(3-1)-L$36*(((1+Assumptions!$B$13)^(3-1)-1)/Assumptions!$B$13))*Assumptions!$B$13))-(MAX(((((Assumptions!$B$17*(1+L$31)*(1+Assumptions!$B$24)^(3-1))-(Assumptions!$B$21*(1+Assumptions!$B$25)^(3-1)))-(IF(3&lt;=Assumptions!$B$27,L$33/Assumptions!$B$27,0)))-((L$35*(1+Assumptions!$B$13)^(3-1)-L$36*(((1+Assumptions!$B$13)^(3-1)-1)/Assumptions!$B$13))*Assumptions!$B$13)),0)*Assumptions!$B$28))+(IF(3&lt;=Assumptions!$B$27,L$33/Assumptions!$B$27,0))-(L$36-((L$35*(1+Assumptions!$B$13)^(3-1)-L$36*(((1+Assumptions!$B$13)^(3-1)-1)/Assumptions!$B$13))*Assumptions!$B$13))</f>
        <v>4.98993565488306</v>
      </c>
      <c r="M41" s="25" t="n">
        <f aca="false">(((((Assumptions!$B$17*(1+M$31)*(1+Assumptions!$B$24)^(3-1))-(Assumptions!$B$21*(1+Assumptions!$B$25)^(3-1)))-(IF(3&lt;=Assumptions!$B$27,M$33/Assumptions!$B$27,0)))-((M$35*(1+Assumptions!$B$13)^(3-1)-M$36*(((1+Assumptions!$B$13)^(3-1)-1)/Assumptions!$B$13))*Assumptions!$B$13))-(MAX(((((Assumptions!$B$17*(1+M$31)*(1+Assumptions!$B$24)^(3-1))-(Assumptions!$B$21*(1+Assumptions!$B$25)^(3-1)))-(IF(3&lt;=Assumptions!$B$27,M$33/Assumptions!$B$27,0)))-((M$35*(1+Assumptions!$B$13)^(3-1)-M$36*(((1+Assumptions!$B$13)^(3-1)-1)/Assumptions!$B$13))*Assumptions!$B$13)),0)*Assumptions!$B$28))+(IF(3&lt;=Assumptions!$B$27,M$33/Assumptions!$B$27,0))-(M$36-((M$35*(1+Assumptions!$B$13)^(3-1)-M$36*(((1+Assumptions!$B$13)^(3-1)-1)/Assumptions!$B$13))*Assumptions!$B$13))</f>
        <v>4.60835212987006</v>
      </c>
      <c r="N41" s="25" t="n">
        <f aca="false">(((((Assumptions!$B$17*(1+N$31)*(1+Assumptions!$B$24)^(3-1))-(Assumptions!$B$21*(1+Assumptions!$B$25)^(3-1)))-(IF(3&lt;=Assumptions!$B$27,N$33/Assumptions!$B$27,0)))-((N$35*(1+Assumptions!$B$13)^(3-1)-N$36*(((1+Assumptions!$B$13)^(3-1)-1)/Assumptions!$B$13))*Assumptions!$B$13))-(MAX(((((Assumptions!$B$17*(1+N$31)*(1+Assumptions!$B$24)^(3-1))-(Assumptions!$B$21*(1+Assumptions!$B$25)^(3-1)))-(IF(3&lt;=Assumptions!$B$27,N$33/Assumptions!$B$27,0)))-((N$35*(1+Assumptions!$B$13)^(3-1)-N$36*(((1+Assumptions!$B$13)^(3-1)-1)/Assumptions!$B$13))*Assumptions!$B$13)),0)*Assumptions!$B$28))+(IF(3&lt;=Assumptions!$B$27,N$33/Assumptions!$B$27,0))-(N$36-((N$35*(1+Assumptions!$B$13)^(3-1)-N$36*(((1+Assumptions!$B$13)^(3-1)-1)/Assumptions!$B$13))*Assumptions!$B$13))</f>
        <v>4.22676860485707</v>
      </c>
      <c r="O41" s="25" t="n">
        <f aca="false">(((((Assumptions!$B$17*(1+O$31)*(1+Assumptions!$B$24)^(3-1))-(Assumptions!$B$21*(1+Assumptions!$B$25)^(3-1)))-(IF(3&lt;=Assumptions!$B$27,O$33/Assumptions!$B$27,0)))-((O$35*(1+Assumptions!$B$13)^(3-1)-O$36*(((1+Assumptions!$B$13)^(3-1)-1)/Assumptions!$B$13))*Assumptions!$B$13))-(MAX(((((Assumptions!$B$17*(1+O$31)*(1+Assumptions!$B$24)^(3-1))-(Assumptions!$B$21*(1+Assumptions!$B$25)^(3-1)))-(IF(3&lt;=Assumptions!$B$27,O$33/Assumptions!$B$27,0)))-((O$35*(1+Assumptions!$B$13)^(3-1)-O$36*(((1+Assumptions!$B$13)^(3-1)-1)/Assumptions!$B$13))*Assumptions!$B$13)),0)*Assumptions!$B$28))+(IF(3&lt;=Assumptions!$B$27,O$33/Assumptions!$B$27,0))-(O$36-((O$35*(1+Assumptions!$B$13)^(3-1)-O$36*(((1+Assumptions!$B$13)^(3-1)-1)/Assumptions!$B$13))*Assumptions!$B$13))</f>
        <v>5.83190923488306</v>
      </c>
      <c r="P41" s="25" t="n">
        <f aca="false">(((((Assumptions!$B$17*(1+P$31)*(1+Assumptions!$B$24)^(3-1))-(Assumptions!$B$21*(1+Assumptions!$B$25)^(3-1)))-(IF(3&lt;=Assumptions!$B$27,P$33/Assumptions!$B$27,0)))-((P$35*(1+Assumptions!$B$13)^(3-1)-P$36*(((1+Assumptions!$B$13)^(3-1)-1)/Assumptions!$B$13))*Assumptions!$B$13))-(MAX(((((Assumptions!$B$17*(1+P$31)*(1+Assumptions!$B$24)^(3-1))-(Assumptions!$B$21*(1+Assumptions!$B$25)^(3-1)))-(IF(3&lt;=Assumptions!$B$27,P$33/Assumptions!$B$27,0)))-((P$35*(1+Assumptions!$B$13)^(3-1)-P$36*(((1+Assumptions!$B$13)^(3-1)-1)/Assumptions!$B$13))*Assumptions!$B$13)),0)*Assumptions!$B$28))+(IF(3&lt;=Assumptions!$B$27,P$33/Assumptions!$B$27,0))-(P$36-((P$35*(1+Assumptions!$B$13)^(3-1)-P$36*(((1+Assumptions!$B$13)^(3-1)-1)/Assumptions!$B$13))*Assumptions!$B$13))</f>
        <v>5.45032570987006</v>
      </c>
      <c r="Q41" s="25" t="n">
        <f aca="false">(((((Assumptions!$B$17*(1+Q$31)*(1+Assumptions!$B$24)^(3-1))-(Assumptions!$B$21*(1+Assumptions!$B$25)^(3-1)))-(IF(3&lt;=Assumptions!$B$27,Q$33/Assumptions!$B$27,0)))-((Q$35*(1+Assumptions!$B$13)^(3-1)-Q$36*(((1+Assumptions!$B$13)^(3-1)-1)/Assumptions!$B$13))*Assumptions!$B$13))-(MAX(((((Assumptions!$B$17*(1+Q$31)*(1+Assumptions!$B$24)^(3-1))-(Assumptions!$B$21*(1+Assumptions!$B$25)^(3-1)))-(IF(3&lt;=Assumptions!$B$27,Q$33/Assumptions!$B$27,0)))-((Q$35*(1+Assumptions!$B$13)^(3-1)-Q$36*(((1+Assumptions!$B$13)^(3-1)-1)/Assumptions!$B$13))*Assumptions!$B$13)),0)*Assumptions!$B$28))+(IF(3&lt;=Assumptions!$B$27,Q$33/Assumptions!$B$27,0))-(Q$36-((Q$35*(1+Assumptions!$B$13)^(3-1)-Q$36*(((1+Assumptions!$B$13)^(3-1)-1)/Assumptions!$B$13))*Assumptions!$B$13))</f>
        <v>5.06874218485707</v>
      </c>
    </row>
    <row r="42" customFormat="false" ht="15" hidden="false" customHeight="false" outlineLevel="0" collapsed="false">
      <c r="A42" s="7" t="n">
        <v>4</v>
      </c>
      <c r="C42" s="25" t="n">
        <f aca="false">(((((Assumptions!$B$17*(1+C$31)*(1+Assumptions!$B$24)^(4-1))-(Assumptions!$B$21*(1+Assumptions!$B$25)^(4-1)))-(IF(4&lt;=Assumptions!$B$27,C$33/Assumptions!$B$27,0)))-((C$35*(1+Assumptions!$B$13)^(4-1)-C$36*(((1+Assumptions!$B$13)^(4-1)-1)/Assumptions!$B$13))*Assumptions!$B$13))-(MAX(((((Assumptions!$B$17*(1+C$31)*(1+Assumptions!$B$24)^(4-1))-(Assumptions!$B$21*(1+Assumptions!$B$25)^(4-1)))-(IF(4&lt;=Assumptions!$B$27,C$33/Assumptions!$B$27,0)))-((C$35*(1+Assumptions!$B$13)^(4-1)-C$36*(((1+Assumptions!$B$13)^(4-1)-1)/Assumptions!$B$13))*Assumptions!$B$13)),0)*Assumptions!$B$28))+(IF(4&lt;=Assumptions!$B$27,C$33/Assumptions!$B$27,0))-(C$36-((C$35*(1+Assumptions!$B$13)^(4-1)-C$36*(((1+Assumptions!$B$13)^(4-1)-1)/Assumptions!$B$13))*Assumptions!$B$13))</f>
        <v>2.4071945722877</v>
      </c>
      <c r="D42" s="25" t="n">
        <f aca="false">(((((Assumptions!$B$17*(1+D$31)*(1+Assumptions!$B$24)^(4-1))-(Assumptions!$B$21*(1+Assumptions!$B$25)^(4-1)))-(IF(4&lt;=Assumptions!$B$27,D$33/Assumptions!$B$27,0)))-((D$35*(1+Assumptions!$B$13)^(4-1)-D$36*(((1+Assumptions!$B$13)^(4-1)-1)/Assumptions!$B$13))*Assumptions!$B$13))-(MAX(((((Assumptions!$B$17*(1+D$31)*(1+Assumptions!$B$24)^(4-1))-(Assumptions!$B$21*(1+Assumptions!$B$25)^(4-1)))-(IF(4&lt;=Assumptions!$B$27,D$33/Assumptions!$B$27,0)))-((D$35*(1+Assumptions!$B$13)^(4-1)-D$36*(((1+Assumptions!$B$13)^(4-1)-1)/Assumptions!$B$13))*Assumptions!$B$13)),0)*Assumptions!$B$28))+(IF(4&lt;=Assumptions!$B$27,D$33/Assumptions!$B$27,0))-(D$36-((D$35*(1+Assumptions!$B$13)^(4-1)-D$36*(((1+Assumptions!$B$13)^(4-1)-1)/Assumptions!$B$13))*Assumptions!$B$13))</f>
        <v>2.02415251971523</v>
      </c>
      <c r="E42" s="25" t="n">
        <f aca="false">(((((Assumptions!$B$17*(1+E$31)*(1+Assumptions!$B$24)^(4-1))-(Assumptions!$B$21*(1+Assumptions!$B$25)^(4-1)))-(IF(4&lt;=Assumptions!$B$27,E$33/Assumptions!$B$27,0)))-((E$35*(1+Assumptions!$B$13)^(4-1)-E$36*(((1+Assumptions!$B$13)^(4-1)-1)/Assumptions!$B$13))*Assumptions!$B$13))-(MAX(((((Assumptions!$B$17*(1+E$31)*(1+Assumptions!$B$24)^(4-1))-(Assumptions!$B$21*(1+Assumptions!$B$25)^(4-1)))-(IF(4&lt;=Assumptions!$B$27,E$33/Assumptions!$B$27,0)))-((E$35*(1+Assumptions!$B$13)^(4-1)-E$36*(((1+Assumptions!$B$13)^(4-1)-1)/Assumptions!$B$13))*Assumptions!$B$13)),0)*Assumptions!$B$28))+(IF(4&lt;=Assumptions!$B$27,E$33/Assumptions!$B$27,0))-(E$36-((E$35*(1+Assumptions!$B$13)^(4-1)-E$36*(((1+Assumptions!$B$13)^(4-1)-1)/Assumptions!$B$13))*Assumptions!$B$13))</f>
        <v>1.64111046714275</v>
      </c>
      <c r="F42" s="25" t="n">
        <f aca="false">(((((Assumptions!$B$17*(1+F$31)*(1+Assumptions!$B$24)^(4-1))-(Assumptions!$B$21*(1+Assumptions!$B$25)^(4-1)))-(IF(4&lt;=Assumptions!$B$27,F$33/Assumptions!$B$27,0)))-((F$35*(1+Assumptions!$B$13)^(4-1)-F$36*(((1+Assumptions!$B$13)^(4-1)-1)/Assumptions!$B$13))*Assumptions!$B$13))-(MAX(((((Assumptions!$B$17*(1+F$31)*(1+Assumptions!$B$24)^(4-1))-(Assumptions!$B$21*(1+Assumptions!$B$25)^(4-1)))-(IF(4&lt;=Assumptions!$B$27,F$33/Assumptions!$B$27,0)))-((F$35*(1+Assumptions!$B$13)^(4-1)-F$36*(((1+Assumptions!$B$13)^(4-1)-1)/Assumptions!$B$13))*Assumptions!$B$13)),0)*Assumptions!$B$28))+(IF(4&lt;=Assumptions!$B$27,F$33/Assumptions!$B$27,0))-(F$36-((F$35*(1+Assumptions!$B$13)^(4-1)-F$36*(((1+Assumptions!$B$13)^(4-1)-1)/Assumptions!$B$13))*Assumptions!$B$13))</f>
        <v>3.2458002579677</v>
      </c>
      <c r="G42" s="25" t="n">
        <f aca="false">(((((Assumptions!$B$17*(1+G$31)*(1+Assumptions!$B$24)^(4-1))-(Assumptions!$B$21*(1+Assumptions!$B$25)^(4-1)))-(IF(4&lt;=Assumptions!$B$27,G$33/Assumptions!$B$27,0)))-((G$35*(1+Assumptions!$B$13)^(4-1)-G$36*(((1+Assumptions!$B$13)^(4-1)-1)/Assumptions!$B$13))*Assumptions!$B$13))-(MAX(((((Assumptions!$B$17*(1+G$31)*(1+Assumptions!$B$24)^(4-1))-(Assumptions!$B$21*(1+Assumptions!$B$25)^(4-1)))-(IF(4&lt;=Assumptions!$B$27,G$33/Assumptions!$B$27,0)))-((G$35*(1+Assumptions!$B$13)^(4-1)-G$36*(((1+Assumptions!$B$13)^(4-1)-1)/Assumptions!$B$13))*Assumptions!$B$13)),0)*Assumptions!$B$28))+(IF(4&lt;=Assumptions!$B$27,G$33/Assumptions!$B$27,0))-(G$36-((G$35*(1+Assumptions!$B$13)^(4-1)-G$36*(((1+Assumptions!$B$13)^(4-1)-1)/Assumptions!$B$13))*Assumptions!$B$13))</f>
        <v>2.86275820539523</v>
      </c>
      <c r="H42" s="25" t="n">
        <f aca="false">(((((Assumptions!$B$17*(1+H$31)*(1+Assumptions!$B$24)^(4-1))-(Assumptions!$B$21*(1+Assumptions!$B$25)^(4-1)))-(IF(4&lt;=Assumptions!$B$27,H$33/Assumptions!$B$27,0)))-((H$35*(1+Assumptions!$B$13)^(4-1)-H$36*(((1+Assumptions!$B$13)^(4-1)-1)/Assumptions!$B$13))*Assumptions!$B$13))-(MAX(((((Assumptions!$B$17*(1+H$31)*(1+Assumptions!$B$24)^(4-1))-(Assumptions!$B$21*(1+Assumptions!$B$25)^(4-1)))-(IF(4&lt;=Assumptions!$B$27,H$33/Assumptions!$B$27,0)))-((H$35*(1+Assumptions!$B$13)^(4-1)-H$36*(((1+Assumptions!$B$13)^(4-1)-1)/Assumptions!$B$13))*Assumptions!$B$13)),0)*Assumptions!$B$28))+(IF(4&lt;=Assumptions!$B$27,H$33/Assumptions!$B$27,0))-(H$36-((H$35*(1+Assumptions!$B$13)^(4-1)-H$36*(((1+Assumptions!$B$13)^(4-1)-1)/Assumptions!$B$13))*Assumptions!$B$13))</f>
        <v>2.47971615282275</v>
      </c>
      <c r="I42" s="25" t="n">
        <f aca="false">(((((Assumptions!$B$17*(1+I$31)*(1+Assumptions!$B$24)^(4-1))-(Assumptions!$B$21*(1+Assumptions!$B$25)^(4-1)))-(IF(4&lt;=Assumptions!$B$27,I$33/Assumptions!$B$27,0)))-((I$35*(1+Assumptions!$B$13)^(4-1)-I$36*(((1+Assumptions!$B$13)^(4-1)-1)/Assumptions!$B$13))*Assumptions!$B$13))-(MAX(((((Assumptions!$B$17*(1+I$31)*(1+Assumptions!$B$24)^(4-1))-(Assumptions!$B$21*(1+Assumptions!$B$25)^(4-1)))-(IF(4&lt;=Assumptions!$B$27,I$33/Assumptions!$B$27,0)))-((I$35*(1+Assumptions!$B$13)^(4-1)-I$36*(((1+Assumptions!$B$13)^(4-1)-1)/Assumptions!$B$13))*Assumptions!$B$13)),0)*Assumptions!$B$28))+(IF(4&lt;=Assumptions!$B$27,I$33/Assumptions!$B$27,0))-(I$36-((I$35*(1+Assumptions!$B$13)^(4-1)-I$36*(((1+Assumptions!$B$13)^(4-1)-1)/Assumptions!$B$13))*Assumptions!$B$13))</f>
        <v>4.0844059436477</v>
      </c>
      <c r="J42" s="25" t="n">
        <f aca="false">(((((Assumptions!$B$17*(1+J$31)*(1+Assumptions!$B$24)^(4-1))-(Assumptions!$B$21*(1+Assumptions!$B$25)^(4-1)))-(IF(4&lt;=Assumptions!$B$27,J$33/Assumptions!$B$27,0)))-((J$35*(1+Assumptions!$B$13)^(4-1)-J$36*(((1+Assumptions!$B$13)^(4-1)-1)/Assumptions!$B$13))*Assumptions!$B$13))-(MAX(((((Assumptions!$B$17*(1+J$31)*(1+Assumptions!$B$24)^(4-1))-(Assumptions!$B$21*(1+Assumptions!$B$25)^(4-1)))-(IF(4&lt;=Assumptions!$B$27,J$33/Assumptions!$B$27,0)))-((J$35*(1+Assumptions!$B$13)^(4-1)-J$36*(((1+Assumptions!$B$13)^(4-1)-1)/Assumptions!$B$13))*Assumptions!$B$13)),0)*Assumptions!$B$28))+(IF(4&lt;=Assumptions!$B$27,J$33/Assumptions!$B$27,0))-(J$36-((J$35*(1+Assumptions!$B$13)^(4-1)-J$36*(((1+Assumptions!$B$13)^(4-1)-1)/Assumptions!$B$13))*Assumptions!$B$13))</f>
        <v>3.70136389107522</v>
      </c>
      <c r="K42" s="25" t="n">
        <f aca="false">(((((Assumptions!$B$17*(1+K$31)*(1+Assumptions!$B$24)^(4-1))-(Assumptions!$B$21*(1+Assumptions!$B$25)^(4-1)))-(IF(4&lt;=Assumptions!$B$27,K$33/Assumptions!$B$27,0)))-((K$35*(1+Assumptions!$B$13)^(4-1)-K$36*(((1+Assumptions!$B$13)^(4-1)-1)/Assumptions!$B$13))*Assumptions!$B$13))-(MAX(((((Assumptions!$B$17*(1+K$31)*(1+Assumptions!$B$24)^(4-1))-(Assumptions!$B$21*(1+Assumptions!$B$25)^(4-1)))-(IF(4&lt;=Assumptions!$B$27,K$33/Assumptions!$B$27,0)))-((K$35*(1+Assumptions!$B$13)^(4-1)-K$36*(((1+Assumptions!$B$13)^(4-1)-1)/Assumptions!$B$13))*Assumptions!$B$13)),0)*Assumptions!$B$28))+(IF(4&lt;=Assumptions!$B$27,K$33/Assumptions!$B$27,0))-(K$36-((K$35*(1+Assumptions!$B$13)^(4-1)-K$36*(((1+Assumptions!$B$13)^(4-1)-1)/Assumptions!$B$13))*Assumptions!$B$13))</f>
        <v>3.31832183850275</v>
      </c>
      <c r="L42" s="25" t="n">
        <f aca="false">(((((Assumptions!$B$17*(1+L$31)*(1+Assumptions!$B$24)^(4-1))-(Assumptions!$B$21*(1+Assumptions!$B$25)^(4-1)))-(IF(4&lt;=Assumptions!$B$27,L$33/Assumptions!$B$27,0)))-((L$35*(1+Assumptions!$B$13)^(4-1)-L$36*(((1+Assumptions!$B$13)^(4-1)-1)/Assumptions!$B$13))*Assumptions!$B$13))-(MAX(((((Assumptions!$B$17*(1+L$31)*(1+Assumptions!$B$24)^(4-1))-(Assumptions!$B$21*(1+Assumptions!$B$25)^(4-1)))-(IF(4&lt;=Assumptions!$B$27,L$33/Assumptions!$B$27,0)))-((L$35*(1+Assumptions!$B$13)^(4-1)-L$36*(((1+Assumptions!$B$13)^(4-1)-1)/Assumptions!$B$13))*Assumptions!$B$13)),0)*Assumptions!$B$28))+(IF(4&lt;=Assumptions!$B$27,L$33/Assumptions!$B$27,0))-(L$36-((L$35*(1+Assumptions!$B$13)^(4-1)-L$36*(((1+Assumptions!$B$13)^(4-1)-1)/Assumptions!$B$13))*Assumptions!$B$13))</f>
        <v>4.9230116293277</v>
      </c>
      <c r="M42" s="25" t="n">
        <f aca="false">(((((Assumptions!$B$17*(1+M$31)*(1+Assumptions!$B$24)^(4-1))-(Assumptions!$B$21*(1+Assumptions!$B$25)^(4-1)))-(IF(4&lt;=Assumptions!$B$27,M$33/Assumptions!$B$27,0)))-((M$35*(1+Assumptions!$B$13)^(4-1)-M$36*(((1+Assumptions!$B$13)^(4-1)-1)/Assumptions!$B$13))*Assumptions!$B$13))-(MAX(((((Assumptions!$B$17*(1+M$31)*(1+Assumptions!$B$24)^(4-1))-(Assumptions!$B$21*(1+Assumptions!$B$25)^(4-1)))-(IF(4&lt;=Assumptions!$B$27,M$33/Assumptions!$B$27,0)))-((M$35*(1+Assumptions!$B$13)^(4-1)-M$36*(((1+Assumptions!$B$13)^(4-1)-1)/Assumptions!$B$13))*Assumptions!$B$13)),0)*Assumptions!$B$28))+(IF(4&lt;=Assumptions!$B$27,M$33/Assumptions!$B$27,0))-(M$36-((M$35*(1+Assumptions!$B$13)^(4-1)-M$36*(((1+Assumptions!$B$13)^(4-1)-1)/Assumptions!$B$13))*Assumptions!$B$13))</f>
        <v>4.53996957675523</v>
      </c>
      <c r="N42" s="25" t="n">
        <f aca="false">(((((Assumptions!$B$17*(1+N$31)*(1+Assumptions!$B$24)^(4-1))-(Assumptions!$B$21*(1+Assumptions!$B$25)^(4-1)))-(IF(4&lt;=Assumptions!$B$27,N$33/Assumptions!$B$27,0)))-((N$35*(1+Assumptions!$B$13)^(4-1)-N$36*(((1+Assumptions!$B$13)^(4-1)-1)/Assumptions!$B$13))*Assumptions!$B$13))-(MAX(((((Assumptions!$B$17*(1+N$31)*(1+Assumptions!$B$24)^(4-1))-(Assumptions!$B$21*(1+Assumptions!$B$25)^(4-1)))-(IF(4&lt;=Assumptions!$B$27,N$33/Assumptions!$B$27,0)))-((N$35*(1+Assumptions!$B$13)^(4-1)-N$36*(((1+Assumptions!$B$13)^(4-1)-1)/Assumptions!$B$13))*Assumptions!$B$13)),0)*Assumptions!$B$28))+(IF(4&lt;=Assumptions!$B$27,N$33/Assumptions!$B$27,0))-(N$36-((N$35*(1+Assumptions!$B$13)^(4-1)-N$36*(((1+Assumptions!$B$13)^(4-1)-1)/Assumptions!$B$13))*Assumptions!$B$13))</f>
        <v>4.15692752418275</v>
      </c>
      <c r="O42" s="25" t="n">
        <f aca="false">(((((Assumptions!$B$17*(1+O$31)*(1+Assumptions!$B$24)^(4-1))-(Assumptions!$B$21*(1+Assumptions!$B$25)^(4-1)))-(IF(4&lt;=Assumptions!$B$27,O$33/Assumptions!$B$27,0)))-((O$35*(1+Assumptions!$B$13)^(4-1)-O$36*(((1+Assumptions!$B$13)^(4-1)-1)/Assumptions!$B$13))*Assumptions!$B$13))-(MAX(((((Assumptions!$B$17*(1+O$31)*(1+Assumptions!$B$24)^(4-1))-(Assumptions!$B$21*(1+Assumptions!$B$25)^(4-1)))-(IF(4&lt;=Assumptions!$B$27,O$33/Assumptions!$B$27,0)))-((O$35*(1+Assumptions!$B$13)^(4-1)-O$36*(((1+Assumptions!$B$13)^(4-1)-1)/Assumptions!$B$13))*Assumptions!$B$13)),0)*Assumptions!$B$28))+(IF(4&lt;=Assumptions!$B$27,O$33/Assumptions!$B$27,0))-(O$36-((O$35*(1+Assumptions!$B$13)^(4-1)-O$36*(((1+Assumptions!$B$13)^(4-1)-1)/Assumptions!$B$13))*Assumptions!$B$13))</f>
        <v>5.7616173150077</v>
      </c>
      <c r="P42" s="25" t="n">
        <f aca="false">(((((Assumptions!$B$17*(1+P$31)*(1+Assumptions!$B$24)^(4-1))-(Assumptions!$B$21*(1+Assumptions!$B$25)^(4-1)))-(IF(4&lt;=Assumptions!$B$27,P$33/Assumptions!$B$27,0)))-((P$35*(1+Assumptions!$B$13)^(4-1)-P$36*(((1+Assumptions!$B$13)^(4-1)-1)/Assumptions!$B$13))*Assumptions!$B$13))-(MAX(((((Assumptions!$B$17*(1+P$31)*(1+Assumptions!$B$24)^(4-1))-(Assumptions!$B$21*(1+Assumptions!$B$25)^(4-1)))-(IF(4&lt;=Assumptions!$B$27,P$33/Assumptions!$B$27,0)))-((P$35*(1+Assumptions!$B$13)^(4-1)-P$36*(((1+Assumptions!$B$13)^(4-1)-1)/Assumptions!$B$13))*Assumptions!$B$13)),0)*Assumptions!$B$28))+(IF(4&lt;=Assumptions!$B$27,P$33/Assumptions!$B$27,0))-(P$36-((P$35*(1+Assumptions!$B$13)^(4-1)-P$36*(((1+Assumptions!$B$13)^(4-1)-1)/Assumptions!$B$13))*Assumptions!$B$13))</f>
        <v>5.37857526243522</v>
      </c>
      <c r="Q42" s="25" t="n">
        <f aca="false">(((((Assumptions!$B$17*(1+Q$31)*(1+Assumptions!$B$24)^(4-1))-(Assumptions!$B$21*(1+Assumptions!$B$25)^(4-1)))-(IF(4&lt;=Assumptions!$B$27,Q$33/Assumptions!$B$27,0)))-((Q$35*(1+Assumptions!$B$13)^(4-1)-Q$36*(((1+Assumptions!$B$13)^(4-1)-1)/Assumptions!$B$13))*Assumptions!$B$13))-(MAX(((((Assumptions!$B$17*(1+Q$31)*(1+Assumptions!$B$24)^(4-1))-(Assumptions!$B$21*(1+Assumptions!$B$25)^(4-1)))-(IF(4&lt;=Assumptions!$B$27,Q$33/Assumptions!$B$27,0)))-((Q$35*(1+Assumptions!$B$13)^(4-1)-Q$36*(((1+Assumptions!$B$13)^(4-1)-1)/Assumptions!$B$13))*Assumptions!$B$13)),0)*Assumptions!$B$28))+(IF(4&lt;=Assumptions!$B$27,Q$33/Assumptions!$B$27,0))-(Q$36-((Q$35*(1+Assumptions!$B$13)^(4-1)-Q$36*(((1+Assumptions!$B$13)^(4-1)-1)/Assumptions!$B$13))*Assumptions!$B$13))</f>
        <v>4.99553320986275</v>
      </c>
    </row>
    <row r="43" customFormat="false" ht="15" hidden="false" customHeight="false" outlineLevel="0" collapsed="false">
      <c r="A43" s="7" t="n">
        <v>5</v>
      </c>
      <c r="C43" s="25" t="n">
        <f aca="false">(((((Assumptions!$B$17*(1+C$31)*(1+Assumptions!$B$24)^(5-1))-(Assumptions!$B$21*(1+Assumptions!$B$25)^(5-1)))-(IF(5&lt;=Assumptions!$B$27,C$33/Assumptions!$B$27,0)))-((C$35*(1+Assumptions!$B$13)^(5-1)-C$36*(((1+Assumptions!$B$13)^(5-1)-1)/Assumptions!$B$13))*Assumptions!$B$13))-(MAX(((((Assumptions!$B$17*(1+C$31)*(1+Assumptions!$B$24)^(5-1))-(Assumptions!$B$21*(1+Assumptions!$B$25)^(5-1)))-(IF(5&lt;=Assumptions!$B$27,C$33/Assumptions!$B$27,0)))-((C$35*(1+Assumptions!$B$13)^(5-1)-C$36*(((1+Assumptions!$B$13)^(5-1)-1)/Assumptions!$B$13))*Assumptions!$B$13)),0)*Assumptions!$B$28))+(IF(5&lt;=Assumptions!$B$27,C$33/Assumptions!$B$27,0))-(C$36-((C$35*(1+Assumptions!$B$13)^(5-1)-C$36*(((1+Assumptions!$B$13)^(5-1)-1)/Assumptions!$B$13))*Assumptions!$B$13))</f>
        <v>2.34949065610882</v>
      </c>
      <c r="D43" s="25" t="n">
        <f aca="false">(((((Assumptions!$B$17*(1+D$31)*(1+Assumptions!$B$24)^(5-1))-(Assumptions!$B$21*(1+Assumptions!$B$25)^(5-1)))-(IF(5&lt;=Assumptions!$B$27,D$33/Assumptions!$B$27,0)))-((D$35*(1+Assumptions!$B$13)^(5-1)-D$36*(((1+Assumptions!$B$13)^(5-1)-1)/Assumptions!$B$13))*Assumptions!$B$13))-(MAX(((((Assumptions!$B$17*(1+D$31)*(1+Assumptions!$B$24)^(5-1))-(Assumptions!$B$21*(1+Assumptions!$B$25)^(5-1)))-(IF(5&lt;=Assumptions!$B$27,D$33/Assumptions!$B$27,0)))-((D$35*(1+Assumptions!$B$13)^(5-1)-D$36*(((1+Assumptions!$B$13)^(5-1)-1)/Assumptions!$B$13))*Assumptions!$B$13)),0)*Assumptions!$B$28))+(IF(5&lt;=Assumptions!$B$27,D$33/Assumptions!$B$27,0))-(D$36-((D$35*(1+Assumptions!$B$13)^(5-1)-D$36*(((1+Assumptions!$B$13)^(5-1)-1)/Assumptions!$B$13))*Assumptions!$B$13))</f>
        <v>1.96491714959889</v>
      </c>
      <c r="E43" s="25" t="n">
        <f aca="false">(((((Assumptions!$B$17*(1+E$31)*(1+Assumptions!$B$24)^(5-1))-(Assumptions!$B$21*(1+Assumptions!$B$25)^(5-1)))-(IF(5&lt;=Assumptions!$B$27,E$33/Assumptions!$B$27,0)))-((E$35*(1+Assumptions!$B$13)^(5-1)-E$36*(((1+Assumptions!$B$13)^(5-1)-1)/Assumptions!$B$13))*Assumptions!$B$13))-(MAX(((((Assumptions!$B$17*(1+E$31)*(1+Assumptions!$B$24)^(5-1))-(Assumptions!$B$21*(1+Assumptions!$B$25)^(5-1)))-(IF(5&lt;=Assumptions!$B$27,E$33/Assumptions!$B$27,0)))-((E$35*(1+Assumptions!$B$13)^(5-1)-E$36*(((1+Assumptions!$B$13)^(5-1)-1)/Assumptions!$B$13))*Assumptions!$B$13)),0)*Assumptions!$B$28))+(IF(5&lt;=Assumptions!$B$27,E$33/Assumptions!$B$27,0))-(E$36-((E$35*(1+Assumptions!$B$13)^(5-1)-E$36*(((1+Assumptions!$B$13)^(5-1)-1)/Assumptions!$B$13))*Assumptions!$B$13))</f>
        <v>1.58034364308895</v>
      </c>
      <c r="F43" s="25" t="n">
        <f aca="false">(((((Assumptions!$B$17*(1+F$31)*(1+Assumptions!$B$24)^(5-1))-(Assumptions!$B$21*(1+Assumptions!$B$25)^(5-1)))-(IF(5&lt;=Assumptions!$B$27,F$33/Assumptions!$B$27,0)))-((F$35*(1+Assumptions!$B$13)^(5-1)-F$36*(((1+Assumptions!$B$13)^(5-1)-1)/Assumptions!$B$13))*Assumptions!$B$13))-(MAX(((((Assumptions!$B$17*(1+F$31)*(1+Assumptions!$B$24)^(5-1))-(Assumptions!$B$21*(1+Assumptions!$B$25)^(5-1)))-(IF(5&lt;=Assumptions!$B$27,F$33/Assumptions!$B$27,0)))-((F$35*(1+Assumptions!$B$13)^(5-1)-F$36*(((1+Assumptions!$B$13)^(5-1)-1)/Assumptions!$B$13))*Assumptions!$B$13)),0)*Assumptions!$B$28))+(IF(5&lt;=Assumptions!$B$27,F$33/Assumptions!$B$27,0))-(F$36-((F$35*(1+Assumptions!$B$13)^(5-1)-F$36*(((1+Assumptions!$B$13)^(5-1)-1)/Assumptions!$B$13))*Assumptions!$B$13))</f>
        <v>3.1847419190461</v>
      </c>
      <c r="G43" s="25" t="n">
        <f aca="false">(((((Assumptions!$B$17*(1+G$31)*(1+Assumptions!$B$24)^(5-1))-(Assumptions!$B$21*(1+Assumptions!$B$25)^(5-1)))-(IF(5&lt;=Assumptions!$B$27,G$33/Assumptions!$B$27,0)))-((G$35*(1+Assumptions!$B$13)^(5-1)-G$36*(((1+Assumptions!$B$13)^(5-1)-1)/Assumptions!$B$13))*Assumptions!$B$13))-(MAX(((((Assumptions!$B$17*(1+G$31)*(1+Assumptions!$B$24)^(5-1))-(Assumptions!$B$21*(1+Assumptions!$B$25)^(5-1)))-(IF(5&lt;=Assumptions!$B$27,G$33/Assumptions!$B$27,0)))-((G$35*(1+Assumptions!$B$13)^(5-1)-G$36*(((1+Assumptions!$B$13)^(5-1)-1)/Assumptions!$B$13))*Assumptions!$B$13)),0)*Assumptions!$B$28))+(IF(5&lt;=Assumptions!$B$27,G$33/Assumptions!$B$27,0))-(G$36-((G$35*(1+Assumptions!$B$13)^(5-1)-G$36*(((1+Assumptions!$B$13)^(5-1)-1)/Assumptions!$B$13))*Assumptions!$B$13))</f>
        <v>2.80016841253617</v>
      </c>
      <c r="H43" s="25" t="n">
        <f aca="false">(((((Assumptions!$B$17*(1+H$31)*(1+Assumptions!$B$24)^(5-1))-(Assumptions!$B$21*(1+Assumptions!$B$25)^(5-1)))-(IF(5&lt;=Assumptions!$B$27,H$33/Assumptions!$B$27,0)))-((H$35*(1+Assumptions!$B$13)^(5-1)-H$36*(((1+Assumptions!$B$13)^(5-1)-1)/Assumptions!$B$13))*Assumptions!$B$13))-(MAX(((((Assumptions!$B$17*(1+H$31)*(1+Assumptions!$B$24)^(5-1))-(Assumptions!$B$21*(1+Assumptions!$B$25)^(5-1)))-(IF(5&lt;=Assumptions!$B$27,H$33/Assumptions!$B$27,0)))-((H$35*(1+Assumptions!$B$13)^(5-1)-H$36*(((1+Assumptions!$B$13)^(5-1)-1)/Assumptions!$B$13))*Assumptions!$B$13)),0)*Assumptions!$B$28))+(IF(5&lt;=Assumptions!$B$27,H$33/Assumptions!$B$27,0))-(H$36-((H$35*(1+Assumptions!$B$13)^(5-1)-H$36*(((1+Assumptions!$B$13)^(5-1)-1)/Assumptions!$B$13))*Assumptions!$B$13))</f>
        <v>2.41559490602623</v>
      </c>
      <c r="I43" s="25" t="n">
        <f aca="false">(((((Assumptions!$B$17*(1+I$31)*(1+Assumptions!$B$24)^(5-1))-(Assumptions!$B$21*(1+Assumptions!$B$25)^(5-1)))-(IF(5&lt;=Assumptions!$B$27,I$33/Assumptions!$B$27,0)))-((I$35*(1+Assumptions!$B$13)^(5-1)-I$36*(((1+Assumptions!$B$13)^(5-1)-1)/Assumptions!$B$13))*Assumptions!$B$13))-(MAX(((((Assumptions!$B$17*(1+I$31)*(1+Assumptions!$B$24)^(5-1))-(Assumptions!$B$21*(1+Assumptions!$B$25)^(5-1)))-(IF(5&lt;=Assumptions!$B$27,I$33/Assumptions!$B$27,0)))-((I$35*(1+Assumptions!$B$13)^(5-1)-I$36*(((1+Assumptions!$B$13)^(5-1)-1)/Assumptions!$B$13))*Assumptions!$B$13)),0)*Assumptions!$B$28))+(IF(5&lt;=Assumptions!$B$27,I$33/Assumptions!$B$27,0))-(I$36-((I$35*(1+Assumptions!$B$13)^(5-1)-I$36*(((1+Assumptions!$B$13)^(5-1)-1)/Assumptions!$B$13))*Assumptions!$B$13))</f>
        <v>4.01999318198338</v>
      </c>
      <c r="J43" s="25" t="n">
        <f aca="false">(((((Assumptions!$B$17*(1+J$31)*(1+Assumptions!$B$24)^(5-1))-(Assumptions!$B$21*(1+Assumptions!$B$25)^(5-1)))-(IF(5&lt;=Assumptions!$B$27,J$33/Assumptions!$B$27,0)))-((J$35*(1+Assumptions!$B$13)^(5-1)-J$36*(((1+Assumptions!$B$13)^(5-1)-1)/Assumptions!$B$13))*Assumptions!$B$13))-(MAX(((((Assumptions!$B$17*(1+J$31)*(1+Assumptions!$B$24)^(5-1))-(Assumptions!$B$21*(1+Assumptions!$B$25)^(5-1)))-(IF(5&lt;=Assumptions!$B$27,J$33/Assumptions!$B$27,0)))-((J$35*(1+Assumptions!$B$13)^(5-1)-J$36*(((1+Assumptions!$B$13)^(5-1)-1)/Assumptions!$B$13))*Assumptions!$B$13)),0)*Assumptions!$B$28))+(IF(5&lt;=Assumptions!$B$27,J$33/Assumptions!$B$27,0))-(J$36-((J$35*(1+Assumptions!$B$13)^(5-1)-J$36*(((1+Assumptions!$B$13)^(5-1)-1)/Assumptions!$B$13))*Assumptions!$B$13))</f>
        <v>3.63541967547345</v>
      </c>
      <c r="K43" s="25" t="n">
        <f aca="false">(((((Assumptions!$B$17*(1+K$31)*(1+Assumptions!$B$24)^(5-1))-(Assumptions!$B$21*(1+Assumptions!$B$25)^(5-1)))-(IF(5&lt;=Assumptions!$B$27,K$33/Assumptions!$B$27,0)))-((K$35*(1+Assumptions!$B$13)^(5-1)-K$36*(((1+Assumptions!$B$13)^(5-1)-1)/Assumptions!$B$13))*Assumptions!$B$13))-(MAX(((((Assumptions!$B$17*(1+K$31)*(1+Assumptions!$B$24)^(5-1))-(Assumptions!$B$21*(1+Assumptions!$B$25)^(5-1)))-(IF(5&lt;=Assumptions!$B$27,K$33/Assumptions!$B$27,0)))-((K$35*(1+Assumptions!$B$13)^(5-1)-K$36*(((1+Assumptions!$B$13)^(5-1)-1)/Assumptions!$B$13))*Assumptions!$B$13)),0)*Assumptions!$B$28))+(IF(5&lt;=Assumptions!$B$27,K$33/Assumptions!$B$27,0))-(K$36-((K$35*(1+Assumptions!$B$13)^(5-1)-K$36*(((1+Assumptions!$B$13)^(5-1)-1)/Assumptions!$B$13))*Assumptions!$B$13))</f>
        <v>3.25084616896351</v>
      </c>
      <c r="L43" s="25" t="n">
        <f aca="false">(((((Assumptions!$B$17*(1+L$31)*(1+Assumptions!$B$24)^(5-1))-(Assumptions!$B$21*(1+Assumptions!$B$25)^(5-1)))-(IF(5&lt;=Assumptions!$B$27,L$33/Assumptions!$B$27,0)))-((L$35*(1+Assumptions!$B$13)^(5-1)-L$36*(((1+Assumptions!$B$13)^(5-1)-1)/Assumptions!$B$13))*Assumptions!$B$13))-(MAX(((((Assumptions!$B$17*(1+L$31)*(1+Assumptions!$B$24)^(5-1))-(Assumptions!$B$21*(1+Assumptions!$B$25)^(5-1)))-(IF(5&lt;=Assumptions!$B$27,L$33/Assumptions!$B$27,0)))-((L$35*(1+Assumptions!$B$13)^(5-1)-L$36*(((1+Assumptions!$B$13)^(5-1)-1)/Assumptions!$B$13))*Assumptions!$B$13)),0)*Assumptions!$B$28))+(IF(5&lt;=Assumptions!$B$27,L$33/Assumptions!$B$27,0))-(L$36-((L$35*(1+Assumptions!$B$13)^(5-1)-L$36*(((1+Assumptions!$B$13)^(5-1)-1)/Assumptions!$B$13))*Assumptions!$B$13))</f>
        <v>4.85524444492066</v>
      </c>
      <c r="M43" s="25" t="n">
        <f aca="false">(((((Assumptions!$B$17*(1+M$31)*(1+Assumptions!$B$24)^(5-1))-(Assumptions!$B$21*(1+Assumptions!$B$25)^(5-1)))-(IF(5&lt;=Assumptions!$B$27,M$33/Assumptions!$B$27,0)))-((M$35*(1+Assumptions!$B$13)^(5-1)-M$36*(((1+Assumptions!$B$13)^(5-1)-1)/Assumptions!$B$13))*Assumptions!$B$13))-(MAX(((((Assumptions!$B$17*(1+M$31)*(1+Assumptions!$B$24)^(5-1))-(Assumptions!$B$21*(1+Assumptions!$B$25)^(5-1)))-(IF(5&lt;=Assumptions!$B$27,M$33/Assumptions!$B$27,0)))-((M$35*(1+Assumptions!$B$13)^(5-1)-M$36*(((1+Assumptions!$B$13)^(5-1)-1)/Assumptions!$B$13))*Assumptions!$B$13)),0)*Assumptions!$B$28))+(IF(5&lt;=Assumptions!$B$27,M$33/Assumptions!$B$27,0))-(M$36-((M$35*(1+Assumptions!$B$13)^(5-1)-M$36*(((1+Assumptions!$B$13)^(5-1)-1)/Assumptions!$B$13))*Assumptions!$B$13))</f>
        <v>4.47067093841073</v>
      </c>
      <c r="N43" s="25" t="n">
        <f aca="false">(((((Assumptions!$B$17*(1+N$31)*(1+Assumptions!$B$24)^(5-1))-(Assumptions!$B$21*(1+Assumptions!$B$25)^(5-1)))-(IF(5&lt;=Assumptions!$B$27,N$33/Assumptions!$B$27,0)))-((N$35*(1+Assumptions!$B$13)^(5-1)-N$36*(((1+Assumptions!$B$13)^(5-1)-1)/Assumptions!$B$13))*Assumptions!$B$13))-(MAX(((((Assumptions!$B$17*(1+N$31)*(1+Assumptions!$B$24)^(5-1))-(Assumptions!$B$21*(1+Assumptions!$B$25)^(5-1)))-(IF(5&lt;=Assumptions!$B$27,N$33/Assumptions!$B$27,0)))-((N$35*(1+Assumptions!$B$13)^(5-1)-N$36*(((1+Assumptions!$B$13)^(5-1)-1)/Assumptions!$B$13))*Assumptions!$B$13)),0)*Assumptions!$B$28))+(IF(5&lt;=Assumptions!$B$27,N$33/Assumptions!$B$27,0))-(N$36-((N$35*(1+Assumptions!$B$13)^(5-1)-N$36*(((1+Assumptions!$B$13)^(5-1)-1)/Assumptions!$B$13))*Assumptions!$B$13))</f>
        <v>4.08609743190079</v>
      </c>
      <c r="O43" s="25" t="n">
        <f aca="false">(((((Assumptions!$B$17*(1+O$31)*(1+Assumptions!$B$24)^(5-1))-(Assumptions!$B$21*(1+Assumptions!$B$25)^(5-1)))-(IF(5&lt;=Assumptions!$B$27,O$33/Assumptions!$B$27,0)))-((O$35*(1+Assumptions!$B$13)^(5-1)-O$36*(((1+Assumptions!$B$13)^(5-1)-1)/Assumptions!$B$13))*Assumptions!$B$13))-(MAX(((((Assumptions!$B$17*(1+O$31)*(1+Assumptions!$B$24)^(5-1))-(Assumptions!$B$21*(1+Assumptions!$B$25)^(5-1)))-(IF(5&lt;=Assumptions!$B$27,O$33/Assumptions!$B$27,0)))-((O$35*(1+Assumptions!$B$13)^(5-1)-O$36*(((1+Assumptions!$B$13)^(5-1)-1)/Assumptions!$B$13))*Assumptions!$B$13)),0)*Assumptions!$B$28))+(IF(5&lt;=Assumptions!$B$27,O$33/Assumptions!$B$27,0))-(O$36-((O$35*(1+Assumptions!$B$13)^(5-1)-O$36*(((1+Assumptions!$B$13)^(5-1)-1)/Assumptions!$B$13))*Assumptions!$B$13))</f>
        <v>5.69049570785794</v>
      </c>
      <c r="P43" s="25" t="n">
        <f aca="false">(((((Assumptions!$B$17*(1+P$31)*(1+Assumptions!$B$24)^(5-1))-(Assumptions!$B$21*(1+Assumptions!$B$25)^(5-1)))-(IF(5&lt;=Assumptions!$B$27,P$33/Assumptions!$B$27,0)))-((P$35*(1+Assumptions!$B$13)^(5-1)-P$36*(((1+Assumptions!$B$13)^(5-1)-1)/Assumptions!$B$13))*Assumptions!$B$13))-(MAX(((((Assumptions!$B$17*(1+P$31)*(1+Assumptions!$B$24)^(5-1))-(Assumptions!$B$21*(1+Assumptions!$B$25)^(5-1)))-(IF(5&lt;=Assumptions!$B$27,P$33/Assumptions!$B$27,0)))-((P$35*(1+Assumptions!$B$13)^(5-1)-P$36*(((1+Assumptions!$B$13)^(5-1)-1)/Assumptions!$B$13))*Assumptions!$B$13)),0)*Assumptions!$B$28))+(IF(5&lt;=Assumptions!$B$27,P$33/Assumptions!$B$27,0))-(P$36-((P$35*(1+Assumptions!$B$13)^(5-1)-P$36*(((1+Assumptions!$B$13)^(5-1)-1)/Assumptions!$B$13))*Assumptions!$B$13))</f>
        <v>5.30592220134801</v>
      </c>
      <c r="Q43" s="25" t="n">
        <f aca="false">(((((Assumptions!$B$17*(1+Q$31)*(1+Assumptions!$B$24)^(5-1))-(Assumptions!$B$21*(1+Assumptions!$B$25)^(5-1)))-(IF(5&lt;=Assumptions!$B$27,Q$33/Assumptions!$B$27,0)))-((Q$35*(1+Assumptions!$B$13)^(5-1)-Q$36*(((1+Assumptions!$B$13)^(5-1)-1)/Assumptions!$B$13))*Assumptions!$B$13))-(MAX(((((Assumptions!$B$17*(1+Q$31)*(1+Assumptions!$B$24)^(5-1))-(Assumptions!$B$21*(1+Assumptions!$B$25)^(5-1)))-(IF(5&lt;=Assumptions!$B$27,Q$33/Assumptions!$B$27,0)))-((Q$35*(1+Assumptions!$B$13)^(5-1)-Q$36*(((1+Assumptions!$B$13)^(5-1)-1)/Assumptions!$B$13))*Assumptions!$B$13)),0)*Assumptions!$B$28))+(IF(5&lt;=Assumptions!$B$27,Q$33/Assumptions!$B$27,0))-(Q$36-((Q$35*(1+Assumptions!$B$13)^(5-1)-Q$36*(((1+Assumptions!$B$13)^(5-1)-1)/Assumptions!$B$13))*Assumptions!$B$13))</f>
        <v>4.92134869483807</v>
      </c>
    </row>
    <row r="44" customFormat="false" ht="15" hidden="false" customHeight="false" outlineLevel="0" collapsed="false">
      <c r="A44" s="7" t="n">
        <v>6</v>
      </c>
      <c r="C44" s="25" t="n">
        <f aca="false">(((((Assumptions!$B$17*(1+C$31)*(1+Assumptions!$B$24)^(6-1))-(Assumptions!$B$21*(1+Assumptions!$B$25)^(6-1)))-(IF(6&lt;=Assumptions!$B$27,C$33/Assumptions!$B$27,0)))-((C$35*(1+Assumptions!$B$13)^(6-1)-C$36*(((1+Assumptions!$B$13)^(6-1)-1)/Assumptions!$B$13))*Assumptions!$B$13))-(MAX(((((Assumptions!$B$17*(1+C$31)*(1+Assumptions!$B$24)^(6-1))-(Assumptions!$B$21*(1+Assumptions!$B$25)^(6-1)))-(IF(6&lt;=Assumptions!$B$27,C$33/Assumptions!$B$27,0)))-((C$35*(1+Assumptions!$B$13)^(6-1)-C$36*(((1+Assumptions!$B$13)^(6-1)-1)/Assumptions!$B$13))*Assumptions!$B$13)),0)*Assumptions!$B$28))+(IF(6&lt;=Assumptions!$B$27,C$33/Assumptions!$B$27,0))-(C$36-((C$35*(1+Assumptions!$B$13)^(6-1)-C$36*(((1+Assumptions!$B$13)^(6-1)-1)/Assumptions!$B$13))*Assumptions!$B$13))</f>
        <v>2.29086321820985</v>
      </c>
      <c r="D44" s="25" t="n">
        <f aca="false">(((((Assumptions!$B$17*(1+D$31)*(1+Assumptions!$B$24)^(6-1))-(Assumptions!$B$21*(1+Assumptions!$B$25)^(6-1)))-(IF(6&lt;=Assumptions!$B$27,D$33/Assumptions!$B$27,0)))-((D$35*(1+Assumptions!$B$13)^(6-1)-D$36*(((1+Assumptions!$B$13)^(6-1)-1)/Assumptions!$B$13))*Assumptions!$B$13))-(MAX(((((Assumptions!$B$17*(1+D$31)*(1+Assumptions!$B$24)^(6-1))-(Assumptions!$B$21*(1+Assumptions!$B$25)^(6-1)))-(IF(6&lt;=Assumptions!$B$27,D$33/Assumptions!$B$27,0)))-((D$35*(1+Assumptions!$B$13)^(6-1)-D$36*(((1+Assumptions!$B$13)^(6-1)-1)/Assumptions!$B$13))*Assumptions!$B$13)),0)*Assumptions!$B$28))+(IF(6&lt;=Assumptions!$B$27,D$33/Assumptions!$B$27,0))-(D$36-((D$35*(1+Assumptions!$B$13)^(6-1)-D$36*(((1+Assumptions!$B$13)^(6-1)-1)/Assumptions!$B$13))*Assumptions!$B$13))</f>
        <v>1.90468168506559</v>
      </c>
      <c r="E44" s="25" t="n">
        <f aca="false">(((((Assumptions!$B$17*(1+E$31)*(1+Assumptions!$B$24)^(6-1))-(Assumptions!$B$21*(1+Assumptions!$B$25)^(6-1)))-(IF(6&lt;=Assumptions!$B$27,E$33/Assumptions!$B$27,0)))-((E$35*(1+Assumptions!$B$13)^(6-1)-E$36*(((1+Assumptions!$B$13)^(6-1)-1)/Assumptions!$B$13))*Assumptions!$B$13))-(MAX(((((Assumptions!$B$17*(1+E$31)*(1+Assumptions!$B$24)^(6-1))-(Assumptions!$B$21*(1+Assumptions!$B$25)^(6-1)))-(IF(6&lt;=Assumptions!$B$27,E$33/Assumptions!$B$27,0)))-((E$35*(1+Assumptions!$B$13)^(6-1)-E$36*(((1+Assumptions!$B$13)^(6-1)-1)/Assumptions!$B$13))*Assumptions!$B$13)),0)*Assumptions!$B$28))+(IF(6&lt;=Assumptions!$B$27,E$33/Assumptions!$B$27,0))-(E$36-((E$35*(1+Assumptions!$B$13)^(6-1)-E$36*(((1+Assumptions!$B$13)^(6-1)-1)/Assumptions!$B$13))*Assumptions!$B$13))</f>
        <v>1.51850015192132</v>
      </c>
      <c r="F44" s="25" t="n">
        <f aca="false">(((((Assumptions!$B$17*(1+F$31)*(1+Assumptions!$B$24)^(6-1))-(Assumptions!$B$21*(1+Assumptions!$B$25)^(6-1)))-(IF(6&lt;=Assumptions!$B$27,F$33/Assumptions!$B$27,0)))-((F$35*(1+Assumptions!$B$13)^(6-1)-F$36*(((1+Assumptions!$B$13)^(6-1)-1)/Assumptions!$B$13))*Assumptions!$B$13))-(MAX(((((Assumptions!$B$17*(1+F$31)*(1+Assumptions!$B$24)^(6-1))-(Assumptions!$B$21*(1+Assumptions!$B$25)^(6-1)))-(IF(6&lt;=Assumptions!$B$27,F$33/Assumptions!$B$27,0)))-((F$35*(1+Assumptions!$B$13)^(6-1)-F$36*(((1+Assumptions!$B$13)^(6-1)-1)/Assumptions!$B$13))*Assumptions!$B$13)),0)*Assumptions!$B$28))+(IF(6&lt;=Assumptions!$B$27,F$33/Assumptions!$B$27,0))-(F$36-((F$35*(1+Assumptions!$B$13)^(6-1)-F$36*(((1+Assumptions!$B$13)^(6-1)-1)/Assumptions!$B$13))*Assumptions!$B$13))</f>
        <v>3.12277347609538</v>
      </c>
      <c r="G44" s="25" t="n">
        <f aca="false">(((((Assumptions!$B$17*(1+G$31)*(1+Assumptions!$B$24)^(6-1))-(Assumptions!$B$21*(1+Assumptions!$B$25)^(6-1)))-(IF(6&lt;=Assumptions!$B$27,G$33/Assumptions!$B$27,0)))-((G$35*(1+Assumptions!$B$13)^(6-1)-G$36*(((1+Assumptions!$B$13)^(6-1)-1)/Assumptions!$B$13))*Assumptions!$B$13))-(MAX(((((Assumptions!$B$17*(1+G$31)*(1+Assumptions!$B$24)^(6-1))-(Assumptions!$B$21*(1+Assumptions!$B$25)^(6-1)))-(IF(6&lt;=Assumptions!$B$27,G$33/Assumptions!$B$27,0)))-((G$35*(1+Assumptions!$B$13)^(6-1)-G$36*(((1+Assumptions!$B$13)^(6-1)-1)/Assumptions!$B$13))*Assumptions!$B$13)),0)*Assumptions!$B$28))+(IF(6&lt;=Assumptions!$B$27,G$33/Assumptions!$B$27,0))-(G$36-((G$35*(1+Assumptions!$B$13)^(6-1)-G$36*(((1+Assumptions!$B$13)^(6-1)-1)/Assumptions!$B$13))*Assumptions!$B$13))</f>
        <v>2.73659194295112</v>
      </c>
      <c r="H44" s="25" t="n">
        <f aca="false">(((((Assumptions!$B$17*(1+H$31)*(1+Assumptions!$B$24)^(6-1))-(Assumptions!$B$21*(1+Assumptions!$B$25)^(6-1)))-(IF(6&lt;=Assumptions!$B$27,H$33/Assumptions!$B$27,0)))-((H$35*(1+Assumptions!$B$13)^(6-1)-H$36*(((1+Assumptions!$B$13)^(6-1)-1)/Assumptions!$B$13))*Assumptions!$B$13))-(MAX(((((Assumptions!$B$17*(1+H$31)*(1+Assumptions!$B$24)^(6-1))-(Assumptions!$B$21*(1+Assumptions!$B$25)^(6-1)))-(IF(6&lt;=Assumptions!$B$27,H$33/Assumptions!$B$27,0)))-((H$35*(1+Assumptions!$B$13)^(6-1)-H$36*(((1+Assumptions!$B$13)^(6-1)-1)/Assumptions!$B$13))*Assumptions!$B$13)),0)*Assumptions!$B$28))+(IF(6&lt;=Assumptions!$B$27,H$33/Assumptions!$B$27,0))-(H$36-((H$35*(1+Assumptions!$B$13)^(6-1)-H$36*(((1+Assumptions!$B$13)^(6-1)-1)/Assumptions!$B$13))*Assumptions!$B$13))</f>
        <v>2.35041040980685</v>
      </c>
      <c r="I44" s="25" t="n">
        <f aca="false">(((((Assumptions!$B$17*(1+I$31)*(1+Assumptions!$B$24)^(6-1))-(Assumptions!$B$21*(1+Assumptions!$B$25)^(6-1)))-(IF(6&lt;=Assumptions!$B$27,I$33/Assumptions!$B$27,0)))-((I$35*(1+Assumptions!$B$13)^(6-1)-I$36*(((1+Assumptions!$B$13)^(6-1)-1)/Assumptions!$B$13))*Assumptions!$B$13))-(MAX(((((Assumptions!$B$17*(1+I$31)*(1+Assumptions!$B$24)^(6-1))-(Assumptions!$B$21*(1+Assumptions!$B$25)^(6-1)))-(IF(6&lt;=Assumptions!$B$27,I$33/Assumptions!$B$27,0)))-((I$35*(1+Assumptions!$B$13)^(6-1)-I$36*(((1+Assumptions!$B$13)^(6-1)-1)/Assumptions!$B$13))*Assumptions!$B$13)),0)*Assumptions!$B$28))+(IF(6&lt;=Assumptions!$B$27,I$33/Assumptions!$B$27,0))-(I$36-((I$35*(1+Assumptions!$B$13)^(6-1)-I$36*(((1+Assumptions!$B$13)^(6-1)-1)/Assumptions!$B$13))*Assumptions!$B$13))</f>
        <v>3.95468373398091</v>
      </c>
      <c r="J44" s="25" t="n">
        <f aca="false">(((((Assumptions!$B$17*(1+J$31)*(1+Assumptions!$B$24)^(6-1))-(Assumptions!$B$21*(1+Assumptions!$B$25)^(6-1)))-(IF(6&lt;=Assumptions!$B$27,J$33/Assumptions!$B$27,0)))-((J$35*(1+Assumptions!$B$13)^(6-1)-J$36*(((1+Assumptions!$B$13)^(6-1)-1)/Assumptions!$B$13))*Assumptions!$B$13))-(MAX(((((Assumptions!$B$17*(1+J$31)*(1+Assumptions!$B$24)^(6-1))-(Assumptions!$B$21*(1+Assumptions!$B$25)^(6-1)))-(IF(6&lt;=Assumptions!$B$27,J$33/Assumptions!$B$27,0)))-((J$35*(1+Assumptions!$B$13)^(6-1)-J$36*(((1+Assumptions!$B$13)^(6-1)-1)/Assumptions!$B$13))*Assumptions!$B$13)),0)*Assumptions!$B$28))+(IF(6&lt;=Assumptions!$B$27,J$33/Assumptions!$B$27,0))-(J$36-((J$35*(1+Assumptions!$B$13)^(6-1)-J$36*(((1+Assumptions!$B$13)^(6-1)-1)/Assumptions!$B$13))*Assumptions!$B$13))</f>
        <v>3.56850220083665</v>
      </c>
      <c r="K44" s="25" t="n">
        <f aca="false">(((((Assumptions!$B$17*(1+K$31)*(1+Assumptions!$B$24)^(6-1))-(Assumptions!$B$21*(1+Assumptions!$B$25)^(6-1)))-(IF(6&lt;=Assumptions!$B$27,K$33/Assumptions!$B$27,0)))-((K$35*(1+Assumptions!$B$13)^(6-1)-K$36*(((1+Assumptions!$B$13)^(6-1)-1)/Assumptions!$B$13))*Assumptions!$B$13))-(MAX(((((Assumptions!$B$17*(1+K$31)*(1+Assumptions!$B$24)^(6-1))-(Assumptions!$B$21*(1+Assumptions!$B$25)^(6-1)))-(IF(6&lt;=Assumptions!$B$27,K$33/Assumptions!$B$27,0)))-((K$35*(1+Assumptions!$B$13)^(6-1)-K$36*(((1+Assumptions!$B$13)^(6-1)-1)/Assumptions!$B$13))*Assumptions!$B$13)),0)*Assumptions!$B$28))+(IF(6&lt;=Assumptions!$B$27,K$33/Assumptions!$B$27,0))-(K$36-((K$35*(1+Assumptions!$B$13)^(6-1)-K$36*(((1+Assumptions!$B$13)^(6-1)-1)/Assumptions!$B$13))*Assumptions!$B$13))</f>
        <v>3.18232066769238</v>
      </c>
      <c r="L44" s="25" t="n">
        <f aca="false">(((((Assumptions!$B$17*(1+L$31)*(1+Assumptions!$B$24)^(6-1))-(Assumptions!$B$21*(1+Assumptions!$B$25)^(6-1)))-(IF(6&lt;=Assumptions!$B$27,L$33/Assumptions!$B$27,0)))-((L$35*(1+Assumptions!$B$13)^(6-1)-L$36*(((1+Assumptions!$B$13)^(6-1)-1)/Assumptions!$B$13))*Assumptions!$B$13))-(MAX(((((Assumptions!$B$17*(1+L$31)*(1+Assumptions!$B$24)^(6-1))-(Assumptions!$B$21*(1+Assumptions!$B$25)^(6-1)))-(IF(6&lt;=Assumptions!$B$27,L$33/Assumptions!$B$27,0)))-((L$35*(1+Assumptions!$B$13)^(6-1)-L$36*(((1+Assumptions!$B$13)^(6-1)-1)/Assumptions!$B$13))*Assumptions!$B$13)),0)*Assumptions!$B$28))+(IF(6&lt;=Assumptions!$B$27,L$33/Assumptions!$B$27,0))-(L$36-((L$35*(1+Assumptions!$B$13)^(6-1)-L$36*(((1+Assumptions!$B$13)^(6-1)-1)/Assumptions!$B$13))*Assumptions!$B$13))</f>
        <v>4.78659399186645</v>
      </c>
      <c r="M44" s="25" t="n">
        <f aca="false">(((((Assumptions!$B$17*(1+M$31)*(1+Assumptions!$B$24)^(6-1))-(Assumptions!$B$21*(1+Assumptions!$B$25)^(6-1)))-(IF(6&lt;=Assumptions!$B$27,M$33/Assumptions!$B$27,0)))-((M$35*(1+Assumptions!$B$13)^(6-1)-M$36*(((1+Assumptions!$B$13)^(6-1)-1)/Assumptions!$B$13))*Assumptions!$B$13))-(MAX(((((Assumptions!$B$17*(1+M$31)*(1+Assumptions!$B$24)^(6-1))-(Assumptions!$B$21*(1+Assumptions!$B$25)^(6-1)))-(IF(6&lt;=Assumptions!$B$27,M$33/Assumptions!$B$27,0)))-((M$35*(1+Assumptions!$B$13)^(6-1)-M$36*(((1+Assumptions!$B$13)^(6-1)-1)/Assumptions!$B$13))*Assumptions!$B$13)),0)*Assumptions!$B$28))+(IF(6&lt;=Assumptions!$B$27,M$33/Assumptions!$B$27,0))-(M$36-((M$35*(1+Assumptions!$B$13)^(6-1)-M$36*(((1+Assumptions!$B$13)^(6-1)-1)/Assumptions!$B$13))*Assumptions!$B$13))</f>
        <v>4.40041245872218</v>
      </c>
      <c r="N44" s="25" t="n">
        <f aca="false">(((((Assumptions!$B$17*(1+N$31)*(1+Assumptions!$B$24)^(6-1))-(Assumptions!$B$21*(1+Assumptions!$B$25)^(6-1)))-(IF(6&lt;=Assumptions!$B$27,N$33/Assumptions!$B$27,0)))-((N$35*(1+Assumptions!$B$13)^(6-1)-N$36*(((1+Assumptions!$B$13)^(6-1)-1)/Assumptions!$B$13))*Assumptions!$B$13))-(MAX(((((Assumptions!$B$17*(1+N$31)*(1+Assumptions!$B$24)^(6-1))-(Assumptions!$B$21*(1+Assumptions!$B$25)^(6-1)))-(IF(6&lt;=Assumptions!$B$27,N$33/Assumptions!$B$27,0)))-((N$35*(1+Assumptions!$B$13)^(6-1)-N$36*(((1+Assumptions!$B$13)^(6-1)-1)/Assumptions!$B$13))*Assumptions!$B$13)),0)*Assumptions!$B$28))+(IF(6&lt;=Assumptions!$B$27,N$33/Assumptions!$B$27,0))-(N$36-((N$35*(1+Assumptions!$B$13)^(6-1)-N$36*(((1+Assumptions!$B$13)^(6-1)-1)/Assumptions!$B$13))*Assumptions!$B$13))</f>
        <v>4.01423092557791</v>
      </c>
      <c r="O44" s="25" t="n">
        <f aca="false">(((((Assumptions!$B$17*(1+O$31)*(1+Assumptions!$B$24)^(6-1))-(Assumptions!$B$21*(1+Assumptions!$B$25)^(6-1)))-(IF(6&lt;=Assumptions!$B$27,O$33/Assumptions!$B$27,0)))-((O$35*(1+Assumptions!$B$13)^(6-1)-O$36*(((1+Assumptions!$B$13)^(6-1)-1)/Assumptions!$B$13))*Assumptions!$B$13))-(MAX(((((Assumptions!$B$17*(1+O$31)*(1+Assumptions!$B$24)^(6-1))-(Assumptions!$B$21*(1+Assumptions!$B$25)^(6-1)))-(IF(6&lt;=Assumptions!$B$27,O$33/Assumptions!$B$27,0)))-((O$35*(1+Assumptions!$B$13)^(6-1)-O$36*(((1+Assumptions!$B$13)^(6-1)-1)/Assumptions!$B$13))*Assumptions!$B$13)),0)*Assumptions!$B$28))+(IF(6&lt;=Assumptions!$B$27,O$33/Assumptions!$B$27,0))-(O$36-((O$35*(1+Assumptions!$B$13)^(6-1)-O$36*(((1+Assumptions!$B$13)^(6-1)-1)/Assumptions!$B$13))*Assumptions!$B$13))</f>
        <v>5.61850424975198</v>
      </c>
      <c r="P44" s="25" t="n">
        <f aca="false">(((((Assumptions!$B$17*(1+P$31)*(1+Assumptions!$B$24)^(6-1))-(Assumptions!$B$21*(1+Assumptions!$B$25)^(6-1)))-(IF(6&lt;=Assumptions!$B$27,P$33/Assumptions!$B$27,0)))-((P$35*(1+Assumptions!$B$13)^(6-1)-P$36*(((1+Assumptions!$B$13)^(6-1)-1)/Assumptions!$B$13))*Assumptions!$B$13))-(MAX(((((Assumptions!$B$17*(1+P$31)*(1+Assumptions!$B$24)^(6-1))-(Assumptions!$B$21*(1+Assumptions!$B$25)^(6-1)))-(IF(6&lt;=Assumptions!$B$27,P$33/Assumptions!$B$27,0)))-((P$35*(1+Assumptions!$B$13)^(6-1)-P$36*(((1+Assumptions!$B$13)^(6-1)-1)/Assumptions!$B$13))*Assumptions!$B$13)),0)*Assumptions!$B$28))+(IF(6&lt;=Assumptions!$B$27,P$33/Assumptions!$B$27,0))-(P$36-((P$35*(1+Assumptions!$B$13)^(6-1)-P$36*(((1+Assumptions!$B$13)^(6-1)-1)/Assumptions!$B$13))*Assumptions!$B$13))</f>
        <v>5.23232271660771</v>
      </c>
      <c r="Q44" s="25" t="n">
        <f aca="false">(((((Assumptions!$B$17*(1+Q$31)*(1+Assumptions!$B$24)^(6-1))-(Assumptions!$B$21*(1+Assumptions!$B$25)^(6-1)))-(IF(6&lt;=Assumptions!$B$27,Q$33/Assumptions!$B$27,0)))-((Q$35*(1+Assumptions!$B$13)^(6-1)-Q$36*(((1+Assumptions!$B$13)^(6-1)-1)/Assumptions!$B$13))*Assumptions!$B$13))-(MAX(((((Assumptions!$B$17*(1+Q$31)*(1+Assumptions!$B$24)^(6-1))-(Assumptions!$B$21*(1+Assumptions!$B$25)^(6-1)))-(IF(6&lt;=Assumptions!$B$27,Q$33/Assumptions!$B$27,0)))-((Q$35*(1+Assumptions!$B$13)^(6-1)-Q$36*(((1+Assumptions!$B$13)^(6-1)-1)/Assumptions!$B$13))*Assumptions!$B$13)),0)*Assumptions!$B$28))+(IF(6&lt;=Assumptions!$B$27,Q$33/Assumptions!$B$27,0))-(Q$36-((Q$35*(1+Assumptions!$B$13)^(6-1)-Q$36*(((1+Assumptions!$B$13)^(6-1)-1)/Assumptions!$B$13))*Assumptions!$B$13))</f>
        <v>4.84614118346344</v>
      </c>
    </row>
    <row r="45" customFormat="false" ht="15" hidden="false" customHeight="false" outlineLevel="0" collapsed="false">
      <c r="A45" s="7" t="n">
        <v>7</v>
      </c>
      <c r="C45" s="25" t="n">
        <f aca="false">(((((Assumptions!$B$17*(1+C$31)*(1+Assumptions!$B$24)^(7-1))-(Assumptions!$B$21*(1+Assumptions!$B$25)^(7-1)))-(IF(7&lt;=Assumptions!$B$27,C$33/Assumptions!$B$27,0)))-((C$35*(1+Assumptions!$B$13)^(7-1)-C$36*(((1+Assumptions!$B$13)^(7-1)-1)/Assumptions!$B$13))*Assumptions!$B$13))-(MAX(((((Assumptions!$B$17*(1+C$31)*(1+Assumptions!$B$24)^(7-1))-(Assumptions!$B$21*(1+Assumptions!$B$25)^(7-1)))-(IF(7&lt;=Assumptions!$B$27,C$33/Assumptions!$B$27,0)))-((C$35*(1+Assumptions!$B$13)^(7-1)-C$36*(((1+Assumptions!$B$13)^(7-1)-1)/Assumptions!$B$13))*Assumptions!$B$13)),0)*Assumptions!$B$28))+(IF(7&lt;=Assumptions!$B$27,C$33/Assumptions!$B$27,0))-(C$36-((C$35*(1+Assumptions!$B$13)^(7-1)-C$36*(((1+Assumptions!$B$13)^(7-1)-1)/Assumptions!$B$13))*Assumptions!$B$13))</f>
        <v>2.23127053733157</v>
      </c>
      <c r="D45" s="25" t="n">
        <f aca="false">(((((Assumptions!$B$17*(1+D$31)*(1+Assumptions!$B$24)^(7-1))-(Assumptions!$B$21*(1+Assumptions!$B$25)^(7-1)))-(IF(7&lt;=Assumptions!$B$27,D$33/Assumptions!$B$27,0)))-((D$35*(1+Assumptions!$B$13)^(7-1)-D$36*(((1+Assumptions!$B$13)^(7-1)-1)/Assumptions!$B$13))*Assumptions!$B$13))-(MAX(((((Assumptions!$B$17*(1+D$31)*(1+Assumptions!$B$24)^(7-1))-(Assumptions!$B$21*(1+Assumptions!$B$25)^(7-1)))-(IF(7&lt;=Assumptions!$B$27,D$33/Assumptions!$B$27,0)))-((D$35*(1+Assumptions!$B$13)^(7-1)-D$36*(((1+Assumptions!$B$13)^(7-1)-1)/Assumptions!$B$13))*Assumptions!$B$13)),0)*Assumptions!$B$28))+(IF(7&lt;=Assumptions!$B$27,D$33/Assumptions!$B$27,0))-(D$36-((D$35*(1+Assumptions!$B$13)^(7-1)-D$36*(((1+Assumptions!$B$13)^(7-1)-1)/Assumptions!$B$13))*Assumptions!$B$13))</f>
        <v>1.84340057622126</v>
      </c>
      <c r="E45" s="25" t="n">
        <f aca="false">(((((Assumptions!$B$17*(1+E$31)*(1+Assumptions!$B$24)^(7-1))-(Assumptions!$B$21*(1+Assumptions!$B$25)^(7-1)))-(IF(7&lt;=Assumptions!$B$27,E$33/Assumptions!$B$27,0)))-((E$35*(1+Assumptions!$B$13)^(7-1)-E$36*(((1+Assumptions!$B$13)^(7-1)-1)/Assumptions!$B$13))*Assumptions!$B$13))-(MAX(((((Assumptions!$B$17*(1+E$31)*(1+Assumptions!$B$24)^(7-1))-(Assumptions!$B$21*(1+Assumptions!$B$25)^(7-1)))-(IF(7&lt;=Assumptions!$B$27,E$33/Assumptions!$B$27,0)))-((E$35*(1+Assumptions!$B$13)^(7-1)-E$36*(((1+Assumptions!$B$13)^(7-1)-1)/Assumptions!$B$13))*Assumptions!$B$13)),0)*Assumptions!$B$28))+(IF(7&lt;=Assumptions!$B$27,E$33/Assumptions!$B$27,0))-(E$36-((E$35*(1+Assumptions!$B$13)^(7-1)-E$36*(((1+Assumptions!$B$13)^(7-1)-1)/Assumptions!$B$13))*Assumptions!$B$13))</f>
        <v>1.45553061511094</v>
      </c>
      <c r="F45" s="25" t="n">
        <f aca="false">(((((Assumptions!$B$17*(1+F$31)*(1+Assumptions!$B$24)^(7-1))-(Assumptions!$B$21*(1+Assumptions!$B$25)^(7-1)))-(IF(7&lt;=Assumptions!$B$27,F$33/Assumptions!$B$27,0)))-((F$35*(1+Assumptions!$B$13)^(7-1)-F$36*(((1+Assumptions!$B$13)^(7-1)-1)/Assumptions!$B$13))*Assumptions!$B$13))-(MAX(((((Assumptions!$B$17*(1+F$31)*(1+Assumptions!$B$24)^(7-1))-(Assumptions!$B$21*(1+Assumptions!$B$25)^(7-1)))-(IF(7&lt;=Assumptions!$B$27,F$33/Assumptions!$B$27,0)))-((F$35*(1+Assumptions!$B$13)^(7-1)-F$36*(((1+Assumptions!$B$13)^(7-1)-1)/Assumptions!$B$13))*Assumptions!$B$13)),0)*Assumptions!$B$28))+(IF(7&lt;=Assumptions!$B$27,F$33/Assumptions!$B$27,0))-(F$36-((F$35*(1+Assumptions!$B$13)^(7-1)-F$36*(((1+Assumptions!$B$13)^(7-1)-1)/Assumptions!$B$13))*Assumptions!$B$13))</f>
        <v>3.05985315418556</v>
      </c>
      <c r="G45" s="25" t="n">
        <f aca="false">(((((Assumptions!$B$17*(1+G$31)*(1+Assumptions!$B$24)^(7-1))-(Assumptions!$B$21*(1+Assumptions!$B$25)^(7-1)))-(IF(7&lt;=Assumptions!$B$27,G$33/Assumptions!$B$27,0)))-((G$35*(1+Assumptions!$B$13)^(7-1)-G$36*(((1+Assumptions!$B$13)^(7-1)-1)/Assumptions!$B$13))*Assumptions!$B$13))-(MAX(((((Assumptions!$B$17*(1+G$31)*(1+Assumptions!$B$24)^(7-1))-(Assumptions!$B$21*(1+Assumptions!$B$25)^(7-1)))-(IF(7&lt;=Assumptions!$B$27,G$33/Assumptions!$B$27,0)))-((G$35*(1+Assumptions!$B$13)^(7-1)-G$36*(((1+Assumptions!$B$13)^(7-1)-1)/Assumptions!$B$13))*Assumptions!$B$13)),0)*Assumptions!$B$28))+(IF(7&lt;=Assumptions!$B$27,G$33/Assumptions!$B$27,0))-(G$36-((G$35*(1+Assumptions!$B$13)^(7-1)-G$36*(((1+Assumptions!$B$13)^(7-1)-1)/Assumptions!$B$13))*Assumptions!$B$13))</f>
        <v>2.67198319307525</v>
      </c>
      <c r="H45" s="25" t="n">
        <f aca="false">(((((Assumptions!$B$17*(1+H$31)*(1+Assumptions!$B$24)^(7-1))-(Assumptions!$B$21*(1+Assumptions!$B$25)^(7-1)))-(IF(7&lt;=Assumptions!$B$27,H$33/Assumptions!$B$27,0)))-((H$35*(1+Assumptions!$B$13)^(7-1)-H$36*(((1+Assumptions!$B$13)^(7-1)-1)/Assumptions!$B$13))*Assumptions!$B$13))-(MAX(((((Assumptions!$B$17*(1+H$31)*(1+Assumptions!$B$24)^(7-1))-(Assumptions!$B$21*(1+Assumptions!$B$25)^(7-1)))-(IF(7&lt;=Assumptions!$B$27,H$33/Assumptions!$B$27,0)))-((H$35*(1+Assumptions!$B$13)^(7-1)-H$36*(((1+Assumptions!$B$13)^(7-1)-1)/Assumptions!$B$13))*Assumptions!$B$13)),0)*Assumptions!$B$28))+(IF(7&lt;=Assumptions!$B$27,H$33/Assumptions!$B$27,0))-(H$36-((H$35*(1+Assumptions!$B$13)^(7-1)-H$36*(((1+Assumptions!$B$13)^(7-1)-1)/Assumptions!$B$13))*Assumptions!$B$13))</f>
        <v>2.28411323196493</v>
      </c>
      <c r="I45" s="25" t="n">
        <f aca="false">(((((Assumptions!$B$17*(1+I$31)*(1+Assumptions!$B$24)^(7-1))-(Assumptions!$B$21*(1+Assumptions!$B$25)^(7-1)))-(IF(7&lt;=Assumptions!$B$27,I$33/Assumptions!$B$27,0)))-((I$35*(1+Assumptions!$B$13)^(7-1)-I$36*(((1+Assumptions!$B$13)^(7-1)-1)/Assumptions!$B$13))*Assumptions!$B$13))-(MAX(((((Assumptions!$B$17*(1+I$31)*(1+Assumptions!$B$24)^(7-1))-(Assumptions!$B$21*(1+Assumptions!$B$25)^(7-1)))-(IF(7&lt;=Assumptions!$B$27,I$33/Assumptions!$B$27,0)))-((I$35*(1+Assumptions!$B$13)^(7-1)-I$36*(((1+Assumptions!$B$13)^(7-1)-1)/Assumptions!$B$13))*Assumptions!$B$13)),0)*Assumptions!$B$28))+(IF(7&lt;=Assumptions!$B$27,I$33/Assumptions!$B$27,0))-(I$36-((I$35*(1+Assumptions!$B$13)^(7-1)-I$36*(((1+Assumptions!$B$13)^(7-1)-1)/Assumptions!$B$13))*Assumptions!$B$13))</f>
        <v>3.88843577103955</v>
      </c>
      <c r="J45" s="25" t="n">
        <f aca="false">(((((Assumptions!$B$17*(1+J$31)*(1+Assumptions!$B$24)^(7-1))-(Assumptions!$B$21*(1+Assumptions!$B$25)^(7-1)))-(IF(7&lt;=Assumptions!$B$27,J$33/Assumptions!$B$27,0)))-((J$35*(1+Assumptions!$B$13)^(7-1)-J$36*(((1+Assumptions!$B$13)^(7-1)-1)/Assumptions!$B$13))*Assumptions!$B$13))-(MAX(((((Assumptions!$B$17*(1+J$31)*(1+Assumptions!$B$24)^(7-1))-(Assumptions!$B$21*(1+Assumptions!$B$25)^(7-1)))-(IF(7&lt;=Assumptions!$B$27,J$33/Assumptions!$B$27,0)))-((J$35*(1+Assumptions!$B$13)^(7-1)-J$36*(((1+Assumptions!$B$13)^(7-1)-1)/Assumptions!$B$13))*Assumptions!$B$13)),0)*Assumptions!$B$28))+(IF(7&lt;=Assumptions!$B$27,J$33/Assumptions!$B$27,0))-(J$36-((J$35*(1+Assumptions!$B$13)^(7-1)-J$36*(((1+Assumptions!$B$13)^(7-1)-1)/Assumptions!$B$13))*Assumptions!$B$13))</f>
        <v>3.50056580992923</v>
      </c>
      <c r="K45" s="25" t="n">
        <f aca="false">(((((Assumptions!$B$17*(1+K$31)*(1+Assumptions!$B$24)^(7-1))-(Assumptions!$B$21*(1+Assumptions!$B$25)^(7-1)))-(IF(7&lt;=Assumptions!$B$27,K$33/Assumptions!$B$27,0)))-((K$35*(1+Assumptions!$B$13)^(7-1)-K$36*(((1+Assumptions!$B$13)^(7-1)-1)/Assumptions!$B$13))*Assumptions!$B$13))-(MAX(((((Assumptions!$B$17*(1+K$31)*(1+Assumptions!$B$24)^(7-1))-(Assumptions!$B$21*(1+Assumptions!$B$25)^(7-1)))-(IF(7&lt;=Assumptions!$B$27,K$33/Assumptions!$B$27,0)))-((K$35*(1+Assumptions!$B$13)^(7-1)-K$36*(((1+Assumptions!$B$13)^(7-1)-1)/Assumptions!$B$13))*Assumptions!$B$13)),0)*Assumptions!$B$28))+(IF(7&lt;=Assumptions!$B$27,K$33/Assumptions!$B$27,0))-(K$36-((K$35*(1+Assumptions!$B$13)^(7-1)-K$36*(((1+Assumptions!$B$13)^(7-1)-1)/Assumptions!$B$13))*Assumptions!$B$13))</f>
        <v>3.11269584881892</v>
      </c>
      <c r="L45" s="25" t="n">
        <f aca="false">(((((Assumptions!$B$17*(1+L$31)*(1+Assumptions!$B$24)^(7-1))-(Assumptions!$B$21*(1+Assumptions!$B$25)^(7-1)))-(IF(7&lt;=Assumptions!$B$27,L$33/Assumptions!$B$27,0)))-((L$35*(1+Assumptions!$B$13)^(7-1)-L$36*(((1+Assumptions!$B$13)^(7-1)-1)/Assumptions!$B$13))*Assumptions!$B$13))-(MAX(((((Assumptions!$B$17*(1+L$31)*(1+Assumptions!$B$24)^(7-1))-(Assumptions!$B$21*(1+Assumptions!$B$25)^(7-1)))-(IF(7&lt;=Assumptions!$B$27,L$33/Assumptions!$B$27,0)))-((L$35*(1+Assumptions!$B$13)^(7-1)-L$36*(((1+Assumptions!$B$13)^(7-1)-1)/Assumptions!$B$13))*Assumptions!$B$13)),0)*Assumptions!$B$28))+(IF(7&lt;=Assumptions!$B$27,L$33/Assumptions!$B$27,0))-(L$36-((L$35*(1+Assumptions!$B$13)^(7-1)-L$36*(((1+Assumptions!$B$13)^(7-1)-1)/Assumptions!$B$13))*Assumptions!$B$13))</f>
        <v>4.71701838789354</v>
      </c>
      <c r="M45" s="25" t="n">
        <f aca="false">(((((Assumptions!$B$17*(1+M$31)*(1+Assumptions!$B$24)^(7-1))-(Assumptions!$B$21*(1+Assumptions!$B$25)^(7-1)))-(IF(7&lt;=Assumptions!$B$27,M$33/Assumptions!$B$27,0)))-((M$35*(1+Assumptions!$B$13)^(7-1)-M$36*(((1+Assumptions!$B$13)^(7-1)-1)/Assumptions!$B$13))*Assumptions!$B$13))-(MAX(((((Assumptions!$B$17*(1+M$31)*(1+Assumptions!$B$24)^(7-1))-(Assumptions!$B$21*(1+Assumptions!$B$25)^(7-1)))-(IF(7&lt;=Assumptions!$B$27,M$33/Assumptions!$B$27,0)))-((M$35*(1+Assumptions!$B$13)^(7-1)-M$36*(((1+Assumptions!$B$13)^(7-1)-1)/Assumptions!$B$13))*Assumptions!$B$13)),0)*Assumptions!$B$28))+(IF(7&lt;=Assumptions!$B$27,M$33/Assumptions!$B$27,0))-(M$36-((M$35*(1+Assumptions!$B$13)^(7-1)-M$36*(((1+Assumptions!$B$13)^(7-1)-1)/Assumptions!$B$13))*Assumptions!$B$13))</f>
        <v>4.32914842678322</v>
      </c>
      <c r="N45" s="25" t="n">
        <f aca="false">(((((Assumptions!$B$17*(1+N$31)*(1+Assumptions!$B$24)^(7-1))-(Assumptions!$B$21*(1+Assumptions!$B$25)^(7-1)))-(IF(7&lt;=Assumptions!$B$27,N$33/Assumptions!$B$27,0)))-((N$35*(1+Assumptions!$B$13)^(7-1)-N$36*(((1+Assumptions!$B$13)^(7-1)-1)/Assumptions!$B$13))*Assumptions!$B$13))-(MAX(((((Assumptions!$B$17*(1+N$31)*(1+Assumptions!$B$24)^(7-1))-(Assumptions!$B$21*(1+Assumptions!$B$25)^(7-1)))-(IF(7&lt;=Assumptions!$B$27,N$33/Assumptions!$B$27,0)))-((N$35*(1+Assumptions!$B$13)^(7-1)-N$36*(((1+Assumptions!$B$13)^(7-1)-1)/Assumptions!$B$13))*Assumptions!$B$13)),0)*Assumptions!$B$28))+(IF(7&lt;=Assumptions!$B$27,N$33/Assumptions!$B$27,0))-(N$36-((N$35*(1+Assumptions!$B$13)^(7-1)-N$36*(((1+Assumptions!$B$13)^(7-1)-1)/Assumptions!$B$13))*Assumptions!$B$13))</f>
        <v>3.94127846567291</v>
      </c>
      <c r="O45" s="25" t="n">
        <f aca="false">(((((Assumptions!$B$17*(1+O$31)*(1+Assumptions!$B$24)^(7-1))-(Assumptions!$B$21*(1+Assumptions!$B$25)^(7-1)))-(IF(7&lt;=Assumptions!$B$27,O$33/Assumptions!$B$27,0)))-((O$35*(1+Assumptions!$B$13)^(7-1)-O$36*(((1+Assumptions!$B$13)^(7-1)-1)/Assumptions!$B$13))*Assumptions!$B$13))-(MAX(((((Assumptions!$B$17*(1+O$31)*(1+Assumptions!$B$24)^(7-1))-(Assumptions!$B$21*(1+Assumptions!$B$25)^(7-1)))-(IF(7&lt;=Assumptions!$B$27,O$33/Assumptions!$B$27,0)))-((O$35*(1+Assumptions!$B$13)^(7-1)-O$36*(((1+Assumptions!$B$13)^(7-1)-1)/Assumptions!$B$13))*Assumptions!$B$13)),0)*Assumptions!$B$28))+(IF(7&lt;=Assumptions!$B$27,O$33/Assumptions!$B$27,0))-(O$36-((O$35*(1+Assumptions!$B$13)^(7-1)-O$36*(((1+Assumptions!$B$13)^(7-1)-1)/Assumptions!$B$13))*Assumptions!$B$13))</f>
        <v>5.54560100474753</v>
      </c>
      <c r="P45" s="25" t="n">
        <f aca="false">(((((Assumptions!$B$17*(1+P$31)*(1+Assumptions!$B$24)^(7-1))-(Assumptions!$B$21*(1+Assumptions!$B$25)^(7-1)))-(IF(7&lt;=Assumptions!$B$27,P$33/Assumptions!$B$27,0)))-((P$35*(1+Assumptions!$B$13)^(7-1)-P$36*(((1+Assumptions!$B$13)^(7-1)-1)/Assumptions!$B$13))*Assumptions!$B$13))-(MAX(((((Assumptions!$B$17*(1+P$31)*(1+Assumptions!$B$24)^(7-1))-(Assumptions!$B$21*(1+Assumptions!$B$25)^(7-1)))-(IF(7&lt;=Assumptions!$B$27,P$33/Assumptions!$B$27,0)))-((P$35*(1+Assumptions!$B$13)^(7-1)-P$36*(((1+Assumptions!$B$13)^(7-1)-1)/Assumptions!$B$13))*Assumptions!$B$13)),0)*Assumptions!$B$28))+(IF(7&lt;=Assumptions!$B$27,P$33/Assumptions!$B$27,0))-(P$36-((P$35*(1+Assumptions!$B$13)^(7-1)-P$36*(((1+Assumptions!$B$13)^(7-1)-1)/Assumptions!$B$13))*Assumptions!$B$13))</f>
        <v>5.15773104363721</v>
      </c>
      <c r="Q45" s="25" t="n">
        <f aca="false">(((((Assumptions!$B$17*(1+Q$31)*(1+Assumptions!$B$24)^(7-1))-(Assumptions!$B$21*(1+Assumptions!$B$25)^(7-1)))-(IF(7&lt;=Assumptions!$B$27,Q$33/Assumptions!$B$27,0)))-((Q$35*(1+Assumptions!$B$13)^(7-1)-Q$36*(((1+Assumptions!$B$13)^(7-1)-1)/Assumptions!$B$13))*Assumptions!$B$13))-(MAX(((((Assumptions!$B$17*(1+Q$31)*(1+Assumptions!$B$24)^(7-1))-(Assumptions!$B$21*(1+Assumptions!$B$25)^(7-1)))-(IF(7&lt;=Assumptions!$B$27,Q$33/Assumptions!$B$27,0)))-((Q$35*(1+Assumptions!$B$13)^(7-1)-Q$36*(((1+Assumptions!$B$13)^(7-1)-1)/Assumptions!$B$13))*Assumptions!$B$13)),0)*Assumptions!$B$28))+(IF(7&lt;=Assumptions!$B$27,Q$33/Assumptions!$B$27,0))-(Q$36-((Q$35*(1+Assumptions!$B$13)^(7-1)-Q$36*(((1+Assumptions!$B$13)^(7-1)-1)/Assumptions!$B$13))*Assumptions!$B$13))</f>
        <v>4.7698610825269</v>
      </c>
    </row>
    <row r="46" customFormat="false" ht="15" hidden="false" customHeight="false" outlineLevel="0" collapsed="false">
      <c r="A46" s="7" t="n">
        <v>8</v>
      </c>
      <c r="C46" s="25" t="n">
        <f aca="false">(((((Assumptions!$B$17*(1+C$31)*(1+Assumptions!$B$24)^(8-1))-(Assumptions!$B$21*(1+Assumptions!$B$25)^(8-1)))-(IF(8&lt;=Assumptions!$B$27,C$33/Assumptions!$B$27,0)))-((C$35*(1+Assumptions!$B$13)^(8-1)-C$36*(((1+Assumptions!$B$13)^(8-1)-1)/Assumptions!$B$13))*Assumptions!$B$13))-(MAX(((((Assumptions!$B$17*(1+C$31)*(1+Assumptions!$B$24)^(8-1))-(Assumptions!$B$21*(1+Assumptions!$B$25)^(8-1)))-(IF(8&lt;=Assumptions!$B$27,C$33/Assumptions!$B$27,0)))-((C$35*(1+Assumptions!$B$13)^(8-1)-C$36*(((1+Assumptions!$B$13)^(8-1)-1)/Assumptions!$B$13))*Assumptions!$B$13)),0)*Assumptions!$B$28))+(IF(8&lt;=Assumptions!$B$27,C$33/Assumptions!$B$27,0))-(C$36-((C$35*(1+Assumptions!$B$13)^(8-1)-C$36*(((1+Assumptions!$B$13)^(8-1)-1)/Assumptions!$B$13))*Assumptions!$B$13))</f>
        <v>2.17066903436295</v>
      </c>
      <c r="D46" s="25" t="n">
        <f aca="false">(((((Assumptions!$B$17*(1+D$31)*(1+Assumptions!$B$24)^(8-1))-(Assumptions!$B$21*(1+Assumptions!$B$25)^(8-1)))-(IF(8&lt;=Assumptions!$B$27,D$33/Assumptions!$B$27,0)))-((D$35*(1+Assumptions!$B$13)^(8-1)-D$36*(((1+Assumptions!$B$13)^(8-1)-1)/Assumptions!$B$13))*Assumptions!$B$13))-(MAX(((((Assumptions!$B$17*(1+D$31)*(1+Assumptions!$B$24)^(8-1))-(Assumptions!$B$21*(1+Assumptions!$B$25)^(8-1)))-(IF(8&lt;=Assumptions!$B$27,D$33/Assumptions!$B$27,0)))-((D$35*(1+Assumptions!$B$13)^(8-1)-D$36*(((1+Assumptions!$B$13)^(8-1)-1)/Assumptions!$B$13))*Assumptions!$B$13)),0)*Assumptions!$B$28))+(IF(8&lt;=Assumptions!$B$27,D$33/Assumptions!$B$27,0))-(D$36-((D$35*(1+Assumptions!$B$13)^(8-1)-D$36*(((1+Assumptions!$B$13)^(8-1)-1)/Assumptions!$B$13))*Assumptions!$B$13))</f>
        <v>1.78102622388828</v>
      </c>
      <c r="E46" s="25" t="n">
        <f aca="false">(((((Assumptions!$B$17*(1+E$31)*(1+Assumptions!$B$24)^(8-1))-(Assumptions!$B$21*(1+Assumptions!$B$25)^(8-1)))-(IF(8&lt;=Assumptions!$B$27,E$33/Assumptions!$B$27,0)))-((E$35*(1+Assumptions!$B$13)^(8-1)-E$36*(((1+Assumptions!$B$13)^(8-1)-1)/Assumptions!$B$13))*Assumptions!$B$13))-(MAX(((((Assumptions!$B$17*(1+E$31)*(1+Assumptions!$B$24)^(8-1))-(Assumptions!$B$21*(1+Assumptions!$B$25)^(8-1)))-(IF(8&lt;=Assumptions!$B$27,E$33/Assumptions!$B$27,0)))-((E$35*(1+Assumptions!$B$13)^(8-1)-E$36*(((1+Assumptions!$B$13)^(8-1)-1)/Assumptions!$B$13))*Assumptions!$B$13)),0)*Assumptions!$B$28))+(IF(8&lt;=Assumptions!$B$27,E$33/Assumptions!$B$27,0))-(E$36-((E$35*(1+Assumptions!$B$13)^(8-1)-E$36*(((1+Assumptions!$B$13)^(8-1)-1)/Assumptions!$B$13))*Assumptions!$B$13))</f>
        <v>1.39138341341362</v>
      </c>
      <c r="F46" s="25" t="n">
        <f aca="false">(((((Assumptions!$B$17*(1+F$31)*(1+Assumptions!$B$24)^(8-1))-(Assumptions!$B$21*(1+Assumptions!$B$25)^(8-1)))-(IF(8&lt;=Assumptions!$B$27,F$33/Assumptions!$B$27,0)))-((F$35*(1+Assumptions!$B$13)^(8-1)-F$36*(((1+Assumptions!$B$13)^(8-1)-1)/Assumptions!$B$13))*Assumptions!$B$13))-(MAX(((((Assumptions!$B$17*(1+F$31)*(1+Assumptions!$B$24)^(8-1))-(Assumptions!$B$21*(1+Assumptions!$B$25)^(8-1)))-(IF(8&lt;=Assumptions!$B$27,F$33/Assumptions!$B$27,0)))-((F$35*(1+Assumptions!$B$13)^(8-1)-F$36*(((1+Assumptions!$B$13)^(8-1)-1)/Assumptions!$B$13))*Assumptions!$B$13)),0)*Assumptions!$B$28))+(IF(8&lt;=Assumptions!$B$27,F$33/Assumptions!$B$27,0))-(F$36-((F$35*(1+Assumptions!$B$13)^(8-1)-F$36*(((1+Assumptions!$B$13)^(8-1)-1)/Assumptions!$B$13))*Assumptions!$B$13))</f>
        <v>2.99593732074952</v>
      </c>
      <c r="G46" s="25" t="n">
        <f aca="false">(((((Assumptions!$B$17*(1+G$31)*(1+Assumptions!$B$24)^(8-1))-(Assumptions!$B$21*(1+Assumptions!$B$25)^(8-1)))-(IF(8&lt;=Assumptions!$B$27,G$33/Assumptions!$B$27,0)))-((G$35*(1+Assumptions!$B$13)^(8-1)-G$36*(((1+Assumptions!$B$13)^(8-1)-1)/Assumptions!$B$13))*Assumptions!$B$13))-(MAX(((((Assumptions!$B$17*(1+G$31)*(1+Assumptions!$B$24)^(8-1))-(Assumptions!$B$21*(1+Assumptions!$B$25)^(8-1)))-(IF(8&lt;=Assumptions!$B$27,G$33/Assumptions!$B$27,0)))-((G$35*(1+Assumptions!$B$13)^(8-1)-G$36*(((1+Assumptions!$B$13)^(8-1)-1)/Assumptions!$B$13))*Assumptions!$B$13)),0)*Assumptions!$B$28))+(IF(8&lt;=Assumptions!$B$27,G$33/Assumptions!$B$27,0))-(G$36-((G$35*(1+Assumptions!$B$13)^(8-1)-G$36*(((1+Assumptions!$B$13)^(8-1)-1)/Assumptions!$B$13))*Assumptions!$B$13))</f>
        <v>2.60629451027486</v>
      </c>
      <c r="H46" s="25" t="n">
        <f aca="false">(((((Assumptions!$B$17*(1+H$31)*(1+Assumptions!$B$24)^(8-1))-(Assumptions!$B$21*(1+Assumptions!$B$25)^(8-1)))-(IF(8&lt;=Assumptions!$B$27,H$33/Assumptions!$B$27,0)))-((H$35*(1+Assumptions!$B$13)^(8-1)-H$36*(((1+Assumptions!$B$13)^(8-1)-1)/Assumptions!$B$13))*Assumptions!$B$13))-(MAX(((((Assumptions!$B$17*(1+H$31)*(1+Assumptions!$B$24)^(8-1))-(Assumptions!$B$21*(1+Assumptions!$B$25)^(8-1)))-(IF(8&lt;=Assumptions!$B$27,H$33/Assumptions!$B$27,0)))-((H$35*(1+Assumptions!$B$13)^(8-1)-H$36*(((1+Assumptions!$B$13)^(8-1)-1)/Assumptions!$B$13))*Assumptions!$B$13)),0)*Assumptions!$B$28))+(IF(8&lt;=Assumptions!$B$27,H$33/Assumptions!$B$27,0))-(H$36-((H$35*(1+Assumptions!$B$13)^(8-1)-H$36*(((1+Assumptions!$B$13)^(8-1)-1)/Assumptions!$B$13))*Assumptions!$B$13))</f>
        <v>2.21665169980019</v>
      </c>
      <c r="I46" s="25" t="n">
        <f aca="false">(((((Assumptions!$B$17*(1+I$31)*(1+Assumptions!$B$24)^(8-1))-(Assumptions!$B$21*(1+Assumptions!$B$25)^(8-1)))-(IF(8&lt;=Assumptions!$B$27,I$33/Assumptions!$B$27,0)))-((I$35*(1+Assumptions!$B$13)^(8-1)-I$36*(((1+Assumptions!$B$13)^(8-1)-1)/Assumptions!$B$13))*Assumptions!$B$13))-(MAX(((((Assumptions!$B$17*(1+I$31)*(1+Assumptions!$B$24)^(8-1))-(Assumptions!$B$21*(1+Assumptions!$B$25)^(8-1)))-(IF(8&lt;=Assumptions!$B$27,I$33/Assumptions!$B$27,0)))-((I$35*(1+Assumptions!$B$13)^(8-1)-I$36*(((1+Assumptions!$B$13)^(8-1)-1)/Assumptions!$B$13))*Assumptions!$B$13)),0)*Assumptions!$B$28))+(IF(8&lt;=Assumptions!$B$27,I$33/Assumptions!$B$27,0))-(I$36-((I$35*(1+Assumptions!$B$13)^(8-1)-I$36*(((1+Assumptions!$B$13)^(8-1)-1)/Assumptions!$B$13))*Assumptions!$B$13))</f>
        <v>3.82120560713609</v>
      </c>
      <c r="J46" s="25" t="n">
        <f aca="false">(((((Assumptions!$B$17*(1+J$31)*(1+Assumptions!$B$24)^(8-1))-(Assumptions!$B$21*(1+Assumptions!$B$25)^(8-1)))-(IF(8&lt;=Assumptions!$B$27,J$33/Assumptions!$B$27,0)))-((J$35*(1+Assumptions!$B$13)^(8-1)-J$36*(((1+Assumptions!$B$13)^(8-1)-1)/Assumptions!$B$13))*Assumptions!$B$13))-(MAX(((((Assumptions!$B$17*(1+J$31)*(1+Assumptions!$B$24)^(8-1))-(Assumptions!$B$21*(1+Assumptions!$B$25)^(8-1)))-(IF(8&lt;=Assumptions!$B$27,J$33/Assumptions!$B$27,0)))-((J$35*(1+Assumptions!$B$13)^(8-1)-J$36*(((1+Assumptions!$B$13)^(8-1)-1)/Assumptions!$B$13))*Assumptions!$B$13)),0)*Assumptions!$B$28))+(IF(8&lt;=Assumptions!$B$27,J$33/Assumptions!$B$27,0))-(J$36-((J$35*(1+Assumptions!$B$13)^(8-1)-J$36*(((1+Assumptions!$B$13)^(8-1)-1)/Assumptions!$B$13))*Assumptions!$B$13))</f>
        <v>3.43156279666143</v>
      </c>
      <c r="K46" s="25" t="n">
        <f aca="false">(((((Assumptions!$B$17*(1+K$31)*(1+Assumptions!$B$24)^(8-1))-(Assumptions!$B$21*(1+Assumptions!$B$25)^(8-1)))-(IF(8&lt;=Assumptions!$B$27,K$33/Assumptions!$B$27,0)))-((K$35*(1+Assumptions!$B$13)^(8-1)-K$36*(((1+Assumptions!$B$13)^(8-1)-1)/Assumptions!$B$13))*Assumptions!$B$13))-(MAX(((((Assumptions!$B$17*(1+K$31)*(1+Assumptions!$B$24)^(8-1))-(Assumptions!$B$21*(1+Assumptions!$B$25)^(8-1)))-(IF(8&lt;=Assumptions!$B$27,K$33/Assumptions!$B$27,0)))-((K$35*(1+Assumptions!$B$13)^(8-1)-K$36*(((1+Assumptions!$B$13)^(8-1)-1)/Assumptions!$B$13))*Assumptions!$B$13)),0)*Assumptions!$B$28))+(IF(8&lt;=Assumptions!$B$27,K$33/Assumptions!$B$27,0))-(K$36-((K$35*(1+Assumptions!$B$13)^(8-1)-K$36*(((1+Assumptions!$B$13)^(8-1)-1)/Assumptions!$B$13))*Assumptions!$B$13))</f>
        <v>3.04191998618676</v>
      </c>
      <c r="L46" s="25" t="n">
        <f aca="false">(((((Assumptions!$B$17*(1+L$31)*(1+Assumptions!$B$24)^(8-1))-(Assumptions!$B$21*(1+Assumptions!$B$25)^(8-1)))-(IF(8&lt;=Assumptions!$B$27,L$33/Assumptions!$B$27,0)))-((L$35*(1+Assumptions!$B$13)^(8-1)-L$36*(((1+Assumptions!$B$13)^(8-1)-1)/Assumptions!$B$13))*Assumptions!$B$13))-(MAX(((((Assumptions!$B$17*(1+L$31)*(1+Assumptions!$B$24)^(8-1))-(Assumptions!$B$21*(1+Assumptions!$B$25)^(8-1)))-(IF(8&lt;=Assumptions!$B$27,L$33/Assumptions!$B$27,0)))-((L$35*(1+Assumptions!$B$13)^(8-1)-L$36*(((1+Assumptions!$B$13)^(8-1)-1)/Assumptions!$B$13))*Assumptions!$B$13)),0)*Assumptions!$B$28))+(IF(8&lt;=Assumptions!$B$27,L$33/Assumptions!$B$27,0))-(L$36-((L$35*(1+Assumptions!$B$13)^(8-1)-L$36*(((1+Assumptions!$B$13)^(8-1)-1)/Assumptions!$B$13))*Assumptions!$B$13))</f>
        <v>4.64647389352266</v>
      </c>
      <c r="M46" s="25" t="n">
        <f aca="false">(((((Assumptions!$B$17*(1+M$31)*(1+Assumptions!$B$24)^(8-1))-(Assumptions!$B$21*(1+Assumptions!$B$25)^(8-1)))-(IF(8&lt;=Assumptions!$B$27,M$33/Assumptions!$B$27,0)))-((M$35*(1+Assumptions!$B$13)^(8-1)-M$36*(((1+Assumptions!$B$13)^(8-1)-1)/Assumptions!$B$13))*Assumptions!$B$13))-(MAX(((((Assumptions!$B$17*(1+M$31)*(1+Assumptions!$B$24)^(8-1))-(Assumptions!$B$21*(1+Assumptions!$B$25)^(8-1)))-(IF(8&lt;=Assumptions!$B$27,M$33/Assumptions!$B$27,0)))-((M$35*(1+Assumptions!$B$13)^(8-1)-M$36*(((1+Assumptions!$B$13)^(8-1)-1)/Assumptions!$B$13))*Assumptions!$B$13)),0)*Assumptions!$B$28))+(IF(8&lt;=Assumptions!$B$27,M$33/Assumptions!$B$27,0))-(M$36-((M$35*(1+Assumptions!$B$13)^(8-1)-M$36*(((1+Assumptions!$B$13)^(8-1)-1)/Assumptions!$B$13))*Assumptions!$B$13))</f>
        <v>4.256831083048</v>
      </c>
      <c r="N46" s="25" t="n">
        <f aca="false">(((((Assumptions!$B$17*(1+N$31)*(1+Assumptions!$B$24)^(8-1))-(Assumptions!$B$21*(1+Assumptions!$B$25)^(8-1)))-(IF(8&lt;=Assumptions!$B$27,N$33/Assumptions!$B$27,0)))-((N$35*(1+Assumptions!$B$13)^(8-1)-N$36*(((1+Assumptions!$B$13)^(8-1)-1)/Assumptions!$B$13))*Assumptions!$B$13))-(MAX(((((Assumptions!$B$17*(1+N$31)*(1+Assumptions!$B$24)^(8-1))-(Assumptions!$B$21*(1+Assumptions!$B$25)^(8-1)))-(IF(8&lt;=Assumptions!$B$27,N$33/Assumptions!$B$27,0)))-((N$35*(1+Assumptions!$B$13)^(8-1)-N$36*(((1+Assumptions!$B$13)^(8-1)-1)/Assumptions!$B$13))*Assumptions!$B$13)),0)*Assumptions!$B$28))+(IF(8&lt;=Assumptions!$B$27,N$33/Assumptions!$B$27,0))-(N$36-((N$35*(1+Assumptions!$B$13)^(8-1)-N$36*(((1+Assumptions!$B$13)^(8-1)-1)/Assumptions!$B$13))*Assumptions!$B$13))</f>
        <v>3.86718827257334</v>
      </c>
      <c r="O46" s="25" t="n">
        <f aca="false">(((((Assumptions!$B$17*(1+O$31)*(1+Assumptions!$B$24)^(8-1))-(Assumptions!$B$21*(1+Assumptions!$B$25)^(8-1)))-(IF(8&lt;=Assumptions!$B$27,O$33/Assumptions!$B$27,0)))-((O$35*(1+Assumptions!$B$13)^(8-1)-O$36*(((1+Assumptions!$B$13)^(8-1)-1)/Assumptions!$B$13))*Assumptions!$B$13))-(MAX(((((Assumptions!$B$17*(1+O$31)*(1+Assumptions!$B$24)^(8-1))-(Assumptions!$B$21*(1+Assumptions!$B$25)^(8-1)))-(IF(8&lt;=Assumptions!$B$27,O$33/Assumptions!$B$27,0)))-((O$35*(1+Assumptions!$B$13)^(8-1)-O$36*(((1+Assumptions!$B$13)^(8-1)-1)/Assumptions!$B$13))*Assumptions!$B$13)),0)*Assumptions!$B$28))+(IF(8&lt;=Assumptions!$B$27,O$33/Assumptions!$B$27,0))-(O$36-((O$35*(1+Assumptions!$B$13)^(8-1)-O$36*(((1+Assumptions!$B$13)^(8-1)-1)/Assumptions!$B$13))*Assumptions!$B$13))</f>
        <v>5.47174217990924</v>
      </c>
      <c r="P46" s="25" t="n">
        <f aca="false">(((((Assumptions!$B$17*(1+P$31)*(1+Assumptions!$B$24)^(8-1))-(Assumptions!$B$21*(1+Assumptions!$B$25)^(8-1)))-(IF(8&lt;=Assumptions!$B$27,P$33/Assumptions!$B$27,0)))-((P$35*(1+Assumptions!$B$13)^(8-1)-P$36*(((1+Assumptions!$B$13)^(8-1)-1)/Assumptions!$B$13))*Assumptions!$B$13))-(MAX(((((Assumptions!$B$17*(1+P$31)*(1+Assumptions!$B$24)^(8-1))-(Assumptions!$B$21*(1+Assumptions!$B$25)^(8-1)))-(IF(8&lt;=Assumptions!$B$27,P$33/Assumptions!$B$27,0)))-((P$35*(1+Assumptions!$B$13)^(8-1)-P$36*(((1+Assumptions!$B$13)^(8-1)-1)/Assumptions!$B$13))*Assumptions!$B$13)),0)*Assumptions!$B$28))+(IF(8&lt;=Assumptions!$B$27,P$33/Assumptions!$B$27,0))-(P$36-((P$35*(1+Assumptions!$B$13)^(8-1)-P$36*(((1+Assumptions!$B$13)^(8-1)-1)/Assumptions!$B$13))*Assumptions!$B$13))</f>
        <v>5.08209936943457</v>
      </c>
      <c r="Q46" s="25" t="n">
        <f aca="false">(((((Assumptions!$B$17*(1+Q$31)*(1+Assumptions!$B$24)^(8-1))-(Assumptions!$B$21*(1+Assumptions!$B$25)^(8-1)))-(IF(8&lt;=Assumptions!$B$27,Q$33/Assumptions!$B$27,0)))-((Q$35*(1+Assumptions!$B$13)^(8-1)-Q$36*(((1+Assumptions!$B$13)^(8-1)-1)/Assumptions!$B$13))*Assumptions!$B$13))-(MAX(((((Assumptions!$B$17*(1+Q$31)*(1+Assumptions!$B$24)^(8-1))-(Assumptions!$B$21*(1+Assumptions!$B$25)^(8-1)))-(IF(8&lt;=Assumptions!$B$27,Q$33/Assumptions!$B$27,0)))-((Q$35*(1+Assumptions!$B$13)^(8-1)-Q$36*(((1+Assumptions!$B$13)^(8-1)-1)/Assumptions!$B$13))*Assumptions!$B$13)),0)*Assumptions!$B$28))+(IF(8&lt;=Assumptions!$B$27,Q$33/Assumptions!$B$27,0))-(Q$36-((Q$35*(1+Assumptions!$B$13)^(8-1)-Q$36*(((1+Assumptions!$B$13)^(8-1)-1)/Assumptions!$B$13))*Assumptions!$B$13))</f>
        <v>4.69245655895991</v>
      </c>
    </row>
    <row r="47" customFormat="false" ht="15" hidden="false" customHeight="false" outlineLevel="0" collapsed="false">
      <c r="A47" s="7" t="n">
        <v>9</v>
      </c>
      <c r="C47" s="25" t="n">
        <f aca="false">(((((Assumptions!$B$17*(1+C$31)*(1+Assumptions!$B$24)^(9-1))-(Assumptions!$B$21*(1+Assumptions!$B$25)^(9-1)))-(IF(9&lt;=Assumptions!$B$27,C$33/Assumptions!$B$27,0)))-((C$35*(1+Assumptions!$B$13)^(9-1)-C$36*(((1+Assumptions!$B$13)^(9-1)-1)/Assumptions!$B$13))*Assumptions!$B$13))-(MAX(((((Assumptions!$B$17*(1+C$31)*(1+Assumptions!$B$24)^(9-1))-(Assumptions!$B$21*(1+Assumptions!$B$25)^(9-1)))-(IF(9&lt;=Assumptions!$B$27,C$33/Assumptions!$B$27,0)))-((C$35*(1+Assumptions!$B$13)^(9-1)-C$36*(((1+Assumptions!$B$13)^(9-1)-1)/Assumptions!$B$13))*Assumptions!$B$13)),0)*Assumptions!$B$28))+(IF(9&lt;=Assumptions!$B$27,C$33/Assumptions!$B$27,0))-(C$36-((C$35*(1+Assumptions!$B$13)^(9-1)-C$36*(((1+Assumptions!$B$13)^(9-1)-1)/Assumptions!$B$13))*Assumptions!$B$13))</f>
        <v>2.10901318345632</v>
      </c>
      <c r="D47" s="25" t="n">
        <f aca="false">(((((Assumptions!$B$17*(1+D$31)*(1+Assumptions!$B$24)^(9-1))-(Assumptions!$B$21*(1+Assumptions!$B$25)^(9-1)))-(IF(9&lt;=Assumptions!$B$27,D$33/Assumptions!$B$27,0)))-((D$35*(1+Assumptions!$B$13)^(9-1)-D$36*(((1+Assumptions!$B$13)^(9-1)-1)/Assumptions!$B$13))*Assumptions!$B$13))-(MAX(((((Assumptions!$B$17*(1+D$31)*(1+Assumptions!$B$24)^(9-1))-(Assumptions!$B$21*(1+Assumptions!$B$25)^(9-1)))-(IF(9&lt;=Assumptions!$B$27,D$33/Assumptions!$B$27,0)))-((D$35*(1+Assumptions!$B$13)^(9-1)-D$36*(((1+Assumptions!$B$13)^(9-1)-1)/Assumptions!$B$13))*Assumptions!$B$13)),0)*Assumptions!$B$28))+(IF(9&lt;=Assumptions!$B$27,D$33/Assumptions!$B$27,0))-(D$36-((D$35*(1+Assumptions!$B$13)^(9-1)-D$36*(((1+Assumptions!$B$13)^(9-1)-1)/Assumptions!$B$13))*Assumptions!$B$13))</f>
        <v>1.71750888114909</v>
      </c>
      <c r="E47" s="25" t="n">
        <f aca="false">(((((Assumptions!$B$17*(1+E$31)*(1+Assumptions!$B$24)^(9-1))-(Assumptions!$B$21*(1+Assumptions!$B$25)^(9-1)))-(IF(9&lt;=Assumptions!$B$27,E$33/Assumptions!$B$27,0)))-((E$35*(1+Assumptions!$B$13)^(9-1)-E$36*(((1+Assumptions!$B$13)^(9-1)-1)/Assumptions!$B$13))*Assumptions!$B$13))-(MAX(((((Assumptions!$B$17*(1+E$31)*(1+Assumptions!$B$24)^(9-1))-(Assumptions!$B$21*(1+Assumptions!$B$25)^(9-1)))-(IF(9&lt;=Assumptions!$B$27,E$33/Assumptions!$B$27,0)))-((E$35*(1+Assumptions!$B$13)^(9-1)-E$36*(((1+Assumptions!$B$13)^(9-1)-1)/Assumptions!$B$13))*Assumptions!$B$13)),0)*Assumptions!$B$28))+(IF(9&lt;=Assumptions!$B$27,E$33/Assumptions!$B$27,0))-(E$36-((E$35*(1+Assumptions!$B$13)^(9-1)-E$36*(((1+Assumptions!$B$13)^(9-1)-1)/Assumptions!$B$13))*Assumptions!$B$13))</f>
        <v>1.32600457884186</v>
      </c>
      <c r="F47" s="25" t="n">
        <f aca="false">(((((Assumptions!$B$17*(1+F$31)*(1+Assumptions!$B$24)^(9-1))-(Assumptions!$B$21*(1+Assumptions!$B$25)^(9-1)))-(IF(9&lt;=Assumptions!$B$27,F$33/Assumptions!$B$27,0)))-((F$35*(1+Assumptions!$B$13)^(9-1)-F$36*(((1+Assumptions!$B$13)^(9-1)-1)/Assumptions!$B$13))*Assumptions!$B$13))-(MAX(((((Assumptions!$B$17*(1+F$31)*(1+Assumptions!$B$24)^(9-1))-(Assumptions!$B$21*(1+Assumptions!$B$25)^(9-1)))-(IF(9&lt;=Assumptions!$B$27,F$33/Assumptions!$B$27,0)))-((F$35*(1+Assumptions!$B$13)^(9-1)-F$36*(((1+Assumptions!$B$13)^(9-1)-1)/Assumptions!$B$13))*Assumptions!$B$13)),0)*Assumptions!$B$28))+(IF(9&lt;=Assumptions!$B$27,F$33/Assumptions!$B$27,0))-(F$36-((F$35*(1+Assumptions!$B$13)^(9-1)-F$36*(((1+Assumptions!$B$13)^(9-1)-1)/Assumptions!$B$13))*Assumptions!$B$13))</f>
        <v>2.93098039669735</v>
      </c>
      <c r="G47" s="25" t="n">
        <f aca="false">(((((Assumptions!$B$17*(1+G$31)*(1+Assumptions!$B$24)^(9-1))-(Assumptions!$B$21*(1+Assumptions!$B$25)^(9-1)))-(IF(9&lt;=Assumptions!$B$27,G$33/Assumptions!$B$27,0)))-((G$35*(1+Assumptions!$B$13)^(9-1)-G$36*(((1+Assumptions!$B$13)^(9-1)-1)/Assumptions!$B$13))*Assumptions!$B$13))-(MAX(((((Assumptions!$B$17*(1+G$31)*(1+Assumptions!$B$24)^(9-1))-(Assumptions!$B$21*(1+Assumptions!$B$25)^(9-1)))-(IF(9&lt;=Assumptions!$B$27,G$33/Assumptions!$B$27,0)))-((G$35*(1+Assumptions!$B$13)^(9-1)-G$36*(((1+Assumptions!$B$13)^(9-1)-1)/Assumptions!$B$13))*Assumptions!$B$13)),0)*Assumptions!$B$28))+(IF(9&lt;=Assumptions!$B$27,G$33/Assumptions!$B$27,0))-(G$36-((G$35*(1+Assumptions!$B$13)^(9-1)-G$36*(((1+Assumptions!$B$13)^(9-1)-1)/Assumptions!$B$13))*Assumptions!$B$13))</f>
        <v>2.53947609439012</v>
      </c>
      <c r="H47" s="25" t="n">
        <f aca="false">(((((Assumptions!$B$17*(1+H$31)*(1+Assumptions!$B$24)^(9-1))-(Assumptions!$B$21*(1+Assumptions!$B$25)^(9-1)))-(IF(9&lt;=Assumptions!$B$27,H$33/Assumptions!$B$27,0)))-((H$35*(1+Assumptions!$B$13)^(9-1)-H$36*(((1+Assumptions!$B$13)^(9-1)-1)/Assumptions!$B$13))*Assumptions!$B$13))-(MAX(((((Assumptions!$B$17*(1+H$31)*(1+Assumptions!$B$24)^(9-1))-(Assumptions!$B$21*(1+Assumptions!$B$25)^(9-1)))-(IF(9&lt;=Assumptions!$B$27,H$33/Assumptions!$B$27,0)))-((H$35*(1+Assumptions!$B$13)^(9-1)-H$36*(((1+Assumptions!$B$13)^(9-1)-1)/Assumptions!$B$13))*Assumptions!$B$13)),0)*Assumptions!$B$28))+(IF(9&lt;=Assumptions!$B$27,H$33/Assumptions!$B$27,0))-(H$36-((H$35*(1+Assumptions!$B$13)^(9-1)-H$36*(((1+Assumptions!$B$13)^(9-1)-1)/Assumptions!$B$13))*Assumptions!$B$13))</f>
        <v>2.14797179208289</v>
      </c>
      <c r="I47" s="25" t="n">
        <f aca="false">(((((Assumptions!$B$17*(1+I$31)*(1+Assumptions!$B$24)^(9-1))-(Assumptions!$B$21*(1+Assumptions!$B$25)^(9-1)))-(IF(9&lt;=Assumptions!$B$27,I$33/Assumptions!$B$27,0)))-((I$35*(1+Assumptions!$B$13)^(9-1)-I$36*(((1+Assumptions!$B$13)^(9-1)-1)/Assumptions!$B$13))*Assumptions!$B$13))-(MAX(((((Assumptions!$B$17*(1+I$31)*(1+Assumptions!$B$24)^(9-1))-(Assumptions!$B$21*(1+Assumptions!$B$25)^(9-1)))-(IF(9&lt;=Assumptions!$B$27,I$33/Assumptions!$B$27,0)))-((I$35*(1+Assumptions!$B$13)^(9-1)-I$36*(((1+Assumptions!$B$13)^(9-1)-1)/Assumptions!$B$13))*Assumptions!$B$13)),0)*Assumptions!$B$28))+(IF(9&lt;=Assumptions!$B$27,I$33/Assumptions!$B$27,0))-(I$36-((I$35*(1+Assumptions!$B$13)^(9-1)-I$36*(((1+Assumptions!$B$13)^(9-1)-1)/Assumptions!$B$13))*Assumptions!$B$13))</f>
        <v>3.75294760993837</v>
      </c>
      <c r="J47" s="25" t="n">
        <f aca="false">(((((Assumptions!$B$17*(1+J$31)*(1+Assumptions!$B$24)^(9-1))-(Assumptions!$B$21*(1+Assumptions!$B$25)^(9-1)))-(IF(9&lt;=Assumptions!$B$27,J$33/Assumptions!$B$27,0)))-((J$35*(1+Assumptions!$B$13)^(9-1)-J$36*(((1+Assumptions!$B$13)^(9-1)-1)/Assumptions!$B$13))*Assumptions!$B$13))-(MAX(((((Assumptions!$B$17*(1+J$31)*(1+Assumptions!$B$24)^(9-1))-(Assumptions!$B$21*(1+Assumptions!$B$25)^(9-1)))-(IF(9&lt;=Assumptions!$B$27,J$33/Assumptions!$B$27,0)))-((J$35*(1+Assumptions!$B$13)^(9-1)-J$36*(((1+Assumptions!$B$13)^(9-1)-1)/Assumptions!$B$13))*Assumptions!$B$13)),0)*Assumptions!$B$28))+(IF(9&lt;=Assumptions!$B$27,J$33/Assumptions!$B$27,0))-(J$36-((J$35*(1+Assumptions!$B$13)^(9-1)-J$36*(((1+Assumptions!$B$13)^(9-1)-1)/Assumptions!$B$13))*Assumptions!$B$13))</f>
        <v>3.36144330763114</v>
      </c>
      <c r="K47" s="25" t="n">
        <f aca="false">(((((Assumptions!$B$17*(1+K$31)*(1+Assumptions!$B$24)^(9-1))-(Assumptions!$B$21*(1+Assumptions!$B$25)^(9-1)))-(IF(9&lt;=Assumptions!$B$27,K$33/Assumptions!$B$27,0)))-((K$35*(1+Assumptions!$B$13)^(9-1)-K$36*(((1+Assumptions!$B$13)^(9-1)-1)/Assumptions!$B$13))*Assumptions!$B$13))-(MAX(((((Assumptions!$B$17*(1+K$31)*(1+Assumptions!$B$24)^(9-1))-(Assumptions!$B$21*(1+Assumptions!$B$25)^(9-1)))-(IF(9&lt;=Assumptions!$B$27,K$33/Assumptions!$B$27,0)))-((K$35*(1+Assumptions!$B$13)^(9-1)-K$36*(((1+Assumptions!$B$13)^(9-1)-1)/Assumptions!$B$13))*Assumptions!$B$13)),0)*Assumptions!$B$28))+(IF(9&lt;=Assumptions!$B$27,K$33/Assumptions!$B$27,0))-(K$36-((K$35*(1+Assumptions!$B$13)^(9-1)-K$36*(((1+Assumptions!$B$13)^(9-1)-1)/Assumptions!$B$13))*Assumptions!$B$13))</f>
        <v>2.96993900532391</v>
      </c>
      <c r="L47" s="25" t="n">
        <f aca="false">(((((Assumptions!$B$17*(1+L$31)*(1+Assumptions!$B$24)^(9-1))-(Assumptions!$B$21*(1+Assumptions!$B$25)^(9-1)))-(IF(9&lt;=Assumptions!$B$27,L$33/Assumptions!$B$27,0)))-((L$35*(1+Assumptions!$B$13)^(9-1)-L$36*(((1+Assumptions!$B$13)^(9-1)-1)/Assumptions!$B$13))*Assumptions!$B$13))-(MAX(((((Assumptions!$B$17*(1+L$31)*(1+Assumptions!$B$24)^(9-1))-(Assumptions!$B$21*(1+Assumptions!$B$25)^(9-1)))-(IF(9&lt;=Assumptions!$B$27,L$33/Assumptions!$B$27,0)))-((L$35*(1+Assumptions!$B$13)^(9-1)-L$36*(((1+Assumptions!$B$13)^(9-1)-1)/Assumptions!$B$13))*Assumptions!$B$13)),0)*Assumptions!$B$28))+(IF(9&lt;=Assumptions!$B$27,L$33/Assumptions!$B$27,0))-(L$36-((L$35*(1+Assumptions!$B$13)^(9-1)-L$36*(((1+Assumptions!$B$13)^(9-1)-1)/Assumptions!$B$13))*Assumptions!$B$13))</f>
        <v>4.5749148231794</v>
      </c>
      <c r="M47" s="25" t="n">
        <f aca="false">(((((Assumptions!$B$17*(1+M$31)*(1+Assumptions!$B$24)^(9-1))-(Assumptions!$B$21*(1+Assumptions!$B$25)^(9-1)))-(IF(9&lt;=Assumptions!$B$27,M$33/Assumptions!$B$27,0)))-((M$35*(1+Assumptions!$B$13)^(9-1)-M$36*(((1+Assumptions!$B$13)^(9-1)-1)/Assumptions!$B$13))*Assumptions!$B$13))-(MAX(((((Assumptions!$B$17*(1+M$31)*(1+Assumptions!$B$24)^(9-1))-(Assumptions!$B$21*(1+Assumptions!$B$25)^(9-1)))-(IF(9&lt;=Assumptions!$B$27,M$33/Assumptions!$B$27,0)))-((M$35*(1+Assumptions!$B$13)^(9-1)-M$36*(((1+Assumptions!$B$13)^(9-1)-1)/Assumptions!$B$13))*Assumptions!$B$13)),0)*Assumptions!$B$28))+(IF(9&lt;=Assumptions!$B$27,M$33/Assumptions!$B$27,0))-(M$36-((M$35*(1+Assumptions!$B$13)^(9-1)-M$36*(((1+Assumptions!$B$13)^(9-1)-1)/Assumptions!$B$13))*Assumptions!$B$13))</f>
        <v>4.18341052087217</v>
      </c>
      <c r="N47" s="25" t="n">
        <f aca="false">(((((Assumptions!$B$17*(1+N$31)*(1+Assumptions!$B$24)^(9-1))-(Assumptions!$B$21*(1+Assumptions!$B$25)^(9-1)))-(IF(9&lt;=Assumptions!$B$27,N$33/Assumptions!$B$27,0)))-((N$35*(1+Assumptions!$B$13)^(9-1)-N$36*(((1+Assumptions!$B$13)^(9-1)-1)/Assumptions!$B$13))*Assumptions!$B$13))-(MAX(((((Assumptions!$B$17*(1+N$31)*(1+Assumptions!$B$24)^(9-1))-(Assumptions!$B$21*(1+Assumptions!$B$25)^(9-1)))-(IF(9&lt;=Assumptions!$B$27,N$33/Assumptions!$B$27,0)))-((N$35*(1+Assumptions!$B$13)^(9-1)-N$36*(((1+Assumptions!$B$13)^(9-1)-1)/Assumptions!$B$13))*Assumptions!$B$13)),0)*Assumptions!$B$28))+(IF(9&lt;=Assumptions!$B$27,N$33/Assumptions!$B$27,0))-(N$36-((N$35*(1+Assumptions!$B$13)^(9-1)-N$36*(((1+Assumptions!$B$13)^(9-1)-1)/Assumptions!$B$13))*Assumptions!$B$13))</f>
        <v>3.79190621856494</v>
      </c>
      <c r="O47" s="25" t="n">
        <f aca="false">(((((Assumptions!$B$17*(1+O$31)*(1+Assumptions!$B$24)^(9-1))-(Assumptions!$B$21*(1+Assumptions!$B$25)^(9-1)))-(IF(9&lt;=Assumptions!$B$27,O$33/Assumptions!$B$27,0)))-((O$35*(1+Assumptions!$B$13)^(9-1)-O$36*(((1+Assumptions!$B$13)^(9-1)-1)/Assumptions!$B$13))*Assumptions!$B$13))-(MAX(((((Assumptions!$B$17*(1+O$31)*(1+Assumptions!$B$24)^(9-1))-(Assumptions!$B$21*(1+Assumptions!$B$25)^(9-1)))-(IF(9&lt;=Assumptions!$B$27,O$33/Assumptions!$B$27,0)))-((O$35*(1+Assumptions!$B$13)^(9-1)-O$36*(((1+Assumptions!$B$13)^(9-1)-1)/Assumptions!$B$13))*Assumptions!$B$13)),0)*Assumptions!$B$28))+(IF(9&lt;=Assumptions!$B$27,O$33/Assumptions!$B$27,0))-(O$36-((O$35*(1+Assumptions!$B$13)^(9-1)-O$36*(((1+Assumptions!$B$13)^(9-1)-1)/Assumptions!$B$13))*Assumptions!$B$13))</f>
        <v>5.39688203642042</v>
      </c>
      <c r="P47" s="25" t="n">
        <f aca="false">(((((Assumptions!$B$17*(1+P$31)*(1+Assumptions!$B$24)^(9-1))-(Assumptions!$B$21*(1+Assumptions!$B$25)^(9-1)))-(IF(9&lt;=Assumptions!$B$27,P$33/Assumptions!$B$27,0)))-((P$35*(1+Assumptions!$B$13)^(9-1)-P$36*(((1+Assumptions!$B$13)^(9-1)-1)/Assumptions!$B$13))*Assumptions!$B$13))-(MAX(((((Assumptions!$B$17*(1+P$31)*(1+Assumptions!$B$24)^(9-1))-(Assumptions!$B$21*(1+Assumptions!$B$25)^(9-1)))-(IF(9&lt;=Assumptions!$B$27,P$33/Assumptions!$B$27,0)))-((P$35*(1+Assumptions!$B$13)^(9-1)-P$36*(((1+Assumptions!$B$13)^(9-1)-1)/Assumptions!$B$13))*Assumptions!$B$13)),0)*Assumptions!$B$28))+(IF(9&lt;=Assumptions!$B$27,P$33/Assumptions!$B$27,0))-(P$36-((P$35*(1+Assumptions!$B$13)^(9-1)-P$36*(((1+Assumptions!$B$13)^(9-1)-1)/Assumptions!$B$13))*Assumptions!$B$13))</f>
        <v>5.00537773411319</v>
      </c>
      <c r="Q47" s="25" t="n">
        <f aca="false">(((((Assumptions!$B$17*(1+Q$31)*(1+Assumptions!$B$24)^(9-1))-(Assumptions!$B$21*(1+Assumptions!$B$25)^(9-1)))-(IF(9&lt;=Assumptions!$B$27,Q$33/Assumptions!$B$27,0)))-((Q$35*(1+Assumptions!$B$13)^(9-1)-Q$36*(((1+Assumptions!$B$13)^(9-1)-1)/Assumptions!$B$13))*Assumptions!$B$13))-(MAX(((((Assumptions!$B$17*(1+Q$31)*(1+Assumptions!$B$24)^(9-1))-(Assumptions!$B$21*(1+Assumptions!$B$25)^(9-1)))-(IF(9&lt;=Assumptions!$B$27,Q$33/Assumptions!$B$27,0)))-((Q$35*(1+Assumptions!$B$13)^(9-1)-Q$36*(((1+Assumptions!$B$13)^(9-1)-1)/Assumptions!$B$13))*Assumptions!$B$13)),0)*Assumptions!$B$28))+(IF(9&lt;=Assumptions!$B$27,Q$33/Assumptions!$B$27,0))-(Q$36-((Q$35*(1+Assumptions!$B$13)^(9-1)-Q$36*(((1+Assumptions!$B$13)^(9-1)-1)/Assumptions!$B$13))*Assumptions!$B$13))</f>
        <v>4.61387343180596</v>
      </c>
    </row>
    <row r="48" customFormat="false" ht="15" hidden="false" customHeight="false" outlineLevel="0" collapsed="false">
      <c r="A48" s="7" t="n">
        <v>10</v>
      </c>
      <c r="C48" s="25" t="n">
        <f aca="false">(((((Assumptions!$B$17*(1+C$31)*(1+Assumptions!$B$24)^(10-1))-(Assumptions!$B$21*(1+Assumptions!$B$25)^(10-1)))-(IF(10&lt;=Assumptions!$B$27,C$33/Assumptions!$B$27,0)))-((C$35*(1+Assumptions!$B$13)^(10-1)-C$36*(((1+Assumptions!$B$13)^(10-1)-1)/Assumptions!$B$13))*Assumptions!$B$13))-(MAX(((((Assumptions!$B$17*(1+C$31)*(1+Assumptions!$B$24)^(10-1))-(Assumptions!$B$21*(1+Assumptions!$B$25)^(10-1)))-(IF(10&lt;=Assumptions!$B$27,C$33/Assumptions!$B$27,0)))-((C$35*(1+Assumptions!$B$13)^(10-1)-C$36*(((1+Assumptions!$B$13)^(10-1)-1)/Assumptions!$B$13))*Assumptions!$B$13)),0)*Assumptions!$B$28))+(IF(10&lt;=Assumptions!$B$27,C$33/Assumptions!$B$27,0))-(C$36-((C$35*(1+Assumptions!$B$13)^(10-1)-C$36*(((1+Assumptions!$B$13)^(10-1)-1)/Assumptions!$B$13))*Assumptions!$B$13))</f>
        <v>2.04625541878071</v>
      </c>
      <c r="D48" s="25" t="n">
        <f aca="false">(((((Assumptions!$B$17*(1+D$31)*(1+Assumptions!$B$24)^(10-1))-(Assumptions!$B$21*(1+Assumptions!$B$25)^(10-1)))-(IF(10&lt;=Assumptions!$B$27,D$33/Assumptions!$B$27,0)))-((D$35*(1+Assumptions!$B$13)^(10-1)-D$36*(((1+Assumptions!$B$13)^(10-1)-1)/Assumptions!$B$13))*Assumptions!$B$13))-(MAX(((((Assumptions!$B$17*(1+D$31)*(1+Assumptions!$B$24)^(10-1))-(Assumptions!$B$21*(1+Assumptions!$B$25)^(10-1)))-(IF(10&lt;=Assumptions!$B$27,D$33/Assumptions!$B$27,0)))-((D$35*(1+Assumptions!$B$13)^(10-1)-D$36*(((1+Assumptions!$B$13)^(10-1)-1)/Assumptions!$B$13))*Assumptions!$B$13)),0)*Assumptions!$B$28))+(IF(10&lt;=Assumptions!$B$27,D$33/Assumptions!$B$27,0))-(D$36-((D$35*(1+Assumptions!$B$13)^(10-1)-D$36*(((1+Assumptions!$B$13)^(10-1)-1)/Assumptions!$B$13))*Assumptions!$B$13))</f>
        <v>1.65279655004928</v>
      </c>
      <c r="E48" s="25" t="n">
        <f aca="false">(((((Assumptions!$B$17*(1+E$31)*(1+Assumptions!$B$24)^(10-1))-(Assumptions!$B$21*(1+Assumptions!$B$25)^(10-1)))-(IF(10&lt;=Assumptions!$B$27,E$33/Assumptions!$B$27,0)))-((E$35*(1+Assumptions!$B$13)^(10-1)-E$36*(((1+Assumptions!$B$13)^(10-1)-1)/Assumptions!$B$13))*Assumptions!$B$13))-(MAX(((((Assumptions!$B$17*(1+E$31)*(1+Assumptions!$B$24)^(10-1))-(Assumptions!$B$21*(1+Assumptions!$B$25)^(10-1)))-(IF(10&lt;=Assumptions!$B$27,E$33/Assumptions!$B$27,0)))-((E$35*(1+Assumptions!$B$13)^(10-1)-E$36*(((1+Assumptions!$B$13)^(10-1)-1)/Assumptions!$B$13))*Assumptions!$B$13)),0)*Assumptions!$B$28))+(IF(10&lt;=Assumptions!$B$27,E$33/Assumptions!$B$27,0))-(E$36-((E$35*(1+Assumptions!$B$13)^(10-1)-E$36*(((1+Assumptions!$B$13)^(10-1)-1)/Assumptions!$B$13))*Assumptions!$B$13))</f>
        <v>1.25933768131786</v>
      </c>
      <c r="F48" s="25" t="n">
        <f aca="false">(((((Assumptions!$B$17*(1+F$31)*(1+Assumptions!$B$24)^(10-1))-(Assumptions!$B$21*(1+Assumptions!$B$25)^(10-1)))-(IF(10&lt;=Assumptions!$B$27,F$33/Assumptions!$B$27,0)))-((F$35*(1+Assumptions!$B$13)^(10-1)-F$36*(((1+Assumptions!$B$13)^(10-1)-1)/Assumptions!$B$13))*Assumptions!$B$13))-(MAX(((((Assumptions!$B$17*(1+F$31)*(1+Assumptions!$B$24)^(10-1))-(Assumptions!$B$21*(1+Assumptions!$B$25)^(10-1)))-(IF(10&lt;=Assumptions!$B$27,F$33/Assumptions!$B$27,0)))-((F$35*(1+Assumptions!$B$13)^(10-1)-F$36*(((1+Assumptions!$B$13)^(10-1)-1)/Assumptions!$B$13))*Assumptions!$B$13)),0)*Assumptions!$B$28))+(IF(10&lt;=Assumptions!$B$27,F$33/Assumptions!$B$27,0))-(F$36-((F$35*(1+Assumptions!$B$13)^(10-1)-F$36*(((1+Assumptions!$B$13)^(10-1)-1)/Assumptions!$B$13))*Assumptions!$B$13))</f>
        <v>2.86493476316877</v>
      </c>
      <c r="G48" s="25" t="n">
        <f aca="false">(((((Assumptions!$B$17*(1+G$31)*(1+Assumptions!$B$24)^(10-1))-(Assumptions!$B$21*(1+Assumptions!$B$25)^(10-1)))-(IF(10&lt;=Assumptions!$B$27,G$33/Assumptions!$B$27,0)))-((G$35*(1+Assumptions!$B$13)^(10-1)-G$36*(((1+Assumptions!$B$13)^(10-1)-1)/Assumptions!$B$13))*Assumptions!$B$13))-(MAX(((((Assumptions!$B$17*(1+G$31)*(1+Assumptions!$B$24)^(10-1))-(Assumptions!$B$21*(1+Assumptions!$B$25)^(10-1)))-(IF(10&lt;=Assumptions!$B$27,G$33/Assumptions!$B$27,0)))-((G$35*(1+Assumptions!$B$13)^(10-1)-G$36*(((1+Assumptions!$B$13)^(10-1)-1)/Assumptions!$B$13))*Assumptions!$B$13)),0)*Assumptions!$B$28))+(IF(10&lt;=Assumptions!$B$27,G$33/Assumptions!$B$27,0))-(G$36-((G$35*(1+Assumptions!$B$13)^(10-1)-G$36*(((1+Assumptions!$B$13)^(10-1)-1)/Assumptions!$B$13))*Assumptions!$B$13))</f>
        <v>2.47147589443735</v>
      </c>
      <c r="H48" s="25" t="n">
        <f aca="false">(((((Assumptions!$B$17*(1+H$31)*(1+Assumptions!$B$24)^(10-1))-(Assumptions!$B$21*(1+Assumptions!$B$25)^(10-1)))-(IF(10&lt;=Assumptions!$B$27,H$33/Assumptions!$B$27,0)))-((H$35*(1+Assumptions!$B$13)^(10-1)-H$36*(((1+Assumptions!$B$13)^(10-1)-1)/Assumptions!$B$13))*Assumptions!$B$13))-(MAX(((((Assumptions!$B$17*(1+H$31)*(1+Assumptions!$B$24)^(10-1))-(Assumptions!$B$21*(1+Assumptions!$B$25)^(10-1)))-(IF(10&lt;=Assumptions!$B$27,H$33/Assumptions!$B$27,0)))-((H$35*(1+Assumptions!$B$13)^(10-1)-H$36*(((1+Assumptions!$B$13)^(10-1)-1)/Assumptions!$B$13))*Assumptions!$B$13)),0)*Assumptions!$B$28))+(IF(10&lt;=Assumptions!$B$27,H$33/Assumptions!$B$27,0))-(H$36-((H$35*(1+Assumptions!$B$13)^(10-1)-H$36*(((1+Assumptions!$B$13)^(10-1)-1)/Assumptions!$B$13))*Assumptions!$B$13))</f>
        <v>2.07801702570592</v>
      </c>
      <c r="I48" s="25" t="n">
        <f aca="false">(((((Assumptions!$B$17*(1+I$31)*(1+Assumptions!$B$24)^(10-1))-(Assumptions!$B$21*(1+Assumptions!$B$25)^(10-1)))-(IF(10&lt;=Assumptions!$B$27,I$33/Assumptions!$B$27,0)))-((I$35*(1+Assumptions!$B$13)^(10-1)-I$36*(((1+Assumptions!$B$13)^(10-1)-1)/Assumptions!$B$13))*Assumptions!$B$13))-(MAX(((((Assumptions!$B$17*(1+I$31)*(1+Assumptions!$B$24)^(10-1))-(Assumptions!$B$21*(1+Assumptions!$B$25)^(10-1)))-(IF(10&lt;=Assumptions!$B$27,I$33/Assumptions!$B$27,0)))-((I$35*(1+Assumptions!$B$13)^(10-1)-I$36*(((1+Assumptions!$B$13)^(10-1)-1)/Assumptions!$B$13))*Assumptions!$B$13)),0)*Assumptions!$B$28))+(IF(10&lt;=Assumptions!$B$27,I$33/Assumptions!$B$27,0))-(I$36-((I$35*(1+Assumptions!$B$13)^(10-1)-I$36*(((1+Assumptions!$B$13)^(10-1)-1)/Assumptions!$B$13))*Assumptions!$B$13))</f>
        <v>3.68361410755683</v>
      </c>
      <c r="J48" s="25" t="n">
        <f aca="false">(((((Assumptions!$B$17*(1+J$31)*(1+Assumptions!$B$24)^(10-1))-(Assumptions!$B$21*(1+Assumptions!$B$25)^(10-1)))-(IF(10&lt;=Assumptions!$B$27,J$33/Assumptions!$B$27,0)))-((J$35*(1+Assumptions!$B$13)^(10-1)-J$36*(((1+Assumptions!$B$13)^(10-1)-1)/Assumptions!$B$13))*Assumptions!$B$13))-(MAX(((((Assumptions!$B$17*(1+J$31)*(1+Assumptions!$B$24)^(10-1))-(Assumptions!$B$21*(1+Assumptions!$B$25)^(10-1)))-(IF(10&lt;=Assumptions!$B$27,J$33/Assumptions!$B$27,0)))-((J$35*(1+Assumptions!$B$13)^(10-1)-J$36*(((1+Assumptions!$B$13)^(10-1)-1)/Assumptions!$B$13))*Assumptions!$B$13)),0)*Assumptions!$B$28))+(IF(10&lt;=Assumptions!$B$27,J$33/Assumptions!$B$27,0))-(J$36-((J$35*(1+Assumptions!$B$13)^(10-1)-J$36*(((1+Assumptions!$B$13)^(10-1)-1)/Assumptions!$B$13))*Assumptions!$B$13))</f>
        <v>3.29015523882541</v>
      </c>
      <c r="K48" s="25" t="n">
        <f aca="false">(((((Assumptions!$B$17*(1+K$31)*(1+Assumptions!$B$24)^(10-1))-(Assumptions!$B$21*(1+Assumptions!$B$25)^(10-1)))-(IF(10&lt;=Assumptions!$B$27,K$33/Assumptions!$B$27,0)))-((K$35*(1+Assumptions!$B$13)^(10-1)-K$36*(((1+Assumptions!$B$13)^(10-1)-1)/Assumptions!$B$13))*Assumptions!$B$13))-(MAX(((((Assumptions!$B$17*(1+K$31)*(1+Assumptions!$B$24)^(10-1))-(Assumptions!$B$21*(1+Assumptions!$B$25)^(10-1)))-(IF(10&lt;=Assumptions!$B$27,K$33/Assumptions!$B$27,0)))-((K$35*(1+Assumptions!$B$13)^(10-1)-K$36*(((1+Assumptions!$B$13)^(10-1)-1)/Assumptions!$B$13))*Assumptions!$B$13)),0)*Assumptions!$B$28))+(IF(10&lt;=Assumptions!$B$27,K$33/Assumptions!$B$27,0))-(K$36-((K$35*(1+Assumptions!$B$13)^(10-1)-K$36*(((1+Assumptions!$B$13)^(10-1)-1)/Assumptions!$B$13))*Assumptions!$B$13))</f>
        <v>2.89669637009398</v>
      </c>
      <c r="L48" s="25" t="n">
        <f aca="false">(((((Assumptions!$B$17*(1+L$31)*(1+Assumptions!$B$24)^(10-1))-(Assumptions!$B$21*(1+Assumptions!$B$25)^(10-1)))-(IF(10&lt;=Assumptions!$B$27,L$33/Assumptions!$B$27,0)))-((L$35*(1+Assumptions!$B$13)^(10-1)-L$36*(((1+Assumptions!$B$13)^(10-1)-1)/Assumptions!$B$13))*Assumptions!$B$13))-(MAX(((((Assumptions!$B$17*(1+L$31)*(1+Assumptions!$B$24)^(10-1))-(Assumptions!$B$21*(1+Assumptions!$B$25)^(10-1)))-(IF(10&lt;=Assumptions!$B$27,L$33/Assumptions!$B$27,0)))-((L$35*(1+Assumptions!$B$13)^(10-1)-L$36*(((1+Assumptions!$B$13)^(10-1)-1)/Assumptions!$B$13))*Assumptions!$B$13)),0)*Assumptions!$B$28))+(IF(10&lt;=Assumptions!$B$27,L$33/Assumptions!$B$27,0))-(L$36-((L$35*(1+Assumptions!$B$13)^(10-1)-L$36*(((1+Assumptions!$B$13)^(10-1)-1)/Assumptions!$B$13))*Assumptions!$B$13))</f>
        <v>4.5022934519449</v>
      </c>
      <c r="M48" s="25" t="n">
        <f aca="false">(((((Assumptions!$B$17*(1+M$31)*(1+Assumptions!$B$24)^(10-1))-(Assumptions!$B$21*(1+Assumptions!$B$25)^(10-1)))-(IF(10&lt;=Assumptions!$B$27,M$33/Assumptions!$B$27,0)))-((M$35*(1+Assumptions!$B$13)^(10-1)-M$36*(((1+Assumptions!$B$13)^(10-1)-1)/Assumptions!$B$13))*Assumptions!$B$13))-(MAX(((((Assumptions!$B$17*(1+M$31)*(1+Assumptions!$B$24)^(10-1))-(Assumptions!$B$21*(1+Assumptions!$B$25)^(10-1)))-(IF(10&lt;=Assumptions!$B$27,M$33/Assumptions!$B$27,0)))-((M$35*(1+Assumptions!$B$13)^(10-1)-M$36*(((1+Assumptions!$B$13)^(10-1)-1)/Assumptions!$B$13))*Assumptions!$B$13)),0)*Assumptions!$B$28))+(IF(10&lt;=Assumptions!$B$27,M$33/Assumptions!$B$27,0))-(M$36-((M$35*(1+Assumptions!$B$13)^(10-1)-M$36*(((1+Assumptions!$B$13)^(10-1)-1)/Assumptions!$B$13))*Assumptions!$B$13))</f>
        <v>4.10883458321347</v>
      </c>
      <c r="N48" s="25" t="n">
        <f aca="false">(((((Assumptions!$B$17*(1+N$31)*(1+Assumptions!$B$24)^(10-1))-(Assumptions!$B$21*(1+Assumptions!$B$25)^(10-1)))-(IF(10&lt;=Assumptions!$B$27,N$33/Assumptions!$B$27,0)))-((N$35*(1+Assumptions!$B$13)^(10-1)-N$36*(((1+Assumptions!$B$13)^(10-1)-1)/Assumptions!$B$13))*Assumptions!$B$13))-(MAX(((((Assumptions!$B$17*(1+N$31)*(1+Assumptions!$B$24)^(10-1))-(Assumptions!$B$21*(1+Assumptions!$B$25)^(10-1)))-(IF(10&lt;=Assumptions!$B$27,N$33/Assumptions!$B$27,0)))-((N$35*(1+Assumptions!$B$13)^(10-1)-N$36*(((1+Assumptions!$B$13)^(10-1)-1)/Assumptions!$B$13))*Assumptions!$B$13)),0)*Assumptions!$B$28))+(IF(10&lt;=Assumptions!$B$27,N$33/Assumptions!$B$27,0))-(N$36-((N$35*(1+Assumptions!$B$13)^(10-1)-N$36*(((1+Assumptions!$B$13)^(10-1)-1)/Assumptions!$B$13))*Assumptions!$B$13))</f>
        <v>3.71537571448205</v>
      </c>
      <c r="O48" s="25" t="n">
        <f aca="false">(((((Assumptions!$B$17*(1+O$31)*(1+Assumptions!$B$24)^(10-1))-(Assumptions!$B$21*(1+Assumptions!$B$25)^(10-1)))-(IF(10&lt;=Assumptions!$B$27,O$33/Assumptions!$B$27,0)))-((O$35*(1+Assumptions!$B$13)^(10-1)-O$36*(((1+Assumptions!$B$13)^(10-1)-1)/Assumptions!$B$13))*Assumptions!$B$13))-(MAX(((((Assumptions!$B$17*(1+O$31)*(1+Assumptions!$B$24)^(10-1))-(Assumptions!$B$21*(1+Assumptions!$B$25)^(10-1)))-(IF(10&lt;=Assumptions!$B$27,O$33/Assumptions!$B$27,0)))-((O$35*(1+Assumptions!$B$13)^(10-1)-O$36*(((1+Assumptions!$B$13)^(10-1)-1)/Assumptions!$B$13))*Assumptions!$B$13)),0)*Assumptions!$B$28))+(IF(10&lt;=Assumptions!$B$27,O$33/Assumptions!$B$27,0))-(O$36-((O$35*(1+Assumptions!$B$13)^(10-1)-O$36*(((1+Assumptions!$B$13)^(10-1)-1)/Assumptions!$B$13))*Assumptions!$B$13))</f>
        <v>5.32097279633296</v>
      </c>
      <c r="P48" s="25" t="n">
        <f aca="false">(((((Assumptions!$B$17*(1+P$31)*(1+Assumptions!$B$24)^(10-1))-(Assumptions!$B$21*(1+Assumptions!$B$25)^(10-1)))-(IF(10&lt;=Assumptions!$B$27,P$33/Assumptions!$B$27,0)))-((P$35*(1+Assumptions!$B$13)^(10-1)-P$36*(((1+Assumptions!$B$13)^(10-1)-1)/Assumptions!$B$13))*Assumptions!$B$13))-(MAX(((((Assumptions!$B$17*(1+P$31)*(1+Assumptions!$B$24)^(10-1))-(Assumptions!$B$21*(1+Assumptions!$B$25)^(10-1)))-(IF(10&lt;=Assumptions!$B$27,P$33/Assumptions!$B$27,0)))-((P$35*(1+Assumptions!$B$13)^(10-1)-P$36*(((1+Assumptions!$B$13)^(10-1)-1)/Assumptions!$B$13))*Assumptions!$B$13)),0)*Assumptions!$B$28))+(IF(10&lt;=Assumptions!$B$27,P$33/Assumptions!$B$27,0))-(P$36-((P$35*(1+Assumptions!$B$13)^(10-1)-P$36*(((1+Assumptions!$B$13)^(10-1)-1)/Assumptions!$B$13))*Assumptions!$B$13))</f>
        <v>4.92751392760153</v>
      </c>
      <c r="Q48" s="25" t="n">
        <f aca="false">(((((Assumptions!$B$17*(1+Q$31)*(1+Assumptions!$B$24)^(10-1))-(Assumptions!$B$21*(1+Assumptions!$B$25)^(10-1)))-(IF(10&lt;=Assumptions!$B$27,Q$33/Assumptions!$B$27,0)))-((Q$35*(1+Assumptions!$B$13)^(10-1)-Q$36*(((1+Assumptions!$B$13)^(10-1)-1)/Assumptions!$B$13))*Assumptions!$B$13))-(MAX(((((Assumptions!$B$17*(1+Q$31)*(1+Assumptions!$B$24)^(10-1))-(Assumptions!$B$21*(1+Assumptions!$B$25)^(10-1)))-(IF(10&lt;=Assumptions!$B$27,Q$33/Assumptions!$B$27,0)))-((Q$35*(1+Assumptions!$B$13)^(10-1)-Q$36*(((1+Assumptions!$B$13)^(10-1)-1)/Assumptions!$B$13))*Assumptions!$B$13)),0)*Assumptions!$B$28))+(IF(10&lt;=Assumptions!$B$27,Q$33/Assumptions!$B$27,0))-(Q$36-((Q$35*(1+Assumptions!$B$13)^(10-1)-Q$36*(((1+Assumptions!$B$13)^(10-1)-1)/Assumptions!$B$13))*Assumptions!$B$13))</f>
        <v>4.53405505887011</v>
      </c>
    </row>
    <row r="49" customFormat="false" ht="15" hidden="false" customHeight="false" outlineLevel="0" collapsed="false">
      <c r="A49" s="7" t="n">
        <v>11</v>
      </c>
      <c r="C49" s="25" t="n">
        <f aca="false">(((((Assumptions!$B$17*(1+C$31)*(1+Assumptions!$B$24)^(11-1))-(Assumptions!$B$21*(1+Assumptions!$B$25)^(11-1)))-(IF(11&lt;=Assumptions!$B$27,C$33/Assumptions!$B$27,0)))-((C$35*(1+Assumptions!$B$13)^(11-1)-C$36*(((1+Assumptions!$B$13)^(11-1)-1)/Assumptions!$B$13))*Assumptions!$B$13))-(MAX(((((Assumptions!$B$17*(1+C$31)*(1+Assumptions!$B$24)^(11-1))-(Assumptions!$B$21*(1+Assumptions!$B$25)^(11-1)))-(IF(11&lt;=Assumptions!$B$27,C$33/Assumptions!$B$27,0)))-((C$35*(1+Assumptions!$B$13)^(11-1)-C$36*(((1+Assumptions!$B$13)^(11-1)-1)/Assumptions!$B$13))*Assumptions!$B$13)),0)*Assumptions!$B$28))+(IF(11&lt;=Assumptions!$B$27,C$33/Assumptions!$B$27,0))-(C$36-((C$35*(1+Assumptions!$B$13)^(11-1)-C$36*(((1+Assumptions!$B$13)^(11-1)-1)/Assumptions!$B$13))*Assumptions!$B$13))</f>
        <v>1.98234603669682</v>
      </c>
      <c r="D49" s="25" t="n">
        <f aca="false">(((((Assumptions!$B$17*(1+D$31)*(1+Assumptions!$B$24)^(11-1))-(Assumptions!$B$21*(1+Assumptions!$B$25)^(11-1)))-(IF(11&lt;=Assumptions!$B$27,D$33/Assumptions!$B$27,0)))-((D$35*(1+Assumptions!$B$13)^(11-1)-D$36*(((1+Assumptions!$B$13)^(11-1)-1)/Assumptions!$B$13))*Assumptions!$B$13))-(MAX(((((Assumptions!$B$17*(1+D$31)*(1+Assumptions!$B$24)^(11-1))-(Assumptions!$B$21*(1+Assumptions!$B$25)^(11-1)))-(IF(11&lt;=Assumptions!$B$27,D$33/Assumptions!$B$27,0)))-((D$35*(1+Assumptions!$B$13)^(11-1)-D$36*(((1+Assumptions!$B$13)^(11-1)-1)/Assumptions!$B$13))*Assumptions!$B$13)),0)*Assumptions!$B$28))+(IF(11&lt;=Assumptions!$B$27,D$33/Assumptions!$B$27,0))-(D$36-((D$35*(1+Assumptions!$B$13)^(11-1)-D$36*(((1+Assumptions!$B$13)^(11-1)-1)/Assumptions!$B$13))*Assumptions!$B$13))</f>
        <v>1.58683487321999</v>
      </c>
      <c r="E49" s="25" t="n">
        <f aca="false">(((((Assumptions!$B$17*(1+E$31)*(1+Assumptions!$B$24)^(11-1))-(Assumptions!$B$21*(1+Assumptions!$B$25)^(11-1)))-(IF(11&lt;=Assumptions!$B$27,E$33/Assumptions!$B$27,0)))-((E$35*(1+Assumptions!$B$13)^(11-1)-E$36*(((1+Assumptions!$B$13)^(11-1)-1)/Assumptions!$B$13))*Assumptions!$B$13))-(MAX(((((Assumptions!$B$17*(1+E$31)*(1+Assumptions!$B$24)^(11-1))-(Assumptions!$B$21*(1+Assumptions!$B$25)^(11-1)))-(IF(11&lt;=Assumptions!$B$27,E$33/Assumptions!$B$27,0)))-((E$35*(1+Assumptions!$B$13)^(11-1)-E$36*(((1+Assumptions!$B$13)^(11-1)-1)/Assumptions!$B$13))*Assumptions!$B$13)),0)*Assumptions!$B$28))+(IF(11&lt;=Assumptions!$B$27,E$33/Assumptions!$B$27,0))-(E$36-((E$35*(1+Assumptions!$B$13)^(11-1)-E$36*(((1+Assumptions!$B$13)^(11-1)-1)/Assumptions!$B$13))*Assumptions!$B$13))</f>
        <v>1.19132370974316</v>
      </c>
      <c r="F49" s="25" t="n">
        <f aca="false">(((((Assumptions!$B$17*(1+F$31)*(1+Assumptions!$B$24)^(11-1))-(Assumptions!$B$21*(1+Assumptions!$B$25)^(11-1)))-(IF(11&lt;=Assumptions!$B$27,F$33/Assumptions!$B$27,0)))-((F$35*(1+Assumptions!$B$13)^(11-1)-F$36*(((1+Assumptions!$B$13)^(11-1)-1)/Assumptions!$B$13))*Assumptions!$B$13))-(MAX(((((Assumptions!$B$17*(1+F$31)*(1+Assumptions!$B$24)^(11-1))-(Assumptions!$B$21*(1+Assumptions!$B$25)^(11-1)))-(IF(11&lt;=Assumptions!$B$27,F$33/Assumptions!$B$27,0)))-((F$35*(1+Assumptions!$B$13)^(11-1)-F$36*(((1+Assumptions!$B$13)^(11-1)-1)/Assumptions!$B$13))*Assumptions!$B$13)),0)*Assumptions!$B$28))+(IF(11&lt;=Assumptions!$B$27,F$33/Assumptions!$B$27,0))-(F$36-((F$35*(1+Assumptions!$B$13)^(11-1)-F$36*(((1+Assumptions!$B$13)^(11-1)-1)/Assumptions!$B$13))*Assumptions!$B$13))</f>
        <v>2.79775066370734</v>
      </c>
      <c r="G49" s="25" t="n">
        <f aca="false">(((((Assumptions!$B$17*(1+G$31)*(1+Assumptions!$B$24)^(11-1))-(Assumptions!$B$21*(1+Assumptions!$B$25)^(11-1)))-(IF(11&lt;=Assumptions!$B$27,G$33/Assumptions!$B$27,0)))-((G$35*(1+Assumptions!$B$13)^(11-1)-G$36*(((1+Assumptions!$B$13)^(11-1)-1)/Assumptions!$B$13))*Assumptions!$B$13))-(MAX(((((Assumptions!$B$17*(1+G$31)*(1+Assumptions!$B$24)^(11-1))-(Assumptions!$B$21*(1+Assumptions!$B$25)^(11-1)))-(IF(11&lt;=Assumptions!$B$27,G$33/Assumptions!$B$27,0)))-((G$35*(1+Assumptions!$B$13)^(11-1)-G$36*(((1+Assumptions!$B$13)^(11-1)-1)/Assumptions!$B$13))*Assumptions!$B$13)),0)*Assumptions!$B$28))+(IF(11&lt;=Assumptions!$B$27,G$33/Assumptions!$B$27,0))-(G$36-((G$35*(1+Assumptions!$B$13)^(11-1)-G$36*(((1+Assumptions!$B$13)^(11-1)-1)/Assumptions!$B$13))*Assumptions!$B$13))</f>
        <v>2.40223950023051</v>
      </c>
      <c r="H49" s="25" t="n">
        <f aca="false">(((((Assumptions!$B$17*(1+H$31)*(1+Assumptions!$B$24)^(11-1))-(Assumptions!$B$21*(1+Assumptions!$B$25)^(11-1)))-(IF(11&lt;=Assumptions!$B$27,H$33/Assumptions!$B$27,0)))-((H$35*(1+Assumptions!$B$13)^(11-1)-H$36*(((1+Assumptions!$B$13)^(11-1)-1)/Assumptions!$B$13))*Assumptions!$B$13))-(MAX(((((Assumptions!$B$17*(1+H$31)*(1+Assumptions!$B$24)^(11-1))-(Assumptions!$B$21*(1+Assumptions!$B$25)^(11-1)))-(IF(11&lt;=Assumptions!$B$27,H$33/Assumptions!$B$27,0)))-((H$35*(1+Assumptions!$B$13)^(11-1)-H$36*(((1+Assumptions!$B$13)^(11-1)-1)/Assumptions!$B$13))*Assumptions!$B$13)),0)*Assumptions!$B$28))+(IF(11&lt;=Assumptions!$B$27,H$33/Assumptions!$B$27,0))-(H$36-((H$35*(1+Assumptions!$B$13)^(11-1)-H$36*(((1+Assumptions!$B$13)^(11-1)-1)/Assumptions!$B$13))*Assumptions!$B$13))</f>
        <v>2.00672833675367</v>
      </c>
      <c r="I49" s="25" t="n">
        <f aca="false">(((((Assumptions!$B$17*(1+I$31)*(1+Assumptions!$B$24)^(11-1))-(Assumptions!$B$21*(1+Assumptions!$B$25)^(11-1)))-(IF(11&lt;=Assumptions!$B$27,I$33/Assumptions!$B$27,0)))-((I$35*(1+Assumptions!$B$13)^(11-1)-I$36*(((1+Assumptions!$B$13)^(11-1)-1)/Assumptions!$B$13))*Assumptions!$B$13))-(MAX(((((Assumptions!$B$17*(1+I$31)*(1+Assumptions!$B$24)^(11-1))-(Assumptions!$B$21*(1+Assumptions!$B$25)^(11-1)))-(IF(11&lt;=Assumptions!$B$27,I$33/Assumptions!$B$27,0)))-((I$35*(1+Assumptions!$B$13)^(11-1)-I$36*(((1+Assumptions!$B$13)^(11-1)-1)/Assumptions!$B$13))*Assumptions!$B$13)),0)*Assumptions!$B$28))+(IF(11&lt;=Assumptions!$B$27,I$33/Assumptions!$B$27,0))-(I$36-((I$35*(1+Assumptions!$B$13)^(11-1)-I$36*(((1+Assumptions!$B$13)^(11-1)-1)/Assumptions!$B$13))*Assumptions!$B$13))</f>
        <v>3.61315529071784</v>
      </c>
      <c r="J49" s="25" t="n">
        <f aca="false">(((((Assumptions!$B$17*(1+J$31)*(1+Assumptions!$B$24)^(11-1))-(Assumptions!$B$21*(1+Assumptions!$B$25)^(11-1)))-(IF(11&lt;=Assumptions!$B$27,J$33/Assumptions!$B$27,0)))-((J$35*(1+Assumptions!$B$13)^(11-1)-J$36*(((1+Assumptions!$B$13)^(11-1)-1)/Assumptions!$B$13))*Assumptions!$B$13))-(MAX(((((Assumptions!$B$17*(1+J$31)*(1+Assumptions!$B$24)^(11-1))-(Assumptions!$B$21*(1+Assumptions!$B$25)^(11-1)))-(IF(11&lt;=Assumptions!$B$27,J$33/Assumptions!$B$27,0)))-((J$35*(1+Assumptions!$B$13)^(11-1)-J$36*(((1+Assumptions!$B$13)^(11-1)-1)/Assumptions!$B$13))*Assumptions!$B$13)),0)*Assumptions!$B$28))+(IF(11&lt;=Assumptions!$B$27,J$33/Assumptions!$B$27,0))-(J$36-((J$35*(1+Assumptions!$B$13)^(11-1)-J$36*(((1+Assumptions!$B$13)^(11-1)-1)/Assumptions!$B$13))*Assumptions!$B$13))</f>
        <v>3.21764412724101</v>
      </c>
      <c r="K49" s="25" t="n">
        <f aca="false">(((((Assumptions!$B$17*(1+K$31)*(1+Assumptions!$B$24)^(11-1))-(Assumptions!$B$21*(1+Assumptions!$B$25)^(11-1)))-(IF(11&lt;=Assumptions!$B$27,K$33/Assumptions!$B$27,0)))-((K$35*(1+Assumptions!$B$13)^(11-1)-K$36*(((1+Assumptions!$B$13)^(11-1)-1)/Assumptions!$B$13))*Assumptions!$B$13))-(MAX(((((Assumptions!$B$17*(1+K$31)*(1+Assumptions!$B$24)^(11-1))-(Assumptions!$B$21*(1+Assumptions!$B$25)^(11-1)))-(IF(11&lt;=Assumptions!$B$27,K$33/Assumptions!$B$27,0)))-((K$35*(1+Assumptions!$B$13)^(11-1)-K$36*(((1+Assumptions!$B$13)^(11-1)-1)/Assumptions!$B$13))*Assumptions!$B$13)),0)*Assumptions!$B$28))+(IF(11&lt;=Assumptions!$B$27,K$33/Assumptions!$B$27,0))-(K$36-((K$35*(1+Assumptions!$B$13)^(11-1)-K$36*(((1+Assumptions!$B$13)^(11-1)-1)/Assumptions!$B$13))*Assumptions!$B$13))</f>
        <v>2.82213296376418</v>
      </c>
      <c r="L49" s="25" t="n">
        <f aca="false">(((((Assumptions!$B$17*(1+L$31)*(1+Assumptions!$B$24)^(11-1))-(Assumptions!$B$21*(1+Assumptions!$B$25)^(11-1)))-(IF(11&lt;=Assumptions!$B$27,L$33/Assumptions!$B$27,0)))-((L$35*(1+Assumptions!$B$13)^(11-1)-L$36*(((1+Assumptions!$B$13)^(11-1)-1)/Assumptions!$B$13))*Assumptions!$B$13))-(MAX(((((Assumptions!$B$17*(1+L$31)*(1+Assumptions!$B$24)^(11-1))-(Assumptions!$B$21*(1+Assumptions!$B$25)^(11-1)))-(IF(11&lt;=Assumptions!$B$27,L$33/Assumptions!$B$27,0)))-((L$35*(1+Assumptions!$B$13)^(11-1)-L$36*(((1+Assumptions!$B$13)^(11-1)-1)/Assumptions!$B$13))*Assumptions!$B$13)),0)*Assumptions!$B$28))+(IF(11&lt;=Assumptions!$B$27,L$33/Assumptions!$B$27,0))-(L$36-((L$35*(1+Assumptions!$B$13)^(11-1)-L$36*(((1+Assumptions!$B$13)^(11-1)-1)/Assumptions!$B$13))*Assumptions!$B$13))</f>
        <v>4.42855991772836</v>
      </c>
      <c r="M49" s="25" t="n">
        <f aca="false">(((((Assumptions!$B$17*(1+M$31)*(1+Assumptions!$B$24)^(11-1))-(Assumptions!$B$21*(1+Assumptions!$B$25)^(11-1)))-(IF(11&lt;=Assumptions!$B$27,M$33/Assumptions!$B$27,0)))-((M$35*(1+Assumptions!$B$13)^(11-1)-M$36*(((1+Assumptions!$B$13)^(11-1)-1)/Assumptions!$B$13))*Assumptions!$B$13))-(MAX(((((Assumptions!$B$17*(1+M$31)*(1+Assumptions!$B$24)^(11-1))-(Assumptions!$B$21*(1+Assumptions!$B$25)^(11-1)))-(IF(11&lt;=Assumptions!$B$27,M$33/Assumptions!$B$27,0)))-((M$35*(1+Assumptions!$B$13)^(11-1)-M$36*(((1+Assumptions!$B$13)^(11-1)-1)/Assumptions!$B$13))*Assumptions!$B$13)),0)*Assumptions!$B$28))+(IF(11&lt;=Assumptions!$B$27,M$33/Assumptions!$B$27,0))-(M$36-((M$35*(1+Assumptions!$B$13)^(11-1)-M$36*(((1+Assumptions!$B$13)^(11-1)-1)/Assumptions!$B$13))*Assumptions!$B$13))</f>
        <v>4.03304875425153</v>
      </c>
      <c r="N49" s="25" t="n">
        <f aca="false">(((((Assumptions!$B$17*(1+N$31)*(1+Assumptions!$B$24)^(11-1))-(Assumptions!$B$21*(1+Assumptions!$B$25)^(11-1)))-(IF(11&lt;=Assumptions!$B$27,N$33/Assumptions!$B$27,0)))-((N$35*(1+Assumptions!$B$13)^(11-1)-N$36*(((1+Assumptions!$B$13)^(11-1)-1)/Assumptions!$B$13))*Assumptions!$B$13))-(MAX(((((Assumptions!$B$17*(1+N$31)*(1+Assumptions!$B$24)^(11-1))-(Assumptions!$B$21*(1+Assumptions!$B$25)^(11-1)))-(IF(11&lt;=Assumptions!$B$27,N$33/Assumptions!$B$27,0)))-((N$35*(1+Assumptions!$B$13)^(11-1)-N$36*(((1+Assumptions!$B$13)^(11-1)-1)/Assumptions!$B$13))*Assumptions!$B$13)),0)*Assumptions!$B$28))+(IF(11&lt;=Assumptions!$B$27,N$33/Assumptions!$B$27,0))-(N$36-((N$35*(1+Assumptions!$B$13)^(11-1)-N$36*(((1+Assumptions!$B$13)^(11-1)-1)/Assumptions!$B$13))*Assumptions!$B$13))</f>
        <v>3.63753759077469</v>
      </c>
      <c r="O49" s="25" t="n">
        <f aca="false">(((((Assumptions!$B$17*(1+O$31)*(1+Assumptions!$B$24)^(11-1))-(Assumptions!$B$21*(1+Assumptions!$B$25)^(11-1)))-(IF(11&lt;=Assumptions!$B$27,O$33/Assumptions!$B$27,0)))-((O$35*(1+Assumptions!$B$13)^(11-1)-O$36*(((1+Assumptions!$B$13)^(11-1)-1)/Assumptions!$B$13))*Assumptions!$B$13))-(MAX(((((Assumptions!$B$17*(1+O$31)*(1+Assumptions!$B$24)^(11-1))-(Assumptions!$B$21*(1+Assumptions!$B$25)^(11-1)))-(IF(11&lt;=Assumptions!$B$27,O$33/Assumptions!$B$27,0)))-((O$35*(1+Assumptions!$B$13)^(11-1)-O$36*(((1+Assumptions!$B$13)^(11-1)-1)/Assumptions!$B$13))*Assumptions!$B$13)),0)*Assumptions!$B$28))+(IF(11&lt;=Assumptions!$B$27,O$33/Assumptions!$B$27,0))-(O$36-((O$35*(1+Assumptions!$B$13)^(11-1)-O$36*(((1+Assumptions!$B$13)^(11-1)-1)/Assumptions!$B$13))*Assumptions!$B$13))</f>
        <v>5.24396454473886</v>
      </c>
      <c r="P49" s="25" t="n">
        <f aca="false">(((((Assumptions!$B$17*(1+P$31)*(1+Assumptions!$B$24)^(11-1))-(Assumptions!$B$21*(1+Assumptions!$B$25)^(11-1)))-(IF(11&lt;=Assumptions!$B$27,P$33/Assumptions!$B$27,0)))-((P$35*(1+Assumptions!$B$13)^(11-1)-P$36*(((1+Assumptions!$B$13)^(11-1)-1)/Assumptions!$B$13))*Assumptions!$B$13))-(MAX(((((Assumptions!$B$17*(1+P$31)*(1+Assumptions!$B$24)^(11-1))-(Assumptions!$B$21*(1+Assumptions!$B$25)^(11-1)))-(IF(11&lt;=Assumptions!$B$27,P$33/Assumptions!$B$27,0)))-((P$35*(1+Assumptions!$B$13)^(11-1)-P$36*(((1+Assumptions!$B$13)^(11-1)-1)/Assumptions!$B$13))*Assumptions!$B$13)),0)*Assumptions!$B$28))+(IF(11&lt;=Assumptions!$B$27,P$33/Assumptions!$B$27,0))-(P$36-((P$35*(1+Assumptions!$B$13)^(11-1)-P$36*(((1+Assumptions!$B$13)^(11-1)-1)/Assumptions!$B$13))*Assumptions!$B$13))</f>
        <v>4.84845338126203</v>
      </c>
      <c r="Q49" s="25" t="n">
        <f aca="false">(((((Assumptions!$B$17*(1+Q$31)*(1+Assumptions!$B$24)^(11-1))-(Assumptions!$B$21*(1+Assumptions!$B$25)^(11-1)))-(IF(11&lt;=Assumptions!$B$27,Q$33/Assumptions!$B$27,0)))-((Q$35*(1+Assumptions!$B$13)^(11-1)-Q$36*(((1+Assumptions!$B$13)^(11-1)-1)/Assumptions!$B$13))*Assumptions!$B$13))-(MAX(((((Assumptions!$B$17*(1+Q$31)*(1+Assumptions!$B$24)^(11-1))-(Assumptions!$B$21*(1+Assumptions!$B$25)^(11-1)))-(IF(11&lt;=Assumptions!$B$27,Q$33/Assumptions!$B$27,0)))-((Q$35*(1+Assumptions!$B$13)^(11-1)-Q$36*(((1+Assumptions!$B$13)^(11-1)-1)/Assumptions!$B$13))*Assumptions!$B$13)),0)*Assumptions!$B$28))+(IF(11&lt;=Assumptions!$B$27,Q$33/Assumptions!$B$27,0))-(Q$36-((Q$35*(1+Assumptions!$B$13)^(11-1)-Q$36*(((1+Assumptions!$B$13)^(11-1)-1)/Assumptions!$B$13))*Assumptions!$B$13))</f>
        <v>4.4529422177852</v>
      </c>
    </row>
    <row r="50" customFormat="false" ht="15" hidden="false" customHeight="false" outlineLevel="0" collapsed="false">
      <c r="A50" s="7" t="n">
        <v>12</v>
      </c>
      <c r="C50" s="25" t="n">
        <f aca="false">(((((Assumptions!$B$17*(1+C$31)*(1+Assumptions!$B$24)^(12-1))-(Assumptions!$B$21*(1+Assumptions!$B$25)^(12-1)))-(IF(12&lt;=Assumptions!$B$27,C$33/Assumptions!$B$27,0)))-((C$35*(1+Assumptions!$B$13)^(12-1)-C$36*(((1+Assumptions!$B$13)^(12-1)-1)/Assumptions!$B$13))*Assumptions!$B$13))-(MAX(((((Assumptions!$B$17*(1+C$31)*(1+Assumptions!$B$24)^(12-1))-(Assumptions!$B$21*(1+Assumptions!$B$25)^(12-1)))-(IF(12&lt;=Assumptions!$B$27,C$33/Assumptions!$B$27,0)))-((C$35*(1+Assumptions!$B$13)^(12-1)-C$36*(((1+Assumptions!$B$13)^(12-1)-1)/Assumptions!$B$13))*Assumptions!$B$13)),0)*Assumptions!$B$28))+(IF(12&lt;=Assumptions!$B$27,C$33/Assumptions!$B$27,0))-(C$36-((C$35*(1+Assumptions!$B$13)^(12-1)-C$36*(((1+Assumptions!$B$13)^(12-1)-1)/Assumptions!$B$13))*Assumptions!$B$13))</f>
        <v>1.91723309312649</v>
      </c>
      <c r="D50" s="25" t="n">
        <f aca="false">(((((Assumptions!$B$17*(1+D$31)*(1+Assumptions!$B$24)^(12-1))-(Assumptions!$B$21*(1+Assumptions!$B$25)^(12-1)))-(IF(12&lt;=Assumptions!$B$27,D$33/Assumptions!$B$27,0)))-((D$35*(1+Assumptions!$B$13)^(12-1)-D$36*(((1+Assumptions!$B$13)^(12-1)-1)/Assumptions!$B$13))*Assumptions!$B$13))-(MAX(((((Assumptions!$B$17*(1+D$31)*(1+Assumptions!$B$24)^(12-1))-(Assumptions!$B$21*(1+Assumptions!$B$25)^(12-1)))-(IF(12&lt;=Assumptions!$B$27,D$33/Assumptions!$B$27,0)))-((D$35*(1+Assumptions!$B$13)^(12-1)-D$36*(((1+Assumptions!$B$13)^(12-1)-1)/Assumptions!$B$13))*Assumptions!$B$13)),0)*Assumptions!$B$28))+(IF(12&lt;=Assumptions!$B$27,D$33/Assumptions!$B$27,0))-(D$36-((D$35*(1+Assumptions!$B$13)^(12-1)-D$36*(((1+Assumptions!$B$13)^(12-1)-1)/Assumptions!$B$13))*Assumptions!$B$13))</f>
        <v>1.51956702016699</v>
      </c>
      <c r="E50" s="25" t="n">
        <f aca="false">(((((Assumptions!$B$17*(1+E$31)*(1+Assumptions!$B$24)^(12-1))-(Assumptions!$B$21*(1+Assumptions!$B$25)^(12-1)))-(IF(12&lt;=Assumptions!$B$27,E$33/Assumptions!$B$27,0)))-((E$35*(1+Assumptions!$B$13)^(12-1)-E$36*(((1+Assumptions!$B$13)^(12-1)-1)/Assumptions!$B$13))*Assumptions!$B$13))-(MAX(((((Assumptions!$B$17*(1+E$31)*(1+Assumptions!$B$24)^(12-1))-(Assumptions!$B$21*(1+Assumptions!$B$25)^(12-1)))-(IF(12&lt;=Assumptions!$B$27,E$33/Assumptions!$B$27,0)))-((E$35*(1+Assumptions!$B$13)^(12-1)-E$36*(((1+Assumptions!$B$13)^(12-1)-1)/Assumptions!$B$13))*Assumptions!$B$13)),0)*Assumptions!$B$28))+(IF(12&lt;=Assumptions!$B$27,E$33/Assumptions!$B$27,0))-(E$36-((E$35*(1+Assumptions!$B$13)^(12-1)-E$36*(((1+Assumptions!$B$13)^(12-1)-1)/Assumptions!$B$13))*Assumptions!$B$13))</f>
        <v>1.12190094720748</v>
      </c>
      <c r="F50" s="25" t="n">
        <f aca="false">(((((Assumptions!$B$17*(1+F$31)*(1+Assumptions!$B$24)^(12-1))-(Assumptions!$B$21*(1+Assumptions!$B$25)^(12-1)))-(IF(12&lt;=Assumptions!$B$27,F$33/Assumptions!$B$27,0)))-((F$35*(1+Assumptions!$B$13)^(12-1)-F$36*(((1+Assumptions!$B$13)^(12-1)-1)/Assumptions!$B$13))*Assumptions!$B$13))-(MAX(((((Assumptions!$B$17*(1+F$31)*(1+Assumptions!$B$24)^(12-1))-(Assumptions!$B$21*(1+Assumptions!$B$25)^(12-1)))-(IF(12&lt;=Assumptions!$B$27,F$33/Assumptions!$B$27,0)))-((F$35*(1+Assumptions!$B$13)^(12-1)-F$36*(((1+Assumptions!$B$13)^(12-1)-1)/Assumptions!$B$13))*Assumptions!$B$13)),0)*Assumptions!$B$28))+(IF(12&lt;=Assumptions!$B$27,F$33/Assumptions!$B$27,0))-(F$36-((F$35*(1+Assumptions!$B$13)^(12-1)-F$36*(((1+Assumptions!$B$13)^(12-1)-1)/Assumptions!$B$13))*Assumptions!$B$13))</f>
        <v>2.72937610162896</v>
      </c>
      <c r="G50" s="25" t="n">
        <f aca="false">(((((Assumptions!$B$17*(1+G$31)*(1+Assumptions!$B$24)^(12-1))-(Assumptions!$B$21*(1+Assumptions!$B$25)^(12-1)))-(IF(12&lt;=Assumptions!$B$27,G$33/Assumptions!$B$27,0)))-((G$35*(1+Assumptions!$B$13)^(12-1)-G$36*(((1+Assumptions!$B$13)^(12-1)-1)/Assumptions!$B$13))*Assumptions!$B$13))-(MAX(((((Assumptions!$B$17*(1+G$31)*(1+Assumptions!$B$24)^(12-1))-(Assumptions!$B$21*(1+Assumptions!$B$25)^(12-1)))-(IF(12&lt;=Assumptions!$B$27,G$33/Assumptions!$B$27,0)))-((G$35*(1+Assumptions!$B$13)^(12-1)-G$36*(((1+Assumptions!$B$13)^(12-1)-1)/Assumptions!$B$13))*Assumptions!$B$13)),0)*Assumptions!$B$28))+(IF(12&lt;=Assumptions!$B$27,G$33/Assumptions!$B$27,0))-(G$36-((G$35*(1+Assumptions!$B$13)^(12-1)-G$36*(((1+Assumptions!$B$13)^(12-1)-1)/Assumptions!$B$13))*Assumptions!$B$13))</f>
        <v>2.33171002866946</v>
      </c>
      <c r="H50" s="25" t="n">
        <f aca="false">(((((Assumptions!$B$17*(1+H$31)*(1+Assumptions!$B$24)^(12-1))-(Assumptions!$B$21*(1+Assumptions!$B$25)^(12-1)))-(IF(12&lt;=Assumptions!$B$27,H$33/Assumptions!$B$27,0)))-((H$35*(1+Assumptions!$B$13)^(12-1)-H$36*(((1+Assumptions!$B$13)^(12-1)-1)/Assumptions!$B$13))*Assumptions!$B$13))-(MAX(((((Assumptions!$B$17*(1+H$31)*(1+Assumptions!$B$24)^(12-1))-(Assumptions!$B$21*(1+Assumptions!$B$25)^(12-1)))-(IF(12&lt;=Assumptions!$B$27,H$33/Assumptions!$B$27,0)))-((H$35*(1+Assumptions!$B$13)^(12-1)-H$36*(((1+Assumptions!$B$13)^(12-1)-1)/Assumptions!$B$13))*Assumptions!$B$13)),0)*Assumptions!$B$28))+(IF(12&lt;=Assumptions!$B$27,H$33/Assumptions!$B$27,0))-(H$36-((H$35*(1+Assumptions!$B$13)^(12-1)-H$36*(((1+Assumptions!$B$13)^(12-1)-1)/Assumptions!$B$13))*Assumptions!$B$13))</f>
        <v>1.93404395570995</v>
      </c>
      <c r="I50" s="25" t="n">
        <f aca="false">(((((Assumptions!$B$17*(1+I$31)*(1+Assumptions!$B$24)^(12-1))-(Assumptions!$B$21*(1+Assumptions!$B$25)^(12-1)))-(IF(12&lt;=Assumptions!$B$27,I$33/Assumptions!$B$27,0)))-((I$35*(1+Assumptions!$B$13)^(12-1)-I$36*(((1+Assumptions!$B$13)^(12-1)-1)/Assumptions!$B$13))*Assumptions!$B$13))-(MAX(((((Assumptions!$B$17*(1+I$31)*(1+Assumptions!$B$24)^(12-1))-(Assumptions!$B$21*(1+Assumptions!$B$25)^(12-1)))-(IF(12&lt;=Assumptions!$B$27,I$33/Assumptions!$B$27,0)))-((I$35*(1+Assumptions!$B$13)^(12-1)-I$36*(((1+Assumptions!$B$13)^(12-1)-1)/Assumptions!$B$13))*Assumptions!$B$13)),0)*Assumptions!$B$28))+(IF(12&lt;=Assumptions!$B$27,I$33/Assumptions!$B$27,0))-(I$36-((I$35*(1+Assumptions!$B$13)^(12-1)-I$36*(((1+Assumptions!$B$13)^(12-1)-1)/Assumptions!$B$13))*Assumptions!$B$13))</f>
        <v>3.54151911013143</v>
      </c>
      <c r="J50" s="25" t="n">
        <f aca="false">(((((Assumptions!$B$17*(1+J$31)*(1+Assumptions!$B$24)^(12-1))-(Assumptions!$B$21*(1+Assumptions!$B$25)^(12-1)))-(IF(12&lt;=Assumptions!$B$27,J$33/Assumptions!$B$27,0)))-((J$35*(1+Assumptions!$B$13)^(12-1)-J$36*(((1+Assumptions!$B$13)^(12-1)-1)/Assumptions!$B$13))*Assumptions!$B$13))-(MAX(((((Assumptions!$B$17*(1+J$31)*(1+Assumptions!$B$24)^(12-1))-(Assumptions!$B$21*(1+Assumptions!$B$25)^(12-1)))-(IF(12&lt;=Assumptions!$B$27,J$33/Assumptions!$B$27,0)))-((J$35*(1+Assumptions!$B$13)^(12-1)-J$36*(((1+Assumptions!$B$13)^(12-1)-1)/Assumptions!$B$13))*Assumptions!$B$13)),0)*Assumptions!$B$28))+(IF(12&lt;=Assumptions!$B$27,J$33/Assumptions!$B$27,0))-(J$36-((J$35*(1+Assumptions!$B$13)^(12-1)-J$36*(((1+Assumptions!$B$13)^(12-1)-1)/Assumptions!$B$13))*Assumptions!$B$13))</f>
        <v>3.14385303717192</v>
      </c>
      <c r="K50" s="25" t="n">
        <f aca="false">(((((Assumptions!$B$17*(1+K$31)*(1+Assumptions!$B$24)^(12-1))-(Assumptions!$B$21*(1+Assumptions!$B$25)^(12-1)))-(IF(12&lt;=Assumptions!$B$27,K$33/Assumptions!$B$27,0)))-((K$35*(1+Assumptions!$B$13)^(12-1)-K$36*(((1+Assumptions!$B$13)^(12-1)-1)/Assumptions!$B$13))*Assumptions!$B$13))-(MAX(((((Assumptions!$B$17*(1+K$31)*(1+Assumptions!$B$24)^(12-1))-(Assumptions!$B$21*(1+Assumptions!$B$25)^(12-1)))-(IF(12&lt;=Assumptions!$B$27,K$33/Assumptions!$B$27,0)))-((K$35*(1+Assumptions!$B$13)^(12-1)-K$36*(((1+Assumptions!$B$13)^(12-1)-1)/Assumptions!$B$13))*Assumptions!$B$13)),0)*Assumptions!$B$28))+(IF(12&lt;=Assumptions!$B$27,K$33/Assumptions!$B$27,0))-(K$36-((K$35*(1+Assumptions!$B$13)^(12-1)-K$36*(((1+Assumptions!$B$13)^(12-1)-1)/Assumptions!$B$13))*Assumptions!$B$13))</f>
        <v>2.74618696421242</v>
      </c>
      <c r="L50" s="25" t="n">
        <f aca="false">(((((Assumptions!$B$17*(1+L$31)*(1+Assumptions!$B$24)^(12-1))-(Assumptions!$B$21*(1+Assumptions!$B$25)^(12-1)))-(IF(12&lt;=Assumptions!$B$27,L$33/Assumptions!$B$27,0)))-((L$35*(1+Assumptions!$B$13)^(12-1)-L$36*(((1+Assumptions!$B$13)^(12-1)-1)/Assumptions!$B$13))*Assumptions!$B$13))-(MAX(((((Assumptions!$B$17*(1+L$31)*(1+Assumptions!$B$24)^(12-1))-(Assumptions!$B$21*(1+Assumptions!$B$25)^(12-1)))-(IF(12&lt;=Assumptions!$B$27,L$33/Assumptions!$B$27,0)))-((L$35*(1+Assumptions!$B$13)^(12-1)-L$36*(((1+Assumptions!$B$13)^(12-1)-1)/Assumptions!$B$13))*Assumptions!$B$13)),0)*Assumptions!$B$28))+(IF(12&lt;=Assumptions!$B$27,L$33/Assumptions!$B$27,0))-(L$36-((L$35*(1+Assumptions!$B$13)^(12-1)-L$36*(((1+Assumptions!$B$13)^(12-1)-1)/Assumptions!$B$13))*Assumptions!$B$13))</f>
        <v>4.3536621186339</v>
      </c>
      <c r="M50" s="25" t="n">
        <f aca="false">(((((Assumptions!$B$17*(1+M$31)*(1+Assumptions!$B$24)^(12-1))-(Assumptions!$B$21*(1+Assumptions!$B$25)^(12-1)))-(IF(12&lt;=Assumptions!$B$27,M$33/Assumptions!$B$27,0)))-((M$35*(1+Assumptions!$B$13)^(12-1)-M$36*(((1+Assumptions!$B$13)^(12-1)-1)/Assumptions!$B$13))*Assumptions!$B$13))-(MAX(((((Assumptions!$B$17*(1+M$31)*(1+Assumptions!$B$24)^(12-1))-(Assumptions!$B$21*(1+Assumptions!$B$25)^(12-1)))-(IF(12&lt;=Assumptions!$B$27,M$33/Assumptions!$B$27,0)))-((M$35*(1+Assumptions!$B$13)^(12-1)-M$36*(((1+Assumptions!$B$13)^(12-1)-1)/Assumptions!$B$13))*Assumptions!$B$13)),0)*Assumptions!$B$28))+(IF(12&lt;=Assumptions!$B$27,M$33/Assumptions!$B$27,0))-(M$36-((M$35*(1+Assumptions!$B$13)^(12-1)-M$36*(((1+Assumptions!$B$13)^(12-1)-1)/Assumptions!$B$13))*Assumptions!$B$13))</f>
        <v>3.95599604567439</v>
      </c>
      <c r="N50" s="25" t="n">
        <f aca="false">(((((Assumptions!$B$17*(1+N$31)*(1+Assumptions!$B$24)^(12-1))-(Assumptions!$B$21*(1+Assumptions!$B$25)^(12-1)))-(IF(12&lt;=Assumptions!$B$27,N$33/Assumptions!$B$27,0)))-((N$35*(1+Assumptions!$B$13)^(12-1)-N$36*(((1+Assumptions!$B$13)^(12-1)-1)/Assumptions!$B$13))*Assumptions!$B$13))-(MAX(((((Assumptions!$B$17*(1+N$31)*(1+Assumptions!$B$24)^(12-1))-(Assumptions!$B$21*(1+Assumptions!$B$25)^(12-1)))-(IF(12&lt;=Assumptions!$B$27,N$33/Assumptions!$B$27,0)))-((N$35*(1+Assumptions!$B$13)^(12-1)-N$36*(((1+Assumptions!$B$13)^(12-1)-1)/Assumptions!$B$13))*Assumptions!$B$13)),0)*Assumptions!$B$28))+(IF(12&lt;=Assumptions!$B$27,N$33/Assumptions!$B$27,0))-(N$36-((N$35*(1+Assumptions!$B$13)^(12-1)-N$36*(((1+Assumptions!$B$13)^(12-1)-1)/Assumptions!$B$13))*Assumptions!$B$13))</f>
        <v>3.55832997271489</v>
      </c>
      <c r="O50" s="25" t="n">
        <f aca="false">(((((Assumptions!$B$17*(1+O$31)*(1+Assumptions!$B$24)^(12-1))-(Assumptions!$B$21*(1+Assumptions!$B$25)^(12-1)))-(IF(12&lt;=Assumptions!$B$27,O$33/Assumptions!$B$27,0)))-((O$35*(1+Assumptions!$B$13)^(12-1)-O$36*(((1+Assumptions!$B$13)^(12-1)-1)/Assumptions!$B$13))*Assumptions!$B$13))-(MAX(((((Assumptions!$B$17*(1+O$31)*(1+Assumptions!$B$24)^(12-1))-(Assumptions!$B$21*(1+Assumptions!$B$25)^(12-1)))-(IF(12&lt;=Assumptions!$B$27,O$33/Assumptions!$B$27,0)))-((O$35*(1+Assumptions!$B$13)^(12-1)-O$36*(((1+Assumptions!$B$13)^(12-1)-1)/Assumptions!$B$13))*Assumptions!$B$13)),0)*Assumptions!$B$28))+(IF(12&lt;=Assumptions!$B$27,O$33/Assumptions!$B$27,0))-(O$36-((O$35*(1+Assumptions!$B$13)^(12-1)-O$36*(((1+Assumptions!$B$13)^(12-1)-1)/Assumptions!$B$13))*Assumptions!$B$13))</f>
        <v>5.16580512713636</v>
      </c>
      <c r="P50" s="25" t="n">
        <f aca="false">(((((Assumptions!$B$17*(1+P$31)*(1+Assumptions!$B$24)^(12-1))-(Assumptions!$B$21*(1+Assumptions!$B$25)^(12-1)))-(IF(12&lt;=Assumptions!$B$27,P$33/Assumptions!$B$27,0)))-((P$35*(1+Assumptions!$B$13)^(12-1)-P$36*(((1+Assumptions!$B$13)^(12-1)-1)/Assumptions!$B$13))*Assumptions!$B$13))-(MAX(((((Assumptions!$B$17*(1+P$31)*(1+Assumptions!$B$24)^(12-1))-(Assumptions!$B$21*(1+Assumptions!$B$25)^(12-1)))-(IF(12&lt;=Assumptions!$B$27,P$33/Assumptions!$B$27,0)))-((P$35*(1+Assumptions!$B$13)^(12-1)-P$36*(((1+Assumptions!$B$13)^(12-1)-1)/Assumptions!$B$13))*Assumptions!$B$13)),0)*Assumptions!$B$28))+(IF(12&lt;=Assumptions!$B$27,P$33/Assumptions!$B$27,0))-(P$36-((P$35*(1+Assumptions!$B$13)^(12-1)-P$36*(((1+Assumptions!$B$13)^(12-1)-1)/Assumptions!$B$13))*Assumptions!$B$13))</f>
        <v>4.76813905417686</v>
      </c>
      <c r="Q50" s="25" t="n">
        <f aca="false">(((((Assumptions!$B$17*(1+Q$31)*(1+Assumptions!$B$24)^(12-1))-(Assumptions!$B$21*(1+Assumptions!$B$25)^(12-1)))-(IF(12&lt;=Assumptions!$B$27,Q$33/Assumptions!$B$27,0)))-((Q$35*(1+Assumptions!$B$13)^(12-1)-Q$36*(((1+Assumptions!$B$13)^(12-1)-1)/Assumptions!$B$13))*Assumptions!$B$13))-(MAX(((((Assumptions!$B$17*(1+Q$31)*(1+Assumptions!$B$24)^(12-1))-(Assumptions!$B$21*(1+Assumptions!$B$25)^(12-1)))-(IF(12&lt;=Assumptions!$B$27,Q$33/Assumptions!$B$27,0)))-((Q$35*(1+Assumptions!$B$13)^(12-1)-Q$36*(((1+Assumptions!$B$13)^(12-1)-1)/Assumptions!$B$13))*Assumptions!$B$13)),0)*Assumptions!$B$28))+(IF(12&lt;=Assumptions!$B$27,Q$33/Assumptions!$B$27,0))-(Q$36-((Q$35*(1+Assumptions!$B$13)^(12-1)-Q$36*(((1+Assumptions!$B$13)^(12-1)-1)/Assumptions!$B$13))*Assumptions!$B$13))</f>
        <v>4.37047298121735</v>
      </c>
    </row>
    <row r="51" customFormat="false" ht="15" hidden="false" customHeight="false" outlineLevel="0" collapsed="false">
      <c r="A51" s="7" t="n">
        <v>13</v>
      </c>
      <c r="C51" s="25" t="n">
        <f aca="false">(((((Assumptions!$B$17*(1+C$31)*(1+Assumptions!$B$24)^(13-1))-(Assumptions!$B$21*(1+Assumptions!$B$25)^(13-1)))-(IF(13&lt;=Assumptions!$B$27,C$33/Assumptions!$B$27,0)))-((C$35*(1+Assumptions!$B$13)^(13-1)-C$36*(((1+Assumptions!$B$13)^(13-1)-1)/Assumptions!$B$13))*Assumptions!$B$13))-(MAX(((((Assumptions!$B$17*(1+C$31)*(1+Assumptions!$B$24)^(13-1))-(Assumptions!$B$21*(1+Assumptions!$B$25)^(13-1)))-(IF(13&lt;=Assumptions!$B$27,C$33/Assumptions!$B$27,0)))-((C$35*(1+Assumptions!$B$13)^(13-1)-C$36*(((1+Assumptions!$B$13)^(13-1)-1)/Assumptions!$B$13))*Assumptions!$B$13)),0)*Assumptions!$B$28))+(IF(13&lt;=Assumptions!$B$27,C$33/Assumptions!$B$27,0))-(C$36-((C$35*(1+Assumptions!$B$13)^(13-1)-C$36*(((1+Assumptions!$B$13)^(13-1)-1)/Assumptions!$B$13))*Assumptions!$B$13))</f>
        <v>1.85086229587798</v>
      </c>
      <c r="D51" s="25" t="n">
        <f aca="false">(((((Assumptions!$B$17*(1+D$31)*(1+Assumptions!$B$24)^(13-1))-(Assumptions!$B$21*(1+Assumptions!$B$25)^(13-1)))-(IF(13&lt;=Assumptions!$B$27,D$33/Assumptions!$B$27,0)))-((D$35*(1+Assumptions!$B$13)^(13-1)-D$36*(((1+Assumptions!$B$13)^(13-1)-1)/Assumptions!$B$13))*Assumptions!$B$13))-(MAX(((((Assumptions!$B$17*(1+D$31)*(1+Assumptions!$B$24)^(13-1))-(Assumptions!$B$21*(1+Assumptions!$B$25)^(13-1)))-(IF(13&lt;=Assumptions!$B$27,D$33/Assumptions!$B$27,0)))-((D$35*(1+Assumptions!$B$13)^(13-1)-D$36*(((1+Assumptions!$B$13)^(13-1)-1)/Assumptions!$B$13))*Assumptions!$B$13)),0)*Assumptions!$B$28))+(IF(13&lt;=Assumptions!$B$27,D$33/Assumptions!$B$27,0))-(D$36-((D$35*(1+Assumptions!$B$13)^(13-1)-D$36*(((1+Assumptions!$B$13)^(13-1)-1)/Assumptions!$B$13))*Assumptions!$B$13))</f>
        <v>1.45093356796166</v>
      </c>
      <c r="E51" s="25" t="n">
        <f aca="false">(((((Assumptions!$B$17*(1+E$31)*(1+Assumptions!$B$24)^(13-1))-(Assumptions!$B$21*(1+Assumptions!$B$25)^(13-1)))-(IF(13&lt;=Assumptions!$B$27,E$33/Assumptions!$B$27,0)))-((E$35*(1+Assumptions!$B$13)^(13-1)-E$36*(((1+Assumptions!$B$13)^(13-1)-1)/Assumptions!$B$13))*Assumptions!$B$13))-(MAX(((((Assumptions!$B$17*(1+E$31)*(1+Assumptions!$B$24)^(13-1))-(Assumptions!$B$21*(1+Assumptions!$B$25)^(13-1)))-(IF(13&lt;=Assumptions!$B$27,E$33/Assumptions!$B$27,0)))-((E$35*(1+Assumptions!$B$13)^(13-1)-E$36*(((1+Assumptions!$B$13)^(13-1)-1)/Assumptions!$B$13))*Assumptions!$B$13)),0)*Assumptions!$B$28))+(IF(13&lt;=Assumptions!$B$27,E$33/Assumptions!$B$27,0))-(E$36-((E$35*(1+Assumptions!$B$13)^(13-1)-E$36*(((1+Assumptions!$B$13)^(13-1)-1)/Assumptions!$B$13))*Assumptions!$B$13))</f>
        <v>1.05100484004535</v>
      </c>
      <c r="F51" s="25" t="n">
        <f aca="false">(((((Assumptions!$B$17*(1+F$31)*(1+Assumptions!$B$24)^(13-1))-(Assumptions!$B$21*(1+Assumptions!$B$25)^(13-1)))-(IF(13&lt;=Assumptions!$B$27,F$33/Assumptions!$B$27,0)))-((F$35*(1+Assumptions!$B$13)^(13-1)-F$36*(((1+Assumptions!$B$13)^(13-1)-1)/Assumptions!$B$13))*Assumptions!$B$13))-(MAX(((((Assumptions!$B$17*(1+F$31)*(1+Assumptions!$B$24)^(13-1))-(Assumptions!$B$21*(1+Assumptions!$B$25)^(13-1)))-(IF(13&lt;=Assumptions!$B$27,F$33/Assumptions!$B$27,0)))-((F$35*(1+Assumptions!$B$13)^(13-1)-F$36*(((1+Assumptions!$B$13)^(13-1)-1)/Assumptions!$B$13))*Assumptions!$B$13)),0)*Assumptions!$B$28))+(IF(13&lt;=Assumptions!$B$27,F$33/Assumptions!$B$27,0))-(F$36-((F$35*(1+Assumptions!$B$13)^(13-1)-F$36*(((1+Assumptions!$B$13)^(13-1)-1)/Assumptions!$B$13))*Assumptions!$B$13))</f>
        <v>2.65975673234644</v>
      </c>
      <c r="G51" s="25" t="n">
        <f aca="false">(((((Assumptions!$B$17*(1+G$31)*(1+Assumptions!$B$24)^(13-1))-(Assumptions!$B$21*(1+Assumptions!$B$25)^(13-1)))-(IF(13&lt;=Assumptions!$B$27,G$33/Assumptions!$B$27,0)))-((G$35*(1+Assumptions!$B$13)^(13-1)-G$36*(((1+Assumptions!$B$13)^(13-1)-1)/Assumptions!$B$13))*Assumptions!$B$13))-(MAX(((((Assumptions!$B$17*(1+G$31)*(1+Assumptions!$B$24)^(13-1))-(Assumptions!$B$21*(1+Assumptions!$B$25)^(13-1)))-(IF(13&lt;=Assumptions!$B$27,G$33/Assumptions!$B$27,0)))-((G$35*(1+Assumptions!$B$13)^(13-1)-G$36*(((1+Assumptions!$B$13)^(13-1)-1)/Assumptions!$B$13))*Assumptions!$B$13)),0)*Assumptions!$B$28))+(IF(13&lt;=Assumptions!$B$27,G$33/Assumptions!$B$27,0))-(G$36-((G$35*(1+Assumptions!$B$13)^(13-1)-G$36*(((1+Assumptions!$B$13)^(13-1)-1)/Assumptions!$B$13))*Assumptions!$B$13))</f>
        <v>2.25982800443012</v>
      </c>
      <c r="H51" s="25" t="n">
        <f aca="false">(((((Assumptions!$B$17*(1+H$31)*(1+Assumptions!$B$24)^(13-1))-(Assumptions!$B$21*(1+Assumptions!$B$25)^(13-1)))-(IF(13&lt;=Assumptions!$B$27,H$33/Assumptions!$B$27,0)))-((H$35*(1+Assumptions!$B$13)^(13-1)-H$36*(((1+Assumptions!$B$13)^(13-1)-1)/Assumptions!$B$13))*Assumptions!$B$13))-(MAX(((((Assumptions!$B$17*(1+H$31)*(1+Assumptions!$B$24)^(13-1))-(Assumptions!$B$21*(1+Assumptions!$B$25)^(13-1)))-(IF(13&lt;=Assumptions!$B$27,H$33/Assumptions!$B$27,0)))-((H$35*(1+Assumptions!$B$13)^(13-1)-H$36*(((1+Assumptions!$B$13)^(13-1)-1)/Assumptions!$B$13))*Assumptions!$B$13)),0)*Assumptions!$B$28))+(IF(13&lt;=Assumptions!$B$27,H$33/Assumptions!$B$27,0))-(H$36-((H$35*(1+Assumptions!$B$13)^(13-1)-H$36*(((1+Assumptions!$B$13)^(13-1)-1)/Assumptions!$B$13))*Assumptions!$B$13))</f>
        <v>1.85989927651381</v>
      </c>
      <c r="I51" s="25" t="n">
        <f aca="false">(((((Assumptions!$B$17*(1+I$31)*(1+Assumptions!$B$24)^(13-1))-(Assumptions!$B$21*(1+Assumptions!$B$25)^(13-1)))-(IF(13&lt;=Assumptions!$B$27,I$33/Assumptions!$B$27,0)))-((I$35*(1+Assumptions!$B$13)^(13-1)-I$36*(((1+Assumptions!$B$13)^(13-1)-1)/Assumptions!$B$13))*Assumptions!$B$13))-(MAX(((((Assumptions!$B$17*(1+I$31)*(1+Assumptions!$B$24)^(13-1))-(Assumptions!$B$21*(1+Assumptions!$B$25)^(13-1)))-(IF(13&lt;=Assumptions!$B$27,I$33/Assumptions!$B$27,0)))-((I$35*(1+Assumptions!$B$13)^(13-1)-I$36*(((1+Assumptions!$B$13)^(13-1)-1)/Assumptions!$B$13))*Assumptions!$B$13)),0)*Assumptions!$B$28))+(IF(13&lt;=Assumptions!$B$27,I$33/Assumptions!$B$27,0))-(I$36-((I$35*(1+Assumptions!$B$13)^(13-1)-I$36*(((1+Assumptions!$B$13)^(13-1)-1)/Assumptions!$B$13))*Assumptions!$B$13))</f>
        <v>3.46865116881489</v>
      </c>
      <c r="J51" s="25" t="n">
        <f aca="false">(((((Assumptions!$B$17*(1+J$31)*(1+Assumptions!$B$24)^(13-1))-(Assumptions!$B$21*(1+Assumptions!$B$25)^(13-1)))-(IF(13&lt;=Assumptions!$B$27,J$33/Assumptions!$B$27,0)))-((J$35*(1+Assumptions!$B$13)^(13-1)-J$36*(((1+Assumptions!$B$13)^(13-1)-1)/Assumptions!$B$13))*Assumptions!$B$13))-(MAX(((((Assumptions!$B$17*(1+J$31)*(1+Assumptions!$B$24)^(13-1))-(Assumptions!$B$21*(1+Assumptions!$B$25)^(13-1)))-(IF(13&lt;=Assumptions!$B$27,J$33/Assumptions!$B$27,0)))-((J$35*(1+Assumptions!$B$13)^(13-1)-J$36*(((1+Assumptions!$B$13)^(13-1)-1)/Assumptions!$B$13))*Assumptions!$B$13)),0)*Assumptions!$B$28))+(IF(13&lt;=Assumptions!$B$27,J$33/Assumptions!$B$27,0))-(J$36-((J$35*(1+Assumptions!$B$13)^(13-1)-J$36*(((1+Assumptions!$B$13)^(13-1)-1)/Assumptions!$B$13))*Assumptions!$B$13))</f>
        <v>3.06872244089858</v>
      </c>
      <c r="K51" s="25" t="n">
        <f aca="false">(((((Assumptions!$B$17*(1+K$31)*(1+Assumptions!$B$24)^(13-1))-(Assumptions!$B$21*(1+Assumptions!$B$25)^(13-1)))-(IF(13&lt;=Assumptions!$B$27,K$33/Assumptions!$B$27,0)))-((K$35*(1+Assumptions!$B$13)^(13-1)-K$36*(((1+Assumptions!$B$13)^(13-1)-1)/Assumptions!$B$13))*Assumptions!$B$13))-(MAX(((((Assumptions!$B$17*(1+K$31)*(1+Assumptions!$B$24)^(13-1))-(Assumptions!$B$21*(1+Assumptions!$B$25)^(13-1)))-(IF(13&lt;=Assumptions!$B$27,K$33/Assumptions!$B$27,0)))-((K$35*(1+Assumptions!$B$13)^(13-1)-K$36*(((1+Assumptions!$B$13)^(13-1)-1)/Assumptions!$B$13))*Assumptions!$B$13)),0)*Assumptions!$B$28))+(IF(13&lt;=Assumptions!$B$27,K$33/Assumptions!$B$27,0))-(K$36-((K$35*(1+Assumptions!$B$13)^(13-1)-K$36*(((1+Assumptions!$B$13)^(13-1)-1)/Assumptions!$B$13))*Assumptions!$B$13))</f>
        <v>2.66879371298226</v>
      </c>
      <c r="L51" s="25" t="n">
        <f aca="false">(((((Assumptions!$B$17*(1+L$31)*(1+Assumptions!$B$24)^(13-1))-(Assumptions!$B$21*(1+Assumptions!$B$25)^(13-1)))-(IF(13&lt;=Assumptions!$B$27,L$33/Assumptions!$B$27,0)))-((L$35*(1+Assumptions!$B$13)^(13-1)-L$36*(((1+Assumptions!$B$13)^(13-1)-1)/Assumptions!$B$13))*Assumptions!$B$13))-(MAX(((((Assumptions!$B$17*(1+L$31)*(1+Assumptions!$B$24)^(13-1))-(Assumptions!$B$21*(1+Assumptions!$B$25)^(13-1)))-(IF(13&lt;=Assumptions!$B$27,L$33/Assumptions!$B$27,0)))-((L$35*(1+Assumptions!$B$13)^(13-1)-L$36*(((1+Assumptions!$B$13)^(13-1)-1)/Assumptions!$B$13))*Assumptions!$B$13)),0)*Assumptions!$B$28))+(IF(13&lt;=Assumptions!$B$27,L$33/Assumptions!$B$27,0))-(L$36-((L$35*(1+Assumptions!$B$13)^(13-1)-L$36*(((1+Assumptions!$B$13)^(13-1)-1)/Assumptions!$B$13))*Assumptions!$B$13))</f>
        <v>4.27754560528335</v>
      </c>
      <c r="M51" s="25" t="n">
        <f aca="false">(((((Assumptions!$B$17*(1+M$31)*(1+Assumptions!$B$24)^(13-1))-(Assumptions!$B$21*(1+Assumptions!$B$25)^(13-1)))-(IF(13&lt;=Assumptions!$B$27,M$33/Assumptions!$B$27,0)))-((M$35*(1+Assumptions!$B$13)^(13-1)-M$36*(((1+Assumptions!$B$13)^(13-1)-1)/Assumptions!$B$13))*Assumptions!$B$13))-(MAX(((((Assumptions!$B$17*(1+M$31)*(1+Assumptions!$B$24)^(13-1))-(Assumptions!$B$21*(1+Assumptions!$B$25)^(13-1)))-(IF(13&lt;=Assumptions!$B$27,M$33/Assumptions!$B$27,0)))-((M$35*(1+Assumptions!$B$13)^(13-1)-M$36*(((1+Assumptions!$B$13)^(13-1)-1)/Assumptions!$B$13))*Assumptions!$B$13)),0)*Assumptions!$B$28))+(IF(13&lt;=Assumptions!$B$27,M$33/Assumptions!$B$27,0))-(M$36-((M$35*(1+Assumptions!$B$13)^(13-1)-M$36*(((1+Assumptions!$B$13)^(13-1)-1)/Assumptions!$B$13))*Assumptions!$B$13))</f>
        <v>3.87761687736704</v>
      </c>
      <c r="N51" s="25" t="n">
        <f aca="false">(((((Assumptions!$B$17*(1+N$31)*(1+Assumptions!$B$24)^(13-1))-(Assumptions!$B$21*(1+Assumptions!$B$25)^(13-1)))-(IF(13&lt;=Assumptions!$B$27,N$33/Assumptions!$B$27,0)))-((N$35*(1+Assumptions!$B$13)^(13-1)-N$36*(((1+Assumptions!$B$13)^(13-1)-1)/Assumptions!$B$13))*Assumptions!$B$13))-(MAX(((((Assumptions!$B$17*(1+N$31)*(1+Assumptions!$B$24)^(13-1))-(Assumptions!$B$21*(1+Assumptions!$B$25)^(13-1)))-(IF(13&lt;=Assumptions!$B$27,N$33/Assumptions!$B$27,0)))-((N$35*(1+Assumptions!$B$13)^(13-1)-N$36*(((1+Assumptions!$B$13)^(13-1)-1)/Assumptions!$B$13))*Assumptions!$B$13)),0)*Assumptions!$B$28))+(IF(13&lt;=Assumptions!$B$27,N$33/Assumptions!$B$27,0))-(N$36-((N$35*(1+Assumptions!$B$13)^(13-1)-N$36*(((1+Assumptions!$B$13)^(13-1)-1)/Assumptions!$B$13))*Assumptions!$B$13))</f>
        <v>3.47768814945072</v>
      </c>
      <c r="O51" s="25" t="n">
        <f aca="false">(((((Assumptions!$B$17*(1+O$31)*(1+Assumptions!$B$24)^(13-1))-(Assumptions!$B$21*(1+Assumptions!$B$25)^(13-1)))-(IF(13&lt;=Assumptions!$B$27,O$33/Assumptions!$B$27,0)))-((O$35*(1+Assumptions!$B$13)^(13-1)-O$36*(((1+Assumptions!$B$13)^(13-1)-1)/Assumptions!$B$13))*Assumptions!$B$13))-(MAX(((((Assumptions!$B$17*(1+O$31)*(1+Assumptions!$B$24)^(13-1))-(Assumptions!$B$21*(1+Assumptions!$B$25)^(13-1)))-(IF(13&lt;=Assumptions!$B$27,O$33/Assumptions!$B$27,0)))-((O$35*(1+Assumptions!$B$13)^(13-1)-O$36*(((1+Assumptions!$B$13)^(13-1)-1)/Assumptions!$B$13))*Assumptions!$B$13)),0)*Assumptions!$B$28))+(IF(13&lt;=Assumptions!$B$27,O$33/Assumptions!$B$27,0))-(O$36-((O$35*(1+Assumptions!$B$13)^(13-1)-O$36*(((1+Assumptions!$B$13)^(13-1)-1)/Assumptions!$B$13))*Assumptions!$B$13))</f>
        <v>5.08644004175181</v>
      </c>
      <c r="P51" s="25" t="n">
        <f aca="false">(((((Assumptions!$B$17*(1+P$31)*(1+Assumptions!$B$24)^(13-1))-(Assumptions!$B$21*(1+Assumptions!$B$25)^(13-1)))-(IF(13&lt;=Assumptions!$B$27,P$33/Assumptions!$B$27,0)))-((P$35*(1+Assumptions!$B$13)^(13-1)-P$36*(((1+Assumptions!$B$13)^(13-1)-1)/Assumptions!$B$13))*Assumptions!$B$13))-(MAX(((((Assumptions!$B$17*(1+P$31)*(1+Assumptions!$B$24)^(13-1))-(Assumptions!$B$21*(1+Assumptions!$B$25)^(13-1)))-(IF(13&lt;=Assumptions!$B$27,P$33/Assumptions!$B$27,0)))-((P$35*(1+Assumptions!$B$13)^(13-1)-P$36*(((1+Assumptions!$B$13)^(13-1)-1)/Assumptions!$B$13))*Assumptions!$B$13)),0)*Assumptions!$B$28))+(IF(13&lt;=Assumptions!$B$27,P$33/Assumptions!$B$27,0))-(P$36-((P$35*(1+Assumptions!$B$13)^(13-1)-P$36*(((1+Assumptions!$B$13)^(13-1)-1)/Assumptions!$B$13))*Assumptions!$B$13))</f>
        <v>4.6865113138355</v>
      </c>
      <c r="Q51" s="25" t="n">
        <f aca="false">(((((Assumptions!$B$17*(1+Q$31)*(1+Assumptions!$B$24)^(13-1))-(Assumptions!$B$21*(1+Assumptions!$B$25)^(13-1)))-(IF(13&lt;=Assumptions!$B$27,Q$33/Assumptions!$B$27,0)))-((Q$35*(1+Assumptions!$B$13)^(13-1)-Q$36*(((1+Assumptions!$B$13)^(13-1)-1)/Assumptions!$B$13))*Assumptions!$B$13))-(MAX(((((Assumptions!$B$17*(1+Q$31)*(1+Assumptions!$B$24)^(13-1))-(Assumptions!$B$21*(1+Assumptions!$B$25)^(13-1)))-(IF(13&lt;=Assumptions!$B$27,Q$33/Assumptions!$B$27,0)))-((Q$35*(1+Assumptions!$B$13)^(13-1)-Q$36*(((1+Assumptions!$B$13)^(13-1)-1)/Assumptions!$B$13))*Assumptions!$B$13)),0)*Assumptions!$B$28))+(IF(13&lt;=Assumptions!$B$27,Q$33/Assumptions!$B$27,0))-(Q$36-((Q$35*(1+Assumptions!$B$13)^(13-1)-Q$36*(((1+Assumptions!$B$13)^(13-1)-1)/Assumptions!$B$13))*Assumptions!$B$13))</f>
        <v>4.28658258591918</v>
      </c>
    </row>
    <row r="52" customFormat="false" ht="15" hidden="false" customHeight="false" outlineLevel="0" collapsed="false">
      <c r="A52" s="7" t="n">
        <v>14</v>
      </c>
      <c r="C52" s="25" t="n">
        <f aca="false">(((((Assumptions!$B$17*(1+C$31)*(1+Assumptions!$B$24)^(14-1))-(Assumptions!$B$21*(1+Assumptions!$B$25)^(14-1)))-(IF(14&lt;=Assumptions!$B$27,C$33/Assumptions!$B$27,0)))-((C$35*(1+Assumptions!$B$13)^(14-1)-C$36*(((1+Assumptions!$B$13)^(14-1)-1)/Assumptions!$B$13))*Assumptions!$B$13))-(MAX(((((Assumptions!$B$17*(1+C$31)*(1+Assumptions!$B$24)^(14-1))-(Assumptions!$B$21*(1+Assumptions!$B$25)^(14-1)))-(IF(14&lt;=Assumptions!$B$27,C$33/Assumptions!$B$27,0)))-((C$35*(1+Assumptions!$B$13)^(14-1)-C$36*(((1+Assumptions!$B$13)^(14-1)-1)/Assumptions!$B$13))*Assumptions!$B$13)),0)*Assumptions!$B$28))+(IF(14&lt;=Assumptions!$B$27,C$33/Assumptions!$B$27,0))-(C$36-((C$35*(1+Assumptions!$B$13)^(14-1)-C$36*(((1+Assumptions!$B$13)^(14-1)-1)/Assumptions!$B$13))*Assumptions!$B$13))</f>
        <v>1.78317689167668</v>
      </c>
      <c r="D52" s="25" t="n">
        <f aca="false">(((((Assumptions!$B$17*(1+D$31)*(1+Assumptions!$B$24)^(14-1))-(Assumptions!$B$21*(1+Assumptions!$B$25)^(14-1)))-(IF(14&lt;=Assumptions!$B$27,D$33/Assumptions!$B$27,0)))-((D$35*(1+Assumptions!$B$13)^(14-1)-D$36*(((1+Assumptions!$B$13)^(14-1)-1)/Assumptions!$B$13))*Assumptions!$B$13))-(MAX(((((Assumptions!$B$17*(1+D$31)*(1+Assumptions!$B$24)^(14-1))-(Assumptions!$B$21*(1+Assumptions!$B$25)^(14-1)))-(IF(14&lt;=Assumptions!$B$27,D$33/Assumptions!$B$27,0)))-((D$35*(1+Assumptions!$B$13)^(14-1)-D$36*(((1+Assumptions!$B$13)^(14-1)-1)/Assumptions!$B$13))*Assumptions!$B$13)),0)*Assumptions!$B$28))+(IF(14&lt;=Assumptions!$B$27,D$33/Assumptions!$B$27,0))-(D$36-((D$35*(1+Assumptions!$B$13)^(14-1)-D$36*(((1+Assumptions!$B$13)^(14-1)-1)/Assumptions!$B$13))*Assumptions!$B$13))</f>
        <v>1.38087237605572</v>
      </c>
      <c r="E52" s="25" t="n">
        <f aca="false">(((((Assumptions!$B$17*(1+E$31)*(1+Assumptions!$B$24)^(14-1))-(Assumptions!$B$21*(1+Assumptions!$B$25)^(14-1)))-(IF(14&lt;=Assumptions!$B$27,E$33/Assumptions!$B$27,0)))-((E$35*(1+Assumptions!$B$13)^(14-1)-E$36*(((1+Assumptions!$B$13)^(14-1)-1)/Assumptions!$B$13))*Assumptions!$B$13))-(MAX(((((Assumptions!$B$17*(1+E$31)*(1+Assumptions!$B$24)^(14-1))-(Assumptions!$B$21*(1+Assumptions!$B$25)^(14-1)))-(IF(14&lt;=Assumptions!$B$27,E$33/Assumptions!$B$27,0)))-((E$35*(1+Assumptions!$B$13)^(14-1)-E$36*(((1+Assumptions!$B$13)^(14-1)-1)/Assumptions!$B$13))*Assumptions!$B$13)),0)*Assumptions!$B$28))+(IF(14&lt;=Assumptions!$B$27,E$33/Assumptions!$B$27,0))-(E$36-((E$35*(1+Assumptions!$B$13)^(14-1)-E$36*(((1+Assumptions!$B$13)^(14-1)-1)/Assumptions!$B$13))*Assumptions!$B$13))</f>
        <v>0.978567860434751</v>
      </c>
      <c r="F52" s="25" t="n">
        <f aca="false">(((((Assumptions!$B$17*(1+F$31)*(1+Assumptions!$B$24)^(14-1))-(Assumptions!$B$21*(1+Assumptions!$B$25)^(14-1)))-(IF(14&lt;=Assumptions!$B$27,F$33/Assumptions!$B$27,0)))-((F$35*(1+Assumptions!$B$13)^(14-1)-F$36*(((1+Assumptions!$B$13)^(14-1)-1)/Assumptions!$B$13))*Assumptions!$B$13))-(MAX(((((Assumptions!$B$17*(1+F$31)*(1+Assumptions!$B$24)^(14-1))-(Assumptions!$B$21*(1+Assumptions!$B$25)^(14-1)))-(IF(14&lt;=Assumptions!$B$27,F$33/Assumptions!$B$27,0)))-((F$35*(1+Assumptions!$B$13)^(14-1)-F$36*(((1+Assumptions!$B$13)^(14-1)-1)/Assumptions!$B$13))*Assumptions!$B$13)),0)*Assumptions!$B$28))+(IF(14&lt;=Assumptions!$B$27,F$33/Assumptions!$B$27,0))-(F$36-((F$35*(1+Assumptions!$B$13)^(14-1)-F$36*(((1+Assumptions!$B$13)^(14-1)-1)/Assumptions!$B$13))*Assumptions!$B$13))</f>
        <v>2.58883575039927</v>
      </c>
      <c r="G52" s="25" t="n">
        <f aca="false">(((((Assumptions!$B$17*(1+G$31)*(1+Assumptions!$B$24)^(14-1))-(Assumptions!$B$21*(1+Assumptions!$B$25)^(14-1)))-(IF(14&lt;=Assumptions!$B$27,G$33/Assumptions!$B$27,0)))-((G$35*(1+Assumptions!$B$13)^(14-1)-G$36*(((1+Assumptions!$B$13)^(14-1)-1)/Assumptions!$B$13))*Assumptions!$B$13))-(MAX(((((Assumptions!$B$17*(1+G$31)*(1+Assumptions!$B$24)^(14-1))-(Assumptions!$B$21*(1+Assumptions!$B$25)^(14-1)))-(IF(14&lt;=Assumptions!$B$27,G$33/Assumptions!$B$27,0)))-((G$35*(1+Assumptions!$B$13)^(14-1)-G$36*(((1+Assumptions!$B$13)^(14-1)-1)/Assumptions!$B$13))*Assumptions!$B$13)),0)*Assumptions!$B$28))+(IF(14&lt;=Assumptions!$B$27,G$33/Assumptions!$B$27,0))-(G$36-((G$35*(1+Assumptions!$B$13)^(14-1)-G$36*(((1+Assumptions!$B$13)^(14-1)-1)/Assumptions!$B$13))*Assumptions!$B$13))</f>
        <v>2.1865312347783</v>
      </c>
      <c r="H52" s="25" t="n">
        <f aca="false">(((((Assumptions!$B$17*(1+H$31)*(1+Assumptions!$B$24)^(14-1))-(Assumptions!$B$21*(1+Assumptions!$B$25)^(14-1)))-(IF(14&lt;=Assumptions!$B$27,H$33/Assumptions!$B$27,0)))-((H$35*(1+Assumptions!$B$13)^(14-1)-H$36*(((1+Assumptions!$B$13)^(14-1)-1)/Assumptions!$B$13))*Assumptions!$B$13))-(MAX(((((Assumptions!$B$17*(1+H$31)*(1+Assumptions!$B$24)^(14-1))-(Assumptions!$B$21*(1+Assumptions!$B$25)^(14-1)))-(IF(14&lt;=Assumptions!$B$27,H$33/Assumptions!$B$27,0)))-((H$35*(1+Assumptions!$B$13)^(14-1)-H$36*(((1+Assumptions!$B$13)^(14-1)-1)/Assumptions!$B$13))*Assumptions!$B$13)),0)*Assumptions!$B$28))+(IF(14&lt;=Assumptions!$B$27,H$33/Assumptions!$B$27,0))-(H$36-((H$35*(1+Assumptions!$B$13)^(14-1)-H$36*(((1+Assumptions!$B$13)^(14-1)-1)/Assumptions!$B$13))*Assumptions!$B$13))</f>
        <v>1.78422671915734</v>
      </c>
      <c r="I52" s="25" t="n">
        <f aca="false">(((((Assumptions!$B$17*(1+I$31)*(1+Assumptions!$B$24)^(14-1))-(Assumptions!$B$21*(1+Assumptions!$B$25)^(14-1)))-(IF(14&lt;=Assumptions!$B$27,I$33/Assumptions!$B$27,0)))-((I$35*(1+Assumptions!$B$13)^(14-1)-I$36*(((1+Assumptions!$B$13)^(14-1)-1)/Assumptions!$B$13))*Assumptions!$B$13))-(MAX(((((Assumptions!$B$17*(1+I$31)*(1+Assumptions!$B$24)^(14-1))-(Assumptions!$B$21*(1+Assumptions!$B$25)^(14-1)))-(IF(14&lt;=Assumptions!$B$27,I$33/Assumptions!$B$27,0)))-((I$35*(1+Assumptions!$B$13)^(14-1)-I$36*(((1+Assumptions!$B$13)^(14-1)-1)/Assumptions!$B$13))*Assumptions!$B$13)),0)*Assumptions!$B$28))+(IF(14&lt;=Assumptions!$B$27,I$33/Assumptions!$B$27,0))-(I$36-((I$35*(1+Assumptions!$B$13)^(14-1)-I$36*(((1+Assumptions!$B$13)^(14-1)-1)/Assumptions!$B$13))*Assumptions!$B$13))</f>
        <v>3.39449460912185</v>
      </c>
      <c r="J52" s="25" t="n">
        <f aca="false">(((((Assumptions!$B$17*(1+J$31)*(1+Assumptions!$B$24)^(14-1))-(Assumptions!$B$21*(1+Assumptions!$B$25)^(14-1)))-(IF(14&lt;=Assumptions!$B$27,J$33/Assumptions!$B$27,0)))-((J$35*(1+Assumptions!$B$13)^(14-1)-J$36*(((1+Assumptions!$B$13)^(14-1)-1)/Assumptions!$B$13))*Assumptions!$B$13))-(MAX(((((Assumptions!$B$17*(1+J$31)*(1+Assumptions!$B$24)^(14-1))-(Assumptions!$B$21*(1+Assumptions!$B$25)^(14-1)))-(IF(14&lt;=Assumptions!$B$27,J$33/Assumptions!$B$27,0)))-((J$35*(1+Assumptions!$B$13)^(14-1)-J$36*(((1+Assumptions!$B$13)^(14-1)-1)/Assumptions!$B$13))*Assumptions!$B$13)),0)*Assumptions!$B$28))+(IF(14&lt;=Assumptions!$B$27,J$33/Assumptions!$B$27,0))-(J$36-((J$35*(1+Assumptions!$B$13)^(14-1)-J$36*(((1+Assumptions!$B$13)^(14-1)-1)/Assumptions!$B$13))*Assumptions!$B$13))</f>
        <v>2.99219009350088</v>
      </c>
      <c r="K52" s="25" t="n">
        <f aca="false">(((((Assumptions!$B$17*(1+K$31)*(1+Assumptions!$B$24)^(14-1))-(Assumptions!$B$21*(1+Assumptions!$B$25)^(14-1)))-(IF(14&lt;=Assumptions!$B$27,K$33/Assumptions!$B$27,0)))-((K$35*(1+Assumptions!$B$13)^(14-1)-K$36*(((1+Assumptions!$B$13)^(14-1)-1)/Assumptions!$B$13))*Assumptions!$B$13))-(MAX(((((Assumptions!$B$17*(1+K$31)*(1+Assumptions!$B$24)^(14-1))-(Assumptions!$B$21*(1+Assumptions!$B$25)^(14-1)))-(IF(14&lt;=Assumptions!$B$27,K$33/Assumptions!$B$27,0)))-((K$35*(1+Assumptions!$B$13)^(14-1)-K$36*(((1+Assumptions!$B$13)^(14-1)-1)/Assumptions!$B$13))*Assumptions!$B$13)),0)*Assumptions!$B$28))+(IF(14&lt;=Assumptions!$B$27,K$33/Assumptions!$B$27,0))-(K$36-((K$35*(1+Assumptions!$B$13)^(14-1)-K$36*(((1+Assumptions!$B$13)^(14-1)-1)/Assumptions!$B$13))*Assumptions!$B$13))</f>
        <v>2.58988557787992</v>
      </c>
      <c r="L52" s="25" t="n">
        <f aca="false">(((((Assumptions!$B$17*(1+L$31)*(1+Assumptions!$B$24)^(14-1))-(Assumptions!$B$21*(1+Assumptions!$B$25)^(14-1)))-(IF(14&lt;=Assumptions!$B$27,L$33/Assumptions!$B$27,0)))-((L$35*(1+Assumptions!$B$13)^(14-1)-L$36*(((1+Assumptions!$B$13)^(14-1)-1)/Assumptions!$B$13))*Assumptions!$B$13))-(MAX(((((Assumptions!$B$17*(1+L$31)*(1+Assumptions!$B$24)^(14-1))-(Assumptions!$B$21*(1+Assumptions!$B$25)^(14-1)))-(IF(14&lt;=Assumptions!$B$27,L$33/Assumptions!$B$27,0)))-((L$35*(1+Assumptions!$B$13)^(14-1)-L$36*(((1+Assumptions!$B$13)^(14-1)-1)/Assumptions!$B$13))*Assumptions!$B$13)),0)*Assumptions!$B$28))+(IF(14&lt;=Assumptions!$B$27,L$33/Assumptions!$B$27,0))-(L$36-((L$35*(1+Assumptions!$B$13)^(14-1)-L$36*(((1+Assumptions!$B$13)^(14-1)-1)/Assumptions!$B$13))*Assumptions!$B$13))</f>
        <v>4.20015346784443</v>
      </c>
      <c r="M52" s="25" t="n">
        <f aca="false">(((((Assumptions!$B$17*(1+M$31)*(1+Assumptions!$B$24)^(14-1))-(Assumptions!$B$21*(1+Assumptions!$B$25)^(14-1)))-(IF(14&lt;=Assumptions!$B$27,M$33/Assumptions!$B$27,0)))-((M$35*(1+Assumptions!$B$13)^(14-1)-M$36*(((1+Assumptions!$B$13)^(14-1)-1)/Assumptions!$B$13))*Assumptions!$B$13))-(MAX(((((Assumptions!$B$17*(1+M$31)*(1+Assumptions!$B$24)^(14-1))-(Assumptions!$B$21*(1+Assumptions!$B$25)^(14-1)))-(IF(14&lt;=Assumptions!$B$27,M$33/Assumptions!$B$27,0)))-((M$35*(1+Assumptions!$B$13)^(14-1)-M$36*(((1+Assumptions!$B$13)^(14-1)-1)/Assumptions!$B$13))*Assumptions!$B$13)),0)*Assumptions!$B$28))+(IF(14&lt;=Assumptions!$B$27,M$33/Assumptions!$B$27,0))-(M$36-((M$35*(1+Assumptions!$B$13)^(14-1)-M$36*(((1+Assumptions!$B$13)^(14-1)-1)/Assumptions!$B$13))*Assumptions!$B$13))</f>
        <v>3.79784895222347</v>
      </c>
      <c r="N52" s="25" t="n">
        <f aca="false">(((((Assumptions!$B$17*(1+N$31)*(1+Assumptions!$B$24)^(14-1))-(Assumptions!$B$21*(1+Assumptions!$B$25)^(14-1)))-(IF(14&lt;=Assumptions!$B$27,N$33/Assumptions!$B$27,0)))-((N$35*(1+Assumptions!$B$13)^(14-1)-N$36*(((1+Assumptions!$B$13)^(14-1)-1)/Assumptions!$B$13))*Assumptions!$B$13))-(MAX(((((Assumptions!$B$17*(1+N$31)*(1+Assumptions!$B$24)^(14-1))-(Assumptions!$B$21*(1+Assumptions!$B$25)^(14-1)))-(IF(14&lt;=Assumptions!$B$27,N$33/Assumptions!$B$27,0)))-((N$35*(1+Assumptions!$B$13)^(14-1)-N$36*(((1+Assumptions!$B$13)^(14-1)-1)/Assumptions!$B$13))*Assumptions!$B$13)),0)*Assumptions!$B$28))+(IF(14&lt;=Assumptions!$B$27,N$33/Assumptions!$B$27,0))-(N$36-((N$35*(1+Assumptions!$B$13)^(14-1)-N$36*(((1+Assumptions!$B$13)^(14-1)-1)/Assumptions!$B$13))*Assumptions!$B$13))</f>
        <v>3.3955444366025</v>
      </c>
      <c r="O52" s="25" t="n">
        <f aca="false">(((((Assumptions!$B$17*(1+O$31)*(1+Assumptions!$B$24)^(14-1))-(Assumptions!$B$21*(1+Assumptions!$B$25)^(14-1)))-(IF(14&lt;=Assumptions!$B$27,O$33/Assumptions!$B$27,0)))-((O$35*(1+Assumptions!$B$13)^(14-1)-O$36*(((1+Assumptions!$B$13)^(14-1)-1)/Assumptions!$B$13))*Assumptions!$B$13))-(MAX(((((Assumptions!$B$17*(1+O$31)*(1+Assumptions!$B$24)^(14-1))-(Assumptions!$B$21*(1+Assumptions!$B$25)^(14-1)))-(IF(14&lt;=Assumptions!$B$27,O$33/Assumptions!$B$27,0)))-((O$35*(1+Assumptions!$B$13)^(14-1)-O$36*(((1+Assumptions!$B$13)^(14-1)-1)/Assumptions!$B$13))*Assumptions!$B$13)),0)*Assumptions!$B$28))+(IF(14&lt;=Assumptions!$B$27,O$33/Assumptions!$B$27,0))-(O$36-((O$35*(1+Assumptions!$B$13)^(14-1)-O$36*(((1+Assumptions!$B$13)^(14-1)-1)/Assumptions!$B$13))*Assumptions!$B$13))</f>
        <v>5.00581232656702</v>
      </c>
      <c r="P52" s="25" t="n">
        <f aca="false">(((((Assumptions!$B$17*(1+P$31)*(1+Assumptions!$B$24)^(14-1))-(Assumptions!$B$21*(1+Assumptions!$B$25)^(14-1)))-(IF(14&lt;=Assumptions!$B$27,P$33/Assumptions!$B$27,0)))-((P$35*(1+Assumptions!$B$13)^(14-1)-P$36*(((1+Assumptions!$B$13)^(14-1)-1)/Assumptions!$B$13))*Assumptions!$B$13))-(MAX(((((Assumptions!$B$17*(1+P$31)*(1+Assumptions!$B$24)^(14-1))-(Assumptions!$B$21*(1+Assumptions!$B$25)^(14-1)))-(IF(14&lt;=Assumptions!$B$27,P$33/Assumptions!$B$27,0)))-((P$35*(1+Assumptions!$B$13)^(14-1)-P$36*(((1+Assumptions!$B$13)^(14-1)-1)/Assumptions!$B$13))*Assumptions!$B$13)),0)*Assumptions!$B$28))+(IF(14&lt;=Assumptions!$B$27,P$33/Assumptions!$B$27,0))-(P$36-((P$35*(1+Assumptions!$B$13)^(14-1)-P$36*(((1+Assumptions!$B$13)^(14-1)-1)/Assumptions!$B$13))*Assumptions!$B$13))</f>
        <v>4.60350781094605</v>
      </c>
      <c r="Q52" s="25" t="n">
        <f aca="false">(((((Assumptions!$B$17*(1+Q$31)*(1+Assumptions!$B$24)^(14-1))-(Assumptions!$B$21*(1+Assumptions!$B$25)^(14-1)))-(IF(14&lt;=Assumptions!$B$27,Q$33/Assumptions!$B$27,0)))-((Q$35*(1+Assumptions!$B$13)^(14-1)-Q$36*(((1+Assumptions!$B$13)^(14-1)-1)/Assumptions!$B$13))*Assumptions!$B$13))-(MAX(((((Assumptions!$B$17*(1+Q$31)*(1+Assumptions!$B$24)^(14-1))-(Assumptions!$B$21*(1+Assumptions!$B$25)^(14-1)))-(IF(14&lt;=Assumptions!$B$27,Q$33/Assumptions!$B$27,0)))-((Q$35*(1+Assumptions!$B$13)^(14-1)-Q$36*(((1+Assumptions!$B$13)^(14-1)-1)/Assumptions!$B$13))*Assumptions!$B$13)),0)*Assumptions!$B$28))+(IF(14&lt;=Assumptions!$B$27,Q$33/Assumptions!$B$27,0))-(Q$36-((Q$35*(1+Assumptions!$B$13)^(14-1)-Q$36*(((1+Assumptions!$B$13)^(14-1)-1)/Assumptions!$B$13))*Assumptions!$B$13))</f>
        <v>4.20120329532509</v>
      </c>
    </row>
    <row r="53" customFormat="false" ht="15" hidden="false" customHeight="false" outlineLevel="0" collapsed="false">
      <c r="A53" s="7" t="n">
        <v>15</v>
      </c>
      <c r="C53" s="25" t="n">
        <f aca="false">(((((Assumptions!$B$17*(1+C$31)*(1+Assumptions!$B$24)^(15-1))-(Assumptions!$B$21*(1+Assumptions!$B$25)^(15-1)))-(IF(15&lt;=Assumptions!$B$27,C$33/Assumptions!$B$27,0)))-((C$35*(1+Assumptions!$B$13)^(15-1)-C$36*(((1+Assumptions!$B$13)^(15-1)-1)/Assumptions!$B$13))*Assumptions!$B$13))-(MAX(((((Assumptions!$B$17*(1+C$31)*(1+Assumptions!$B$24)^(15-1))-(Assumptions!$B$21*(1+Assumptions!$B$25)^(15-1)))-(IF(15&lt;=Assumptions!$B$27,C$33/Assumptions!$B$27,0)))-((C$35*(1+Assumptions!$B$13)^(15-1)-C$36*(((1+Assumptions!$B$13)^(15-1)-1)/Assumptions!$B$13))*Assumptions!$B$13)),0)*Assumptions!$B$28))+(IF(15&lt;=Assumptions!$B$27,C$33/Assumptions!$B$27,0))-(C$36-((C$35*(1+Assumptions!$B$13)^(15-1)-C$36*(((1+Assumptions!$B$13)^(15-1)-1)/Assumptions!$B$13))*Assumptions!$B$13))</f>
        <v>1.71411754763831</v>
      </c>
      <c r="D53" s="25" t="n">
        <f aca="false">(((((Assumptions!$B$17*(1+D$31)*(1+Assumptions!$B$24)^(15-1))-(Assumptions!$B$21*(1+Assumptions!$B$25)^(15-1)))-(IF(15&lt;=Assumptions!$B$27,D$33/Assumptions!$B$27,0)))-((D$35*(1+Assumptions!$B$13)^(15-1)-D$36*(((1+Assumptions!$B$13)^(15-1)-1)/Assumptions!$B$13))*Assumptions!$B$13))-(MAX(((((Assumptions!$B$17*(1+D$31)*(1+Assumptions!$B$24)^(15-1))-(Assumptions!$B$21*(1+Assumptions!$B$25)^(15-1)))-(IF(15&lt;=Assumptions!$B$27,D$33/Assumptions!$B$27,0)))-((D$35*(1+Assumptions!$B$13)^(15-1)-D$36*(((1+Assumptions!$B$13)^(15-1)-1)/Assumptions!$B$13))*Assumptions!$B$13)),0)*Assumptions!$B$28))+(IF(15&lt;=Assumptions!$B$27,D$33/Assumptions!$B$27,0))-(D$36-((D$35*(1+Assumptions!$B$13)^(15-1)-D$36*(((1+Assumptions!$B$13)^(15-1)-1)/Assumptions!$B$13))*Assumptions!$B$13))</f>
        <v>1.30931845492746</v>
      </c>
      <c r="E53" s="25" t="n">
        <f aca="false">(((((Assumptions!$B$17*(1+E$31)*(1+Assumptions!$B$24)^(15-1))-(Assumptions!$B$21*(1+Assumptions!$B$25)^(15-1)))-(IF(15&lt;=Assumptions!$B$27,E$33/Assumptions!$B$27,0)))-((E$35*(1+Assumptions!$B$13)^(15-1)-E$36*(((1+Assumptions!$B$13)^(15-1)-1)/Assumptions!$B$13))*Assumptions!$B$13))-(MAX(((((Assumptions!$B$17*(1+E$31)*(1+Assumptions!$B$24)^(15-1))-(Assumptions!$B$21*(1+Assumptions!$B$25)^(15-1)))-(IF(15&lt;=Assumptions!$B$27,E$33/Assumptions!$B$27,0)))-((E$35*(1+Assumptions!$B$13)^(15-1)-E$36*(((1+Assumptions!$B$13)^(15-1)-1)/Assumptions!$B$13))*Assumptions!$B$13)),0)*Assumptions!$B$28))+(IF(15&lt;=Assumptions!$B$27,E$33/Assumptions!$B$27,0))-(E$36-((E$35*(1+Assumptions!$B$13)^(15-1)-E$36*(((1+Assumptions!$B$13)^(15-1)-1)/Assumptions!$B$13))*Assumptions!$B$13))</f>
        <v>0.904519362216618</v>
      </c>
      <c r="F53" s="25" t="n">
        <f aca="false">(((((Assumptions!$B$17*(1+F$31)*(1+Assumptions!$B$24)^(15-1))-(Assumptions!$B$21*(1+Assumptions!$B$25)^(15-1)))-(IF(15&lt;=Assumptions!$B$27,F$33/Assumptions!$B$27,0)))-((F$35*(1+Assumptions!$B$13)^(15-1)-F$36*(((1+Assumptions!$B$13)^(15-1)-1)/Assumptions!$B$13))*Assumptions!$B$13))-(MAX(((((Assumptions!$B$17*(1+F$31)*(1+Assumptions!$B$24)^(15-1))-(Assumptions!$B$21*(1+Assumptions!$B$25)^(15-1)))-(IF(15&lt;=Assumptions!$B$27,F$33/Assumptions!$B$27,0)))-((F$35*(1+Assumptions!$B$13)^(15-1)-F$36*(((1+Assumptions!$B$13)^(15-1)-1)/Assumptions!$B$13))*Assumptions!$B$13)),0)*Assumptions!$B$28))+(IF(15&lt;=Assumptions!$B$27,F$33/Assumptions!$B$27,0))-(F$36-((F$35*(1+Assumptions!$B$13)^(15-1)-F$36*(((1+Assumptions!$B$13)^(15-1)-1)/Assumptions!$B$13))*Assumptions!$B$13))</f>
        <v>2.51655377092601</v>
      </c>
      <c r="G53" s="25" t="n">
        <f aca="false">(((((Assumptions!$B$17*(1+G$31)*(1+Assumptions!$B$24)^(15-1))-(Assumptions!$B$21*(1+Assumptions!$B$25)^(15-1)))-(IF(15&lt;=Assumptions!$B$27,G$33/Assumptions!$B$27,0)))-((G$35*(1+Assumptions!$B$13)^(15-1)-G$36*(((1+Assumptions!$B$13)^(15-1)-1)/Assumptions!$B$13))*Assumptions!$B$13))-(MAX(((((Assumptions!$B$17*(1+G$31)*(1+Assumptions!$B$24)^(15-1))-(Assumptions!$B$21*(1+Assumptions!$B$25)^(15-1)))-(IF(15&lt;=Assumptions!$B$27,G$33/Assumptions!$B$27,0)))-((G$35*(1+Assumptions!$B$13)^(15-1)-G$36*(((1+Assumptions!$B$13)^(15-1)-1)/Assumptions!$B$13))*Assumptions!$B$13)),0)*Assumptions!$B$28))+(IF(15&lt;=Assumptions!$B$27,G$33/Assumptions!$B$27,0))-(G$36-((G$35*(1+Assumptions!$B$13)^(15-1)-G$36*(((1+Assumptions!$B$13)^(15-1)-1)/Assumptions!$B$13))*Assumptions!$B$13))</f>
        <v>2.11175467821516</v>
      </c>
      <c r="H53" s="25" t="n">
        <f aca="false">(((((Assumptions!$B$17*(1+H$31)*(1+Assumptions!$B$24)^(15-1))-(Assumptions!$B$21*(1+Assumptions!$B$25)^(15-1)))-(IF(15&lt;=Assumptions!$B$27,H$33/Assumptions!$B$27,0)))-((H$35*(1+Assumptions!$B$13)^(15-1)-H$36*(((1+Assumptions!$B$13)^(15-1)-1)/Assumptions!$B$13))*Assumptions!$B$13))-(MAX(((((Assumptions!$B$17*(1+H$31)*(1+Assumptions!$B$24)^(15-1))-(Assumptions!$B$21*(1+Assumptions!$B$25)^(15-1)))-(IF(15&lt;=Assumptions!$B$27,H$33/Assumptions!$B$27,0)))-((H$35*(1+Assumptions!$B$13)^(15-1)-H$36*(((1+Assumptions!$B$13)^(15-1)-1)/Assumptions!$B$13))*Assumptions!$B$13)),0)*Assumptions!$B$28))+(IF(15&lt;=Assumptions!$B$27,H$33/Assumptions!$B$27,0))-(H$36-((H$35*(1+Assumptions!$B$13)^(15-1)-H$36*(((1+Assumptions!$B$13)^(15-1)-1)/Assumptions!$B$13))*Assumptions!$B$13))</f>
        <v>1.70695558550431</v>
      </c>
      <c r="I53" s="25" t="n">
        <f aca="false">(((((Assumptions!$B$17*(1+I$31)*(1+Assumptions!$B$24)^(15-1))-(Assumptions!$B$21*(1+Assumptions!$B$25)^(15-1)))-(IF(15&lt;=Assumptions!$B$27,I$33/Assumptions!$B$27,0)))-((I$35*(1+Assumptions!$B$13)^(15-1)-I$36*(((1+Assumptions!$B$13)^(15-1)-1)/Assumptions!$B$13))*Assumptions!$B$13))-(MAX(((((Assumptions!$B$17*(1+I$31)*(1+Assumptions!$B$24)^(15-1))-(Assumptions!$B$21*(1+Assumptions!$B$25)^(15-1)))-(IF(15&lt;=Assumptions!$B$27,I$33/Assumptions!$B$27,0)))-((I$35*(1+Assumptions!$B$13)^(15-1)-I$36*(((1+Assumptions!$B$13)^(15-1)-1)/Assumptions!$B$13))*Assumptions!$B$13)),0)*Assumptions!$B$28))+(IF(15&lt;=Assumptions!$B$27,I$33/Assumptions!$B$27,0))-(I$36-((I$35*(1+Assumptions!$B$13)^(15-1)-I$36*(((1+Assumptions!$B$13)^(15-1)-1)/Assumptions!$B$13))*Assumptions!$B$13))</f>
        <v>3.3189899942137</v>
      </c>
      <c r="J53" s="25" t="n">
        <f aca="false">(((((Assumptions!$B$17*(1+J$31)*(1+Assumptions!$B$24)^(15-1))-(Assumptions!$B$21*(1+Assumptions!$B$25)^(15-1)))-(IF(15&lt;=Assumptions!$B$27,J$33/Assumptions!$B$27,0)))-((J$35*(1+Assumptions!$B$13)^(15-1)-J$36*(((1+Assumptions!$B$13)^(15-1)-1)/Assumptions!$B$13))*Assumptions!$B$13))-(MAX(((((Assumptions!$B$17*(1+J$31)*(1+Assumptions!$B$24)^(15-1))-(Assumptions!$B$21*(1+Assumptions!$B$25)^(15-1)))-(IF(15&lt;=Assumptions!$B$27,J$33/Assumptions!$B$27,0)))-((J$35*(1+Assumptions!$B$13)^(15-1)-J$36*(((1+Assumptions!$B$13)^(15-1)-1)/Assumptions!$B$13))*Assumptions!$B$13)),0)*Assumptions!$B$28))+(IF(15&lt;=Assumptions!$B$27,J$33/Assumptions!$B$27,0))-(J$36-((J$35*(1+Assumptions!$B$13)^(15-1)-J$36*(((1+Assumptions!$B$13)^(15-1)-1)/Assumptions!$B$13))*Assumptions!$B$13))</f>
        <v>2.91419090150285</v>
      </c>
      <c r="K53" s="25" t="n">
        <f aca="false">(((((Assumptions!$B$17*(1+K$31)*(1+Assumptions!$B$24)^(15-1))-(Assumptions!$B$21*(1+Assumptions!$B$25)^(15-1)))-(IF(15&lt;=Assumptions!$B$27,K$33/Assumptions!$B$27,0)))-((K$35*(1+Assumptions!$B$13)^(15-1)-K$36*(((1+Assumptions!$B$13)^(15-1)-1)/Assumptions!$B$13))*Assumptions!$B$13))-(MAX(((((Assumptions!$B$17*(1+K$31)*(1+Assumptions!$B$24)^(15-1))-(Assumptions!$B$21*(1+Assumptions!$B$25)^(15-1)))-(IF(15&lt;=Assumptions!$B$27,K$33/Assumptions!$B$27,0)))-((K$35*(1+Assumptions!$B$13)^(15-1)-K$36*(((1+Assumptions!$B$13)^(15-1)-1)/Assumptions!$B$13))*Assumptions!$B$13)),0)*Assumptions!$B$28))+(IF(15&lt;=Assumptions!$B$27,K$33/Assumptions!$B$27,0))-(K$36-((K$35*(1+Assumptions!$B$13)^(15-1)-K$36*(((1+Assumptions!$B$13)^(15-1)-1)/Assumptions!$B$13))*Assumptions!$B$13))</f>
        <v>2.50939180879201</v>
      </c>
      <c r="L53" s="25" t="n">
        <f aca="false">(((((Assumptions!$B$17*(1+L$31)*(1+Assumptions!$B$24)^(15-1))-(Assumptions!$B$21*(1+Assumptions!$B$25)^(15-1)))-(IF(15&lt;=Assumptions!$B$27,L$33/Assumptions!$B$27,0)))-((L$35*(1+Assumptions!$B$13)^(15-1)-L$36*(((1+Assumptions!$B$13)^(15-1)-1)/Assumptions!$B$13))*Assumptions!$B$13))-(MAX(((((Assumptions!$B$17*(1+L$31)*(1+Assumptions!$B$24)^(15-1))-(Assumptions!$B$21*(1+Assumptions!$B$25)^(15-1)))-(IF(15&lt;=Assumptions!$B$27,L$33/Assumptions!$B$27,0)))-((L$35*(1+Assumptions!$B$13)^(15-1)-L$36*(((1+Assumptions!$B$13)^(15-1)-1)/Assumptions!$B$13))*Assumptions!$B$13)),0)*Assumptions!$B$28))+(IF(15&lt;=Assumptions!$B$27,L$33/Assumptions!$B$27,0))-(L$36-((L$35*(1+Assumptions!$B$13)^(15-1)-L$36*(((1+Assumptions!$B$13)^(15-1)-1)/Assumptions!$B$13))*Assumptions!$B$13))</f>
        <v>4.12142621750139</v>
      </c>
      <c r="M53" s="25" t="n">
        <f aca="false">(((((Assumptions!$B$17*(1+M$31)*(1+Assumptions!$B$24)^(15-1))-(Assumptions!$B$21*(1+Assumptions!$B$25)^(15-1)))-(IF(15&lt;=Assumptions!$B$27,M$33/Assumptions!$B$27,0)))-((M$35*(1+Assumptions!$B$13)^(15-1)-M$36*(((1+Assumptions!$B$13)^(15-1)-1)/Assumptions!$B$13))*Assumptions!$B$13))-(MAX(((((Assumptions!$B$17*(1+M$31)*(1+Assumptions!$B$24)^(15-1))-(Assumptions!$B$21*(1+Assumptions!$B$25)^(15-1)))-(IF(15&lt;=Assumptions!$B$27,M$33/Assumptions!$B$27,0)))-((M$35*(1+Assumptions!$B$13)^(15-1)-M$36*(((1+Assumptions!$B$13)^(15-1)-1)/Assumptions!$B$13))*Assumptions!$B$13)),0)*Assumptions!$B$28))+(IF(15&lt;=Assumptions!$B$27,M$33/Assumptions!$B$27,0))-(M$36-((M$35*(1+Assumptions!$B$13)^(15-1)-M$36*(((1+Assumptions!$B$13)^(15-1)-1)/Assumptions!$B$13))*Assumptions!$B$13))</f>
        <v>3.71662712479055</v>
      </c>
      <c r="N53" s="25" t="n">
        <f aca="false">(((((Assumptions!$B$17*(1+N$31)*(1+Assumptions!$B$24)^(15-1))-(Assumptions!$B$21*(1+Assumptions!$B$25)^(15-1)))-(IF(15&lt;=Assumptions!$B$27,N$33/Assumptions!$B$27,0)))-((N$35*(1+Assumptions!$B$13)^(15-1)-N$36*(((1+Assumptions!$B$13)^(15-1)-1)/Assumptions!$B$13))*Assumptions!$B$13))-(MAX(((((Assumptions!$B$17*(1+N$31)*(1+Assumptions!$B$24)^(15-1))-(Assumptions!$B$21*(1+Assumptions!$B$25)^(15-1)))-(IF(15&lt;=Assumptions!$B$27,N$33/Assumptions!$B$27,0)))-((N$35*(1+Assumptions!$B$13)^(15-1)-N$36*(((1+Assumptions!$B$13)^(15-1)-1)/Assumptions!$B$13))*Assumptions!$B$13)),0)*Assumptions!$B$28))+(IF(15&lt;=Assumptions!$B$27,N$33/Assumptions!$B$27,0))-(N$36-((N$35*(1+Assumptions!$B$13)^(15-1)-N$36*(((1+Assumptions!$B$13)^(15-1)-1)/Assumptions!$B$13))*Assumptions!$B$13))</f>
        <v>3.3118280320797</v>
      </c>
      <c r="O53" s="25" t="n">
        <f aca="false">(((((Assumptions!$B$17*(1+O$31)*(1+Assumptions!$B$24)^(15-1))-(Assumptions!$B$21*(1+Assumptions!$B$25)^(15-1)))-(IF(15&lt;=Assumptions!$B$27,O$33/Assumptions!$B$27,0)))-((O$35*(1+Assumptions!$B$13)^(15-1)-O$36*(((1+Assumptions!$B$13)^(15-1)-1)/Assumptions!$B$13))*Assumptions!$B$13))-(MAX(((((Assumptions!$B$17*(1+O$31)*(1+Assumptions!$B$24)^(15-1))-(Assumptions!$B$21*(1+Assumptions!$B$25)^(15-1)))-(IF(15&lt;=Assumptions!$B$27,O$33/Assumptions!$B$27,0)))-((O$35*(1+Assumptions!$B$13)^(15-1)-O$36*(((1+Assumptions!$B$13)^(15-1)-1)/Assumptions!$B$13))*Assumptions!$B$13)),0)*Assumptions!$B$28))+(IF(15&lt;=Assumptions!$B$27,O$33/Assumptions!$B$27,0))-(O$36-((O$35*(1+Assumptions!$B$13)^(15-1)-O$36*(((1+Assumptions!$B$13)^(15-1)-1)/Assumptions!$B$13))*Assumptions!$B$13))</f>
        <v>4.92386244078909</v>
      </c>
      <c r="P53" s="25" t="n">
        <f aca="false">(((((Assumptions!$B$17*(1+P$31)*(1+Assumptions!$B$24)^(15-1))-(Assumptions!$B$21*(1+Assumptions!$B$25)^(15-1)))-(IF(15&lt;=Assumptions!$B$27,P$33/Assumptions!$B$27,0)))-((P$35*(1+Assumptions!$B$13)^(15-1)-P$36*(((1+Assumptions!$B$13)^(15-1)-1)/Assumptions!$B$13))*Assumptions!$B$13))-(MAX(((((Assumptions!$B$17*(1+P$31)*(1+Assumptions!$B$24)^(15-1))-(Assumptions!$B$21*(1+Assumptions!$B$25)^(15-1)))-(IF(15&lt;=Assumptions!$B$27,P$33/Assumptions!$B$27,0)))-((P$35*(1+Assumptions!$B$13)^(15-1)-P$36*(((1+Assumptions!$B$13)^(15-1)-1)/Assumptions!$B$13))*Assumptions!$B$13)),0)*Assumptions!$B$28))+(IF(15&lt;=Assumptions!$B$27,P$33/Assumptions!$B$27,0))-(P$36-((P$35*(1+Assumptions!$B$13)^(15-1)-P$36*(((1+Assumptions!$B$13)^(15-1)-1)/Assumptions!$B$13))*Assumptions!$B$13))</f>
        <v>4.51906334807824</v>
      </c>
      <c r="Q53" s="25" t="n">
        <f aca="false">(((((Assumptions!$B$17*(1+Q$31)*(1+Assumptions!$B$24)^(15-1))-(Assumptions!$B$21*(1+Assumptions!$B$25)^(15-1)))-(IF(15&lt;=Assumptions!$B$27,Q$33/Assumptions!$B$27,0)))-((Q$35*(1+Assumptions!$B$13)^(15-1)-Q$36*(((1+Assumptions!$B$13)^(15-1)-1)/Assumptions!$B$13))*Assumptions!$B$13))-(MAX(((((Assumptions!$B$17*(1+Q$31)*(1+Assumptions!$B$24)^(15-1))-(Assumptions!$B$21*(1+Assumptions!$B$25)^(15-1)))-(IF(15&lt;=Assumptions!$B$27,Q$33/Assumptions!$B$27,0)))-((Q$35*(1+Assumptions!$B$13)^(15-1)-Q$36*(((1+Assumptions!$B$13)^(15-1)-1)/Assumptions!$B$13))*Assumptions!$B$13)),0)*Assumptions!$B$28))+(IF(15&lt;=Assumptions!$B$27,Q$33/Assumptions!$B$27,0))-(Q$36-((Q$35*(1+Assumptions!$B$13)^(15-1)-Q$36*(((1+Assumptions!$B$13)^(15-1)-1)/Assumptions!$B$13))*Assumptions!$B$13))</f>
        <v>4.11426425536739</v>
      </c>
    </row>
    <row r="54" customFormat="false" ht="15" hidden="false" customHeight="false" outlineLevel="0" collapsed="false">
      <c r="A54" s="7" t="n">
        <v>16</v>
      </c>
      <c r="C54" s="25" t="n">
        <f aca="false">(((((Assumptions!$B$17*(1+C$31)*(1+Assumptions!$B$24)^(16-1))-(Assumptions!$B$21*(1+Assumptions!$B$25)^(16-1)))-(IF(16&lt;=Assumptions!$B$27,C$33/Assumptions!$B$27,0)))-0)-(MAX(((((Assumptions!$B$17*(1+C$31)*(1+Assumptions!$B$24)^(16-1))-(Assumptions!$B$21*(1+Assumptions!$B$25)^(16-1)))-(IF(16&lt;=Assumptions!$B$27,C$33/Assumptions!$B$27,0)))-0),0)*Assumptions!$B$28))+(IF(16&lt;=Assumptions!$B$27,C$33/Assumptions!$B$27,0))-0</f>
        <v>5.60401281480542</v>
      </c>
      <c r="D54" s="25" t="n">
        <f aca="false">(((((Assumptions!$B$17*(1+D$31)*(1+Assumptions!$B$24)^(16-1))-(Assumptions!$B$21*(1+Assumptions!$B$25)^(16-1)))-(IF(16&lt;=Assumptions!$B$27,D$33/Assumptions!$B$27,0)))-0)-(MAX(((((Assumptions!$B$17*(1+D$31)*(1+Assumptions!$B$24)^(16-1))-(Assumptions!$B$21*(1+Assumptions!$B$25)^(16-1)))-(IF(16&lt;=Assumptions!$B$27,D$33/Assumptions!$B$27,0)))-0),0)*Assumptions!$B$28))+(IF(16&lt;=Assumptions!$B$27,D$33/Assumptions!$B$27,0))-0</f>
        <v>5.63663781480542</v>
      </c>
      <c r="E54" s="25" t="n">
        <f aca="false">(((((Assumptions!$B$17*(1+E$31)*(1+Assumptions!$B$24)^(16-1))-(Assumptions!$B$21*(1+Assumptions!$B$25)^(16-1)))-(IF(16&lt;=Assumptions!$B$27,E$33/Assumptions!$B$27,0)))-0)-(MAX(((((Assumptions!$B$17*(1+E$31)*(1+Assumptions!$B$24)^(16-1))-(Assumptions!$B$21*(1+Assumptions!$B$25)^(16-1)))-(IF(16&lt;=Assumptions!$B$27,E$33/Assumptions!$B$27,0)))-0),0)*Assumptions!$B$28))+(IF(16&lt;=Assumptions!$B$27,E$33/Assumptions!$B$27,0))-0</f>
        <v>5.66926281480542</v>
      </c>
      <c r="F54" s="25" t="n">
        <f aca="false">(((((Assumptions!$B$17*(1+F$31)*(1+Assumptions!$B$24)^(16-1))-(Assumptions!$B$21*(1+Assumptions!$B$25)^(16-1)))-(IF(16&lt;=Assumptions!$B$27,F$33/Assumptions!$B$27,0)))-0)-(MAX(((((Assumptions!$B$17*(1+F$31)*(1+Assumptions!$B$24)^(16-1))-(Assumptions!$B$21*(1+Assumptions!$B$25)^(16-1)))-(IF(16&lt;=Assumptions!$B$27,F$33/Assumptions!$B$27,0)))-0),0)*Assumptions!$B$28))+(IF(16&lt;=Assumptions!$B$27,F$33/Assumptions!$B$27,0))-0</f>
        <v>6.40323929319997</v>
      </c>
      <c r="G54" s="25" t="n">
        <f aca="false">(((((Assumptions!$B$17*(1+G$31)*(1+Assumptions!$B$24)^(16-1))-(Assumptions!$B$21*(1+Assumptions!$B$25)^(16-1)))-(IF(16&lt;=Assumptions!$B$27,G$33/Assumptions!$B$27,0)))-0)-(MAX(((((Assumptions!$B$17*(1+G$31)*(1+Assumptions!$B$24)^(16-1))-(Assumptions!$B$21*(1+Assumptions!$B$25)^(16-1)))-(IF(16&lt;=Assumptions!$B$27,G$33/Assumptions!$B$27,0)))-0),0)*Assumptions!$B$28))+(IF(16&lt;=Assumptions!$B$27,G$33/Assumptions!$B$27,0))-0</f>
        <v>6.43586429319996</v>
      </c>
      <c r="H54" s="25" t="n">
        <f aca="false">(((((Assumptions!$B$17*(1+H$31)*(1+Assumptions!$B$24)^(16-1))-(Assumptions!$B$21*(1+Assumptions!$B$25)^(16-1)))-(IF(16&lt;=Assumptions!$B$27,H$33/Assumptions!$B$27,0)))-0)-(MAX(((((Assumptions!$B$17*(1+H$31)*(1+Assumptions!$B$24)^(16-1))-(Assumptions!$B$21*(1+Assumptions!$B$25)^(16-1)))-(IF(16&lt;=Assumptions!$B$27,H$33/Assumptions!$B$27,0)))-0),0)*Assumptions!$B$28))+(IF(16&lt;=Assumptions!$B$27,H$33/Assumptions!$B$27,0))-0</f>
        <v>6.46848929319997</v>
      </c>
      <c r="I54" s="25" t="n">
        <f aca="false">(((((Assumptions!$B$17*(1+I$31)*(1+Assumptions!$B$24)^(16-1))-(Assumptions!$B$21*(1+Assumptions!$B$25)^(16-1)))-(IF(16&lt;=Assumptions!$B$27,I$33/Assumptions!$B$27,0)))-0)-(MAX(((((Assumptions!$B$17*(1+I$31)*(1+Assumptions!$B$24)^(16-1))-(Assumptions!$B$21*(1+Assumptions!$B$25)^(16-1)))-(IF(16&lt;=Assumptions!$B$27,I$33/Assumptions!$B$27,0)))-0),0)*Assumptions!$B$28))+(IF(16&lt;=Assumptions!$B$27,I$33/Assumptions!$B$27,0))-0</f>
        <v>7.20246577159451</v>
      </c>
      <c r="J54" s="25" t="n">
        <f aca="false">(((((Assumptions!$B$17*(1+J$31)*(1+Assumptions!$B$24)^(16-1))-(Assumptions!$B$21*(1+Assumptions!$B$25)^(16-1)))-(IF(16&lt;=Assumptions!$B$27,J$33/Assumptions!$B$27,0)))-0)-(MAX(((((Assumptions!$B$17*(1+J$31)*(1+Assumptions!$B$24)^(16-1))-(Assumptions!$B$21*(1+Assumptions!$B$25)^(16-1)))-(IF(16&lt;=Assumptions!$B$27,J$33/Assumptions!$B$27,0)))-0),0)*Assumptions!$B$28))+(IF(16&lt;=Assumptions!$B$27,J$33/Assumptions!$B$27,0))-0</f>
        <v>7.23509077159451</v>
      </c>
      <c r="K54" s="25" t="n">
        <f aca="false">(((((Assumptions!$B$17*(1+K$31)*(1+Assumptions!$B$24)^(16-1))-(Assumptions!$B$21*(1+Assumptions!$B$25)^(16-1)))-(IF(16&lt;=Assumptions!$B$27,K$33/Assumptions!$B$27,0)))-0)-(MAX(((((Assumptions!$B$17*(1+K$31)*(1+Assumptions!$B$24)^(16-1))-(Assumptions!$B$21*(1+Assumptions!$B$25)^(16-1)))-(IF(16&lt;=Assumptions!$B$27,K$33/Assumptions!$B$27,0)))-0),0)*Assumptions!$B$28))+(IF(16&lt;=Assumptions!$B$27,K$33/Assumptions!$B$27,0))-0</f>
        <v>7.26771577159451</v>
      </c>
      <c r="L54" s="25" t="n">
        <f aca="false">(((((Assumptions!$B$17*(1+L$31)*(1+Assumptions!$B$24)^(16-1))-(Assumptions!$B$21*(1+Assumptions!$B$25)^(16-1)))-(IF(16&lt;=Assumptions!$B$27,L$33/Assumptions!$B$27,0)))-0)-(MAX(((((Assumptions!$B$17*(1+L$31)*(1+Assumptions!$B$24)^(16-1))-(Assumptions!$B$21*(1+Assumptions!$B$25)^(16-1)))-(IF(16&lt;=Assumptions!$B$27,L$33/Assumptions!$B$27,0)))-0),0)*Assumptions!$B$28))+(IF(16&lt;=Assumptions!$B$27,L$33/Assumptions!$B$27,0))-0</f>
        <v>8.00169224998905</v>
      </c>
      <c r="M54" s="25" t="n">
        <f aca="false">(((((Assumptions!$B$17*(1+M$31)*(1+Assumptions!$B$24)^(16-1))-(Assumptions!$B$21*(1+Assumptions!$B$25)^(16-1)))-(IF(16&lt;=Assumptions!$B$27,M$33/Assumptions!$B$27,0)))-0)-(MAX(((((Assumptions!$B$17*(1+M$31)*(1+Assumptions!$B$24)^(16-1))-(Assumptions!$B$21*(1+Assumptions!$B$25)^(16-1)))-(IF(16&lt;=Assumptions!$B$27,M$33/Assumptions!$B$27,0)))-0),0)*Assumptions!$B$28))+(IF(16&lt;=Assumptions!$B$27,M$33/Assumptions!$B$27,0))-0</f>
        <v>8.03431724998905</v>
      </c>
      <c r="N54" s="25" t="n">
        <f aca="false">(((((Assumptions!$B$17*(1+N$31)*(1+Assumptions!$B$24)^(16-1))-(Assumptions!$B$21*(1+Assumptions!$B$25)^(16-1)))-(IF(16&lt;=Assumptions!$B$27,N$33/Assumptions!$B$27,0)))-0)-(MAX(((((Assumptions!$B$17*(1+N$31)*(1+Assumptions!$B$24)^(16-1))-(Assumptions!$B$21*(1+Assumptions!$B$25)^(16-1)))-(IF(16&lt;=Assumptions!$B$27,N$33/Assumptions!$B$27,0)))-0),0)*Assumptions!$B$28))+(IF(16&lt;=Assumptions!$B$27,N$33/Assumptions!$B$27,0))-0</f>
        <v>8.06694224998905</v>
      </c>
      <c r="O54" s="25" t="n">
        <f aca="false">(((((Assumptions!$B$17*(1+O$31)*(1+Assumptions!$B$24)^(16-1))-(Assumptions!$B$21*(1+Assumptions!$B$25)^(16-1)))-(IF(16&lt;=Assumptions!$B$27,O$33/Assumptions!$B$27,0)))-0)-(MAX(((((Assumptions!$B$17*(1+O$31)*(1+Assumptions!$B$24)^(16-1))-(Assumptions!$B$21*(1+Assumptions!$B$25)^(16-1)))-(IF(16&lt;=Assumptions!$B$27,O$33/Assumptions!$B$27,0)))-0),0)*Assumptions!$B$28))+(IF(16&lt;=Assumptions!$B$27,O$33/Assumptions!$B$27,0))-0</f>
        <v>8.80091872838359</v>
      </c>
      <c r="P54" s="25" t="n">
        <f aca="false">(((((Assumptions!$B$17*(1+P$31)*(1+Assumptions!$B$24)^(16-1))-(Assumptions!$B$21*(1+Assumptions!$B$25)^(16-1)))-(IF(16&lt;=Assumptions!$B$27,P$33/Assumptions!$B$27,0)))-0)-(MAX(((((Assumptions!$B$17*(1+P$31)*(1+Assumptions!$B$24)^(16-1))-(Assumptions!$B$21*(1+Assumptions!$B$25)^(16-1)))-(IF(16&lt;=Assumptions!$B$27,P$33/Assumptions!$B$27,0)))-0),0)*Assumptions!$B$28))+(IF(16&lt;=Assumptions!$B$27,P$33/Assumptions!$B$27,0))-0</f>
        <v>8.83354372838359</v>
      </c>
      <c r="Q54" s="25" t="n">
        <f aca="false">(((((Assumptions!$B$17*(1+Q$31)*(1+Assumptions!$B$24)^(16-1))-(Assumptions!$B$21*(1+Assumptions!$B$25)^(16-1)))-(IF(16&lt;=Assumptions!$B$27,Q$33/Assumptions!$B$27,0)))-0)-(MAX(((((Assumptions!$B$17*(1+Q$31)*(1+Assumptions!$B$24)^(16-1))-(Assumptions!$B$21*(1+Assumptions!$B$25)^(16-1)))-(IF(16&lt;=Assumptions!$B$27,Q$33/Assumptions!$B$27,0)))-0),0)*Assumptions!$B$28))+(IF(16&lt;=Assumptions!$B$27,Q$33/Assumptions!$B$27,0))-0</f>
        <v>8.86616872838359</v>
      </c>
    </row>
    <row r="55" customFormat="false" ht="15" hidden="false" customHeight="false" outlineLevel="0" collapsed="false">
      <c r="A55" s="7" t="n">
        <v>17</v>
      </c>
      <c r="C55" s="25" t="n">
        <f aca="false">(((((Assumptions!$B$17*(1+C$31)*(1+Assumptions!$B$24)^(17-1))-(Assumptions!$B$21*(1+Assumptions!$B$25)^(17-1)))-(IF(17&lt;=Assumptions!$B$27,C$33/Assumptions!$B$27,0)))-0)-(MAX(((((Assumptions!$B$17*(1+C$31)*(1+Assumptions!$B$24)^(17-1))-(Assumptions!$B$21*(1+Assumptions!$B$25)^(17-1)))-(IF(17&lt;=Assumptions!$B$27,C$33/Assumptions!$B$27,0)))-0),0)*Assumptions!$B$28))+(IF(17&lt;=Assumptions!$B$27,C$33/Assumptions!$B$27,0))-0</f>
        <v>5.55676908724978</v>
      </c>
      <c r="D55" s="25" t="n">
        <f aca="false">(((((Assumptions!$B$17*(1+D$31)*(1+Assumptions!$B$24)^(17-1))-(Assumptions!$B$21*(1+Assumptions!$B$25)^(17-1)))-(IF(17&lt;=Assumptions!$B$27,D$33/Assumptions!$B$27,0)))-0)-(MAX(((((Assumptions!$B$17*(1+D$31)*(1+Assumptions!$B$24)^(17-1))-(Assumptions!$B$21*(1+Assumptions!$B$25)^(17-1)))-(IF(17&lt;=Assumptions!$B$27,D$33/Assumptions!$B$27,0)))-0),0)*Assumptions!$B$28))+(IF(17&lt;=Assumptions!$B$27,D$33/Assumptions!$B$27,0))-0</f>
        <v>5.58939408724978</v>
      </c>
      <c r="E55" s="25" t="n">
        <f aca="false">(((((Assumptions!$B$17*(1+E$31)*(1+Assumptions!$B$24)^(17-1))-(Assumptions!$B$21*(1+Assumptions!$B$25)^(17-1)))-(IF(17&lt;=Assumptions!$B$27,E$33/Assumptions!$B$27,0)))-0)-(MAX(((((Assumptions!$B$17*(1+E$31)*(1+Assumptions!$B$24)^(17-1))-(Assumptions!$B$21*(1+Assumptions!$B$25)^(17-1)))-(IF(17&lt;=Assumptions!$B$27,E$33/Assumptions!$B$27,0)))-0),0)*Assumptions!$B$28))+(IF(17&lt;=Assumptions!$B$27,E$33/Assumptions!$B$27,0))-0</f>
        <v>5.62201908724978</v>
      </c>
      <c r="F55" s="25" t="n">
        <f aca="false">(((((Assumptions!$B$17*(1+F$31)*(1+Assumptions!$B$24)^(17-1))-(Assumptions!$B$21*(1+Assumptions!$B$25)^(17-1)))-(IF(17&lt;=Assumptions!$B$27,F$33/Assumptions!$B$27,0)))-0)-(MAX(((((Assumptions!$B$17*(1+F$31)*(1+Assumptions!$B$24)^(17-1))-(Assumptions!$B$21*(1+Assumptions!$B$25)^(17-1)))-(IF(17&lt;=Assumptions!$B$27,F$33/Assumptions!$B$27,0)))-0),0)*Assumptions!$B$28))+(IF(17&lt;=Assumptions!$B$27,F$33/Assumptions!$B$27,0))-0</f>
        <v>6.35279865973074</v>
      </c>
      <c r="G55" s="25" t="n">
        <f aca="false">(((((Assumptions!$B$17*(1+G$31)*(1+Assumptions!$B$24)^(17-1))-(Assumptions!$B$21*(1+Assumptions!$B$25)^(17-1)))-(IF(17&lt;=Assumptions!$B$27,G$33/Assumptions!$B$27,0)))-0)-(MAX(((((Assumptions!$B$17*(1+G$31)*(1+Assumptions!$B$24)^(17-1))-(Assumptions!$B$21*(1+Assumptions!$B$25)^(17-1)))-(IF(17&lt;=Assumptions!$B$27,G$33/Assumptions!$B$27,0)))-0),0)*Assumptions!$B$28))+(IF(17&lt;=Assumptions!$B$27,G$33/Assumptions!$B$27,0))-0</f>
        <v>6.38542365973074</v>
      </c>
      <c r="H55" s="25" t="n">
        <f aca="false">(((((Assumptions!$B$17*(1+H$31)*(1+Assumptions!$B$24)^(17-1))-(Assumptions!$B$21*(1+Assumptions!$B$25)^(17-1)))-(IF(17&lt;=Assumptions!$B$27,H$33/Assumptions!$B$27,0)))-0)-(MAX(((((Assumptions!$B$17*(1+H$31)*(1+Assumptions!$B$24)^(17-1))-(Assumptions!$B$21*(1+Assumptions!$B$25)^(17-1)))-(IF(17&lt;=Assumptions!$B$27,H$33/Assumptions!$B$27,0)))-0),0)*Assumptions!$B$28))+(IF(17&lt;=Assumptions!$B$27,H$33/Assumptions!$B$27,0))-0</f>
        <v>6.41804865973074</v>
      </c>
      <c r="I55" s="25" t="n">
        <f aca="false">(((((Assumptions!$B$17*(1+I$31)*(1+Assumptions!$B$24)^(17-1))-(Assumptions!$B$21*(1+Assumptions!$B$25)^(17-1)))-(IF(17&lt;=Assumptions!$B$27,I$33/Assumptions!$B$27,0)))-0)-(MAX(((((Assumptions!$B$17*(1+I$31)*(1+Assumptions!$B$24)^(17-1))-(Assumptions!$B$21*(1+Assumptions!$B$25)^(17-1)))-(IF(17&lt;=Assumptions!$B$27,I$33/Assumptions!$B$27,0)))-0),0)*Assumptions!$B$28))+(IF(17&lt;=Assumptions!$B$27,I$33/Assumptions!$B$27,0))-0</f>
        <v>7.14882823221171</v>
      </c>
      <c r="J55" s="25" t="n">
        <f aca="false">(((((Assumptions!$B$17*(1+J$31)*(1+Assumptions!$B$24)^(17-1))-(Assumptions!$B$21*(1+Assumptions!$B$25)^(17-1)))-(IF(17&lt;=Assumptions!$B$27,J$33/Assumptions!$B$27,0)))-0)-(MAX(((((Assumptions!$B$17*(1+J$31)*(1+Assumptions!$B$24)^(17-1))-(Assumptions!$B$21*(1+Assumptions!$B$25)^(17-1)))-(IF(17&lt;=Assumptions!$B$27,J$33/Assumptions!$B$27,0)))-0),0)*Assumptions!$B$28))+(IF(17&lt;=Assumptions!$B$27,J$33/Assumptions!$B$27,0))-0</f>
        <v>7.18145323221171</v>
      </c>
      <c r="K55" s="25" t="n">
        <f aca="false">(((((Assumptions!$B$17*(1+K$31)*(1+Assumptions!$B$24)^(17-1))-(Assumptions!$B$21*(1+Assumptions!$B$25)^(17-1)))-(IF(17&lt;=Assumptions!$B$27,K$33/Assumptions!$B$27,0)))-0)-(MAX(((((Assumptions!$B$17*(1+K$31)*(1+Assumptions!$B$24)^(17-1))-(Assumptions!$B$21*(1+Assumptions!$B$25)^(17-1)))-(IF(17&lt;=Assumptions!$B$27,K$33/Assumptions!$B$27,0)))-0),0)*Assumptions!$B$28))+(IF(17&lt;=Assumptions!$B$27,K$33/Assumptions!$B$27,0))-0</f>
        <v>7.21407823221171</v>
      </c>
      <c r="L55" s="25" t="n">
        <f aca="false">(((((Assumptions!$B$17*(1+L$31)*(1+Assumptions!$B$24)^(17-1))-(Assumptions!$B$21*(1+Assumptions!$B$25)^(17-1)))-(IF(17&lt;=Assumptions!$B$27,L$33/Assumptions!$B$27,0)))-0)-(MAX(((((Assumptions!$B$17*(1+L$31)*(1+Assumptions!$B$24)^(17-1))-(Assumptions!$B$21*(1+Assumptions!$B$25)^(17-1)))-(IF(17&lt;=Assumptions!$B$27,L$33/Assumptions!$B$27,0)))-0),0)*Assumptions!$B$28))+(IF(17&lt;=Assumptions!$B$27,L$33/Assumptions!$B$27,0))-0</f>
        <v>7.94485780469267</v>
      </c>
      <c r="M55" s="25" t="n">
        <f aca="false">(((((Assumptions!$B$17*(1+M$31)*(1+Assumptions!$B$24)^(17-1))-(Assumptions!$B$21*(1+Assumptions!$B$25)^(17-1)))-(IF(17&lt;=Assumptions!$B$27,M$33/Assumptions!$B$27,0)))-0)-(MAX(((((Assumptions!$B$17*(1+M$31)*(1+Assumptions!$B$24)^(17-1))-(Assumptions!$B$21*(1+Assumptions!$B$25)^(17-1)))-(IF(17&lt;=Assumptions!$B$27,M$33/Assumptions!$B$27,0)))-0),0)*Assumptions!$B$28))+(IF(17&lt;=Assumptions!$B$27,M$33/Assumptions!$B$27,0))-0</f>
        <v>7.97748280469267</v>
      </c>
      <c r="N55" s="25" t="n">
        <f aca="false">(((((Assumptions!$B$17*(1+N$31)*(1+Assumptions!$B$24)^(17-1))-(Assumptions!$B$21*(1+Assumptions!$B$25)^(17-1)))-(IF(17&lt;=Assumptions!$B$27,N$33/Assumptions!$B$27,0)))-0)-(MAX(((((Assumptions!$B$17*(1+N$31)*(1+Assumptions!$B$24)^(17-1))-(Assumptions!$B$21*(1+Assumptions!$B$25)^(17-1)))-(IF(17&lt;=Assumptions!$B$27,N$33/Assumptions!$B$27,0)))-0),0)*Assumptions!$B$28))+(IF(17&lt;=Assumptions!$B$27,N$33/Assumptions!$B$27,0))-0</f>
        <v>8.01010780469267</v>
      </c>
      <c r="O55" s="25" t="n">
        <f aca="false">(((((Assumptions!$B$17*(1+O$31)*(1+Assumptions!$B$24)^(17-1))-(Assumptions!$B$21*(1+Assumptions!$B$25)^(17-1)))-(IF(17&lt;=Assumptions!$B$27,O$33/Assumptions!$B$27,0)))-0)-(MAX(((((Assumptions!$B$17*(1+O$31)*(1+Assumptions!$B$24)^(17-1))-(Assumptions!$B$21*(1+Assumptions!$B$25)^(17-1)))-(IF(17&lt;=Assumptions!$B$27,O$33/Assumptions!$B$27,0)))-0),0)*Assumptions!$B$28))+(IF(17&lt;=Assumptions!$B$27,O$33/Assumptions!$B$27,0))-0</f>
        <v>8.74088737717364</v>
      </c>
      <c r="P55" s="25" t="n">
        <f aca="false">(((((Assumptions!$B$17*(1+P$31)*(1+Assumptions!$B$24)^(17-1))-(Assumptions!$B$21*(1+Assumptions!$B$25)^(17-1)))-(IF(17&lt;=Assumptions!$B$27,P$33/Assumptions!$B$27,0)))-0)-(MAX(((((Assumptions!$B$17*(1+P$31)*(1+Assumptions!$B$24)^(17-1))-(Assumptions!$B$21*(1+Assumptions!$B$25)^(17-1)))-(IF(17&lt;=Assumptions!$B$27,P$33/Assumptions!$B$27,0)))-0),0)*Assumptions!$B$28))+(IF(17&lt;=Assumptions!$B$27,P$33/Assumptions!$B$27,0))-0</f>
        <v>8.77351237717364</v>
      </c>
      <c r="Q55" s="25" t="n">
        <f aca="false">(((((Assumptions!$B$17*(1+Q$31)*(1+Assumptions!$B$24)^(17-1))-(Assumptions!$B$21*(1+Assumptions!$B$25)^(17-1)))-(IF(17&lt;=Assumptions!$B$27,Q$33/Assumptions!$B$27,0)))-0)-(MAX(((((Assumptions!$B$17*(1+Q$31)*(1+Assumptions!$B$24)^(17-1))-(Assumptions!$B$21*(1+Assumptions!$B$25)^(17-1)))-(IF(17&lt;=Assumptions!$B$27,Q$33/Assumptions!$B$27,0)))-0),0)*Assumptions!$B$28))+(IF(17&lt;=Assumptions!$B$27,Q$33/Assumptions!$B$27,0))-0</f>
        <v>8.80613737717364</v>
      </c>
    </row>
    <row r="56" customFormat="false" ht="15" hidden="false" customHeight="false" outlineLevel="0" collapsed="false">
      <c r="A56" s="7" t="n">
        <v>18</v>
      </c>
      <c r="C56" s="25" t="n">
        <f aca="false">(((((Assumptions!$B$17*(1+C$31)*(1+Assumptions!$B$24)^(18-1))-(Assumptions!$B$21*(1+Assumptions!$B$25)^(18-1)))-(IF(18&lt;=Assumptions!$B$27,C$33/Assumptions!$B$27,0)))-0)-(MAX(((((Assumptions!$B$17*(1+C$31)*(1+Assumptions!$B$24)^(18-1))-(Assumptions!$B$21*(1+Assumptions!$B$25)^(18-1)))-(IF(18&lt;=Assumptions!$B$27,C$33/Assumptions!$B$27,0)))-0),0)*Assumptions!$B$28))+(IF(18&lt;=Assumptions!$B$27,C$33/Assumptions!$B$27,0))-0</f>
        <v>5.50919429107843</v>
      </c>
      <c r="D56" s="25" t="n">
        <f aca="false">(((((Assumptions!$B$17*(1+D$31)*(1+Assumptions!$B$24)^(18-1))-(Assumptions!$B$21*(1+Assumptions!$B$25)^(18-1)))-(IF(18&lt;=Assumptions!$B$27,D$33/Assumptions!$B$27,0)))-0)-(MAX(((((Assumptions!$B$17*(1+D$31)*(1+Assumptions!$B$24)^(18-1))-(Assumptions!$B$21*(1+Assumptions!$B$25)^(18-1)))-(IF(18&lt;=Assumptions!$B$27,D$33/Assumptions!$B$27,0)))-0),0)*Assumptions!$B$28))+(IF(18&lt;=Assumptions!$B$27,D$33/Assumptions!$B$27,0))-0</f>
        <v>5.54181929107843</v>
      </c>
      <c r="E56" s="25" t="n">
        <f aca="false">(((((Assumptions!$B$17*(1+E$31)*(1+Assumptions!$B$24)^(18-1))-(Assumptions!$B$21*(1+Assumptions!$B$25)^(18-1)))-(IF(18&lt;=Assumptions!$B$27,E$33/Assumptions!$B$27,0)))-0)-(MAX(((((Assumptions!$B$17*(1+E$31)*(1+Assumptions!$B$24)^(18-1))-(Assumptions!$B$21*(1+Assumptions!$B$25)^(18-1)))-(IF(18&lt;=Assumptions!$B$27,E$33/Assumptions!$B$27,0)))-0),0)*Assumptions!$B$28))+(IF(18&lt;=Assumptions!$B$27,E$33/Assumptions!$B$27,0))-0</f>
        <v>5.57444429107843</v>
      </c>
      <c r="F56" s="25" t="n">
        <f aca="false">(((((Assumptions!$B$17*(1+F$31)*(1+Assumptions!$B$24)^(18-1))-(Assumptions!$B$21*(1+Assumptions!$B$25)^(18-1)))-(IF(18&lt;=Assumptions!$B$27,F$33/Assumptions!$B$27,0)))-0)-(MAX(((((Assumptions!$B$17*(1+F$31)*(1+Assumptions!$B$24)^(18-1))-(Assumptions!$B$21*(1+Assumptions!$B$25)^(18-1)))-(IF(18&lt;=Assumptions!$B$27,F$33/Assumptions!$B$27,0)))-0),0)*Assumptions!$B$28))+(IF(18&lt;=Assumptions!$B$27,F$33/Assumptions!$B$27,0))-0</f>
        <v>6.30203974526947</v>
      </c>
      <c r="G56" s="25" t="n">
        <f aca="false">(((((Assumptions!$B$17*(1+G$31)*(1+Assumptions!$B$24)^(18-1))-(Assumptions!$B$21*(1+Assumptions!$B$25)^(18-1)))-(IF(18&lt;=Assumptions!$B$27,G$33/Assumptions!$B$27,0)))-0)-(MAX(((((Assumptions!$B$17*(1+G$31)*(1+Assumptions!$B$24)^(18-1))-(Assumptions!$B$21*(1+Assumptions!$B$25)^(18-1)))-(IF(18&lt;=Assumptions!$B$27,G$33/Assumptions!$B$27,0)))-0),0)*Assumptions!$B$28))+(IF(18&lt;=Assumptions!$B$27,G$33/Assumptions!$B$27,0))-0</f>
        <v>6.33466474526947</v>
      </c>
      <c r="H56" s="25" t="n">
        <f aca="false">(((((Assumptions!$B$17*(1+H$31)*(1+Assumptions!$B$24)^(18-1))-(Assumptions!$B$21*(1+Assumptions!$B$25)^(18-1)))-(IF(18&lt;=Assumptions!$B$27,H$33/Assumptions!$B$27,0)))-0)-(MAX(((((Assumptions!$B$17*(1+H$31)*(1+Assumptions!$B$24)^(18-1))-(Assumptions!$B$21*(1+Assumptions!$B$25)^(18-1)))-(IF(18&lt;=Assumptions!$B$27,H$33/Assumptions!$B$27,0)))-0),0)*Assumptions!$B$28))+(IF(18&lt;=Assumptions!$B$27,H$33/Assumptions!$B$27,0))-0</f>
        <v>6.36728974526947</v>
      </c>
      <c r="I56" s="25" t="n">
        <f aca="false">(((((Assumptions!$B$17*(1+I$31)*(1+Assumptions!$B$24)^(18-1))-(Assumptions!$B$21*(1+Assumptions!$B$25)^(18-1)))-(IF(18&lt;=Assumptions!$B$27,I$33/Assumptions!$B$27,0)))-0)-(MAX(((((Assumptions!$B$17*(1+I$31)*(1+Assumptions!$B$24)^(18-1))-(Assumptions!$B$21*(1+Assumptions!$B$25)^(18-1)))-(IF(18&lt;=Assumptions!$B$27,I$33/Assumptions!$B$27,0)))-0),0)*Assumptions!$B$28))+(IF(18&lt;=Assumptions!$B$27,I$33/Assumptions!$B$27,0))-0</f>
        <v>7.09488519946051</v>
      </c>
      <c r="J56" s="25" t="n">
        <f aca="false">(((((Assumptions!$B$17*(1+J$31)*(1+Assumptions!$B$24)^(18-1))-(Assumptions!$B$21*(1+Assumptions!$B$25)^(18-1)))-(IF(18&lt;=Assumptions!$B$27,J$33/Assumptions!$B$27,0)))-0)-(MAX(((((Assumptions!$B$17*(1+J$31)*(1+Assumptions!$B$24)^(18-1))-(Assumptions!$B$21*(1+Assumptions!$B$25)^(18-1)))-(IF(18&lt;=Assumptions!$B$27,J$33/Assumptions!$B$27,0)))-0),0)*Assumptions!$B$28))+(IF(18&lt;=Assumptions!$B$27,J$33/Assumptions!$B$27,0))-0</f>
        <v>7.12751019946051</v>
      </c>
      <c r="K56" s="25" t="n">
        <f aca="false">(((((Assumptions!$B$17*(1+K$31)*(1+Assumptions!$B$24)^(18-1))-(Assumptions!$B$21*(1+Assumptions!$B$25)^(18-1)))-(IF(18&lt;=Assumptions!$B$27,K$33/Assumptions!$B$27,0)))-0)-(MAX(((((Assumptions!$B$17*(1+K$31)*(1+Assumptions!$B$24)^(18-1))-(Assumptions!$B$21*(1+Assumptions!$B$25)^(18-1)))-(IF(18&lt;=Assumptions!$B$27,K$33/Assumptions!$B$27,0)))-0),0)*Assumptions!$B$28))+(IF(18&lt;=Assumptions!$B$27,K$33/Assumptions!$B$27,0))-0</f>
        <v>7.16013519946051</v>
      </c>
      <c r="L56" s="25" t="n">
        <f aca="false">(((((Assumptions!$B$17*(1+L$31)*(1+Assumptions!$B$24)^(18-1))-(Assumptions!$B$21*(1+Assumptions!$B$25)^(18-1)))-(IF(18&lt;=Assumptions!$B$27,L$33/Assumptions!$B$27,0)))-0)-(MAX(((((Assumptions!$B$17*(1+L$31)*(1+Assumptions!$B$24)^(18-1))-(Assumptions!$B$21*(1+Assumptions!$B$25)^(18-1)))-(IF(18&lt;=Assumptions!$B$27,L$33/Assumptions!$B$27,0)))-0),0)*Assumptions!$B$28))+(IF(18&lt;=Assumptions!$B$27,L$33/Assumptions!$B$27,0))-0</f>
        <v>7.88773065365155</v>
      </c>
      <c r="M56" s="25" t="n">
        <f aca="false">(((((Assumptions!$B$17*(1+M$31)*(1+Assumptions!$B$24)^(18-1))-(Assumptions!$B$21*(1+Assumptions!$B$25)^(18-1)))-(IF(18&lt;=Assumptions!$B$27,M$33/Assumptions!$B$27,0)))-0)-(MAX(((((Assumptions!$B$17*(1+M$31)*(1+Assumptions!$B$24)^(18-1))-(Assumptions!$B$21*(1+Assumptions!$B$25)^(18-1)))-(IF(18&lt;=Assumptions!$B$27,M$33/Assumptions!$B$27,0)))-0),0)*Assumptions!$B$28))+(IF(18&lt;=Assumptions!$B$27,M$33/Assumptions!$B$27,0))-0</f>
        <v>7.92035565365155</v>
      </c>
      <c r="N56" s="25" t="n">
        <f aca="false">(((((Assumptions!$B$17*(1+N$31)*(1+Assumptions!$B$24)^(18-1))-(Assumptions!$B$21*(1+Assumptions!$B$25)^(18-1)))-(IF(18&lt;=Assumptions!$B$27,N$33/Assumptions!$B$27,0)))-0)-(MAX(((((Assumptions!$B$17*(1+N$31)*(1+Assumptions!$B$24)^(18-1))-(Assumptions!$B$21*(1+Assumptions!$B$25)^(18-1)))-(IF(18&lt;=Assumptions!$B$27,N$33/Assumptions!$B$27,0)))-0),0)*Assumptions!$B$28))+(IF(18&lt;=Assumptions!$B$27,N$33/Assumptions!$B$27,0))-0</f>
        <v>7.95298065365155</v>
      </c>
      <c r="O56" s="25" t="n">
        <f aca="false">(((((Assumptions!$B$17*(1+O$31)*(1+Assumptions!$B$24)^(18-1))-(Assumptions!$B$21*(1+Assumptions!$B$25)^(18-1)))-(IF(18&lt;=Assumptions!$B$27,O$33/Assumptions!$B$27,0)))-0)-(MAX(((((Assumptions!$B$17*(1+O$31)*(1+Assumptions!$B$24)^(18-1))-(Assumptions!$B$21*(1+Assumptions!$B$25)^(18-1)))-(IF(18&lt;=Assumptions!$B$27,O$33/Assumptions!$B$27,0)))-0),0)*Assumptions!$B$28))+(IF(18&lt;=Assumptions!$B$27,O$33/Assumptions!$B$27,0))-0</f>
        <v>8.68057610784259</v>
      </c>
      <c r="P56" s="25" t="n">
        <f aca="false">(((((Assumptions!$B$17*(1+P$31)*(1+Assumptions!$B$24)^(18-1))-(Assumptions!$B$21*(1+Assumptions!$B$25)^(18-1)))-(IF(18&lt;=Assumptions!$B$27,P$33/Assumptions!$B$27,0)))-0)-(MAX(((((Assumptions!$B$17*(1+P$31)*(1+Assumptions!$B$24)^(18-1))-(Assumptions!$B$21*(1+Assumptions!$B$25)^(18-1)))-(IF(18&lt;=Assumptions!$B$27,P$33/Assumptions!$B$27,0)))-0),0)*Assumptions!$B$28))+(IF(18&lt;=Assumptions!$B$27,P$33/Assumptions!$B$27,0))-0</f>
        <v>8.71320110784259</v>
      </c>
      <c r="Q56" s="25" t="n">
        <f aca="false">(((((Assumptions!$B$17*(1+Q$31)*(1+Assumptions!$B$24)^(18-1))-(Assumptions!$B$21*(1+Assumptions!$B$25)^(18-1)))-(IF(18&lt;=Assumptions!$B$27,Q$33/Assumptions!$B$27,0)))-0)-(MAX(((((Assumptions!$B$17*(1+Q$31)*(1+Assumptions!$B$24)^(18-1))-(Assumptions!$B$21*(1+Assumptions!$B$25)^(18-1)))-(IF(18&lt;=Assumptions!$B$27,Q$33/Assumptions!$B$27,0)))-0),0)*Assumptions!$B$28))+(IF(18&lt;=Assumptions!$B$27,Q$33/Assumptions!$B$27,0))-0</f>
        <v>8.74582610784259</v>
      </c>
    </row>
    <row r="57" customFormat="false" ht="15" hidden="false" customHeight="false" outlineLevel="0" collapsed="false">
      <c r="A57" s="7" t="n">
        <v>19</v>
      </c>
      <c r="C57" s="25" t="n">
        <f aca="false">(((((Assumptions!$B$17*(1+C$31)*(1+Assumptions!$B$24)^(19-1))-(Assumptions!$B$21*(1+Assumptions!$B$25)^(19-1)))-(IF(19&lt;=Assumptions!$B$27,C$33/Assumptions!$B$27,0)))-0)-(MAX(((((Assumptions!$B$17*(1+C$31)*(1+Assumptions!$B$24)^(19-1))-(Assumptions!$B$21*(1+Assumptions!$B$25)^(19-1)))-(IF(19&lt;=Assumptions!$B$27,C$33/Assumptions!$B$27,0)))-0),0)*Assumptions!$B$28))+(IF(19&lt;=Assumptions!$B$27,C$33/Assumptions!$B$27,0))-0</f>
        <v>5.46127934969532</v>
      </c>
      <c r="D57" s="25" t="n">
        <f aca="false">(((((Assumptions!$B$17*(1+D$31)*(1+Assumptions!$B$24)^(19-1))-(Assumptions!$B$21*(1+Assumptions!$B$25)^(19-1)))-(IF(19&lt;=Assumptions!$B$27,D$33/Assumptions!$B$27,0)))-0)-(MAX(((((Assumptions!$B$17*(1+D$31)*(1+Assumptions!$B$24)^(19-1))-(Assumptions!$B$21*(1+Assumptions!$B$25)^(19-1)))-(IF(19&lt;=Assumptions!$B$27,D$33/Assumptions!$B$27,0)))-0),0)*Assumptions!$B$28))+(IF(19&lt;=Assumptions!$B$27,D$33/Assumptions!$B$27,0))-0</f>
        <v>5.49390434969532</v>
      </c>
      <c r="E57" s="25" t="n">
        <f aca="false">(((((Assumptions!$B$17*(1+E$31)*(1+Assumptions!$B$24)^(19-1))-(Assumptions!$B$21*(1+Assumptions!$B$25)^(19-1)))-(IF(19&lt;=Assumptions!$B$27,E$33/Assumptions!$B$27,0)))-0)-(MAX(((((Assumptions!$B$17*(1+E$31)*(1+Assumptions!$B$24)^(19-1))-(Assumptions!$B$21*(1+Assumptions!$B$25)^(19-1)))-(IF(19&lt;=Assumptions!$B$27,E$33/Assumptions!$B$27,0)))-0),0)*Assumptions!$B$28))+(IF(19&lt;=Assumptions!$B$27,E$33/Assumptions!$B$27,0))-0</f>
        <v>5.52652934969532</v>
      </c>
      <c r="F57" s="25" t="n">
        <f aca="false">(((((Assumptions!$B$17*(1+F$31)*(1+Assumptions!$B$24)^(19-1))-(Assumptions!$B$21*(1+Assumptions!$B$25)^(19-1)))-(IF(19&lt;=Assumptions!$B$27,F$33/Assumptions!$B$27,0)))-0)-(MAX(((((Assumptions!$B$17*(1+F$31)*(1+Assumptions!$B$24)^(19-1))-(Assumptions!$B$21*(1+Assumptions!$B$25)^(19-1)))-(IF(19&lt;=Assumptions!$B$27,F$33/Assumptions!$B$27,0)))-0),0)*Assumptions!$B$28))+(IF(19&lt;=Assumptions!$B$27,F$33/Assumptions!$B$27,0))-0</f>
        <v>6.25095342206959</v>
      </c>
      <c r="G57" s="25" t="n">
        <f aca="false">(((((Assumptions!$B$17*(1+G$31)*(1+Assumptions!$B$24)^(19-1))-(Assumptions!$B$21*(1+Assumptions!$B$25)^(19-1)))-(IF(19&lt;=Assumptions!$B$27,G$33/Assumptions!$B$27,0)))-0)-(MAX(((((Assumptions!$B$17*(1+G$31)*(1+Assumptions!$B$24)^(19-1))-(Assumptions!$B$21*(1+Assumptions!$B$25)^(19-1)))-(IF(19&lt;=Assumptions!$B$27,G$33/Assumptions!$B$27,0)))-0),0)*Assumptions!$B$28))+(IF(19&lt;=Assumptions!$B$27,G$33/Assumptions!$B$27,0))-0</f>
        <v>6.28357842206959</v>
      </c>
      <c r="H57" s="25" t="n">
        <f aca="false">(((((Assumptions!$B$17*(1+H$31)*(1+Assumptions!$B$24)^(19-1))-(Assumptions!$B$21*(1+Assumptions!$B$25)^(19-1)))-(IF(19&lt;=Assumptions!$B$27,H$33/Assumptions!$B$27,0)))-0)-(MAX(((((Assumptions!$B$17*(1+H$31)*(1+Assumptions!$B$24)^(19-1))-(Assumptions!$B$21*(1+Assumptions!$B$25)^(19-1)))-(IF(19&lt;=Assumptions!$B$27,H$33/Assumptions!$B$27,0)))-0),0)*Assumptions!$B$28))+(IF(19&lt;=Assumptions!$B$27,H$33/Assumptions!$B$27,0))-0</f>
        <v>6.31620342206959</v>
      </c>
      <c r="I57" s="25" t="n">
        <f aca="false">(((((Assumptions!$B$17*(1+I$31)*(1+Assumptions!$B$24)^(19-1))-(Assumptions!$B$21*(1+Assumptions!$B$25)^(19-1)))-(IF(19&lt;=Assumptions!$B$27,I$33/Assumptions!$B$27,0)))-0)-(MAX(((((Assumptions!$B$17*(1+I$31)*(1+Assumptions!$B$24)^(19-1))-(Assumptions!$B$21*(1+Assumptions!$B$25)^(19-1)))-(IF(19&lt;=Assumptions!$B$27,I$33/Assumptions!$B$27,0)))-0),0)*Assumptions!$B$28))+(IF(19&lt;=Assumptions!$B$27,I$33/Assumptions!$B$27,0))-0</f>
        <v>7.04062749444387</v>
      </c>
      <c r="J57" s="25" t="n">
        <f aca="false">(((((Assumptions!$B$17*(1+J$31)*(1+Assumptions!$B$24)^(19-1))-(Assumptions!$B$21*(1+Assumptions!$B$25)^(19-1)))-(IF(19&lt;=Assumptions!$B$27,J$33/Assumptions!$B$27,0)))-0)-(MAX(((((Assumptions!$B$17*(1+J$31)*(1+Assumptions!$B$24)^(19-1))-(Assumptions!$B$21*(1+Assumptions!$B$25)^(19-1)))-(IF(19&lt;=Assumptions!$B$27,J$33/Assumptions!$B$27,0)))-0),0)*Assumptions!$B$28))+(IF(19&lt;=Assumptions!$B$27,J$33/Assumptions!$B$27,0))-0</f>
        <v>7.07325249444387</v>
      </c>
      <c r="K57" s="25" t="n">
        <f aca="false">(((((Assumptions!$B$17*(1+K$31)*(1+Assumptions!$B$24)^(19-1))-(Assumptions!$B$21*(1+Assumptions!$B$25)^(19-1)))-(IF(19&lt;=Assumptions!$B$27,K$33/Assumptions!$B$27,0)))-0)-(MAX(((((Assumptions!$B$17*(1+K$31)*(1+Assumptions!$B$24)^(19-1))-(Assumptions!$B$21*(1+Assumptions!$B$25)^(19-1)))-(IF(19&lt;=Assumptions!$B$27,K$33/Assumptions!$B$27,0)))-0),0)*Assumptions!$B$28))+(IF(19&lt;=Assumptions!$B$27,K$33/Assumptions!$B$27,0))-0</f>
        <v>7.10587749444387</v>
      </c>
      <c r="L57" s="25" t="n">
        <f aca="false">(((((Assumptions!$B$17*(1+L$31)*(1+Assumptions!$B$24)^(19-1))-(Assumptions!$B$21*(1+Assumptions!$B$25)^(19-1)))-(IF(19&lt;=Assumptions!$B$27,L$33/Assumptions!$B$27,0)))-0)-(MAX(((((Assumptions!$B$17*(1+L$31)*(1+Assumptions!$B$24)^(19-1))-(Assumptions!$B$21*(1+Assumptions!$B$25)^(19-1)))-(IF(19&lt;=Assumptions!$B$27,L$33/Assumptions!$B$27,0)))-0),0)*Assumptions!$B$28))+(IF(19&lt;=Assumptions!$B$27,L$33/Assumptions!$B$27,0))-0</f>
        <v>7.83030156681815</v>
      </c>
      <c r="M57" s="25" t="n">
        <f aca="false">(((((Assumptions!$B$17*(1+M$31)*(1+Assumptions!$B$24)^(19-1))-(Assumptions!$B$21*(1+Assumptions!$B$25)^(19-1)))-(IF(19&lt;=Assumptions!$B$27,M$33/Assumptions!$B$27,0)))-0)-(MAX(((((Assumptions!$B$17*(1+M$31)*(1+Assumptions!$B$24)^(19-1))-(Assumptions!$B$21*(1+Assumptions!$B$25)^(19-1)))-(IF(19&lt;=Assumptions!$B$27,M$33/Assumptions!$B$27,0)))-0),0)*Assumptions!$B$28))+(IF(19&lt;=Assumptions!$B$27,M$33/Assumptions!$B$27,0))-0</f>
        <v>7.86292656681815</v>
      </c>
      <c r="N57" s="25" t="n">
        <f aca="false">(((((Assumptions!$B$17*(1+N$31)*(1+Assumptions!$B$24)^(19-1))-(Assumptions!$B$21*(1+Assumptions!$B$25)^(19-1)))-(IF(19&lt;=Assumptions!$B$27,N$33/Assumptions!$B$27,0)))-0)-(MAX(((((Assumptions!$B$17*(1+N$31)*(1+Assumptions!$B$24)^(19-1))-(Assumptions!$B$21*(1+Assumptions!$B$25)^(19-1)))-(IF(19&lt;=Assumptions!$B$27,N$33/Assumptions!$B$27,0)))-0),0)*Assumptions!$B$28))+(IF(19&lt;=Assumptions!$B$27,N$33/Assumptions!$B$27,0))-0</f>
        <v>7.89555156681815</v>
      </c>
      <c r="O57" s="25" t="n">
        <f aca="false">(((((Assumptions!$B$17*(1+O$31)*(1+Assumptions!$B$24)^(19-1))-(Assumptions!$B$21*(1+Assumptions!$B$25)^(19-1)))-(IF(19&lt;=Assumptions!$B$27,O$33/Assumptions!$B$27,0)))-0)-(MAX(((((Assumptions!$B$17*(1+O$31)*(1+Assumptions!$B$24)^(19-1))-(Assumptions!$B$21*(1+Assumptions!$B$25)^(19-1)))-(IF(19&lt;=Assumptions!$B$27,O$33/Assumptions!$B$27,0)))-0),0)*Assumptions!$B$28))+(IF(19&lt;=Assumptions!$B$27,O$33/Assumptions!$B$27,0))-0</f>
        <v>8.61997563919242</v>
      </c>
      <c r="P57" s="25" t="n">
        <f aca="false">(((((Assumptions!$B$17*(1+P$31)*(1+Assumptions!$B$24)^(19-1))-(Assumptions!$B$21*(1+Assumptions!$B$25)^(19-1)))-(IF(19&lt;=Assumptions!$B$27,P$33/Assumptions!$B$27,0)))-0)-(MAX(((((Assumptions!$B$17*(1+P$31)*(1+Assumptions!$B$24)^(19-1))-(Assumptions!$B$21*(1+Assumptions!$B$25)^(19-1)))-(IF(19&lt;=Assumptions!$B$27,P$33/Assumptions!$B$27,0)))-0),0)*Assumptions!$B$28))+(IF(19&lt;=Assumptions!$B$27,P$33/Assumptions!$B$27,0))-0</f>
        <v>8.65260063919242</v>
      </c>
      <c r="Q57" s="25" t="n">
        <f aca="false">(((((Assumptions!$B$17*(1+Q$31)*(1+Assumptions!$B$24)^(19-1))-(Assumptions!$B$21*(1+Assumptions!$B$25)^(19-1)))-(IF(19&lt;=Assumptions!$B$27,Q$33/Assumptions!$B$27,0)))-0)-(MAX(((((Assumptions!$B$17*(1+Q$31)*(1+Assumptions!$B$24)^(19-1))-(Assumptions!$B$21*(1+Assumptions!$B$25)^(19-1)))-(IF(19&lt;=Assumptions!$B$27,Q$33/Assumptions!$B$27,0)))-0),0)*Assumptions!$B$28))+(IF(19&lt;=Assumptions!$B$27,Q$33/Assumptions!$B$27,0))-0</f>
        <v>8.68522563919242</v>
      </c>
    </row>
    <row r="58" customFormat="false" ht="15" hidden="false" customHeight="false" outlineLevel="0" collapsed="false">
      <c r="A58" s="7" t="n">
        <v>20</v>
      </c>
      <c r="C58" s="25" t="n">
        <f aca="false">(((((Assumptions!$B$17*(1+C$31)*(1+Assumptions!$B$24)^(20-1))-(Assumptions!$B$21*(1+Assumptions!$B$25)^(20-1)))-(IF(20&lt;=Assumptions!$B$27,C$33/Assumptions!$B$27,0)))-0)-(MAX(((((Assumptions!$B$17*(1+C$31)*(1+Assumptions!$B$24)^(20-1))-(Assumptions!$B$21*(1+Assumptions!$B$25)^(20-1)))-(IF(20&lt;=Assumptions!$B$27,C$33/Assumptions!$B$27,0)))-0),0)*Assumptions!$B$28))+(IF(20&lt;=Assumptions!$B$27,C$33/Assumptions!$B$27,0))-0</f>
        <v>5.41301501479336</v>
      </c>
      <c r="D58" s="25" t="n">
        <f aca="false">(((((Assumptions!$B$17*(1+D$31)*(1+Assumptions!$B$24)^(20-1))-(Assumptions!$B$21*(1+Assumptions!$B$25)^(20-1)))-(IF(20&lt;=Assumptions!$B$27,D$33/Assumptions!$B$27,0)))-0)-(MAX(((((Assumptions!$B$17*(1+D$31)*(1+Assumptions!$B$24)^(20-1))-(Assumptions!$B$21*(1+Assumptions!$B$25)^(20-1)))-(IF(20&lt;=Assumptions!$B$27,D$33/Assumptions!$B$27,0)))-0),0)*Assumptions!$B$28))+(IF(20&lt;=Assumptions!$B$27,D$33/Assumptions!$B$27,0))-0</f>
        <v>5.44564001479336</v>
      </c>
      <c r="E58" s="25" t="n">
        <f aca="false">(((((Assumptions!$B$17*(1+E$31)*(1+Assumptions!$B$24)^(20-1))-(Assumptions!$B$21*(1+Assumptions!$B$25)^(20-1)))-(IF(20&lt;=Assumptions!$B$27,E$33/Assumptions!$B$27,0)))-0)-(MAX(((((Assumptions!$B$17*(1+E$31)*(1+Assumptions!$B$24)^(20-1))-(Assumptions!$B$21*(1+Assumptions!$B$25)^(20-1)))-(IF(20&lt;=Assumptions!$B$27,E$33/Assumptions!$B$27,0)))-0),0)*Assumptions!$B$28))+(IF(20&lt;=Assumptions!$B$27,E$33/Assumptions!$B$27,0))-0</f>
        <v>5.47826501479336</v>
      </c>
      <c r="F58" s="25" t="n">
        <f aca="false">(((((Assumptions!$B$17*(1+F$31)*(1+Assumptions!$B$24)^(20-1))-(Assumptions!$B$21*(1+Assumptions!$B$25)^(20-1)))-(IF(20&lt;=Assumptions!$B$27,F$33/Assumptions!$B$27,0)))-0)-(MAX(((((Assumptions!$B$17*(1+F$31)*(1+Assumptions!$B$24)^(20-1))-(Assumptions!$B$21*(1+Assumptions!$B$25)^(20-1)))-(IF(20&lt;=Assumptions!$B$27,F$33/Assumptions!$B$27,0)))-0),0)*Assumptions!$B$28))+(IF(20&lt;=Assumptions!$B$27,F$33/Assumptions!$B$27,0))-0</f>
        <v>6.19953039087814</v>
      </c>
      <c r="G58" s="25" t="n">
        <f aca="false">(((((Assumptions!$B$17*(1+G$31)*(1+Assumptions!$B$24)^(20-1))-(Assumptions!$B$21*(1+Assumptions!$B$25)^(20-1)))-(IF(20&lt;=Assumptions!$B$27,G$33/Assumptions!$B$27,0)))-0)-(MAX(((((Assumptions!$B$17*(1+G$31)*(1+Assumptions!$B$24)^(20-1))-(Assumptions!$B$21*(1+Assumptions!$B$25)^(20-1)))-(IF(20&lt;=Assumptions!$B$27,G$33/Assumptions!$B$27,0)))-0),0)*Assumptions!$B$28))+(IF(20&lt;=Assumptions!$B$27,G$33/Assumptions!$B$27,0))-0</f>
        <v>6.23215539087814</v>
      </c>
      <c r="H58" s="25" t="n">
        <f aca="false">(((((Assumptions!$B$17*(1+H$31)*(1+Assumptions!$B$24)^(20-1))-(Assumptions!$B$21*(1+Assumptions!$B$25)^(20-1)))-(IF(20&lt;=Assumptions!$B$27,H$33/Assumptions!$B$27,0)))-0)-(MAX(((((Assumptions!$B$17*(1+H$31)*(1+Assumptions!$B$24)^(20-1))-(Assumptions!$B$21*(1+Assumptions!$B$25)^(20-1)))-(IF(20&lt;=Assumptions!$B$27,H$33/Assumptions!$B$27,0)))-0),0)*Assumptions!$B$28))+(IF(20&lt;=Assumptions!$B$27,H$33/Assumptions!$B$27,0))-0</f>
        <v>6.26478039087814</v>
      </c>
      <c r="I58" s="25" t="n">
        <f aca="false">(((((Assumptions!$B$17*(1+I$31)*(1+Assumptions!$B$24)^(20-1))-(Assumptions!$B$21*(1+Assumptions!$B$25)^(20-1)))-(IF(20&lt;=Assumptions!$B$27,I$33/Assumptions!$B$27,0)))-0)-(MAX(((((Assumptions!$B$17*(1+I$31)*(1+Assumptions!$B$24)^(20-1))-(Assumptions!$B$21*(1+Assumptions!$B$25)^(20-1)))-(IF(20&lt;=Assumptions!$B$27,I$33/Assumptions!$B$27,0)))-0),0)*Assumptions!$B$28))+(IF(20&lt;=Assumptions!$B$27,I$33/Assumptions!$B$27,0))-0</f>
        <v>6.98604576696292</v>
      </c>
      <c r="J58" s="25" t="n">
        <f aca="false">(((((Assumptions!$B$17*(1+J$31)*(1+Assumptions!$B$24)^(20-1))-(Assumptions!$B$21*(1+Assumptions!$B$25)^(20-1)))-(IF(20&lt;=Assumptions!$B$27,J$33/Assumptions!$B$27,0)))-0)-(MAX(((((Assumptions!$B$17*(1+J$31)*(1+Assumptions!$B$24)^(20-1))-(Assumptions!$B$21*(1+Assumptions!$B$25)^(20-1)))-(IF(20&lt;=Assumptions!$B$27,J$33/Assumptions!$B$27,0)))-0),0)*Assumptions!$B$28))+(IF(20&lt;=Assumptions!$B$27,J$33/Assumptions!$B$27,0))-0</f>
        <v>7.01867076696292</v>
      </c>
      <c r="K58" s="25" t="n">
        <f aca="false">(((((Assumptions!$B$17*(1+K$31)*(1+Assumptions!$B$24)^(20-1))-(Assumptions!$B$21*(1+Assumptions!$B$25)^(20-1)))-(IF(20&lt;=Assumptions!$B$27,K$33/Assumptions!$B$27,0)))-0)-(MAX(((((Assumptions!$B$17*(1+K$31)*(1+Assumptions!$B$24)^(20-1))-(Assumptions!$B$21*(1+Assumptions!$B$25)^(20-1)))-(IF(20&lt;=Assumptions!$B$27,K$33/Assumptions!$B$27,0)))-0),0)*Assumptions!$B$28))+(IF(20&lt;=Assumptions!$B$27,K$33/Assumptions!$B$27,0))-0</f>
        <v>7.05129576696292</v>
      </c>
      <c r="L58" s="25" t="n">
        <f aca="false">(((((Assumptions!$B$17*(1+L$31)*(1+Assumptions!$B$24)^(20-1))-(Assumptions!$B$21*(1+Assumptions!$B$25)^(20-1)))-(IF(20&lt;=Assumptions!$B$27,L$33/Assumptions!$B$27,0)))-0)-(MAX(((((Assumptions!$B$17*(1+L$31)*(1+Assumptions!$B$24)^(20-1))-(Assumptions!$B$21*(1+Assumptions!$B$25)^(20-1)))-(IF(20&lt;=Assumptions!$B$27,L$33/Assumptions!$B$27,0)))-0),0)*Assumptions!$B$28))+(IF(20&lt;=Assumptions!$B$27,L$33/Assumptions!$B$27,0))-0</f>
        <v>7.7725611430477</v>
      </c>
      <c r="M58" s="25" t="n">
        <f aca="false">(((((Assumptions!$B$17*(1+M$31)*(1+Assumptions!$B$24)^(20-1))-(Assumptions!$B$21*(1+Assumptions!$B$25)^(20-1)))-(IF(20&lt;=Assumptions!$B$27,M$33/Assumptions!$B$27,0)))-0)-(MAX(((((Assumptions!$B$17*(1+M$31)*(1+Assumptions!$B$24)^(20-1))-(Assumptions!$B$21*(1+Assumptions!$B$25)^(20-1)))-(IF(20&lt;=Assumptions!$B$27,M$33/Assumptions!$B$27,0)))-0),0)*Assumptions!$B$28))+(IF(20&lt;=Assumptions!$B$27,M$33/Assumptions!$B$27,0))-0</f>
        <v>7.8051861430477</v>
      </c>
      <c r="N58" s="25" t="n">
        <f aca="false">(((((Assumptions!$B$17*(1+N$31)*(1+Assumptions!$B$24)^(20-1))-(Assumptions!$B$21*(1+Assumptions!$B$25)^(20-1)))-(IF(20&lt;=Assumptions!$B$27,N$33/Assumptions!$B$27,0)))-0)-(MAX(((((Assumptions!$B$17*(1+N$31)*(1+Assumptions!$B$24)^(20-1))-(Assumptions!$B$21*(1+Assumptions!$B$25)^(20-1)))-(IF(20&lt;=Assumptions!$B$27,N$33/Assumptions!$B$27,0)))-0),0)*Assumptions!$B$28))+(IF(20&lt;=Assumptions!$B$27,N$33/Assumptions!$B$27,0))-0</f>
        <v>7.8378111430477</v>
      </c>
      <c r="O58" s="25" t="n">
        <f aca="false">(((((Assumptions!$B$17*(1+O$31)*(1+Assumptions!$B$24)^(20-1))-(Assumptions!$B$21*(1+Assumptions!$B$25)^(20-1)))-(IF(20&lt;=Assumptions!$B$27,O$33/Assumptions!$B$27,0)))-0)-(MAX(((((Assumptions!$B$17*(1+O$31)*(1+Assumptions!$B$24)^(20-1))-(Assumptions!$B$21*(1+Assumptions!$B$25)^(20-1)))-(IF(20&lt;=Assumptions!$B$27,O$33/Assumptions!$B$27,0)))-0),0)*Assumptions!$B$28))+(IF(20&lt;=Assumptions!$B$27,O$33/Assumptions!$B$27,0))-0</f>
        <v>8.55907651913248</v>
      </c>
      <c r="P58" s="25" t="n">
        <f aca="false">(((((Assumptions!$B$17*(1+P$31)*(1+Assumptions!$B$24)^(20-1))-(Assumptions!$B$21*(1+Assumptions!$B$25)^(20-1)))-(IF(20&lt;=Assumptions!$B$27,P$33/Assumptions!$B$27,0)))-0)-(MAX(((((Assumptions!$B$17*(1+P$31)*(1+Assumptions!$B$24)^(20-1))-(Assumptions!$B$21*(1+Assumptions!$B$25)^(20-1)))-(IF(20&lt;=Assumptions!$B$27,P$33/Assumptions!$B$27,0)))-0),0)*Assumptions!$B$28))+(IF(20&lt;=Assumptions!$B$27,P$33/Assumptions!$B$27,0))-0</f>
        <v>8.59170151913248</v>
      </c>
      <c r="Q58" s="25" t="n">
        <f aca="false">(((((Assumptions!$B$17*(1+Q$31)*(1+Assumptions!$B$24)^(20-1))-(Assumptions!$B$21*(1+Assumptions!$B$25)^(20-1)))-(IF(20&lt;=Assumptions!$B$27,Q$33/Assumptions!$B$27,0)))-0)-(MAX(((((Assumptions!$B$17*(1+Q$31)*(1+Assumptions!$B$24)^(20-1))-(Assumptions!$B$21*(1+Assumptions!$B$25)^(20-1)))-(IF(20&lt;=Assumptions!$B$27,Q$33/Assumptions!$B$27,0)))-0),0)*Assumptions!$B$28))+(IF(20&lt;=Assumptions!$B$27,Q$33/Assumptions!$B$27,0))-0</f>
        <v>8.62432651913248</v>
      </c>
    </row>
    <row r="59" customFormat="false" ht="15" hidden="false" customHeight="false" outlineLevel="0" collapsed="false">
      <c r="A59" s="7" t="n">
        <v>21</v>
      </c>
      <c r="C59" s="25" t="n">
        <f aca="false">(((((Assumptions!$B$17*(1+C$31)*(1+Assumptions!$B$24)^(21-1))-(Assumptions!$B$21*(1+Assumptions!$B$25)^(21-1)))-(IF(21&lt;=Assumptions!$B$27,C$33/Assumptions!$B$27,0)))-0)-(MAX(((((Assumptions!$B$17*(1+C$31)*(1+Assumptions!$B$24)^(21-1))-(Assumptions!$B$21*(1+Assumptions!$B$25)^(21-1)))-(IF(21&lt;=Assumptions!$B$27,C$33/Assumptions!$B$27,0)))-0),0)*Assumptions!$B$28))+(IF(21&lt;=Assumptions!$B$27,C$33/Assumptions!$B$27,0))-0</f>
        <v>5.36439186288095</v>
      </c>
      <c r="D59" s="25" t="n">
        <f aca="false">(((((Assumptions!$B$17*(1+D$31)*(1+Assumptions!$B$24)^(21-1))-(Assumptions!$B$21*(1+Assumptions!$B$25)^(21-1)))-(IF(21&lt;=Assumptions!$B$27,D$33/Assumptions!$B$27,0)))-0)-(MAX(((((Assumptions!$B$17*(1+D$31)*(1+Assumptions!$B$24)^(21-1))-(Assumptions!$B$21*(1+Assumptions!$B$25)^(21-1)))-(IF(21&lt;=Assumptions!$B$27,D$33/Assumptions!$B$27,0)))-0),0)*Assumptions!$B$28))+(IF(21&lt;=Assumptions!$B$27,D$33/Assumptions!$B$27,0))-0</f>
        <v>5.39701686288095</v>
      </c>
      <c r="E59" s="25" t="n">
        <f aca="false">(((((Assumptions!$B$17*(1+E$31)*(1+Assumptions!$B$24)^(21-1))-(Assumptions!$B$21*(1+Assumptions!$B$25)^(21-1)))-(IF(21&lt;=Assumptions!$B$27,E$33/Assumptions!$B$27,0)))-0)-(MAX(((((Assumptions!$B$17*(1+E$31)*(1+Assumptions!$B$24)^(21-1))-(Assumptions!$B$21*(1+Assumptions!$B$25)^(21-1)))-(IF(21&lt;=Assumptions!$B$27,E$33/Assumptions!$B$27,0)))-0),0)*Assumptions!$B$28))+(IF(21&lt;=Assumptions!$B$27,E$33/Assumptions!$B$27,0))-0</f>
        <v>5.42964186288095</v>
      </c>
      <c r="F59" s="25" t="n">
        <f aca="false">(((((Assumptions!$B$17*(1+F$31)*(1+Assumptions!$B$24)^(21-1))-(Assumptions!$B$21*(1+Assumptions!$B$25)^(21-1)))-(IF(21&lt;=Assumptions!$B$27,F$33/Assumptions!$B$27,0)))-0)-(MAX(((((Assumptions!$B$17*(1+F$31)*(1+Assumptions!$B$24)^(21-1))-(Assumptions!$B$21*(1+Assumptions!$B$25)^(21-1)))-(IF(21&lt;=Assumptions!$B$27,F$33/Assumptions!$B$27,0)))-0),0)*Assumptions!$B$28))+(IF(21&lt;=Assumptions!$B$27,F$33/Assumptions!$B$27,0))-0</f>
        <v>6.14776117746139</v>
      </c>
      <c r="G59" s="25" t="n">
        <f aca="false">(((((Assumptions!$B$17*(1+G$31)*(1+Assumptions!$B$24)^(21-1))-(Assumptions!$B$21*(1+Assumptions!$B$25)^(21-1)))-(IF(21&lt;=Assumptions!$B$27,G$33/Assumptions!$B$27,0)))-0)-(MAX(((((Assumptions!$B$17*(1+G$31)*(1+Assumptions!$B$24)^(21-1))-(Assumptions!$B$21*(1+Assumptions!$B$25)^(21-1)))-(IF(21&lt;=Assumptions!$B$27,G$33/Assumptions!$B$27,0)))-0),0)*Assumptions!$B$28))+(IF(21&lt;=Assumptions!$B$27,G$33/Assumptions!$B$27,0))-0</f>
        <v>6.18038617746139</v>
      </c>
      <c r="H59" s="25" t="n">
        <f aca="false">(((((Assumptions!$B$17*(1+H$31)*(1+Assumptions!$B$24)^(21-1))-(Assumptions!$B$21*(1+Assumptions!$B$25)^(21-1)))-(IF(21&lt;=Assumptions!$B$27,H$33/Assumptions!$B$27,0)))-0)-(MAX(((((Assumptions!$B$17*(1+H$31)*(1+Assumptions!$B$24)^(21-1))-(Assumptions!$B$21*(1+Assumptions!$B$25)^(21-1)))-(IF(21&lt;=Assumptions!$B$27,H$33/Assumptions!$B$27,0)))-0),0)*Assumptions!$B$28))+(IF(21&lt;=Assumptions!$B$27,H$33/Assumptions!$B$27,0))-0</f>
        <v>6.21301117746139</v>
      </c>
      <c r="I59" s="25" t="n">
        <f aca="false">(((((Assumptions!$B$17*(1+I$31)*(1+Assumptions!$B$24)^(21-1))-(Assumptions!$B$21*(1+Assumptions!$B$25)^(21-1)))-(IF(21&lt;=Assumptions!$B$27,I$33/Assumptions!$B$27,0)))-0)-(MAX(((((Assumptions!$B$17*(1+I$31)*(1+Assumptions!$B$24)^(21-1))-(Assumptions!$B$21*(1+Assumptions!$B$25)^(21-1)))-(IF(21&lt;=Assumptions!$B$27,I$33/Assumptions!$B$27,0)))-0),0)*Assumptions!$B$28))+(IF(21&lt;=Assumptions!$B$27,I$33/Assumptions!$B$27,0))-0</f>
        <v>6.93113049204183</v>
      </c>
      <c r="J59" s="25" t="n">
        <f aca="false">(((((Assumptions!$B$17*(1+J$31)*(1+Assumptions!$B$24)^(21-1))-(Assumptions!$B$21*(1+Assumptions!$B$25)^(21-1)))-(IF(21&lt;=Assumptions!$B$27,J$33/Assumptions!$B$27,0)))-0)-(MAX(((((Assumptions!$B$17*(1+J$31)*(1+Assumptions!$B$24)^(21-1))-(Assumptions!$B$21*(1+Assumptions!$B$25)^(21-1)))-(IF(21&lt;=Assumptions!$B$27,J$33/Assumptions!$B$27,0)))-0),0)*Assumptions!$B$28))+(IF(21&lt;=Assumptions!$B$27,J$33/Assumptions!$B$27,0))-0</f>
        <v>6.96375549204183</v>
      </c>
      <c r="K59" s="25" t="n">
        <f aca="false">(((((Assumptions!$B$17*(1+K$31)*(1+Assumptions!$B$24)^(21-1))-(Assumptions!$B$21*(1+Assumptions!$B$25)^(21-1)))-(IF(21&lt;=Assumptions!$B$27,K$33/Assumptions!$B$27,0)))-0)-(MAX(((((Assumptions!$B$17*(1+K$31)*(1+Assumptions!$B$24)^(21-1))-(Assumptions!$B$21*(1+Assumptions!$B$25)^(21-1)))-(IF(21&lt;=Assumptions!$B$27,K$33/Assumptions!$B$27,0)))-0),0)*Assumptions!$B$28))+(IF(21&lt;=Assumptions!$B$27,K$33/Assumptions!$B$27,0))-0</f>
        <v>6.99638049204183</v>
      </c>
      <c r="L59" s="25" t="n">
        <f aca="false">(((((Assumptions!$B$17*(1+L$31)*(1+Assumptions!$B$24)^(21-1))-(Assumptions!$B$21*(1+Assumptions!$B$25)^(21-1)))-(IF(21&lt;=Assumptions!$B$27,L$33/Assumptions!$B$27,0)))-0)-(MAX(((((Assumptions!$B$17*(1+L$31)*(1+Assumptions!$B$24)^(21-1))-(Assumptions!$B$21*(1+Assumptions!$B$25)^(21-1)))-(IF(21&lt;=Assumptions!$B$27,L$33/Assumptions!$B$27,0)))-0),0)*Assumptions!$B$28))+(IF(21&lt;=Assumptions!$B$27,L$33/Assumptions!$B$27,0))-0</f>
        <v>7.71449980662227</v>
      </c>
      <c r="M59" s="25" t="n">
        <f aca="false">(((((Assumptions!$B$17*(1+M$31)*(1+Assumptions!$B$24)^(21-1))-(Assumptions!$B$21*(1+Assumptions!$B$25)^(21-1)))-(IF(21&lt;=Assumptions!$B$27,M$33/Assumptions!$B$27,0)))-0)-(MAX(((((Assumptions!$B$17*(1+M$31)*(1+Assumptions!$B$24)^(21-1))-(Assumptions!$B$21*(1+Assumptions!$B$25)^(21-1)))-(IF(21&lt;=Assumptions!$B$27,M$33/Assumptions!$B$27,0)))-0),0)*Assumptions!$B$28))+(IF(21&lt;=Assumptions!$B$27,M$33/Assumptions!$B$27,0))-0</f>
        <v>7.74712480662227</v>
      </c>
      <c r="N59" s="25" t="n">
        <f aca="false">(((((Assumptions!$B$17*(1+N$31)*(1+Assumptions!$B$24)^(21-1))-(Assumptions!$B$21*(1+Assumptions!$B$25)^(21-1)))-(IF(21&lt;=Assumptions!$B$27,N$33/Assumptions!$B$27,0)))-0)-(MAX(((((Assumptions!$B$17*(1+N$31)*(1+Assumptions!$B$24)^(21-1))-(Assumptions!$B$21*(1+Assumptions!$B$25)^(21-1)))-(IF(21&lt;=Assumptions!$B$27,N$33/Assumptions!$B$27,0)))-0),0)*Assumptions!$B$28))+(IF(21&lt;=Assumptions!$B$27,N$33/Assumptions!$B$27,0))-0</f>
        <v>7.77974980662227</v>
      </c>
      <c r="O59" s="25" t="n">
        <f aca="false">(((((Assumptions!$B$17*(1+O$31)*(1+Assumptions!$B$24)^(21-1))-(Assumptions!$B$21*(1+Assumptions!$B$25)^(21-1)))-(IF(21&lt;=Assumptions!$B$27,O$33/Assumptions!$B$27,0)))-0)-(MAX(((((Assumptions!$B$17*(1+O$31)*(1+Assumptions!$B$24)^(21-1))-(Assumptions!$B$21*(1+Assumptions!$B$25)^(21-1)))-(IF(21&lt;=Assumptions!$B$27,O$33/Assumptions!$B$27,0)))-0),0)*Assumptions!$B$28))+(IF(21&lt;=Assumptions!$B$27,O$33/Assumptions!$B$27,0))-0</f>
        <v>8.49786912120271</v>
      </c>
      <c r="P59" s="25" t="n">
        <f aca="false">(((((Assumptions!$B$17*(1+P$31)*(1+Assumptions!$B$24)^(21-1))-(Assumptions!$B$21*(1+Assumptions!$B$25)^(21-1)))-(IF(21&lt;=Assumptions!$B$27,P$33/Assumptions!$B$27,0)))-0)-(MAX(((((Assumptions!$B$17*(1+P$31)*(1+Assumptions!$B$24)^(21-1))-(Assumptions!$B$21*(1+Assumptions!$B$25)^(21-1)))-(IF(21&lt;=Assumptions!$B$27,P$33/Assumptions!$B$27,0)))-0),0)*Assumptions!$B$28))+(IF(21&lt;=Assumptions!$B$27,P$33/Assumptions!$B$27,0))-0</f>
        <v>8.53049412120271</v>
      </c>
      <c r="Q59" s="25" t="n">
        <f aca="false">(((((Assumptions!$B$17*(1+Q$31)*(1+Assumptions!$B$24)^(21-1))-(Assumptions!$B$21*(1+Assumptions!$B$25)^(21-1)))-(IF(21&lt;=Assumptions!$B$27,Q$33/Assumptions!$B$27,0)))-0)-(MAX(((((Assumptions!$B$17*(1+Q$31)*(1+Assumptions!$B$24)^(21-1))-(Assumptions!$B$21*(1+Assumptions!$B$25)^(21-1)))-(IF(21&lt;=Assumptions!$B$27,Q$33/Assumptions!$B$27,0)))-0),0)*Assumptions!$B$28))+(IF(21&lt;=Assumptions!$B$27,Q$33/Assumptions!$B$27,0))-0</f>
        <v>8.56311912120271</v>
      </c>
    </row>
    <row r="60" customFormat="false" ht="15" hidden="false" customHeight="false" outlineLevel="0" collapsed="false">
      <c r="A60" s="7" t="n">
        <v>22</v>
      </c>
      <c r="C60" s="25" t="n">
        <f aca="false">(((((Assumptions!$B$17*(1+C$31)*(1+Assumptions!$B$24)^(22-1))-(Assumptions!$B$21*(1+Assumptions!$B$25)^(22-1)))-(IF(22&lt;=Assumptions!$B$27,C$33/Assumptions!$B$27,0)))-0)-(MAX(((((Assumptions!$B$17*(1+C$31)*(1+Assumptions!$B$24)^(22-1))-(Assumptions!$B$21*(1+Assumptions!$B$25)^(22-1)))-(IF(22&lt;=Assumptions!$B$27,C$33/Assumptions!$B$27,0)))-0),0)*Assumptions!$B$28))+(IF(22&lt;=Assumptions!$B$27,C$33/Assumptions!$B$27,0))-0</f>
        <v>5.31540029173913</v>
      </c>
      <c r="D60" s="25" t="n">
        <f aca="false">(((((Assumptions!$B$17*(1+D$31)*(1+Assumptions!$B$24)^(22-1))-(Assumptions!$B$21*(1+Assumptions!$B$25)^(22-1)))-(IF(22&lt;=Assumptions!$B$27,D$33/Assumptions!$B$27,0)))-0)-(MAX(((((Assumptions!$B$17*(1+D$31)*(1+Assumptions!$B$24)^(22-1))-(Assumptions!$B$21*(1+Assumptions!$B$25)^(22-1)))-(IF(22&lt;=Assumptions!$B$27,D$33/Assumptions!$B$27,0)))-0),0)*Assumptions!$B$28))+(IF(22&lt;=Assumptions!$B$27,D$33/Assumptions!$B$27,0))-0</f>
        <v>5.34802529173913</v>
      </c>
      <c r="E60" s="25" t="n">
        <f aca="false">(((((Assumptions!$B$17*(1+E$31)*(1+Assumptions!$B$24)^(22-1))-(Assumptions!$B$21*(1+Assumptions!$B$25)^(22-1)))-(IF(22&lt;=Assumptions!$B$27,E$33/Assumptions!$B$27,0)))-0)-(MAX(((((Assumptions!$B$17*(1+E$31)*(1+Assumptions!$B$24)^(22-1))-(Assumptions!$B$21*(1+Assumptions!$B$25)^(22-1)))-(IF(22&lt;=Assumptions!$B$27,E$33/Assumptions!$B$27,0)))-0),0)*Assumptions!$B$28))+(IF(22&lt;=Assumptions!$B$27,E$33/Assumptions!$B$27,0))-0</f>
        <v>5.38065029173913</v>
      </c>
      <c r="F60" s="25" t="n">
        <f aca="false">(((((Assumptions!$B$17*(1+F$31)*(1+Assumptions!$B$24)^(22-1))-(Assumptions!$B$21*(1+Assumptions!$B$25)^(22-1)))-(IF(22&lt;=Assumptions!$B$27,F$33/Assumptions!$B$27,0)))-0)-(MAX(((((Assumptions!$B$17*(1+F$31)*(1+Assumptions!$B$24)^(22-1))-(Assumptions!$B$21*(1+Assumptions!$B$25)^(22-1)))-(IF(22&lt;=Assumptions!$B$27,F$33/Assumptions!$B$27,0)))-0),0)*Assumptions!$B$28))+(IF(22&lt;=Assumptions!$B$27,F$33/Assumptions!$B$27,0))-0</f>
        <v>6.09563612906125</v>
      </c>
      <c r="G60" s="25" t="n">
        <f aca="false">(((((Assumptions!$B$17*(1+G$31)*(1+Assumptions!$B$24)^(22-1))-(Assumptions!$B$21*(1+Assumptions!$B$25)^(22-1)))-(IF(22&lt;=Assumptions!$B$27,G$33/Assumptions!$B$27,0)))-0)-(MAX(((((Assumptions!$B$17*(1+G$31)*(1+Assumptions!$B$24)^(22-1))-(Assumptions!$B$21*(1+Assumptions!$B$25)^(22-1)))-(IF(22&lt;=Assumptions!$B$27,G$33/Assumptions!$B$27,0)))-0),0)*Assumptions!$B$28))+(IF(22&lt;=Assumptions!$B$27,G$33/Assumptions!$B$27,0))-0</f>
        <v>6.12826112906125</v>
      </c>
      <c r="H60" s="25" t="n">
        <f aca="false">(((((Assumptions!$B$17*(1+H$31)*(1+Assumptions!$B$24)^(22-1))-(Assumptions!$B$21*(1+Assumptions!$B$25)^(22-1)))-(IF(22&lt;=Assumptions!$B$27,H$33/Assumptions!$B$27,0)))-0)-(MAX(((((Assumptions!$B$17*(1+H$31)*(1+Assumptions!$B$24)^(22-1))-(Assumptions!$B$21*(1+Assumptions!$B$25)^(22-1)))-(IF(22&lt;=Assumptions!$B$27,H$33/Assumptions!$B$27,0)))-0),0)*Assumptions!$B$28))+(IF(22&lt;=Assumptions!$B$27,H$33/Assumptions!$B$27,0))-0</f>
        <v>6.16088612906125</v>
      </c>
      <c r="I60" s="25" t="n">
        <f aca="false">(((((Assumptions!$B$17*(1+I$31)*(1+Assumptions!$B$24)^(22-1))-(Assumptions!$B$21*(1+Assumptions!$B$25)^(22-1)))-(IF(22&lt;=Assumptions!$B$27,I$33/Assumptions!$B$27,0)))-0)-(MAX(((((Assumptions!$B$17*(1+I$31)*(1+Assumptions!$B$24)^(22-1))-(Assumptions!$B$21*(1+Assumptions!$B$25)^(22-1)))-(IF(22&lt;=Assumptions!$B$27,I$33/Assumptions!$B$27,0)))-0),0)*Assumptions!$B$28))+(IF(22&lt;=Assumptions!$B$27,I$33/Assumptions!$B$27,0))-0</f>
        <v>6.87587196638336</v>
      </c>
      <c r="J60" s="25" t="n">
        <f aca="false">(((((Assumptions!$B$17*(1+J$31)*(1+Assumptions!$B$24)^(22-1))-(Assumptions!$B$21*(1+Assumptions!$B$25)^(22-1)))-(IF(22&lt;=Assumptions!$B$27,J$33/Assumptions!$B$27,0)))-0)-(MAX(((((Assumptions!$B$17*(1+J$31)*(1+Assumptions!$B$24)^(22-1))-(Assumptions!$B$21*(1+Assumptions!$B$25)^(22-1)))-(IF(22&lt;=Assumptions!$B$27,J$33/Assumptions!$B$27,0)))-0),0)*Assumptions!$B$28))+(IF(22&lt;=Assumptions!$B$27,J$33/Assumptions!$B$27,0))-0</f>
        <v>6.90849696638336</v>
      </c>
      <c r="K60" s="25" t="n">
        <f aca="false">(((((Assumptions!$B$17*(1+K$31)*(1+Assumptions!$B$24)^(22-1))-(Assumptions!$B$21*(1+Assumptions!$B$25)^(22-1)))-(IF(22&lt;=Assumptions!$B$27,K$33/Assumptions!$B$27,0)))-0)-(MAX(((((Assumptions!$B$17*(1+K$31)*(1+Assumptions!$B$24)^(22-1))-(Assumptions!$B$21*(1+Assumptions!$B$25)^(22-1)))-(IF(22&lt;=Assumptions!$B$27,K$33/Assumptions!$B$27,0)))-0),0)*Assumptions!$B$28))+(IF(22&lt;=Assumptions!$B$27,K$33/Assumptions!$B$27,0))-0</f>
        <v>6.94112196638336</v>
      </c>
      <c r="L60" s="25" t="n">
        <f aca="false">(((((Assumptions!$B$17*(1+L$31)*(1+Assumptions!$B$24)^(22-1))-(Assumptions!$B$21*(1+Assumptions!$B$25)^(22-1)))-(IF(22&lt;=Assumptions!$B$27,L$33/Assumptions!$B$27,0)))-0)-(MAX(((((Assumptions!$B$17*(1+L$31)*(1+Assumptions!$B$24)^(22-1))-(Assumptions!$B$21*(1+Assumptions!$B$25)^(22-1)))-(IF(22&lt;=Assumptions!$B$27,L$33/Assumptions!$B$27,0)))-0),0)*Assumptions!$B$28))+(IF(22&lt;=Assumptions!$B$27,L$33/Assumptions!$B$27,0))-0</f>
        <v>7.65610780370548</v>
      </c>
      <c r="M60" s="25" t="n">
        <f aca="false">(((((Assumptions!$B$17*(1+M$31)*(1+Assumptions!$B$24)^(22-1))-(Assumptions!$B$21*(1+Assumptions!$B$25)^(22-1)))-(IF(22&lt;=Assumptions!$B$27,M$33/Assumptions!$B$27,0)))-0)-(MAX(((((Assumptions!$B$17*(1+M$31)*(1+Assumptions!$B$24)^(22-1))-(Assumptions!$B$21*(1+Assumptions!$B$25)^(22-1)))-(IF(22&lt;=Assumptions!$B$27,M$33/Assumptions!$B$27,0)))-0),0)*Assumptions!$B$28))+(IF(22&lt;=Assumptions!$B$27,M$33/Assumptions!$B$27,0))-0</f>
        <v>7.68873280370548</v>
      </c>
      <c r="N60" s="25" t="n">
        <f aca="false">(((((Assumptions!$B$17*(1+N$31)*(1+Assumptions!$B$24)^(22-1))-(Assumptions!$B$21*(1+Assumptions!$B$25)^(22-1)))-(IF(22&lt;=Assumptions!$B$27,N$33/Assumptions!$B$27,0)))-0)-(MAX(((((Assumptions!$B$17*(1+N$31)*(1+Assumptions!$B$24)^(22-1))-(Assumptions!$B$21*(1+Assumptions!$B$25)^(22-1)))-(IF(22&lt;=Assumptions!$B$27,N$33/Assumptions!$B$27,0)))-0),0)*Assumptions!$B$28))+(IF(22&lt;=Assumptions!$B$27,N$33/Assumptions!$B$27,0))-0</f>
        <v>7.72135780370548</v>
      </c>
      <c r="O60" s="25" t="n">
        <f aca="false">(((((Assumptions!$B$17*(1+O$31)*(1+Assumptions!$B$24)^(22-1))-(Assumptions!$B$21*(1+Assumptions!$B$25)^(22-1)))-(IF(22&lt;=Assumptions!$B$27,O$33/Assumptions!$B$27,0)))-0)-(MAX(((((Assumptions!$B$17*(1+O$31)*(1+Assumptions!$B$24)^(22-1))-(Assumptions!$B$21*(1+Assumptions!$B$25)^(22-1)))-(IF(22&lt;=Assumptions!$B$27,O$33/Assumptions!$B$27,0)))-0),0)*Assumptions!$B$28))+(IF(22&lt;=Assumptions!$B$27,O$33/Assumptions!$B$27,0))-0</f>
        <v>8.4363436410276</v>
      </c>
      <c r="P60" s="25" t="n">
        <f aca="false">(((((Assumptions!$B$17*(1+P$31)*(1+Assumptions!$B$24)^(22-1))-(Assumptions!$B$21*(1+Assumptions!$B$25)^(22-1)))-(IF(22&lt;=Assumptions!$B$27,P$33/Assumptions!$B$27,0)))-0)-(MAX(((((Assumptions!$B$17*(1+P$31)*(1+Assumptions!$B$24)^(22-1))-(Assumptions!$B$21*(1+Assumptions!$B$25)^(22-1)))-(IF(22&lt;=Assumptions!$B$27,P$33/Assumptions!$B$27,0)))-0),0)*Assumptions!$B$28))+(IF(22&lt;=Assumptions!$B$27,P$33/Assumptions!$B$27,0))-0</f>
        <v>8.4689686410276</v>
      </c>
      <c r="Q60" s="25" t="n">
        <f aca="false">(((((Assumptions!$B$17*(1+Q$31)*(1+Assumptions!$B$24)^(22-1))-(Assumptions!$B$21*(1+Assumptions!$B$25)^(22-1)))-(IF(22&lt;=Assumptions!$B$27,Q$33/Assumptions!$B$27,0)))-0)-(MAX(((((Assumptions!$B$17*(1+Q$31)*(1+Assumptions!$B$24)^(22-1))-(Assumptions!$B$21*(1+Assumptions!$B$25)^(22-1)))-(IF(22&lt;=Assumptions!$B$27,Q$33/Assumptions!$B$27,0)))-0),0)*Assumptions!$B$28))+(IF(22&lt;=Assumptions!$B$27,Q$33/Assumptions!$B$27,0))-0</f>
        <v>8.5015936410276</v>
      </c>
    </row>
    <row r="61" customFormat="false" ht="15" hidden="false" customHeight="false" outlineLevel="0" collapsed="false">
      <c r="A61" s="7" t="n">
        <v>23</v>
      </c>
      <c r="C61" s="25" t="n">
        <f aca="false">(((((Assumptions!$B$17*(1+C$31)*(1+Assumptions!$B$24)^(23-1))-(Assumptions!$B$21*(1+Assumptions!$B$25)^(23-1)))-(IF(23&lt;=Assumptions!$B$27,C$33/Assumptions!$B$27,0)))-0)-(MAX(((((Assumptions!$B$17*(1+C$31)*(1+Assumptions!$B$24)^(23-1))-(Assumptions!$B$21*(1+Assumptions!$B$25)^(23-1)))-(IF(23&lt;=Assumptions!$B$27,C$33/Assumptions!$B$27,0)))-0),0)*Assumptions!$B$28))+(IF(23&lt;=Assumptions!$B$27,C$33/Assumptions!$B$27,0))-0</f>
        <v>5.26603051680806</v>
      </c>
      <c r="D61" s="25" t="n">
        <f aca="false">(((((Assumptions!$B$17*(1+D$31)*(1+Assumptions!$B$24)^(23-1))-(Assumptions!$B$21*(1+Assumptions!$B$25)^(23-1)))-(IF(23&lt;=Assumptions!$B$27,D$33/Assumptions!$B$27,0)))-0)-(MAX(((((Assumptions!$B$17*(1+D$31)*(1+Assumptions!$B$24)^(23-1))-(Assumptions!$B$21*(1+Assumptions!$B$25)^(23-1)))-(IF(23&lt;=Assumptions!$B$27,D$33/Assumptions!$B$27,0)))-0),0)*Assumptions!$B$28))+(IF(23&lt;=Assumptions!$B$27,D$33/Assumptions!$B$27,0))-0</f>
        <v>5.29865551680806</v>
      </c>
      <c r="E61" s="25" t="n">
        <f aca="false">(((((Assumptions!$B$17*(1+E$31)*(1+Assumptions!$B$24)^(23-1))-(Assumptions!$B$21*(1+Assumptions!$B$25)^(23-1)))-(IF(23&lt;=Assumptions!$B$27,E$33/Assumptions!$B$27,0)))-0)-(MAX(((((Assumptions!$B$17*(1+E$31)*(1+Assumptions!$B$24)^(23-1))-(Assumptions!$B$21*(1+Assumptions!$B$25)^(23-1)))-(IF(23&lt;=Assumptions!$B$27,E$33/Assumptions!$B$27,0)))-0),0)*Assumptions!$B$28))+(IF(23&lt;=Assumptions!$B$27,E$33/Assumptions!$B$27,0))-0</f>
        <v>5.33128051680806</v>
      </c>
      <c r="F61" s="25" t="n">
        <f aca="false">(((((Assumptions!$B$17*(1+F$31)*(1+Assumptions!$B$24)^(23-1))-(Assumptions!$B$21*(1+Assumptions!$B$25)^(23-1)))-(IF(23&lt;=Assumptions!$B$27,F$33/Assumptions!$B$27,0)))-0)-(MAX(((((Assumptions!$B$17*(1+F$31)*(1+Assumptions!$B$24)^(23-1))-(Assumptions!$B$21*(1+Assumptions!$B$25)^(23-1)))-(IF(23&lt;=Assumptions!$B$27,F$33/Assumptions!$B$27,0)))-0),0)*Assumptions!$B$28))+(IF(23&lt;=Assumptions!$B$27,F$33/Assumptions!$B$27,0))-0</f>
        <v>6.04314541078089</v>
      </c>
      <c r="G61" s="25" t="n">
        <f aca="false">(((((Assumptions!$B$17*(1+G$31)*(1+Assumptions!$B$24)^(23-1))-(Assumptions!$B$21*(1+Assumptions!$B$25)^(23-1)))-(IF(23&lt;=Assumptions!$B$27,G$33/Assumptions!$B$27,0)))-0)-(MAX(((((Assumptions!$B$17*(1+G$31)*(1+Assumptions!$B$24)^(23-1))-(Assumptions!$B$21*(1+Assumptions!$B$25)^(23-1)))-(IF(23&lt;=Assumptions!$B$27,G$33/Assumptions!$B$27,0)))-0),0)*Assumptions!$B$28))+(IF(23&lt;=Assumptions!$B$27,G$33/Assumptions!$B$27,0))-0</f>
        <v>6.07577041078089</v>
      </c>
      <c r="H61" s="25" t="n">
        <f aca="false">(((((Assumptions!$B$17*(1+H$31)*(1+Assumptions!$B$24)^(23-1))-(Assumptions!$B$21*(1+Assumptions!$B$25)^(23-1)))-(IF(23&lt;=Assumptions!$B$27,H$33/Assumptions!$B$27,0)))-0)-(MAX(((((Assumptions!$B$17*(1+H$31)*(1+Assumptions!$B$24)^(23-1))-(Assumptions!$B$21*(1+Assumptions!$B$25)^(23-1)))-(IF(23&lt;=Assumptions!$B$27,H$33/Assumptions!$B$27,0)))-0),0)*Assumptions!$B$28))+(IF(23&lt;=Assumptions!$B$27,H$33/Assumptions!$B$27,0))-0</f>
        <v>6.10839541078089</v>
      </c>
      <c r="I61" s="25" t="n">
        <f aca="false">(((((Assumptions!$B$17*(1+I$31)*(1+Assumptions!$B$24)^(23-1))-(Assumptions!$B$21*(1+Assumptions!$B$25)^(23-1)))-(IF(23&lt;=Assumptions!$B$27,I$33/Assumptions!$B$27,0)))-0)-(MAX(((((Assumptions!$B$17*(1+I$31)*(1+Assumptions!$B$24)^(23-1))-(Assumptions!$B$21*(1+Assumptions!$B$25)^(23-1)))-(IF(23&lt;=Assumptions!$B$27,I$33/Assumptions!$B$27,0)))-0),0)*Assumptions!$B$28))+(IF(23&lt;=Assumptions!$B$27,I$33/Assumptions!$B$27,0))-0</f>
        <v>6.82026030475372</v>
      </c>
      <c r="J61" s="25" t="n">
        <f aca="false">(((((Assumptions!$B$17*(1+J$31)*(1+Assumptions!$B$24)^(23-1))-(Assumptions!$B$21*(1+Assumptions!$B$25)^(23-1)))-(IF(23&lt;=Assumptions!$B$27,J$33/Assumptions!$B$27,0)))-0)-(MAX(((((Assumptions!$B$17*(1+J$31)*(1+Assumptions!$B$24)^(23-1))-(Assumptions!$B$21*(1+Assumptions!$B$25)^(23-1)))-(IF(23&lt;=Assumptions!$B$27,J$33/Assumptions!$B$27,0)))-0),0)*Assumptions!$B$28))+(IF(23&lt;=Assumptions!$B$27,J$33/Assumptions!$B$27,0))-0</f>
        <v>6.85288530475372</v>
      </c>
      <c r="K61" s="25" t="n">
        <f aca="false">(((((Assumptions!$B$17*(1+K$31)*(1+Assumptions!$B$24)^(23-1))-(Assumptions!$B$21*(1+Assumptions!$B$25)^(23-1)))-(IF(23&lt;=Assumptions!$B$27,K$33/Assumptions!$B$27,0)))-0)-(MAX(((((Assumptions!$B$17*(1+K$31)*(1+Assumptions!$B$24)^(23-1))-(Assumptions!$B$21*(1+Assumptions!$B$25)^(23-1)))-(IF(23&lt;=Assumptions!$B$27,K$33/Assumptions!$B$27,0)))-0),0)*Assumptions!$B$28))+(IF(23&lt;=Assumptions!$B$27,K$33/Assumptions!$B$27,0))-0</f>
        <v>6.88551030475372</v>
      </c>
      <c r="L61" s="25" t="n">
        <f aca="false">(((((Assumptions!$B$17*(1+L$31)*(1+Assumptions!$B$24)^(23-1))-(Assumptions!$B$21*(1+Assumptions!$B$25)^(23-1)))-(IF(23&lt;=Assumptions!$B$27,L$33/Assumptions!$B$27,0)))-0)-(MAX(((((Assumptions!$B$17*(1+L$31)*(1+Assumptions!$B$24)^(23-1))-(Assumptions!$B$21*(1+Assumptions!$B$25)^(23-1)))-(IF(23&lt;=Assumptions!$B$27,L$33/Assumptions!$B$27,0)))-0),0)*Assumptions!$B$28))+(IF(23&lt;=Assumptions!$B$27,L$33/Assumptions!$B$27,0))-0</f>
        <v>7.59737519872655</v>
      </c>
      <c r="M61" s="25" t="n">
        <f aca="false">(((((Assumptions!$B$17*(1+M$31)*(1+Assumptions!$B$24)^(23-1))-(Assumptions!$B$21*(1+Assumptions!$B$25)^(23-1)))-(IF(23&lt;=Assumptions!$B$27,M$33/Assumptions!$B$27,0)))-0)-(MAX(((((Assumptions!$B$17*(1+M$31)*(1+Assumptions!$B$24)^(23-1))-(Assumptions!$B$21*(1+Assumptions!$B$25)^(23-1)))-(IF(23&lt;=Assumptions!$B$27,M$33/Assumptions!$B$27,0)))-0),0)*Assumptions!$B$28))+(IF(23&lt;=Assumptions!$B$27,M$33/Assumptions!$B$27,0))-0</f>
        <v>7.63000019872655</v>
      </c>
      <c r="N61" s="25" t="n">
        <f aca="false">(((((Assumptions!$B$17*(1+N$31)*(1+Assumptions!$B$24)^(23-1))-(Assumptions!$B$21*(1+Assumptions!$B$25)^(23-1)))-(IF(23&lt;=Assumptions!$B$27,N$33/Assumptions!$B$27,0)))-0)-(MAX(((((Assumptions!$B$17*(1+N$31)*(1+Assumptions!$B$24)^(23-1))-(Assumptions!$B$21*(1+Assumptions!$B$25)^(23-1)))-(IF(23&lt;=Assumptions!$B$27,N$33/Assumptions!$B$27,0)))-0),0)*Assumptions!$B$28))+(IF(23&lt;=Assumptions!$B$27,N$33/Assumptions!$B$27,0))-0</f>
        <v>7.66262519872655</v>
      </c>
      <c r="O61" s="25" t="n">
        <f aca="false">(((((Assumptions!$B$17*(1+O$31)*(1+Assumptions!$B$24)^(23-1))-(Assumptions!$B$21*(1+Assumptions!$B$25)^(23-1)))-(IF(23&lt;=Assumptions!$B$27,O$33/Assumptions!$B$27,0)))-0)-(MAX(((((Assumptions!$B$17*(1+O$31)*(1+Assumptions!$B$24)^(23-1))-(Assumptions!$B$21*(1+Assumptions!$B$25)^(23-1)))-(IF(23&lt;=Assumptions!$B$27,O$33/Assumptions!$B$27,0)))-0),0)*Assumptions!$B$28))+(IF(23&lt;=Assumptions!$B$27,O$33/Assumptions!$B$27,0))-0</f>
        <v>8.37449009269938</v>
      </c>
      <c r="P61" s="25" t="n">
        <f aca="false">(((((Assumptions!$B$17*(1+P$31)*(1+Assumptions!$B$24)^(23-1))-(Assumptions!$B$21*(1+Assumptions!$B$25)^(23-1)))-(IF(23&lt;=Assumptions!$B$27,P$33/Assumptions!$B$27,0)))-0)-(MAX(((((Assumptions!$B$17*(1+P$31)*(1+Assumptions!$B$24)^(23-1))-(Assumptions!$B$21*(1+Assumptions!$B$25)^(23-1)))-(IF(23&lt;=Assumptions!$B$27,P$33/Assumptions!$B$27,0)))-0),0)*Assumptions!$B$28))+(IF(23&lt;=Assumptions!$B$27,P$33/Assumptions!$B$27,0))-0</f>
        <v>8.40711509269938</v>
      </c>
      <c r="Q61" s="25" t="n">
        <f aca="false">(((((Assumptions!$B$17*(1+Q$31)*(1+Assumptions!$B$24)^(23-1))-(Assumptions!$B$21*(1+Assumptions!$B$25)^(23-1)))-(IF(23&lt;=Assumptions!$B$27,Q$33/Assumptions!$B$27,0)))-0)-(MAX(((((Assumptions!$B$17*(1+Q$31)*(1+Assumptions!$B$24)^(23-1))-(Assumptions!$B$21*(1+Assumptions!$B$25)^(23-1)))-(IF(23&lt;=Assumptions!$B$27,Q$33/Assumptions!$B$27,0)))-0),0)*Assumptions!$B$28))+(IF(23&lt;=Assumptions!$B$27,Q$33/Assumptions!$B$27,0))-0</f>
        <v>8.43974009269938</v>
      </c>
    </row>
    <row r="62" customFormat="false" ht="15" hidden="false" customHeight="false" outlineLevel="0" collapsed="false">
      <c r="A62" s="7" t="n">
        <v>24</v>
      </c>
      <c r="C62" s="25" t="n">
        <f aca="false">(((((Assumptions!$B$17*(1+C$31)*(1+Assumptions!$B$24)^(24-1))-(Assumptions!$B$21*(1+Assumptions!$B$25)^(24-1)))-(IF(24&lt;=Assumptions!$B$27,C$33/Assumptions!$B$27,0)))-0)-(MAX(((((Assumptions!$B$17*(1+C$31)*(1+Assumptions!$B$24)^(24-1))-(Assumptions!$B$21*(1+Assumptions!$B$25)^(24-1)))-(IF(24&lt;=Assumptions!$B$27,C$33/Assumptions!$B$27,0)))-0),0)*Assumptions!$B$28))+(IF(24&lt;=Assumptions!$B$27,C$33/Assumptions!$B$27,0))-0</f>
        <v>5.21627256750144</v>
      </c>
      <c r="D62" s="25" t="n">
        <f aca="false">(((((Assumptions!$B$17*(1+D$31)*(1+Assumptions!$B$24)^(24-1))-(Assumptions!$B$21*(1+Assumptions!$B$25)^(24-1)))-(IF(24&lt;=Assumptions!$B$27,D$33/Assumptions!$B$27,0)))-0)-(MAX(((((Assumptions!$B$17*(1+D$31)*(1+Assumptions!$B$24)^(24-1))-(Assumptions!$B$21*(1+Assumptions!$B$25)^(24-1)))-(IF(24&lt;=Assumptions!$B$27,D$33/Assumptions!$B$27,0)))-0),0)*Assumptions!$B$28))+(IF(24&lt;=Assumptions!$B$27,D$33/Assumptions!$B$27,0))-0</f>
        <v>5.24889756750144</v>
      </c>
      <c r="E62" s="25" t="n">
        <f aca="false">(((((Assumptions!$B$17*(1+E$31)*(1+Assumptions!$B$24)^(24-1))-(Assumptions!$B$21*(1+Assumptions!$B$25)^(24-1)))-(IF(24&lt;=Assumptions!$B$27,E$33/Assumptions!$B$27,0)))-0)-(MAX(((((Assumptions!$B$17*(1+E$31)*(1+Assumptions!$B$24)^(24-1))-(Assumptions!$B$21*(1+Assumptions!$B$25)^(24-1)))-(IF(24&lt;=Assumptions!$B$27,E$33/Assumptions!$B$27,0)))-0),0)*Assumptions!$B$28))+(IF(24&lt;=Assumptions!$B$27,E$33/Assumptions!$B$27,0))-0</f>
        <v>5.28152256750144</v>
      </c>
      <c r="F62" s="25" t="n">
        <f aca="false">(((((Assumptions!$B$17*(1+F$31)*(1+Assumptions!$B$24)^(24-1))-(Assumptions!$B$21*(1+Assumptions!$B$25)^(24-1)))-(IF(24&lt;=Assumptions!$B$27,F$33/Assumptions!$B$27,0)))-0)-(MAX(((((Assumptions!$B$17*(1+F$31)*(1+Assumptions!$B$24)^(24-1))-(Assumptions!$B$21*(1+Assumptions!$B$25)^(24-1)))-(IF(24&lt;=Assumptions!$B$27,F$33/Assumptions!$B$27,0)))-0),0)*Assumptions!$B$28))+(IF(24&lt;=Assumptions!$B$27,F$33/Assumptions!$B$27,0))-0</f>
        <v>5.99027900189838</v>
      </c>
      <c r="G62" s="25" t="n">
        <f aca="false">(((((Assumptions!$B$17*(1+G$31)*(1+Assumptions!$B$24)^(24-1))-(Assumptions!$B$21*(1+Assumptions!$B$25)^(24-1)))-(IF(24&lt;=Assumptions!$B$27,G$33/Assumptions!$B$27,0)))-0)-(MAX(((((Assumptions!$B$17*(1+G$31)*(1+Assumptions!$B$24)^(24-1))-(Assumptions!$B$21*(1+Assumptions!$B$25)^(24-1)))-(IF(24&lt;=Assumptions!$B$27,G$33/Assumptions!$B$27,0)))-0),0)*Assumptions!$B$28))+(IF(24&lt;=Assumptions!$B$27,G$33/Assumptions!$B$27,0))-0</f>
        <v>6.02290400189838</v>
      </c>
      <c r="H62" s="25" t="n">
        <f aca="false">(((((Assumptions!$B$17*(1+H$31)*(1+Assumptions!$B$24)^(24-1))-(Assumptions!$B$21*(1+Assumptions!$B$25)^(24-1)))-(IF(24&lt;=Assumptions!$B$27,H$33/Assumptions!$B$27,0)))-0)-(MAX(((((Assumptions!$B$17*(1+H$31)*(1+Assumptions!$B$24)^(24-1))-(Assumptions!$B$21*(1+Assumptions!$B$25)^(24-1)))-(IF(24&lt;=Assumptions!$B$27,H$33/Assumptions!$B$27,0)))-0),0)*Assumptions!$B$28))+(IF(24&lt;=Assumptions!$B$27,H$33/Assumptions!$B$27,0))-0</f>
        <v>6.05552900189838</v>
      </c>
      <c r="I62" s="25" t="n">
        <f aca="false">(((((Assumptions!$B$17*(1+I$31)*(1+Assumptions!$B$24)^(24-1))-(Assumptions!$B$21*(1+Assumptions!$B$25)^(24-1)))-(IF(24&lt;=Assumptions!$B$27,I$33/Assumptions!$B$27,0)))-0)-(MAX(((((Assumptions!$B$17*(1+I$31)*(1+Assumptions!$B$24)^(24-1))-(Assumptions!$B$21*(1+Assumptions!$B$25)^(24-1)))-(IF(24&lt;=Assumptions!$B$27,I$33/Assumptions!$B$27,0)))-0),0)*Assumptions!$B$28))+(IF(24&lt;=Assumptions!$B$27,I$33/Assumptions!$B$27,0))-0</f>
        <v>6.76428543629532</v>
      </c>
      <c r="J62" s="25" t="n">
        <f aca="false">(((((Assumptions!$B$17*(1+J$31)*(1+Assumptions!$B$24)^(24-1))-(Assumptions!$B$21*(1+Assumptions!$B$25)^(24-1)))-(IF(24&lt;=Assumptions!$B$27,J$33/Assumptions!$B$27,0)))-0)-(MAX(((((Assumptions!$B$17*(1+J$31)*(1+Assumptions!$B$24)^(24-1))-(Assumptions!$B$21*(1+Assumptions!$B$25)^(24-1)))-(IF(24&lt;=Assumptions!$B$27,J$33/Assumptions!$B$27,0)))-0),0)*Assumptions!$B$28))+(IF(24&lt;=Assumptions!$B$27,J$33/Assumptions!$B$27,0))-0</f>
        <v>6.79691043629532</v>
      </c>
      <c r="K62" s="25" t="n">
        <f aca="false">(((((Assumptions!$B$17*(1+K$31)*(1+Assumptions!$B$24)^(24-1))-(Assumptions!$B$21*(1+Assumptions!$B$25)^(24-1)))-(IF(24&lt;=Assumptions!$B$27,K$33/Assumptions!$B$27,0)))-0)-(MAX(((((Assumptions!$B$17*(1+K$31)*(1+Assumptions!$B$24)^(24-1))-(Assumptions!$B$21*(1+Assumptions!$B$25)^(24-1)))-(IF(24&lt;=Assumptions!$B$27,K$33/Assumptions!$B$27,0)))-0),0)*Assumptions!$B$28))+(IF(24&lt;=Assumptions!$B$27,K$33/Assumptions!$B$27,0))-0</f>
        <v>6.82953543629532</v>
      </c>
      <c r="L62" s="25" t="n">
        <f aca="false">(((((Assumptions!$B$17*(1+L$31)*(1+Assumptions!$B$24)^(24-1))-(Assumptions!$B$21*(1+Assumptions!$B$25)^(24-1)))-(IF(24&lt;=Assumptions!$B$27,L$33/Assumptions!$B$27,0)))-0)-(MAX(((((Assumptions!$B$17*(1+L$31)*(1+Assumptions!$B$24)^(24-1))-(Assumptions!$B$21*(1+Assumptions!$B$25)^(24-1)))-(IF(24&lt;=Assumptions!$B$27,L$33/Assumptions!$B$27,0)))-0),0)*Assumptions!$B$28))+(IF(24&lt;=Assumptions!$B$27,L$33/Assumptions!$B$27,0))-0</f>
        <v>7.53829187069226</v>
      </c>
      <c r="M62" s="25" t="n">
        <f aca="false">(((((Assumptions!$B$17*(1+M$31)*(1+Assumptions!$B$24)^(24-1))-(Assumptions!$B$21*(1+Assumptions!$B$25)^(24-1)))-(IF(24&lt;=Assumptions!$B$27,M$33/Assumptions!$B$27,0)))-0)-(MAX(((((Assumptions!$B$17*(1+M$31)*(1+Assumptions!$B$24)^(24-1))-(Assumptions!$B$21*(1+Assumptions!$B$25)^(24-1)))-(IF(24&lt;=Assumptions!$B$27,M$33/Assumptions!$B$27,0)))-0),0)*Assumptions!$B$28))+(IF(24&lt;=Assumptions!$B$27,M$33/Assumptions!$B$27,0))-0</f>
        <v>7.57091687069226</v>
      </c>
      <c r="N62" s="25" t="n">
        <f aca="false">(((((Assumptions!$B$17*(1+N$31)*(1+Assumptions!$B$24)^(24-1))-(Assumptions!$B$21*(1+Assumptions!$B$25)^(24-1)))-(IF(24&lt;=Assumptions!$B$27,N$33/Assumptions!$B$27,0)))-0)-(MAX(((((Assumptions!$B$17*(1+N$31)*(1+Assumptions!$B$24)^(24-1))-(Assumptions!$B$21*(1+Assumptions!$B$25)^(24-1)))-(IF(24&lt;=Assumptions!$B$27,N$33/Assumptions!$B$27,0)))-0),0)*Assumptions!$B$28))+(IF(24&lt;=Assumptions!$B$27,N$33/Assumptions!$B$27,0))-0</f>
        <v>7.60354187069226</v>
      </c>
      <c r="O62" s="25" t="n">
        <f aca="false">(((((Assumptions!$B$17*(1+O$31)*(1+Assumptions!$B$24)^(24-1))-(Assumptions!$B$21*(1+Assumptions!$B$25)^(24-1)))-(IF(24&lt;=Assumptions!$B$27,O$33/Assumptions!$B$27,0)))-0)-(MAX(((((Assumptions!$B$17*(1+O$31)*(1+Assumptions!$B$24)^(24-1))-(Assumptions!$B$21*(1+Assumptions!$B$25)^(24-1)))-(IF(24&lt;=Assumptions!$B$27,O$33/Assumptions!$B$27,0)))-0),0)*Assumptions!$B$28))+(IF(24&lt;=Assumptions!$B$27,O$33/Assumptions!$B$27,0))-0</f>
        <v>8.31229830508919</v>
      </c>
      <c r="P62" s="25" t="n">
        <f aca="false">(((((Assumptions!$B$17*(1+P$31)*(1+Assumptions!$B$24)^(24-1))-(Assumptions!$B$21*(1+Assumptions!$B$25)^(24-1)))-(IF(24&lt;=Assumptions!$B$27,P$33/Assumptions!$B$27,0)))-0)-(MAX(((((Assumptions!$B$17*(1+P$31)*(1+Assumptions!$B$24)^(24-1))-(Assumptions!$B$21*(1+Assumptions!$B$25)^(24-1)))-(IF(24&lt;=Assumptions!$B$27,P$33/Assumptions!$B$27,0)))-0),0)*Assumptions!$B$28))+(IF(24&lt;=Assumptions!$B$27,P$33/Assumptions!$B$27,0))-0</f>
        <v>8.34492330508919</v>
      </c>
      <c r="Q62" s="25" t="n">
        <f aca="false">(((((Assumptions!$B$17*(1+Q$31)*(1+Assumptions!$B$24)^(24-1))-(Assumptions!$B$21*(1+Assumptions!$B$25)^(24-1)))-(IF(24&lt;=Assumptions!$B$27,Q$33/Assumptions!$B$27,0)))-0)-(MAX(((((Assumptions!$B$17*(1+Q$31)*(1+Assumptions!$B$24)^(24-1))-(Assumptions!$B$21*(1+Assumptions!$B$25)^(24-1)))-(IF(24&lt;=Assumptions!$B$27,Q$33/Assumptions!$B$27,0)))-0),0)*Assumptions!$B$28))+(IF(24&lt;=Assumptions!$B$27,Q$33/Assumptions!$B$27,0))-0</f>
        <v>8.37754830508919</v>
      </c>
    </row>
    <row r="63" customFormat="false" ht="15" hidden="false" customHeight="false" outlineLevel="0" collapsed="false">
      <c r="A63" s="7" t="n">
        <v>25</v>
      </c>
      <c r="C63" s="25" t="n">
        <f aca="false">(((((Assumptions!$B$17*(1+C$31)*(1+Assumptions!$B$24)^(25-1))-(Assumptions!$B$21*(1+Assumptions!$B$25)^(25-1)))-(IF(25&lt;=Assumptions!$B$27,C$33/Assumptions!$B$27,0)))-0)-(MAX(((((Assumptions!$B$17*(1+C$31)*(1+Assumptions!$B$24)^(25-1))-(Assumptions!$B$21*(1+Assumptions!$B$25)^(25-1)))-(IF(25&lt;=Assumptions!$B$27,C$33/Assumptions!$B$27,0)))-0),0)*Assumptions!$B$28))+(IF(25&lt;=Assumptions!$B$27,C$33/Assumptions!$B$27,0))-0</f>
        <v>5.16611628344726</v>
      </c>
      <c r="D63" s="25" t="n">
        <f aca="false">(((((Assumptions!$B$17*(1+D$31)*(1+Assumptions!$B$24)^(25-1))-(Assumptions!$B$21*(1+Assumptions!$B$25)^(25-1)))-(IF(25&lt;=Assumptions!$B$27,D$33/Assumptions!$B$27,0)))-0)-(MAX(((((Assumptions!$B$17*(1+D$31)*(1+Assumptions!$B$24)^(25-1))-(Assumptions!$B$21*(1+Assumptions!$B$25)^(25-1)))-(IF(25&lt;=Assumptions!$B$27,D$33/Assumptions!$B$27,0)))-0),0)*Assumptions!$B$28))+(IF(25&lt;=Assumptions!$B$27,D$33/Assumptions!$B$27,0))-0</f>
        <v>5.19874128344726</v>
      </c>
      <c r="E63" s="25" t="n">
        <f aca="false">(((((Assumptions!$B$17*(1+E$31)*(1+Assumptions!$B$24)^(25-1))-(Assumptions!$B$21*(1+Assumptions!$B$25)^(25-1)))-(IF(25&lt;=Assumptions!$B$27,E$33/Assumptions!$B$27,0)))-0)-(MAX(((((Assumptions!$B$17*(1+E$31)*(1+Assumptions!$B$24)^(25-1))-(Assumptions!$B$21*(1+Assumptions!$B$25)^(25-1)))-(IF(25&lt;=Assumptions!$B$27,E$33/Assumptions!$B$27,0)))-0),0)*Assumptions!$B$28))+(IF(25&lt;=Assumptions!$B$27,E$33/Assumptions!$B$27,0))-0</f>
        <v>5.23136628344725</v>
      </c>
      <c r="F63" s="25" t="n">
        <f aca="false">(((((Assumptions!$B$17*(1+F$31)*(1+Assumptions!$B$24)^(25-1))-(Assumptions!$B$21*(1+Assumptions!$B$25)^(25-1)))-(IF(25&lt;=Assumptions!$B$27,F$33/Assumptions!$B$27,0)))-0)-(MAX(((((Assumptions!$B$17*(1+F$31)*(1+Assumptions!$B$24)^(25-1))-(Assumptions!$B$21*(1+Assumptions!$B$25)^(25-1)))-(IF(25&lt;=Assumptions!$B$27,F$33/Assumptions!$B$27,0)))-0),0)*Assumptions!$B$28))+(IF(25&lt;=Assumptions!$B$27,F$33/Assumptions!$B$27,0))-0</f>
        <v>5.93702669210661</v>
      </c>
      <c r="G63" s="25" t="n">
        <f aca="false">(((((Assumptions!$B$17*(1+G$31)*(1+Assumptions!$B$24)^(25-1))-(Assumptions!$B$21*(1+Assumptions!$B$25)^(25-1)))-(IF(25&lt;=Assumptions!$B$27,G$33/Assumptions!$B$27,0)))-0)-(MAX(((((Assumptions!$B$17*(1+G$31)*(1+Assumptions!$B$24)^(25-1))-(Assumptions!$B$21*(1+Assumptions!$B$25)^(25-1)))-(IF(25&lt;=Assumptions!$B$27,G$33/Assumptions!$B$27,0)))-0),0)*Assumptions!$B$28))+(IF(25&lt;=Assumptions!$B$27,G$33/Assumptions!$B$27,0))-0</f>
        <v>5.96965169210661</v>
      </c>
      <c r="H63" s="25" t="n">
        <f aca="false">(((((Assumptions!$B$17*(1+H$31)*(1+Assumptions!$B$24)^(25-1))-(Assumptions!$B$21*(1+Assumptions!$B$25)^(25-1)))-(IF(25&lt;=Assumptions!$B$27,H$33/Assumptions!$B$27,0)))-0)-(MAX(((((Assumptions!$B$17*(1+H$31)*(1+Assumptions!$B$24)^(25-1))-(Assumptions!$B$21*(1+Assumptions!$B$25)^(25-1)))-(IF(25&lt;=Assumptions!$B$27,H$33/Assumptions!$B$27,0)))-0),0)*Assumptions!$B$28))+(IF(25&lt;=Assumptions!$B$27,H$33/Assumptions!$B$27,0))-0</f>
        <v>6.00227669210661</v>
      </c>
      <c r="I63" s="25" t="n">
        <f aca="false">(((((Assumptions!$B$17*(1+I$31)*(1+Assumptions!$B$24)^(25-1))-(Assumptions!$B$21*(1+Assumptions!$B$25)^(25-1)))-(IF(25&lt;=Assumptions!$B$27,I$33/Assumptions!$B$27,0)))-0)-(MAX(((((Assumptions!$B$17*(1+I$31)*(1+Assumptions!$B$24)^(25-1))-(Assumptions!$B$21*(1+Assumptions!$B$25)^(25-1)))-(IF(25&lt;=Assumptions!$B$27,I$33/Assumptions!$B$27,0)))-0),0)*Assumptions!$B$28))+(IF(25&lt;=Assumptions!$B$27,I$33/Assumptions!$B$27,0))-0</f>
        <v>6.70793710076596</v>
      </c>
      <c r="J63" s="25" t="n">
        <f aca="false">(((((Assumptions!$B$17*(1+J$31)*(1+Assumptions!$B$24)^(25-1))-(Assumptions!$B$21*(1+Assumptions!$B$25)^(25-1)))-(IF(25&lt;=Assumptions!$B$27,J$33/Assumptions!$B$27,0)))-0)-(MAX(((((Assumptions!$B$17*(1+J$31)*(1+Assumptions!$B$24)^(25-1))-(Assumptions!$B$21*(1+Assumptions!$B$25)^(25-1)))-(IF(25&lt;=Assumptions!$B$27,J$33/Assumptions!$B$27,0)))-0),0)*Assumptions!$B$28))+(IF(25&lt;=Assumptions!$B$27,J$33/Assumptions!$B$27,0))-0</f>
        <v>6.74056210076596</v>
      </c>
      <c r="K63" s="25" t="n">
        <f aca="false">(((((Assumptions!$B$17*(1+K$31)*(1+Assumptions!$B$24)^(25-1))-(Assumptions!$B$21*(1+Assumptions!$B$25)^(25-1)))-(IF(25&lt;=Assumptions!$B$27,K$33/Assumptions!$B$27,0)))-0)-(MAX(((((Assumptions!$B$17*(1+K$31)*(1+Assumptions!$B$24)^(25-1))-(Assumptions!$B$21*(1+Assumptions!$B$25)^(25-1)))-(IF(25&lt;=Assumptions!$B$27,K$33/Assumptions!$B$27,0)))-0),0)*Assumptions!$B$28))+(IF(25&lt;=Assumptions!$B$27,K$33/Assumptions!$B$27,0))-0</f>
        <v>6.77318710076596</v>
      </c>
      <c r="L63" s="25" t="n">
        <f aca="false">(((((Assumptions!$B$17*(1+L$31)*(1+Assumptions!$B$24)^(25-1))-(Assumptions!$B$21*(1+Assumptions!$B$25)^(25-1)))-(IF(25&lt;=Assumptions!$B$27,L$33/Assumptions!$B$27,0)))-0)-(MAX(((((Assumptions!$B$17*(1+L$31)*(1+Assumptions!$B$24)^(25-1))-(Assumptions!$B$21*(1+Assumptions!$B$25)^(25-1)))-(IF(25&lt;=Assumptions!$B$27,L$33/Assumptions!$B$27,0)))-0),0)*Assumptions!$B$28))+(IF(25&lt;=Assumptions!$B$27,L$33/Assumptions!$B$27,0))-0</f>
        <v>7.47884750942531</v>
      </c>
      <c r="M63" s="25" t="n">
        <f aca="false">(((((Assumptions!$B$17*(1+M$31)*(1+Assumptions!$B$24)^(25-1))-(Assumptions!$B$21*(1+Assumptions!$B$25)^(25-1)))-(IF(25&lt;=Assumptions!$B$27,M$33/Assumptions!$B$27,0)))-0)-(MAX(((((Assumptions!$B$17*(1+M$31)*(1+Assumptions!$B$24)^(25-1))-(Assumptions!$B$21*(1+Assumptions!$B$25)^(25-1)))-(IF(25&lt;=Assumptions!$B$27,M$33/Assumptions!$B$27,0)))-0),0)*Assumptions!$B$28))+(IF(25&lt;=Assumptions!$B$27,M$33/Assumptions!$B$27,0))-0</f>
        <v>7.51147250942531</v>
      </c>
      <c r="N63" s="25" t="n">
        <f aca="false">(((((Assumptions!$B$17*(1+N$31)*(1+Assumptions!$B$24)^(25-1))-(Assumptions!$B$21*(1+Assumptions!$B$25)^(25-1)))-(IF(25&lt;=Assumptions!$B$27,N$33/Assumptions!$B$27,0)))-0)-(MAX(((((Assumptions!$B$17*(1+N$31)*(1+Assumptions!$B$24)^(25-1))-(Assumptions!$B$21*(1+Assumptions!$B$25)^(25-1)))-(IF(25&lt;=Assumptions!$B$27,N$33/Assumptions!$B$27,0)))-0),0)*Assumptions!$B$28))+(IF(25&lt;=Assumptions!$B$27,N$33/Assumptions!$B$27,0))-0</f>
        <v>7.54409750942531</v>
      </c>
      <c r="O63" s="25" t="n">
        <f aca="false">(((((Assumptions!$B$17*(1+O$31)*(1+Assumptions!$B$24)^(25-1))-(Assumptions!$B$21*(1+Assumptions!$B$25)^(25-1)))-(IF(25&lt;=Assumptions!$B$27,O$33/Assumptions!$B$27,0)))-0)-(MAX(((((Assumptions!$B$17*(1+O$31)*(1+Assumptions!$B$24)^(25-1))-(Assumptions!$B$21*(1+Assumptions!$B$25)^(25-1)))-(IF(25&lt;=Assumptions!$B$27,O$33/Assumptions!$B$27,0)))-0),0)*Assumptions!$B$28))+(IF(25&lt;=Assumptions!$B$27,O$33/Assumptions!$B$27,0))-0</f>
        <v>8.24975791808466</v>
      </c>
      <c r="P63" s="25" t="n">
        <f aca="false">(((((Assumptions!$B$17*(1+P$31)*(1+Assumptions!$B$24)^(25-1))-(Assumptions!$B$21*(1+Assumptions!$B$25)^(25-1)))-(IF(25&lt;=Assumptions!$B$27,P$33/Assumptions!$B$27,0)))-0)-(MAX(((((Assumptions!$B$17*(1+P$31)*(1+Assumptions!$B$24)^(25-1))-(Assumptions!$B$21*(1+Assumptions!$B$25)^(25-1)))-(IF(25&lt;=Assumptions!$B$27,P$33/Assumptions!$B$27,0)))-0),0)*Assumptions!$B$28))+(IF(25&lt;=Assumptions!$B$27,P$33/Assumptions!$B$27,0))-0</f>
        <v>8.28238291808466</v>
      </c>
      <c r="Q63" s="25" t="n">
        <f aca="false">(((((Assumptions!$B$17*(1+Q$31)*(1+Assumptions!$B$24)^(25-1))-(Assumptions!$B$21*(1+Assumptions!$B$25)^(25-1)))-(IF(25&lt;=Assumptions!$B$27,Q$33/Assumptions!$B$27,0)))-0)-(MAX(((((Assumptions!$B$17*(1+Q$31)*(1+Assumptions!$B$24)^(25-1))-(Assumptions!$B$21*(1+Assumptions!$B$25)^(25-1)))-(IF(25&lt;=Assumptions!$B$27,Q$33/Assumptions!$B$27,0)))-0),0)*Assumptions!$B$28))+(IF(25&lt;=Assumptions!$B$27,Q$33/Assumptions!$B$27,0))-0</f>
        <v>8.31500791808466</v>
      </c>
    </row>
    <row r="65" customFormat="false" ht="15" hidden="false" customHeight="false" outlineLevel="0" collapsed="false">
      <c r="A65" s="7" t="s">
        <v>98</v>
      </c>
      <c r="C65" s="10" t="n">
        <f aca="false">IRR(C$38:C$63)</f>
        <v>0.143762752609701</v>
      </c>
      <c r="D65" s="10" t="n">
        <f aca="false">IRR(D$38:D$63)</f>
        <v>0.113981861028239</v>
      </c>
      <c r="E65" s="10" t="n">
        <f aca="false">IRR(E$38:E$63)</f>
        <v>0.0903074125116519</v>
      </c>
      <c r="F65" s="10" t="n">
        <f aca="false">IRR(F$38:F$63)</f>
        <v>0.188428557861875</v>
      </c>
      <c r="G65" s="10" t="n">
        <f aca="false">IRR(G$38:G$63)</f>
        <v>0.152992692306074</v>
      </c>
      <c r="H65" s="10" t="n">
        <f aca="false">IRR(H$38:H$63)</f>
        <v>0.124908652343972</v>
      </c>
      <c r="I65" s="10" t="n">
        <f aca="false">IRR(I$38:I$63)</f>
        <v>0.234505804557944</v>
      </c>
      <c r="J65" s="10" t="n">
        <f aca="false">IRR(J$38:J$63)</f>
        <v>0.193297555299304</v>
      </c>
      <c r="K65" s="10" t="n">
        <f aca="false">IRR(K$38:K$63)</f>
        <v>0.160553592116361</v>
      </c>
      <c r="L65" s="10" t="n">
        <f aca="false">IRR(L$38:L$63)</f>
        <v>0.281624912063989</v>
      </c>
      <c r="M65" s="10" t="n">
        <f aca="false">IRR(M$38:M$63)</f>
        <v>0.23474124923985</v>
      </c>
      <c r="N65" s="10" t="n">
        <f aca="false">IRR(N$38:N$63)</f>
        <v>0.197275365277787</v>
      </c>
      <c r="O65" s="10" t="n">
        <f aca="false">IRR(O$38:O$63)</f>
        <v>0.329410985592742</v>
      </c>
      <c r="P65" s="10" t="n">
        <f aca="false">IRR(P$38:P$63)</f>
        <v>0.277044928202452</v>
      </c>
      <c r="Q65" s="10" t="n">
        <f aca="false">IRR(Q$38:Q$63)</f>
        <v>0.234933237405818</v>
      </c>
    </row>
    <row r="89" customFormat="false" ht="15" hidden="false" customHeight="false" outlineLevel="0" collapsed="false">
      <c r="A89" s="7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2026-09-22T12:25:24Z</dcterms:created>
  <dc:creator>openpyxl</dc:creator>
  <dc:description/>
  <dc:language>en-US</dc:language>
  <cp:lastModifiedBy/>
  <dcterms:modified xsi:type="dcterms:W3CDTF">2026-09-22T12:25:24Z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