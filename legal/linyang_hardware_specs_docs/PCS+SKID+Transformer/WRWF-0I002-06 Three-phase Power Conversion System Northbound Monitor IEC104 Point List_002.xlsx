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90" yWindow="-270" windowWidth="18435" windowHeight="12000" tabRatio="608" firstSheet="1" activeTab="1"/>
  </bookViews>
  <sheets>
    <sheet name="Remote signaling quantity" sheetId="2" r:id="rId1"/>
    <sheet name="Telemetering quantity" sheetId="3" r:id="rId2"/>
    <sheet name="Remote control quantity" sheetId="4" r:id="rId3"/>
    <sheet name="Teleadjusting quantity" sheetId="5" r:id="rId4"/>
  </sheets>
  <definedNames>
    <definedName name="_xlnm._FilterDatabase" localSheetId="0" hidden="1">'Remote signaling quantity'!$A$2:$F$131</definedName>
    <definedName name="OLE_LINK2" localSheetId="1">'Telemetering quantity'!$G$3</definedName>
  </definedNames>
  <calcPr calcId="144525"/>
</workbook>
</file>

<file path=xl/calcChain.xml><?xml version="1.0" encoding="utf-8"?>
<calcChain xmlns="http://schemas.openxmlformats.org/spreadsheetml/2006/main">
  <c r="D73" i="3" l="1"/>
  <c r="D104" i="3" l="1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16" i="5"/>
  <c r="D67" i="3"/>
  <c r="D68" i="3"/>
  <c r="D69" i="3"/>
  <c r="D70" i="3"/>
  <c r="D71" i="3"/>
  <c r="D72" i="3"/>
  <c r="D87" i="3"/>
  <c r="D65" i="3"/>
  <c r="D66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45" i="3"/>
  <c r="D46" i="3"/>
  <c r="D47" i="3"/>
  <c r="D48" i="3"/>
  <c r="D49" i="3"/>
  <c r="D50" i="3"/>
  <c r="D51" i="3"/>
  <c r="D39" i="3"/>
  <c r="D40" i="3"/>
  <c r="D41" i="3"/>
  <c r="D42" i="3"/>
  <c r="D43" i="3"/>
  <c r="D44" i="3"/>
  <c r="D36" i="3"/>
  <c r="D37" i="3"/>
  <c r="D38" i="3"/>
  <c r="D86" i="3" l="1"/>
  <c r="D85" i="3"/>
  <c r="D84" i="3"/>
  <c r="D83" i="3"/>
  <c r="D82" i="3"/>
  <c r="D81" i="3"/>
  <c r="D80" i="3"/>
  <c r="D79" i="3"/>
  <c r="D78" i="3"/>
  <c r="D77" i="3"/>
  <c r="D76" i="3"/>
  <c r="D75" i="3"/>
  <c r="C121" i="2" l="1"/>
  <c r="C122" i="2"/>
  <c r="C116" i="2" l="1"/>
  <c r="C117" i="2"/>
  <c r="C118" i="2"/>
  <c r="C119" i="2"/>
  <c r="C120" i="2"/>
  <c r="D4" i="5" l="1"/>
  <c r="D5" i="5"/>
  <c r="D6" i="5"/>
  <c r="D7" i="5"/>
  <c r="D8" i="5"/>
  <c r="D9" i="5"/>
  <c r="D10" i="5"/>
  <c r="D11" i="5"/>
  <c r="D12" i="5"/>
  <c r="D13" i="5"/>
  <c r="D14" i="5"/>
  <c r="D15" i="5"/>
  <c r="D3" i="5"/>
  <c r="D3" i="4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3" i="3"/>
</calcChain>
</file>

<file path=xl/sharedStrings.xml><?xml version="1.0" encoding="utf-8"?>
<sst xmlns="http://schemas.openxmlformats.org/spreadsheetml/2006/main" count="904" uniqueCount="545">
  <si>
    <t>kVA</t>
  </si>
  <si>
    <t>kW</t>
  </si>
  <si>
    <t>kVar</t>
  </si>
  <si>
    <t>A</t>
  </si>
  <si>
    <t>kWh</t>
  </si>
  <si>
    <t>V</t>
  </si>
  <si>
    <t>Hz</t>
  </si>
  <si>
    <t>℃</t>
  </si>
  <si>
    <t>%</t>
  </si>
  <si>
    <t>mA</t>
  </si>
  <si>
    <t>kΩ</t>
  </si>
  <si>
    <t>H/LVRT</t>
  </si>
  <si>
    <r>
      <t>0x</t>
    </r>
    <r>
      <rPr>
        <sz val="11"/>
        <color theme="1"/>
        <rFont val="微软雅黑"/>
        <family val="2"/>
        <charset val="134"/>
      </rPr>
      <t>01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</si>
  <si>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x02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</si>
  <si>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x03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</si>
  <si>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x04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</si>
  <si>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x06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</si>
  <si>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x07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</si>
  <si>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x08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</si>
  <si>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x09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</si>
  <si>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0x0A</t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</si>
  <si>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x0B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</si>
  <si>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x0C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</si>
  <si>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x0D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</si>
  <si>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x0E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</si>
  <si>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x0F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</si>
  <si>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x10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</si>
  <si>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x11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</si>
  <si>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x12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</si>
  <si>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x13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</si>
  <si>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x14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</si>
  <si>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x15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</si>
  <si>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x16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</si>
  <si>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x17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</si>
  <si>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x18</t>
    </r>
    <r>
      <rPr>
        <sz val="11"/>
        <color theme="1"/>
        <rFont val="宋体"/>
        <family val="2"/>
        <charset val="134"/>
        <scheme val="minor"/>
      </rPr>
      <t/>
    </r>
  </si>
  <si>
    <r>
      <t>0</t>
    </r>
    <r>
      <rPr>
        <sz val="11"/>
        <color theme="1"/>
        <rFont val="微软雅黑"/>
        <family val="2"/>
        <charset val="134"/>
      </rPr>
      <t>x19</t>
    </r>
    <r>
      <rPr>
        <sz val="11"/>
        <color theme="1"/>
        <rFont val="宋体"/>
        <family val="2"/>
        <charset val="134"/>
        <scheme val="minor"/>
      </rPr>
      <t/>
    </r>
  </si>
  <si>
    <t>0x1A</t>
  </si>
  <si>
    <t>0x1B</t>
  </si>
  <si>
    <t>0x1C</t>
  </si>
  <si>
    <t>0x1D</t>
  </si>
  <si>
    <t>0x1E</t>
  </si>
  <si>
    <t>0x1F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</si>
  <si>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</si>
  <si>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</si>
  <si>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</si>
  <si>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</si>
  <si>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</si>
  <si>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</si>
  <si>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</si>
  <si>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</si>
  <si>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</si>
  <si>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</si>
  <si>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</si>
  <si>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</si>
  <si>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</si>
  <si>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</si>
  <si>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</si>
  <si>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</si>
  <si>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</si>
  <si>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</si>
  <si>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</si>
  <si>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</si>
  <si>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</si>
  <si>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</si>
  <si>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</si>
  <si>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</si>
  <si>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</si>
  <si>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</si>
  <si>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</si>
  <si>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</si>
  <si>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</si>
  <si>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</si>
  <si>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</si>
  <si>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</si>
  <si>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0x40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</si>
  <si>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</si>
  <si>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</si>
  <si>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</si>
  <si>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</si>
  <si>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</si>
  <si>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</si>
  <si>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</si>
  <si>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</si>
  <si>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</si>
  <si>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</si>
  <si>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</si>
  <si>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</si>
  <si>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</si>
  <si>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</si>
  <si>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</si>
  <si>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</si>
  <si>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</si>
  <si>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</si>
  <si>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</si>
  <si>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</si>
  <si>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</si>
  <si>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</si>
  <si>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</si>
  <si>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</si>
  <si>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</si>
  <si>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0x5A</t>
  </si>
  <si>
    <t>0x5B</t>
  </si>
  <si>
    <t>0x5C</t>
  </si>
  <si>
    <t>0x5D</t>
  </si>
  <si>
    <t>0x5E</t>
  </si>
  <si>
    <t>0x5F</t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</si>
  <si>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</si>
  <si>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</si>
  <si>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</si>
  <si>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</si>
  <si>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</si>
  <si>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</si>
  <si>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</si>
  <si>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</si>
  <si>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</si>
  <si>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</si>
  <si>
    <t>0x6A</t>
  </si>
  <si>
    <t>0x6B</t>
  </si>
  <si>
    <t>0x6C</t>
  </si>
  <si>
    <t>0x6D</t>
  </si>
  <si>
    <t>0x6E</t>
  </si>
  <si>
    <t>0x6F</t>
  </si>
  <si>
    <t>0x70</t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</si>
  <si>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x05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</si>
  <si>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0x4001</t>
  </si>
  <si>
    <t>0x4002</t>
  </si>
  <si>
    <t>0x4003</t>
  </si>
  <si>
    <t>0x4004</t>
  </si>
  <si>
    <t>0x4005</t>
  </si>
  <si>
    <t>0x4006</t>
  </si>
  <si>
    <t>0x4007</t>
  </si>
  <si>
    <t>0x4008</t>
  </si>
  <si>
    <t>0x4009</t>
  </si>
  <si>
    <t>0x400A</t>
  </si>
  <si>
    <t>0x400B</t>
  </si>
  <si>
    <t>0x400C</t>
  </si>
  <si>
    <t>0x400D</t>
  </si>
  <si>
    <t>0x400E</t>
  </si>
  <si>
    <t>0x6201</t>
  </si>
  <si>
    <t>0x6202</t>
  </si>
  <si>
    <t>0x6203</t>
  </si>
  <si>
    <t>0x6204</t>
  </si>
  <si>
    <t>0x6205</t>
  </si>
  <si>
    <t>0x6206</t>
  </si>
  <si>
    <t>0x6207</t>
  </si>
  <si>
    <t>0x6208</t>
  </si>
  <si>
    <t>0x6209</t>
  </si>
  <si>
    <t>0x620A</t>
  </si>
  <si>
    <t>0x620B</t>
  </si>
  <si>
    <t>0x620C</t>
  </si>
  <si>
    <t>0x620D</t>
  </si>
  <si>
    <t>0x620E</t>
  </si>
  <si>
    <t>0x71</t>
    <phoneticPr fontId="4" type="noConversion"/>
  </si>
  <si>
    <r>
      <t>0x6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01</t>
    </r>
    <phoneticPr fontId="4" type="noConversion"/>
  </si>
  <si>
    <t>0x72</t>
  </si>
  <si>
    <t>0x73</t>
  </si>
  <si>
    <t>0x74</t>
  </si>
  <si>
    <t>0x75</t>
  </si>
  <si>
    <t>0x76</t>
  </si>
  <si>
    <t>0x77</t>
  </si>
  <si>
    <t>0x78</t>
  </si>
  <si>
    <t>kW</t>
    <phoneticPr fontId="8" type="noConversion"/>
  </si>
  <si>
    <t>kVar</t>
    <phoneticPr fontId="8" type="noConversion"/>
  </si>
  <si>
    <t>0x400F</t>
    <phoneticPr fontId="4" type="noConversion"/>
  </si>
  <si>
    <t>0x4010</t>
    <phoneticPr fontId="4" type="noConversion"/>
  </si>
  <si>
    <t>0x4011</t>
  </si>
  <si>
    <t>0x4012</t>
  </si>
  <si>
    <t>1kVar</t>
    <phoneticPr fontId="8" type="noConversion"/>
  </si>
  <si>
    <t>0x4013</t>
  </si>
  <si>
    <t>0x4014</t>
  </si>
  <si>
    <t>0x79</t>
  </si>
  <si>
    <r>
      <t>0x7</t>
    </r>
    <r>
      <rPr>
        <sz val="11"/>
        <color theme="1"/>
        <rFont val="微软雅黑"/>
        <family val="2"/>
        <charset val="134"/>
      </rPr>
      <t>A</t>
    </r>
    <phoneticPr fontId="4" type="noConversion"/>
  </si>
  <si>
    <r>
      <t>0x</t>
    </r>
    <r>
      <rPr>
        <sz val="11"/>
        <color theme="1"/>
        <rFont val="微软雅黑"/>
        <family val="2"/>
        <charset val="134"/>
      </rPr>
      <t>7B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</si>
  <si>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x7C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</si>
  <si>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x7D</t>
    </r>
    <phoneticPr fontId="4" type="noConversion"/>
  </si>
  <si>
    <r>
      <t>0</t>
    </r>
    <r>
      <rPr>
        <sz val="11"/>
        <color theme="1"/>
        <rFont val="微软雅黑"/>
        <family val="2"/>
        <charset val="134"/>
      </rPr>
      <t>x7E</t>
    </r>
    <phoneticPr fontId="4" type="noConversion"/>
  </si>
  <si>
    <t>0x7F</t>
    <phoneticPr fontId="4" type="noConversion"/>
  </si>
  <si>
    <t>0x80</t>
    <phoneticPr fontId="4" type="noConversion"/>
  </si>
  <si>
    <t>128-255</t>
    <phoneticPr fontId="4" type="noConversion"/>
  </si>
  <si>
    <t>NA</t>
    <phoneticPr fontId="8" type="noConversion"/>
  </si>
  <si>
    <t>0x4015</t>
  </si>
  <si>
    <t>0x4016</t>
  </si>
  <si>
    <t>0x4017</t>
  </si>
  <si>
    <t>0x4018</t>
  </si>
  <si>
    <t>0x4019</t>
  </si>
  <si>
    <t>0x401A</t>
  </si>
  <si>
    <t>0x401B</t>
  </si>
  <si>
    <t>0x401C</t>
  </si>
  <si>
    <t>0x401D</t>
  </si>
  <si>
    <t>0x401E</t>
  </si>
  <si>
    <t>0x401F</t>
  </si>
  <si>
    <t>0x4020</t>
  </si>
  <si>
    <t>0x4021</t>
  </si>
  <si>
    <t>0x4022</t>
  </si>
  <si>
    <t>0x4023</t>
  </si>
  <si>
    <t>0x4024</t>
  </si>
  <si>
    <t>0x4025</t>
  </si>
  <si>
    <t>0x4026</t>
  </si>
  <si>
    <t>0x4027</t>
  </si>
  <si>
    <t>0x4028</t>
  </si>
  <si>
    <t>0x4029</t>
  </si>
  <si>
    <t>0x402A</t>
  </si>
  <si>
    <t>0x402B</t>
  </si>
  <si>
    <t>0x402C</t>
  </si>
  <si>
    <t>0x402D</t>
  </si>
  <si>
    <t>0x402E</t>
  </si>
  <si>
    <t>0x402F</t>
  </si>
  <si>
    <t>0x4030</t>
  </si>
  <si>
    <t>0x4031</t>
  </si>
  <si>
    <t>0x4032</t>
  </si>
  <si>
    <t>0x4033</t>
  </si>
  <si>
    <t>0x4034</t>
  </si>
  <si>
    <t>0x4035</t>
  </si>
  <si>
    <t>0x4036</t>
  </si>
  <si>
    <t>0x4037</t>
  </si>
  <si>
    <t>0x4038</t>
  </si>
  <si>
    <t>0x4039</t>
  </si>
  <si>
    <t>0x403A</t>
  </si>
  <si>
    <t>0x403B</t>
  </si>
  <si>
    <t>0x403C</t>
  </si>
  <si>
    <t>0x403D</t>
  </si>
  <si>
    <t>0x403E</t>
  </si>
  <si>
    <t>0x403F</t>
  </si>
  <si>
    <t>0x4040</t>
  </si>
  <si>
    <t>0x4100</t>
  </si>
  <si>
    <t>0x4101</t>
  </si>
  <si>
    <t>0x4102</t>
  </si>
  <si>
    <t>0x4103</t>
  </si>
  <si>
    <t>0x4104</t>
  </si>
  <si>
    <t>0x4105</t>
  </si>
  <si>
    <t>0x4106</t>
  </si>
  <si>
    <t>0x4107</t>
  </si>
  <si>
    <t>0x4108</t>
  </si>
  <si>
    <t>0x4109</t>
  </si>
  <si>
    <t>0x410A</t>
  </si>
  <si>
    <t>0x410B</t>
  </si>
  <si>
    <t>0x410C</t>
  </si>
  <si>
    <t>NA</t>
    <phoneticPr fontId="8" type="noConversion"/>
  </si>
  <si>
    <t>0x4041</t>
  </si>
  <si>
    <t>0x4042</t>
  </si>
  <si>
    <t>0x4043</t>
  </si>
  <si>
    <t>0x4045</t>
  </si>
  <si>
    <t>0x4046</t>
  </si>
  <si>
    <t>0x620F</t>
    <phoneticPr fontId="7" type="noConversion"/>
  </si>
  <si>
    <t>0x6210</t>
    <phoneticPr fontId="7" type="noConversion"/>
  </si>
  <si>
    <t>0x6211</t>
  </si>
  <si>
    <t>0x6212</t>
  </si>
  <si>
    <t>0x6213</t>
  </si>
  <si>
    <t>0x6214</t>
  </si>
  <si>
    <t>0x6215</t>
  </si>
  <si>
    <t>0x6216</t>
  </si>
  <si>
    <t>0x6217</t>
  </si>
  <si>
    <t>0x6218</t>
  </si>
  <si>
    <t>0x6219</t>
  </si>
  <si>
    <t>0x621A</t>
    <phoneticPr fontId="7" type="noConversion"/>
  </si>
  <si>
    <t>0x621B</t>
    <phoneticPr fontId="7" type="noConversion"/>
  </si>
  <si>
    <t>0x621C</t>
    <phoneticPr fontId="7" type="noConversion"/>
  </si>
  <si>
    <t>0x621D</t>
    <phoneticPr fontId="7" type="noConversion"/>
  </si>
  <si>
    <t>0x621E</t>
    <phoneticPr fontId="7" type="noConversion"/>
  </si>
  <si>
    <t>0x410D</t>
    <phoneticPr fontId="4" type="noConversion"/>
  </si>
  <si>
    <t>0x410E</t>
    <phoneticPr fontId="4" type="noConversion"/>
  </si>
  <si>
    <t>0x410F</t>
    <phoneticPr fontId="4" type="noConversion"/>
  </si>
  <si>
    <t>0x4110</t>
    <phoneticPr fontId="4" type="noConversion"/>
  </si>
  <si>
    <t>0x4111</t>
    <phoneticPr fontId="4" type="noConversion"/>
  </si>
  <si>
    <t>0x4112</t>
    <phoneticPr fontId="4" type="noConversion"/>
  </si>
  <si>
    <t>0x4113</t>
    <phoneticPr fontId="4" type="noConversion"/>
  </si>
  <si>
    <t>0x4114</t>
  </si>
  <si>
    <t>0x4115</t>
  </si>
  <si>
    <t>0x4116</t>
  </si>
  <si>
    <t>0x4117</t>
  </si>
  <si>
    <t>0x4118</t>
  </si>
  <si>
    <t>0x4119</t>
  </si>
  <si>
    <t>0x411A</t>
  </si>
  <si>
    <t>0x411B</t>
  </si>
  <si>
    <t>0x411C</t>
  </si>
  <si>
    <t>0x411D</t>
  </si>
  <si>
    <t>285~511</t>
    <phoneticPr fontId="4" type="noConversion"/>
  </si>
  <si>
    <t>0x411E~0x4200</t>
    <phoneticPr fontId="4" type="noConversion"/>
  </si>
  <si>
    <t>NA</t>
    <phoneticPr fontId="4" type="noConversion"/>
  </si>
  <si>
    <t>0x4044</t>
    <phoneticPr fontId="4" type="noConversion"/>
  </si>
  <si>
    <t>0x4047</t>
  </si>
  <si>
    <t>0x4048~0X40FF</t>
    <phoneticPr fontId="4" type="noConversion"/>
  </si>
  <si>
    <t>71-254</t>
    <phoneticPr fontId="4" type="noConversion"/>
  </si>
  <si>
    <t>1~10</t>
    <phoneticPr fontId="4" type="noConversion"/>
  </si>
  <si>
    <t>0x6002~0x600A</t>
    <phoneticPr fontId="4" type="noConversion"/>
  </si>
  <si>
    <r>
      <t>2</t>
    </r>
    <r>
      <rPr>
        <sz val="11"/>
        <color theme="1"/>
        <rFont val="微软雅黑"/>
        <family val="2"/>
        <charset val="134"/>
      </rPr>
      <t>4578~24586</t>
    </r>
    <phoneticPr fontId="4" type="noConversion"/>
  </si>
  <si>
    <t>Category</t>
    <phoneticPr fontId="4" type="noConversion"/>
  </si>
  <si>
    <t>Telecontrol No.</t>
    <phoneticPr fontId="4" type="noConversion"/>
  </si>
  <si>
    <t>System telemetering quantity</t>
    <phoneticPr fontId="4" type="noConversion"/>
  </si>
  <si>
    <t>Running status</t>
    <phoneticPr fontId="4" type="noConversion"/>
  </si>
  <si>
    <t>Apparent power</t>
    <phoneticPr fontId="4" type="noConversion"/>
  </si>
  <si>
    <t>Active power</t>
    <phoneticPr fontId="4" type="noConversion"/>
  </si>
  <si>
    <t>Reactive power</t>
    <phoneticPr fontId="4" type="noConversion"/>
  </si>
  <si>
    <t>Reserved</t>
  </si>
  <si>
    <t>0-Normal  1-Abnormal</t>
  </si>
  <si>
    <t>Telecontrol No.</t>
    <phoneticPr fontId="4" type="noConversion"/>
  </si>
  <si>
    <r>
      <t>A</t>
    </r>
    <r>
      <rPr>
        <sz val="11"/>
        <color theme="1"/>
        <rFont val="微软雅黑"/>
        <family val="2"/>
        <charset val="134"/>
      </rPr>
      <t>ddress (default)</t>
    </r>
    <phoneticPr fontId="4" type="noConversion"/>
  </si>
  <si>
    <t>Address (default)</t>
    <phoneticPr fontId="4" type="noConversion"/>
  </si>
  <si>
    <t>Address (decimal)</t>
    <phoneticPr fontId="4" type="noConversion"/>
  </si>
  <si>
    <t>Address (decimal)</t>
    <phoneticPr fontId="4" type="noConversion"/>
  </si>
  <si>
    <t>Remark</t>
    <phoneticPr fontId="4" type="noConversion"/>
  </si>
  <si>
    <t>Fault</t>
  </si>
  <si>
    <t>Level
(NA/Alarm/Fault)</t>
    <phoneticPr fontId="8" type="noConversion"/>
  </si>
  <si>
    <t>Alarm</t>
  </si>
  <si>
    <t>BMSAlarm</t>
  </si>
  <si>
    <t>Note:
1. Address rule for remote signaling quantity: address = base address + telecontrol number
2. The default base address is 1, it can be configured to change.</t>
    <phoneticPr fontId="4" type="noConversion"/>
  </si>
  <si>
    <t>Note:
1. Address rule for remote control quantity: address = base address + telecontrol number
2. The default base address is 24577, it can be configured to change.</t>
    <phoneticPr fontId="4" type="noConversion"/>
  </si>
  <si>
    <r>
      <t xml:space="preserve">Note:
1. Address rule for telemetering quantity: address = base address + </t>
    </r>
    <r>
      <rPr>
        <sz val="11"/>
        <color rgb="FF00B0F0"/>
        <rFont val="微软雅黑"/>
        <family val="2"/>
        <charset val="134"/>
      </rPr>
      <t>telecontrol number</t>
    </r>
    <r>
      <rPr>
        <sz val="11"/>
        <color rgb="FFFF0000"/>
        <rFont val="微软雅黑"/>
        <family val="2"/>
        <charset val="134"/>
      </rPr>
      <t xml:space="preserve">
2. The default base address is 16385, it can be configured to change.
3. The data is short floating-point type.</t>
    </r>
    <phoneticPr fontId="4" type="noConversion"/>
  </si>
  <si>
    <t>Note:
1. Address rule for teleadjusting quantity: address = base address + telecontrol number
2. The default base address is 25089, it can be configured to change.
3. The data is short floating-point type.</t>
    <phoneticPr fontId="4" type="noConversion"/>
  </si>
  <si>
    <t>Ssystem parameter</t>
    <phoneticPr fontId="7" type="noConversion"/>
  </si>
  <si>
    <t>Insulation resistance abnormal</t>
    <phoneticPr fontId="4" type="noConversion"/>
  </si>
  <si>
    <t>AC residual current abnormal</t>
    <phoneticPr fontId="4" type="noConversion"/>
  </si>
  <si>
    <t>DC over-voltage</t>
    <phoneticPr fontId="4" type="noConversion"/>
  </si>
  <si>
    <t>Grid over-voltage abnormal</t>
    <phoneticPr fontId="4" type="noConversion"/>
  </si>
  <si>
    <t>Grid under-voltage abnormal</t>
    <phoneticPr fontId="4" type="noConversion"/>
  </si>
  <si>
    <t>Grid over-frequency abnormal</t>
    <phoneticPr fontId="4" type="noConversion"/>
  </si>
  <si>
    <t>Grid under-frequency abnormal</t>
    <phoneticPr fontId="4" type="noConversion"/>
  </si>
  <si>
    <t>Power module over-temperature</t>
    <phoneticPr fontId="4" type="noConversion"/>
  </si>
  <si>
    <t>Grid phase sequence abnormal</t>
    <phoneticPr fontId="4" type="noConversion"/>
  </si>
  <si>
    <t>Inverter software over-current</t>
    <phoneticPr fontId="4" type="noConversion"/>
  </si>
  <si>
    <t>DC softstart abnormal</t>
    <phoneticPr fontId="4" type="noConversion"/>
  </si>
  <si>
    <t>DC switch abnormal</t>
    <phoneticPr fontId="4" type="noConversion"/>
  </si>
  <si>
    <t>AC fan abnormal</t>
    <phoneticPr fontId="4" type="noConversion"/>
  </si>
  <si>
    <t>AC switch abnormal</t>
    <phoneticPr fontId="4" type="noConversion"/>
  </si>
  <si>
    <t>Temperature switch abnormal</t>
    <phoneticPr fontId="4" type="noConversion"/>
  </si>
  <si>
    <t>Inner abnormal</t>
    <phoneticPr fontId="4" type="noConversion"/>
  </si>
  <si>
    <t>Inner over-temperature</t>
    <phoneticPr fontId="4" type="noConversion"/>
  </si>
  <si>
    <t>AC softstart abnormal</t>
    <phoneticPr fontId="4" type="noConversion"/>
  </si>
  <si>
    <t xml:space="preserve">Heat exchanger abnormal </t>
    <phoneticPr fontId="4" type="noConversion"/>
  </si>
  <si>
    <t>AC SPD abnormal</t>
    <phoneticPr fontId="4" type="noConversion"/>
  </si>
  <si>
    <t>Inner EPO fault</t>
    <phoneticPr fontId="4" type="noConversion"/>
  </si>
  <si>
    <t>External EPO fault</t>
    <phoneticPr fontId="4" type="noConversion"/>
  </si>
  <si>
    <t>Bus voltage mismatch startup condition</t>
    <phoneticPr fontId="4" type="noConversion"/>
  </si>
  <si>
    <t>Bus over-current</t>
    <phoneticPr fontId="4" type="noConversion"/>
  </si>
  <si>
    <t>Zero-offset correction abnormal</t>
    <phoneticPr fontId="4" type="noConversion"/>
  </si>
  <si>
    <t>Access control alarm</t>
    <phoneticPr fontId="4" type="noConversion"/>
  </si>
  <si>
    <t>Phase lock abnormal</t>
    <phoneticPr fontId="4" type="noConversion"/>
  </si>
  <si>
    <t>DC SPD abnormal</t>
    <phoneticPr fontId="4" type="noConversion"/>
  </si>
  <si>
    <t>Inverter hardware over-current</t>
    <phoneticPr fontId="4" type="noConversion"/>
  </si>
  <si>
    <t>Driver abnormal</t>
    <phoneticPr fontId="4" type="noConversion"/>
  </si>
  <si>
    <t>ID conflict</t>
    <phoneticPr fontId="4" type="noConversion"/>
  </si>
  <si>
    <t>Parallel communication wire abnormal</t>
    <phoneticPr fontId="4" type="noConversion"/>
  </si>
  <si>
    <t>Sync CAN communication abnormal</t>
    <phoneticPr fontId="4" type="noConversion"/>
  </si>
  <si>
    <t>Info sharing CAN communication abnormal</t>
    <phoneticPr fontId="4" type="noConversion"/>
  </si>
  <si>
    <t>DC arc abnormal</t>
    <phoneticPr fontId="4" type="noConversion"/>
  </si>
  <si>
    <t>Zero-sequence over-current</t>
    <phoneticPr fontId="4" type="noConversion"/>
  </si>
  <si>
    <t>DC main contactor abnormal</t>
    <phoneticPr fontId="4" type="noConversion"/>
  </si>
  <si>
    <t>Smog alarm</t>
    <phoneticPr fontId="4" type="noConversion"/>
  </si>
  <si>
    <t>Parallel communication abnormal</t>
    <phoneticPr fontId="4" type="noConversion"/>
  </si>
  <si>
    <t>HMI CAN communication abnormal</t>
    <phoneticPr fontId="4" type="noConversion"/>
  </si>
  <si>
    <t>Model setting error</t>
    <phoneticPr fontId="4" type="noConversion"/>
  </si>
  <si>
    <t>Remote communication abnormal</t>
    <phoneticPr fontId="4" type="noConversion"/>
  </si>
  <si>
    <t xml:space="preserve">Fault (total) </t>
    <phoneticPr fontId="4" type="noConversion"/>
  </si>
  <si>
    <t xml:space="preserve">Alarm (total) </t>
    <phoneticPr fontId="4" type="noConversion"/>
  </si>
  <si>
    <t>DC parallel model setting error</t>
    <phoneticPr fontId="4" type="noConversion"/>
  </si>
  <si>
    <t>System parameters mismatch</t>
    <phoneticPr fontId="4" type="noConversion"/>
  </si>
  <si>
    <t>Grid voltage unbalance alarm</t>
    <phoneticPr fontId="4" type="noConversion"/>
  </si>
  <si>
    <t>Low voltage ride through running</t>
    <phoneticPr fontId="4" type="noConversion"/>
  </si>
  <si>
    <t>High voltage ride through running</t>
    <phoneticPr fontId="4" type="noConversion"/>
  </si>
  <si>
    <t>DC fan abnormal</t>
    <phoneticPr fontId="4" type="noConversion"/>
  </si>
  <si>
    <t>Heat sink temperature switch abnormal</t>
    <phoneticPr fontId="4" type="noConversion"/>
  </si>
  <si>
    <t>External temperature switch abnormal</t>
    <phoneticPr fontId="4" type="noConversion"/>
  </si>
  <si>
    <t>Auxiliary power transformer temperature switch abnormal</t>
    <phoneticPr fontId="4" type="noConversion"/>
  </si>
  <si>
    <t>Inductor temperature switch abnormal</t>
    <phoneticPr fontId="4" type="noConversion"/>
  </si>
  <si>
    <t>Positive grounding abnormal</t>
    <phoneticPr fontId="4" type="noConversion"/>
  </si>
  <si>
    <t>Negative grounding abnormal</t>
    <phoneticPr fontId="4" type="noConversion"/>
  </si>
  <si>
    <t>AC grounding abnormal</t>
    <phoneticPr fontId="4" type="noConversion"/>
  </si>
  <si>
    <t>Grid-tied grounding abnormal</t>
    <phoneticPr fontId="4" type="noConversion"/>
  </si>
  <si>
    <t>BMS emergency power off</t>
    <phoneticPr fontId="4" type="noConversion"/>
  </si>
  <si>
    <t>Grid over-frequency/under-frequency standby alarm</t>
    <phoneticPr fontId="4" type="noConversion"/>
  </si>
  <si>
    <t>Power module over-temperature alarm</t>
    <phoneticPr fontId="4" type="noConversion"/>
  </si>
  <si>
    <t>Battery over-voltage</t>
    <phoneticPr fontId="4" type="noConversion"/>
  </si>
  <si>
    <t>Battery under-voltage with light-load</t>
    <phoneticPr fontId="4" type="noConversion"/>
  </si>
  <si>
    <t>DC over-current</t>
    <phoneticPr fontId="4" type="noConversion"/>
  </si>
  <si>
    <t>Output voltage abnormal</t>
    <phoneticPr fontId="4" type="noConversion"/>
  </si>
  <si>
    <t>Output voltage mismatch off-grid condition</t>
    <phoneticPr fontId="4" type="noConversion"/>
  </si>
  <si>
    <t>Overload protection</t>
    <phoneticPr fontId="4" type="noConversion"/>
  </si>
  <si>
    <t>Short-circuit protection</t>
    <phoneticPr fontId="4" type="noConversion"/>
  </si>
  <si>
    <t>Inner fan abnormal</t>
    <phoneticPr fontId="4" type="noConversion"/>
  </si>
  <si>
    <t>DC fuse abnormal</t>
    <phoneticPr fontId="4" type="noConversion"/>
  </si>
  <si>
    <t>Battery under-voltage with heavy-load</t>
    <phoneticPr fontId="4" type="noConversion"/>
  </si>
  <si>
    <t>Battery under-voltage alarm</t>
    <phoneticPr fontId="4" type="noConversion"/>
  </si>
  <si>
    <t>External fan abnormal</t>
    <phoneticPr fontId="4" type="noConversion"/>
  </si>
  <si>
    <t>Battery reverse connected</t>
    <phoneticPr fontId="4" type="noConversion"/>
  </si>
  <si>
    <t>Battery voltage mismatch charge condition</t>
    <phoneticPr fontId="4" type="noConversion"/>
  </si>
  <si>
    <t>Overload alarm</t>
    <phoneticPr fontId="4" type="noConversion"/>
  </si>
  <si>
    <t>DC arc module communication abnormal</t>
    <phoneticPr fontId="4" type="noConversion"/>
  </si>
  <si>
    <t>BMS system fault</t>
    <phoneticPr fontId="4" type="noConversion"/>
  </si>
  <si>
    <t>BMS communication abnormal</t>
    <phoneticPr fontId="4" type="noConversion"/>
  </si>
  <si>
    <t>BMS dry contact abnormal</t>
    <phoneticPr fontId="4" type="noConversion"/>
  </si>
  <si>
    <t>BMS charge disabled</t>
    <phoneticPr fontId="4" type="noConversion"/>
  </si>
  <si>
    <t>BMS discharge disabled</t>
    <phoneticPr fontId="4" type="noConversion"/>
  </si>
  <si>
    <t>BMS standby</t>
    <phoneticPr fontId="4" type="noConversion"/>
  </si>
  <si>
    <t>Heat sink over-temperature alarm</t>
    <phoneticPr fontId="4" type="noConversion"/>
  </si>
  <si>
    <t>AC fan lifespan abnormal</t>
    <phoneticPr fontId="4" type="noConversion"/>
  </si>
  <si>
    <t>DC fan lifespan abnormal</t>
    <phoneticPr fontId="4" type="noConversion"/>
  </si>
  <si>
    <t>AC switch lifespan abnormal</t>
    <phoneticPr fontId="4" type="noConversion"/>
  </si>
  <si>
    <t>DC switch lifespan abnormal</t>
    <phoneticPr fontId="4" type="noConversion"/>
  </si>
  <si>
    <t>ON/OFF status</t>
    <phoneticPr fontId="4" type="noConversion"/>
  </si>
  <si>
    <r>
      <t>0-</t>
    </r>
    <r>
      <rPr>
        <sz val="10.5"/>
        <color theme="1"/>
        <rFont val="微软雅黑"/>
        <family val="2"/>
        <charset val="134"/>
      </rPr>
      <t>OFF 1-ON</t>
    </r>
    <phoneticPr fontId="4" type="noConversion"/>
  </si>
  <si>
    <t>PCS normal halt status</t>
    <phoneticPr fontId="4" type="noConversion"/>
  </si>
  <si>
    <t>0-Abnormal halt; 1-Normal halt</t>
    <phoneticPr fontId="8" type="noConversion"/>
  </si>
  <si>
    <t>PCS discharge status</t>
    <phoneticPr fontId="4" type="noConversion"/>
  </si>
  <si>
    <t>PCS fault halt status</t>
    <phoneticPr fontId="4" type="noConversion"/>
  </si>
  <si>
    <t>AC switch status</t>
    <phoneticPr fontId="4" type="noConversion"/>
  </si>
  <si>
    <t>DC switch status</t>
    <phoneticPr fontId="4" type="noConversion"/>
  </si>
  <si>
    <t>0-OFF; 1-ON</t>
    <phoneticPr fontId="4" type="noConversion"/>
  </si>
  <si>
    <t>0-OFF; 1-ON</t>
    <phoneticPr fontId="4" type="noConversion"/>
  </si>
  <si>
    <t>0-Normal; 1-Fault halt</t>
    <phoneticPr fontId="8" type="noConversion"/>
  </si>
  <si>
    <t>PCS standby status</t>
    <phoneticPr fontId="4" type="noConversion"/>
  </si>
  <si>
    <t>PCS charge status</t>
    <phoneticPr fontId="4" type="noConversion"/>
  </si>
  <si>
    <t>0-Non discharge; 1-Discharge</t>
    <phoneticPr fontId="8" type="noConversion"/>
  </si>
  <si>
    <t>0-Non charge; 1-Charge</t>
    <phoneticPr fontId="8" type="noConversion"/>
  </si>
  <si>
    <t>0-Non standby; 1-Standby</t>
    <phoneticPr fontId="8" type="noConversion"/>
  </si>
  <si>
    <t>PCS Grid-tied status</t>
    <phoneticPr fontId="4" type="noConversion"/>
  </si>
  <si>
    <t>PCS off-grid status</t>
    <phoneticPr fontId="4" type="noConversion"/>
  </si>
  <si>
    <t>0-Non grid-tied; 1-Grid-tied</t>
    <phoneticPr fontId="4" type="noConversion"/>
  </si>
  <si>
    <t>0-Non off-grid; 1-Off-grid</t>
    <phoneticPr fontId="4" type="noConversion"/>
  </si>
  <si>
    <t>0-Normal  1-Abnormal</t>
    <phoneticPr fontId="4" type="noConversion"/>
  </si>
  <si>
    <t>Alarm/Fault (configurable)</t>
    <phoneticPr fontId="4" type="noConversion"/>
  </si>
  <si>
    <t>Power factor</t>
    <phoneticPr fontId="4" type="noConversion"/>
  </si>
  <si>
    <t>Output U current</t>
    <phoneticPr fontId="4" type="noConversion"/>
  </si>
  <si>
    <t>Output V current</t>
    <phoneticPr fontId="4" type="noConversion"/>
  </si>
  <si>
    <t>Output W current</t>
    <phoneticPr fontId="4" type="noConversion"/>
  </si>
  <si>
    <t>Day charged</t>
    <phoneticPr fontId="4" type="noConversion"/>
  </si>
  <si>
    <t>Day discharged</t>
    <phoneticPr fontId="4" type="noConversion"/>
  </si>
  <si>
    <t>Total charged</t>
    <phoneticPr fontId="4" type="noConversion"/>
  </si>
  <si>
    <t>Total discharged</t>
    <phoneticPr fontId="4" type="noConversion"/>
  </si>
  <si>
    <t>Grid U/UV voltage</t>
    <phoneticPr fontId="4" type="noConversion"/>
  </si>
  <si>
    <t>Grid V/VW voltage</t>
    <phoneticPr fontId="4" type="noConversion"/>
  </si>
  <si>
    <t>Grid W/WU voltage</t>
    <phoneticPr fontId="4" type="noConversion"/>
  </si>
  <si>
    <t>DC voltage</t>
    <phoneticPr fontId="4" type="noConversion"/>
  </si>
  <si>
    <t>DC current</t>
    <phoneticPr fontId="4" type="noConversion"/>
  </si>
  <si>
    <t>DC power</t>
    <phoneticPr fontId="4" type="noConversion"/>
  </si>
  <si>
    <t>Frequency</t>
    <phoneticPr fontId="4" type="noConversion"/>
  </si>
  <si>
    <t>Inner temperature</t>
    <phoneticPr fontId="4" type="noConversion"/>
  </si>
  <si>
    <t>On-grid/off-grid status</t>
    <phoneticPr fontId="4" type="noConversion"/>
  </si>
  <si>
    <t>Available power</t>
    <phoneticPr fontId="4" type="noConversion"/>
  </si>
  <si>
    <t>Total load ratio</t>
    <phoneticPr fontId="4" type="noConversion"/>
  </si>
  <si>
    <t>AC residual current</t>
    <phoneticPr fontId="4" type="noConversion"/>
  </si>
  <si>
    <t>Insulation resistance</t>
    <phoneticPr fontId="4" type="noConversion"/>
  </si>
  <si>
    <t>AC side total charge reactive power</t>
    <phoneticPr fontId="8" type="noConversion"/>
  </si>
  <si>
    <t>AC side total discharge active power</t>
    <phoneticPr fontId="8" type="noConversion"/>
  </si>
  <si>
    <t>AC side total discharge reactive power</t>
    <phoneticPr fontId="8" type="noConversion"/>
  </si>
  <si>
    <t>Max. dischargeable power</t>
    <phoneticPr fontId="4" type="noConversion"/>
  </si>
  <si>
    <t>Max. chargeable power</t>
    <phoneticPr fontId="4" type="noConversion"/>
  </si>
  <si>
    <t>AC side total charge active power</t>
    <phoneticPr fontId="8" type="noConversion"/>
  </si>
  <si>
    <t>Running status 2</t>
    <phoneticPr fontId="4" type="noConversion"/>
  </si>
  <si>
    <r>
      <t>1</t>
    </r>
    <r>
      <rPr>
        <sz val="11"/>
        <color theme="1"/>
        <rFont val="微软雅黑"/>
        <family val="2"/>
        <charset val="134"/>
      </rPr>
      <t>: Halt</t>
    </r>
    <r>
      <rPr>
        <sz val="11"/>
        <color theme="1"/>
        <rFont val="微软雅黑"/>
        <family val="2"/>
        <charset val="134"/>
      </rPr>
      <t xml:space="preserve">
2</t>
    </r>
    <r>
      <rPr>
        <sz val="11"/>
        <color theme="1"/>
        <rFont val="微软雅黑"/>
        <family val="2"/>
        <charset val="134"/>
      </rPr>
      <t>: Standby</t>
    </r>
    <r>
      <rPr>
        <sz val="11"/>
        <color theme="1"/>
        <rFont val="微软雅黑"/>
        <family val="2"/>
        <charset val="134"/>
      </rPr>
      <t xml:space="preserve">
3</t>
    </r>
    <r>
      <rPr>
        <sz val="11"/>
        <color theme="1"/>
        <rFont val="微软雅黑"/>
        <family val="2"/>
        <charset val="134"/>
      </rPr>
      <t>: Charge</t>
    </r>
    <r>
      <rPr>
        <sz val="11"/>
        <color theme="1"/>
        <rFont val="微软雅黑"/>
        <family val="2"/>
        <charset val="134"/>
      </rPr>
      <t xml:space="preserve">
4</t>
    </r>
    <r>
      <rPr>
        <sz val="11"/>
        <color theme="1"/>
        <rFont val="微软雅黑"/>
        <family val="2"/>
        <charset val="134"/>
      </rPr>
      <t>: Discharge</t>
    </r>
    <r>
      <rPr>
        <sz val="11"/>
        <color theme="1"/>
        <rFont val="微软雅黑"/>
        <family val="2"/>
        <charset val="134"/>
      </rPr>
      <t xml:space="preserve">
5</t>
    </r>
    <r>
      <rPr>
        <sz val="11"/>
        <color theme="1"/>
        <rFont val="微软雅黑"/>
        <family val="2"/>
        <charset val="134"/>
      </rPr>
      <t>: Fault</t>
    </r>
    <phoneticPr fontId="4" type="noConversion"/>
  </si>
  <si>
    <t>DC side discharging current</t>
    <phoneticPr fontId="4" type="noConversion"/>
  </si>
  <si>
    <t>DC side charging current</t>
    <phoneticPr fontId="4" type="noConversion"/>
  </si>
  <si>
    <t>DC side discharge power</t>
    <phoneticPr fontId="4" type="noConversion"/>
  </si>
  <si>
    <t>DC side charging power</t>
    <phoneticPr fontId="4" type="noConversion"/>
  </si>
  <si>
    <t>AC side charging W current</t>
    <phoneticPr fontId="4" type="noConversion"/>
  </si>
  <si>
    <t>AC side charging V current</t>
    <phoneticPr fontId="4" type="noConversion"/>
  </si>
  <si>
    <t>AC side charging U current</t>
    <phoneticPr fontId="4" type="noConversion"/>
  </si>
  <si>
    <t>AC side discharging U current</t>
    <phoneticPr fontId="4" type="noConversion"/>
  </si>
  <si>
    <t>AC side discharging V current</t>
    <phoneticPr fontId="4" type="noConversion"/>
  </si>
  <si>
    <t>AC side discharging W current</t>
    <phoneticPr fontId="4" type="noConversion"/>
  </si>
  <si>
    <t>BMS system status</t>
    <phoneticPr fontId="4" type="noConversion"/>
  </si>
  <si>
    <t>Battery pack SOC</t>
    <phoneticPr fontId="4" type="noConversion"/>
  </si>
  <si>
    <t>Battery pack SOH</t>
    <phoneticPr fontId="4" type="noConversion"/>
  </si>
  <si>
    <t>Battery pack total current</t>
    <phoneticPr fontId="4" type="noConversion"/>
  </si>
  <si>
    <t>Battery pack total voltage</t>
    <phoneticPr fontId="4" type="noConversion"/>
  </si>
  <si>
    <t>Available charged energy</t>
    <phoneticPr fontId="4" type="noConversion"/>
  </si>
  <si>
    <t>Available discharged energy</t>
    <phoneticPr fontId="4" type="noConversion"/>
  </si>
  <si>
    <t>0-Disable; 1-Enable</t>
  </si>
  <si>
    <t>System parameter</t>
    <phoneticPr fontId="4" type="noConversion"/>
  </si>
  <si>
    <t>Category</t>
    <phoneticPr fontId="4" type="noConversion"/>
  </si>
  <si>
    <t>Telecontrol No.</t>
    <phoneticPr fontId="4" type="noConversion"/>
  </si>
  <si>
    <t>Telecontrol No.</t>
    <phoneticPr fontId="4" type="noConversion"/>
  </si>
  <si>
    <r>
      <t>A</t>
    </r>
    <r>
      <rPr>
        <sz val="11"/>
        <color theme="1"/>
        <rFont val="微软雅黑"/>
        <family val="2"/>
        <charset val="134"/>
      </rPr>
      <t>ddress (default)</t>
    </r>
    <phoneticPr fontId="4" type="noConversion"/>
  </si>
  <si>
    <t>Address (default)</t>
    <phoneticPr fontId="4" type="noConversion"/>
  </si>
  <si>
    <t>Address (decimal)</t>
    <phoneticPr fontId="4" type="noConversion"/>
  </si>
  <si>
    <t>Address (decimal)</t>
    <phoneticPr fontId="4" type="noConversion"/>
  </si>
  <si>
    <t>Auto-start when power on</t>
    <phoneticPr fontId="7" type="noConversion"/>
  </si>
  <si>
    <t>On-grid/off-grid mode</t>
    <phoneticPr fontId="7" type="noConversion"/>
  </si>
  <si>
    <t>Active islanding</t>
    <phoneticPr fontId="7" type="noConversion"/>
  </si>
  <si>
    <t>System running mode</t>
    <phoneticPr fontId="7" type="noConversion"/>
  </si>
  <si>
    <t>0-Constant power; 1-Constant current</t>
    <phoneticPr fontId="7" type="noConversion"/>
  </si>
  <si>
    <t>Reactive power running mode</t>
    <phoneticPr fontId="7" type="noConversion"/>
  </si>
  <si>
    <t>0-Constant reactive power; 1-Constant power factor</t>
    <phoneticPr fontId="7" type="noConversion"/>
  </si>
  <si>
    <t>Power factor setting</t>
    <phoneticPr fontId="7" type="noConversion"/>
  </si>
  <si>
    <t>Discharge locked time</t>
    <phoneticPr fontId="7" type="noConversion"/>
  </si>
  <si>
    <t>Power prestart rate</t>
    <phoneticPr fontId="7" type="noConversion"/>
  </si>
  <si>
    <t>Accuracy: 1kVar</t>
    <phoneticPr fontId="7" type="noConversion"/>
  </si>
  <si>
    <t>Accuracy: 0.01</t>
    <phoneticPr fontId="7" type="noConversion"/>
  </si>
  <si>
    <t>Accuracy: 1s</t>
    <phoneticPr fontId="7" type="noConversion"/>
  </si>
  <si>
    <t>Current of constant current mode</t>
    <phoneticPr fontId="7" type="noConversion"/>
  </si>
  <si>
    <t>DC voltage of constant voltage mode</t>
    <phoneticPr fontId="7" type="noConversion"/>
  </si>
  <si>
    <t>Accuracy: 0.01%/s, it is the power change rate during operating.</t>
    <phoneticPr fontId="7" type="noConversion"/>
  </si>
  <si>
    <t>Accuracy: 0.1V</t>
    <phoneticPr fontId="7" type="noConversion"/>
  </si>
  <si>
    <t>Return value of teleadjusting</t>
    <phoneticPr fontId="4" type="noConversion"/>
  </si>
  <si>
    <t>Return value of teleadjusting_H/LVRT</t>
  </si>
  <si>
    <t>Return value of teleadjusting_Reserved</t>
  </si>
  <si>
    <t>Return value of teleadjusting_Auto-start when power on</t>
    <phoneticPr fontId="4" type="noConversion"/>
  </si>
  <si>
    <t>Return value of teleadjusting_On-grid/off-grid mode</t>
    <phoneticPr fontId="4" type="noConversion"/>
  </si>
  <si>
    <t>Return value of teleadjusting_Active islanding</t>
    <phoneticPr fontId="4" type="noConversion"/>
  </si>
  <si>
    <t>Return value of teleadjusting_System running mode</t>
    <phoneticPr fontId="4" type="noConversion"/>
  </si>
  <si>
    <t>Return value of teleadjusting_Reactive power running mode</t>
    <phoneticPr fontId="4" type="noConversion"/>
  </si>
  <si>
    <t>0-Constant reactive power; 1-Constant power factor</t>
    <phoneticPr fontId="4" type="noConversion"/>
  </si>
  <si>
    <t>0-Constant power; 1-Constant current</t>
    <phoneticPr fontId="4" type="noConversion"/>
  </si>
  <si>
    <t>Return value of teleadjusting_Active power</t>
    <phoneticPr fontId="4" type="noConversion"/>
  </si>
  <si>
    <t>Return value of teleadjusting_Reactive power</t>
    <phoneticPr fontId="4" type="noConversion"/>
  </si>
  <si>
    <t>Return value of teleadjusting_Power factor</t>
    <phoneticPr fontId="4" type="noConversion"/>
  </si>
  <si>
    <t>Return value of teleadjusting_Discharge locked time</t>
    <phoneticPr fontId="4" type="noConversion"/>
  </si>
  <si>
    <t>Return value of teleadjusting_Power prestart rate</t>
    <phoneticPr fontId="4" type="noConversion"/>
  </si>
  <si>
    <t>Return value of teleadjusting_Current of constant current mode</t>
    <phoneticPr fontId="4" type="noConversion"/>
  </si>
  <si>
    <t>Return value of teleadjusting_DC voltage of constant voltage mode</t>
    <phoneticPr fontId="4" type="noConversion"/>
  </si>
  <si>
    <t>Accuracy: 1kW</t>
    <phoneticPr fontId="7" type="noConversion"/>
  </si>
  <si>
    <t>Accuracy: 1kW</t>
    <phoneticPr fontId="4" type="noConversion"/>
  </si>
  <si>
    <t>Accuracy: 1kVar</t>
    <phoneticPr fontId="4" type="noConversion"/>
  </si>
  <si>
    <t>Accuracy: 0.01</t>
    <phoneticPr fontId="4" type="noConversion"/>
  </si>
  <si>
    <t>Accuracy: 1s</t>
    <phoneticPr fontId="4" type="noConversion"/>
  </si>
  <si>
    <t>Accuracy: 0.1V</t>
    <phoneticPr fontId="4" type="noConversion"/>
  </si>
  <si>
    <t>Accuracy:  0.1A
(It is valid when the running mode is constant current. +: battery discharge, -:battery charge)</t>
    <phoneticPr fontId="7" type="noConversion"/>
  </si>
  <si>
    <t>Accuracy: 0.1A
(It is valid when the running mode is constant current. +: battery discharge, -:battery charge)</t>
    <phoneticPr fontId="4" type="noConversion"/>
  </si>
  <si>
    <r>
      <t>Accuracy: 0.01%/s</t>
    </r>
    <r>
      <rPr>
        <sz val="10.5"/>
        <color theme="1"/>
        <rFont val="微软雅黑"/>
        <family val="2"/>
        <charset val="134"/>
      </rPr>
      <t xml:space="preserve">
(it is the power change rate during operating)</t>
    </r>
    <phoneticPr fontId="4" type="noConversion"/>
  </si>
  <si>
    <t>Point Description</t>
    <phoneticPr fontId="4" type="noConversion"/>
  </si>
  <si>
    <t>Point Description</t>
    <phoneticPr fontId="4" type="noConversion"/>
  </si>
  <si>
    <t>Point Description</t>
    <phoneticPr fontId="4" type="noConversion"/>
  </si>
  <si>
    <t>0-Exit  1-Input</t>
    <phoneticPr fontId="8" type="noConversion"/>
  </si>
  <si>
    <t>ON/OFF</t>
    <phoneticPr fontId="4" type="noConversion"/>
  </si>
  <si>
    <t>0-OFF; 1-ON</t>
    <phoneticPr fontId="4" type="noConversion"/>
  </si>
  <si>
    <t>Reserved</t>
    <phoneticPr fontId="4" type="noConversion"/>
  </si>
  <si>
    <t>Active power setting</t>
    <phoneticPr fontId="7" type="noConversion"/>
  </si>
  <si>
    <t>Charge limited current</t>
    <phoneticPr fontId="4" type="noConversion"/>
  </si>
  <si>
    <t>Discharge limited current</t>
    <phoneticPr fontId="4" type="noConversion"/>
  </si>
  <si>
    <t>Charge limited voltage</t>
    <phoneticPr fontId="4" type="noConversion"/>
  </si>
  <si>
    <t>Discharge limited voltage</t>
    <phoneticPr fontId="4" type="noConversion"/>
  </si>
  <si>
    <t>Coefficient</t>
    <phoneticPr fontId="4" type="noConversion"/>
  </si>
  <si>
    <t>0: Initial
1: Normal
2: Charge disabled
3: Discharge disabled
4: Alarm
5: Fault
6: Standby</t>
    <phoneticPr fontId="4" type="noConversion"/>
  </si>
  <si>
    <t>HMI RS485 communication abnormal</t>
    <phoneticPr fontId="4" type="noConversion"/>
  </si>
  <si>
    <t>Remote input/exit status</t>
    <phoneticPr fontId="8" type="noConversion"/>
  </si>
  <si>
    <t>Remark</t>
    <phoneticPr fontId="4" type="noConversion"/>
  </si>
  <si>
    <t>Remark (accuracy, unit)</t>
    <phoneticPr fontId="4" type="noConversion"/>
  </si>
  <si>
    <t>0: Halt (no fault and the contactor is disconnected);
1: Standby (no fault and the contactor is closed, and with no charge/discharge power); 
2: Fault (with fault, the contactor is disconnected);
3: Charge (stay in charging status);
4: Discharge (stay in discharging status);
5: Charge derating (stay in charging status, derating for over-temperature);
6: Discharge derating (stay in discharging status, derating for over-temperature)</t>
    <phoneticPr fontId="4" type="noConversion"/>
  </si>
  <si>
    <t>Remark (unit)</t>
    <phoneticPr fontId="4" type="noConversion"/>
  </si>
  <si>
    <t>Max. capacitive reactive power capacity</t>
    <phoneticPr fontId="8" type="noConversion"/>
  </si>
  <si>
    <t>Max. inductive reactive power capacity</t>
    <phoneticPr fontId="8" type="noConversion"/>
  </si>
  <si>
    <t>Reactive power setting</t>
    <phoneticPr fontId="7" type="noConversion"/>
  </si>
  <si>
    <t>Smart meter communication abnormal</t>
    <phoneticPr fontId="4" type="noConversion"/>
  </si>
  <si>
    <t>0-Grid-tied; 1-Off-grid; 2-VSG;3-Grid forming; 4-Auto grid-tied/off-grid</t>
    <phoneticPr fontId="4" type="noConversion"/>
  </si>
  <si>
    <t>0-Grid-tied; 1-Off-grid; 2-VSG;3-Grid forming; 4-Auto grid-tied/off-grid</t>
    <phoneticPr fontId="4" type="noConversion"/>
  </si>
  <si>
    <t>0-Disable; 1-Enable(Reactive Support Mode);2-Enable(Zero Current Mode);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</si>
</sst>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微软雅黑"/>
      <family val="2"/>
      <charset val="134"/>
    </font>
    <font>
      <sz val="11"/>
      <color rgb="FF00B0F0"/>
      <name val="微软雅黑"/>
      <family val="2"/>
      <charset val="134"/>
    </font>
    <font>
      <sz val="10.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5" fillId="0" borderId="0" xfId="0" applyFont="1" applyBorder="1" applyAlignment="1">
      <alignment vertical="center" wrapText="1"/>
    </xf>
    <xf numFmtId="0" fontId="2" fillId="2" borderId="3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left" vertical="center"/>
    </xf>
    <xf numFmtId="0" fontId="2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1" xfId="0" applyFont="1" applyFill="1" applyBorder="1">
      <alignment vertical="center"/>
    </xf>
    <xf numFmtId="0" fontId="2" fillId="0" borderId="1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>
      <alignment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3" xfId="0" applyFont="1" applyFill="1" applyBorder="1">
      <alignment vertical="center"/>
    </xf>
    <xf numFmtId="0" fontId="2" fillId="0" borderId="10" xfId="0" applyFont="1" applyFill="1" applyBorder="1" applyAlignment="1">
      <alignment horizontal="left" vertical="center" wrapText="1"/>
    </xf>
    <xf numFmtId="0" fontId="2" fillId="2" borderId="7" xfId="0" applyFont="1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17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0" fontId="9" fillId="0" borderId="6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>
      <alignment vertical="center"/>
    </xf>
    <xf numFmtId="0" fontId="9" fillId="0" borderId="1" xfId="0" applyFont="1" applyFill="1" applyBorder="1">
      <alignment vertical="center"/>
    </xf>
    <xf numFmtId="0" fontId="9" fillId="0" borderId="7" xfId="0" applyFont="1" applyFill="1" applyBorder="1">
      <alignment vertical="center"/>
    </xf>
    <xf numFmtId="0" fontId="2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/>
    </xf>
    <xf numFmtId="10" fontId="2" fillId="0" borderId="6" xfId="0" applyNumberFormat="1" applyFont="1" applyFill="1" applyBorder="1" applyAlignment="1">
      <alignment vertical="center"/>
    </xf>
    <xf numFmtId="9" fontId="2" fillId="0" borderId="6" xfId="0" applyNumberFormat="1" applyFont="1" applyFill="1" applyBorder="1" applyAlignment="1">
      <alignment vertical="center"/>
    </xf>
    <xf numFmtId="0" fontId="6" fillId="0" borderId="7" xfId="0" applyFont="1" applyFill="1" applyBorder="1">
      <alignment vertical="center"/>
    </xf>
    <xf numFmtId="0" fontId="2" fillId="0" borderId="20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9" fillId="0" borderId="0" xfId="0" applyFont="1" applyFill="1">
      <alignment vertical="center"/>
    </xf>
    <xf numFmtId="0" fontId="11" fillId="2" borderId="5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opLeftCell="A67" zoomScale="85" zoomScaleNormal="85" workbookViewId="0">
      <selection activeCell="D31" sqref="D31"/>
    </sheetView>
  </sheetViews>
  <sheetFormatPr defaultColWidth="9" defaultRowHeight="16.5" x14ac:dyDescent="0.15"/>
  <cols>
    <col min="1" max="1" width="16.375" style="1" customWidth="1"/>
    <col min="2" max="2" width="15.25" style="1" bestFit="1" customWidth="1"/>
    <col min="3" max="3" width="17.75" style="1" bestFit="1" customWidth="1"/>
    <col min="4" max="4" width="44.625" style="1" bestFit="1" customWidth="1"/>
    <col min="5" max="5" width="23" style="1" customWidth="1"/>
    <col min="6" max="6" width="24.375" style="1" bestFit="1" customWidth="1"/>
    <col min="7" max="16384" width="9" style="1"/>
  </cols>
  <sheetData>
    <row r="1" spans="1:6" ht="60" customHeight="1" x14ac:dyDescent="0.15">
      <c r="A1" s="63" t="s">
        <v>305</v>
      </c>
      <c r="B1" s="64"/>
      <c r="C1" s="64"/>
      <c r="D1" s="64"/>
      <c r="E1" s="64"/>
      <c r="F1" s="64"/>
    </row>
    <row r="2" spans="1:6" ht="36.75" customHeight="1" x14ac:dyDescent="0.15">
      <c r="A2" s="5" t="s">
        <v>287</v>
      </c>
      <c r="B2" s="58" t="s">
        <v>297</v>
      </c>
      <c r="C2" s="58" t="s">
        <v>299</v>
      </c>
      <c r="D2" s="5" t="s">
        <v>518</v>
      </c>
      <c r="E2" s="15" t="s">
        <v>300</v>
      </c>
      <c r="F2" s="15" t="s">
        <v>302</v>
      </c>
    </row>
    <row r="3" spans="1:6" ht="17.25" x14ac:dyDescent="0.15">
      <c r="A3" s="10">
        <v>0</v>
      </c>
      <c r="B3" s="13" t="s">
        <v>12</v>
      </c>
      <c r="C3" s="13">
        <f>1+A3</f>
        <v>1</v>
      </c>
      <c r="D3" s="4" t="s">
        <v>310</v>
      </c>
      <c r="E3" s="45" t="s">
        <v>294</v>
      </c>
      <c r="F3" s="46" t="s">
        <v>419</v>
      </c>
    </row>
    <row r="4" spans="1:6" ht="17.25" x14ac:dyDescent="0.15">
      <c r="A4" s="10">
        <v>1</v>
      </c>
      <c r="B4" s="13" t="s">
        <v>13</v>
      </c>
      <c r="C4" s="13">
        <f t="shared" ref="C4:C67" si="0">1+A4</f>
        <v>2</v>
      </c>
      <c r="D4" s="4" t="s">
        <v>311</v>
      </c>
      <c r="E4" s="45" t="s">
        <v>294</v>
      </c>
      <c r="F4" s="47" t="s">
        <v>301</v>
      </c>
    </row>
    <row r="5" spans="1:6" ht="17.25" x14ac:dyDescent="0.15">
      <c r="A5" s="10">
        <v>2</v>
      </c>
      <c r="B5" s="13" t="s">
        <v>14</v>
      </c>
      <c r="C5" s="13">
        <f t="shared" si="0"/>
        <v>3</v>
      </c>
      <c r="D5" s="4" t="s">
        <v>312</v>
      </c>
      <c r="E5" s="45" t="s">
        <v>294</v>
      </c>
      <c r="F5" s="26" t="s">
        <v>301</v>
      </c>
    </row>
    <row r="6" spans="1:6" ht="17.25" x14ac:dyDescent="0.15">
      <c r="A6" s="10">
        <v>3</v>
      </c>
      <c r="B6" s="13" t="s">
        <v>15</v>
      </c>
      <c r="C6" s="13">
        <f t="shared" si="0"/>
        <v>4</v>
      </c>
      <c r="D6" s="4" t="s">
        <v>313</v>
      </c>
      <c r="E6" s="45" t="s">
        <v>294</v>
      </c>
      <c r="F6" s="26" t="s">
        <v>301</v>
      </c>
    </row>
    <row r="7" spans="1:6" ht="17.25" x14ac:dyDescent="0.15">
      <c r="A7" s="10">
        <v>4</v>
      </c>
      <c r="B7" s="13" t="s">
        <v>123</v>
      </c>
      <c r="C7" s="13">
        <f t="shared" si="0"/>
        <v>5</v>
      </c>
      <c r="D7" s="4" t="s">
        <v>314</v>
      </c>
      <c r="E7" s="45" t="s">
        <v>294</v>
      </c>
      <c r="F7" s="26" t="s">
        <v>301</v>
      </c>
    </row>
    <row r="8" spans="1:6" ht="17.25" x14ac:dyDescent="0.15">
      <c r="A8" s="10">
        <v>5</v>
      </c>
      <c r="B8" s="13" t="s">
        <v>16</v>
      </c>
      <c r="C8" s="13">
        <f t="shared" si="0"/>
        <v>6</v>
      </c>
      <c r="D8" s="4" t="s">
        <v>315</v>
      </c>
      <c r="E8" s="45" t="s">
        <v>294</v>
      </c>
      <c r="F8" s="26" t="s">
        <v>301</v>
      </c>
    </row>
    <row r="9" spans="1:6" ht="17.25" x14ac:dyDescent="0.15">
      <c r="A9" s="10">
        <v>6</v>
      </c>
      <c r="B9" s="13" t="s">
        <v>17</v>
      </c>
      <c r="C9" s="13">
        <f t="shared" si="0"/>
        <v>7</v>
      </c>
      <c r="D9" s="4" t="s">
        <v>316</v>
      </c>
      <c r="E9" s="45" t="s">
        <v>294</v>
      </c>
      <c r="F9" s="26" t="s">
        <v>301</v>
      </c>
    </row>
    <row r="10" spans="1:6" ht="17.25" x14ac:dyDescent="0.15">
      <c r="A10" s="10">
        <v>7</v>
      </c>
      <c r="B10" s="13" t="s">
        <v>18</v>
      </c>
      <c r="C10" s="13">
        <f t="shared" si="0"/>
        <v>8</v>
      </c>
      <c r="D10" s="4" t="s">
        <v>317</v>
      </c>
      <c r="E10" s="45" t="s">
        <v>294</v>
      </c>
      <c r="F10" s="26" t="s">
        <v>301</v>
      </c>
    </row>
    <row r="11" spans="1:6" ht="17.25" x14ac:dyDescent="0.15">
      <c r="A11" s="10">
        <v>8</v>
      </c>
      <c r="B11" s="13" t="s">
        <v>19</v>
      </c>
      <c r="C11" s="13">
        <f t="shared" si="0"/>
        <v>9</v>
      </c>
      <c r="D11" s="4" t="s">
        <v>318</v>
      </c>
      <c r="E11" s="45" t="s">
        <v>294</v>
      </c>
      <c r="F11" s="26" t="s">
        <v>301</v>
      </c>
    </row>
    <row r="12" spans="1:6" ht="17.25" x14ac:dyDescent="0.15">
      <c r="A12" s="10">
        <v>9</v>
      </c>
      <c r="B12" s="13" t="s">
        <v>20</v>
      </c>
      <c r="C12" s="13">
        <f t="shared" si="0"/>
        <v>10</v>
      </c>
      <c r="D12" s="4" t="s">
        <v>319</v>
      </c>
      <c r="E12" s="45" t="s">
        <v>294</v>
      </c>
      <c r="F12" s="26" t="s">
        <v>301</v>
      </c>
    </row>
    <row r="13" spans="1:6" ht="17.25" x14ac:dyDescent="0.15">
      <c r="A13" s="10">
        <v>10</v>
      </c>
      <c r="B13" s="13" t="s">
        <v>21</v>
      </c>
      <c r="C13" s="13">
        <f t="shared" si="0"/>
        <v>11</v>
      </c>
      <c r="D13" s="4" t="s">
        <v>320</v>
      </c>
      <c r="E13" s="45" t="s">
        <v>294</v>
      </c>
      <c r="F13" s="26" t="s">
        <v>301</v>
      </c>
    </row>
    <row r="14" spans="1:6" ht="17.25" x14ac:dyDescent="0.15">
      <c r="A14" s="10">
        <v>11</v>
      </c>
      <c r="B14" s="13" t="s">
        <v>22</v>
      </c>
      <c r="C14" s="13">
        <f t="shared" si="0"/>
        <v>12</v>
      </c>
      <c r="D14" s="4" t="s">
        <v>321</v>
      </c>
      <c r="E14" s="45" t="s">
        <v>294</v>
      </c>
      <c r="F14" s="47" t="s">
        <v>301</v>
      </c>
    </row>
    <row r="15" spans="1:6" ht="17.25" x14ac:dyDescent="0.15">
      <c r="A15" s="10">
        <v>12</v>
      </c>
      <c r="B15" s="13" t="s">
        <v>23</v>
      </c>
      <c r="C15" s="13">
        <f t="shared" si="0"/>
        <v>13</v>
      </c>
      <c r="D15" s="4" t="s">
        <v>322</v>
      </c>
      <c r="E15" s="45" t="s">
        <v>294</v>
      </c>
      <c r="F15" s="47" t="s">
        <v>303</v>
      </c>
    </row>
    <row r="16" spans="1:6" ht="17.25" x14ac:dyDescent="0.15">
      <c r="A16" s="10">
        <v>13</v>
      </c>
      <c r="B16" s="13" t="s">
        <v>24</v>
      </c>
      <c r="C16" s="13">
        <f t="shared" si="0"/>
        <v>14</v>
      </c>
      <c r="D16" s="4" t="s">
        <v>323</v>
      </c>
      <c r="E16" s="45" t="s">
        <v>294</v>
      </c>
      <c r="F16" s="26" t="s">
        <v>301</v>
      </c>
    </row>
    <row r="17" spans="1:6" ht="17.25" x14ac:dyDescent="0.15">
      <c r="A17" s="10">
        <v>14</v>
      </c>
      <c r="B17" s="13" t="s">
        <v>25</v>
      </c>
      <c r="C17" s="13">
        <f t="shared" si="0"/>
        <v>15</v>
      </c>
      <c r="D17" s="4" t="s">
        <v>324</v>
      </c>
      <c r="E17" s="45" t="s">
        <v>294</v>
      </c>
      <c r="F17" s="26" t="s">
        <v>301</v>
      </c>
    </row>
    <row r="18" spans="1:6" ht="17.25" x14ac:dyDescent="0.15">
      <c r="A18" s="10">
        <v>15</v>
      </c>
      <c r="B18" s="13" t="s">
        <v>26</v>
      </c>
      <c r="C18" s="13">
        <f t="shared" si="0"/>
        <v>16</v>
      </c>
      <c r="D18" s="4" t="s">
        <v>325</v>
      </c>
      <c r="E18" s="45" t="s">
        <v>294</v>
      </c>
      <c r="F18" s="26" t="s">
        <v>301</v>
      </c>
    </row>
    <row r="19" spans="1:6" ht="17.25" x14ac:dyDescent="0.15">
      <c r="A19" s="10">
        <v>16</v>
      </c>
      <c r="B19" s="13" t="s">
        <v>27</v>
      </c>
      <c r="C19" s="13">
        <f t="shared" si="0"/>
        <v>17</v>
      </c>
      <c r="D19" s="4" t="s">
        <v>326</v>
      </c>
      <c r="E19" s="45" t="s">
        <v>294</v>
      </c>
      <c r="F19" s="26" t="s">
        <v>301</v>
      </c>
    </row>
    <row r="20" spans="1:6" ht="17.25" x14ac:dyDescent="0.15">
      <c r="A20" s="10">
        <v>17</v>
      </c>
      <c r="B20" s="13" t="s">
        <v>28</v>
      </c>
      <c r="C20" s="13">
        <f t="shared" si="0"/>
        <v>18</v>
      </c>
      <c r="D20" s="4" t="s">
        <v>327</v>
      </c>
      <c r="E20" s="45" t="s">
        <v>294</v>
      </c>
      <c r="F20" s="26" t="s">
        <v>301</v>
      </c>
    </row>
    <row r="21" spans="1:6" ht="17.25" x14ac:dyDescent="0.15">
      <c r="A21" s="10">
        <v>18</v>
      </c>
      <c r="B21" s="13" t="s">
        <v>29</v>
      </c>
      <c r="C21" s="13">
        <f t="shared" si="0"/>
        <v>19</v>
      </c>
      <c r="D21" s="4" t="s">
        <v>328</v>
      </c>
      <c r="E21" s="45" t="s">
        <v>294</v>
      </c>
      <c r="F21" s="26" t="s">
        <v>301</v>
      </c>
    </row>
    <row r="22" spans="1:6" ht="17.25" x14ac:dyDescent="0.15">
      <c r="A22" s="10">
        <v>19</v>
      </c>
      <c r="B22" s="13" t="s">
        <v>30</v>
      </c>
      <c r="C22" s="13">
        <f t="shared" si="0"/>
        <v>20</v>
      </c>
      <c r="D22" s="4" t="s">
        <v>329</v>
      </c>
      <c r="E22" s="45" t="s">
        <v>294</v>
      </c>
      <c r="F22" s="26" t="s">
        <v>303</v>
      </c>
    </row>
    <row r="23" spans="1:6" ht="17.25" x14ac:dyDescent="0.15">
      <c r="A23" s="10">
        <v>20</v>
      </c>
      <c r="B23" s="13" t="s">
        <v>31</v>
      </c>
      <c r="C23" s="13">
        <f t="shared" si="0"/>
        <v>21</v>
      </c>
      <c r="D23" s="4" t="s">
        <v>330</v>
      </c>
      <c r="E23" s="45" t="s">
        <v>294</v>
      </c>
      <c r="F23" s="26" t="s">
        <v>301</v>
      </c>
    </row>
    <row r="24" spans="1:6" ht="17.25" x14ac:dyDescent="0.15">
      <c r="A24" s="10">
        <v>21</v>
      </c>
      <c r="B24" s="13" t="s">
        <v>32</v>
      </c>
      <c r="C24" s="13">
        <f t="shared" si="0"/>
        <v>22</v>
      </c>
      <c r="D24" s="4" t="s">
        <v>331</v>
      </c>
      <c r="E24" s="45" t="s">
        <v>294</v>
      </c>
      <c r="F24" s="26" t="s">
        <v>301</v>
      </c>
    </row>
    <row r="25" spans="1:6" ht="17.25" x14ac:dyDescent="0.15">
      <c r="A25" s="10">
        <v>22</v>
      </c>
      <c r="B25" s="13" t="s">
        <v>33</v>
      </c>
      <c r="C25" s="13">
        <f t="shared" si="0"/>
        <v>23</v>
      </c>
      <c r="D25" s="4" t="s">
        <v>332</v>
      </c>
      <c r="E25" s="45" t="s">
        <v>294</v>
      </c>
      <c r="F25" s="47" t="s">
        <v>301</v>
      </c>
    </row>
    <row r="26" spans="1:6" ht="17.25" x14ac:dyDescent="0.15">
      <c r="A26" s="10">
        <v>23</v>
      </c>
      <c r="B26" s="13" t="s">
        <v>34</v>
      </c>
      <c r="C26" s="13">
        <f t="shared" si="0"/>
        <v>24</v>
      </c>
      <c r="D26" s="4" t="s">
        <v>333</v>
      </c>
      <c r="E26" s="45" t="s">
        <v>294</v>
      </c>
      <c r="F26" s="26" t="s">
        <v>301</v>
      </c>
    </row>
    <row r="27" spans="1:6" ht="17.25" x14ac:dyDescent="0.15">
      <c r="A27" s="10">
        <v>24</v>
      </c>
      <c r="B27" s="13" t="s">
        <v>35</v>
      </c>
      <c r="C27" s="13">
        <f t="shared" si="0"/>
        <v>25</v>
      </c>
      <c r="D27" s="4" t="s">
        <v>334</v>
      </c>
      <c r="E27" s="45" t="s">
        <v>294</v>
      </c>
      <c r="F27" s="26" t="s">
        <v>301</v>
      </c>
    </row>
    <row r="28" spans="1:6" ht="17.25" x14ac:dyDescent="0.15">
      <c r="A28" s="10">
        <v>25</v>
      </c>
      <c r="B28" s="13" t="s">
        <v>36</v>
      </c>
      <c r="C28" s="13">
        <f t="shared" si="0"/>
        <v>26</v>
      </c>
      <c r="D28" s="4" t="s">
        <v>335</v>
      </c>
      <c r="E28" s="45" t="s">
        <v>294</v>
      </c>
      <c r="F28" s="26" t="s">
        <v>303</v>
      </c>
    </row>
    <row r="29" spans="1:6" ht="17.25" x14ac:dyDescent="0.15">
      <c r="A29" s="10">
        <v>26</v>
      </c>
      <c r="B29" s="13" t="s">
        <v>37</v>
      </c>
      <c r="C29" s="13">
        <f t="shared" si="0"/>
        <v>27</v>
      </c>
      <c r="D29" s="4" t="s">
        <v>336</v>
      </c>
      <c r="E29" s="45" t="s">
        <v>294</v>
      </c>
      <c r="F29" s="26" t="s">
        <v>301</v>
      </c>
    </row>
    <row r="30" spans="1:6" ht="17.25" x14ac:dyDescent="0.15">
      <c r="A30" s="10">
        <v>27</v>
      </c>
      <c r="B30" s="13" t="s">
        <v>38</v>
      </c>
      <c r="C30" s="13">
        <f t="shared" si="0"/>
        <v>28</v>
      </c>
      <c r="D30" s="4" t="s">
        <v>337</v>
      </c>
      <c r="E30" s="45" t="s">
        <v>294</v>
      </c>
      <c r="F30" s="26" t="s">
        <v>303</v>
      </c>
    </row>
    <row r="31" spans="1:6" ht="17.25" x14ac:dyDescent="0.15">
      <c r="A31" s="10">
        <v>28</v>
      </c>
      <c r="B31" s="13" t="s">
        <v>39</v>
      </c>
      <c r="C31" s="13">
        <f t="shared" si="0"/>
        <v>29</v>
      </c>
      <c r="D31" s="4" t="s">
        <v>541</v>
      </c>
      <c r="E31" s="45" t="s">
        <v>294</v>
      </c>
      <c r="F31" s="26" t="s">
        <v>179</v>
      </c>
    </row>
    <row r="32" spans="1:6" ht="17.25" x14ac:dyDescent="0.15">
      <c r="A32" s="10">
        <v>29</v>
      </c>
      <c r="B32" s="13" t="s">
        <v>40</v>
      </c>
      <c r="C32" s="13">
        <f t="shared" si="0"/>
        <v>30</v>
      </c>
      <c r="D32" s="4" t="s">
        <v>338</v>
      </c>
      <c r="E32" s="45" t="s">
        <v>294</v>
      </c>
      <c r="F32" s="26" t="s">
        <v>301</v>
      </c>
    </row>
    <row r="33" spans="1:6" ht="17.25" x14ac:dyDescent="0.15">
      <c r="A33" s="10">
        <v>30</v>
      </c>
      <c r="B33" s="13" t="s">
        <v>41</v>
      </c>
      <c r="C33" s="13">
        <f t="shared" si="0"/>
        <v>31</v>
      </c>
      <c r="D33" s="4" t="s">
        <v>339</v>
      </c>
      <c r="E33" s="45" t="s">
        <v>294</v>
      </c>
      <c r="F33" s="26" t="s">
        <v>301</v>
      </c>
    </row>
    <row r="34" spans="1:6" ht="17.25" x14ac:dyDescent="0.15">
      <c r="A34" s="10">
        <v>31</v>
      </c>
      <c r="B34" s="13" t="s">
        <v>42</v>
      </c>
      <c r="C34" s="13">
        <f t="shared" si="0"/>
        <v>32</v>
      </c>
      <c r="D34" s="4" t="s">
        <v>340</v>
      </c>
      <c r="E34" s="45" t="s">
        <v>294</v>
      </c>
      <c r="F34" s="26" t="s">
        <v>303</v>
      </c>
    </row>
    <row r="35" spans="1:6" ht="17.25" x14ac:dyDescent="0.15">
      <c r="A35" s="10">
        <v>32</v>
      </c>
      <c r="B35" s="13" t="s">
        <v>43</v>
      </c>
      <c r="C35" s="13">
        <f t="shared" si="0"/>
        <v>33</v>
      </c>
      <c r="D35" s="4" t="s">
        <v>343</v>
      </c>
      <c r="E35" s="45" t="s">
        <v>294</v>
      </c>
      <c r="F35" s="26" t="s">
        <v>301</v>
      </c>
    </row>
    <row r="36" spans="1:6" ht="17.25" x14ac:dyDescent="0.15">
      <c r="A36" s="10">
        <v>33</v>
      </c>
      <c r="B36" s="13" t="s">
        <v>44</v>
      </c>
      <c r="C36" s="13">
        <f t="shared" si="0"/>
        <v>34</v>
      </c>
      <c r="D36" s="4" t="s">
        <v>341</v>
      </c>
      <c r="E36" s="45" t="s">
        <v>294</v>
      </c>
      <c r="F36" s="26" t="s">
        <v>301</v>
      </c>
    </row>
    <row r="37" spans="1:6" ht="17.25" x14ac:dyDescent="0.15">
      <c r="A37" s="10">
        <v>34</v>
      </c>
      <c r="B37" s="13" t="s">
        <v>45</v>
      </c>
      <c r="C37" s="13">
        <f t="shared" si="0"/>
        <v>35</v>
      </c>
      <c r="D37" s="4" t="s">
        <v>342</v>
      </c>
      <c r="E37" s="45" t="s">
        <v>294</v>
      </c>
      <c r="F37" s="4" t="s">
        <v>301</v>
      </c>
    </row>
    <row r="38" spans="1:6" ht="17.25" x14ac:dyDescent="0.15">
      <c r="A38" s="10">
        <v>35</v>
      </c>
      <c r="B38" s="13" t="s">
        <v>46</v>
      </c>
      <c r="C38" s="13">
        <f t="shared" si="0"/>
        <v>36</v>
      </c>
      <c r="D38" s="4" t="s">
        <v>344</v>
      </c>
      <c r="E38" s="45" t="s">
        <v>294</v>
      </c>
      <c r="F38" s="4" t="s">
        <v>301</v>
      </c>
    </row>
    <row r="39" spans="1:6" ht="17.25" x14ac:dyDescent="0.15">
      <c r="A39" s="10">
        <v>36</v>
      </c>
      <c r="B39" s="13" t="s">
        <v>47</v>
      </c>
      <c r="C39" s="13">
        <f t="shared" si="0"/>
        <v>37</v>
      </c>
      <c r="D39" s="50" t="s">
        <v>345</v>
      </c>
      <c r="E39" s="45" t="s">
        <v>294</v>
      </c>
      <c r="F39" s="4" t="s">
        <v>301</v>
      </c>
    </row>
    <row r="40" spans="1:6" ht="17.25" x14ac:dyDescent="0.15">
      <c r="A40" s="10">
        <v>37</v>
      </c>
      <c r="B40" s="13" t="s">
        <v>48</v>
      </c>
      <c r="C40" s="13">
        <f t="shared" si="0"/>
        <v>38</v>
      </c>
      <c r="D40" s="50" t="s">
        <v>346</v>
      </c>
      <c r="E40" s="45" t="s">
        <v>294</v>
      </c>
      <c r="F40" s="26" t="s">
        <v>301</v>
      </c>
    </row>
    <row r="41" spans="1:6" ht="17.25" x14ac:dyDescent="0.15">
      <c r="A41" s="10">
        <v>38</v>
      </c>
      <c r="B41" s="13" t="s">
        <v>49</v>
      </c>
      <c r="C41" s="13">
        <f t="shared" si="0"/>
        <v>39</v>
      </c>
      <c r="D41" s="50" t="s">
        <v>347</v>
      </c>
      <c r="E41" s="45" t="s">
        <v>294</v>
      </c>
      <c r="F41" s="26" t="s">
        <v>303</v>
      </c>
    </row>
    <row r="42" spans="1:6" ht="17.25" x14ac:dyDescent="0.15">
      <c r="A42" s="10">
        <v>39</v>
      </c>
      <c r="B42" s="13" t="s">
        <v>50</v>
      </c>
      <c r="C42" s="13">
        <f t="shared" si="0"/>
        <v>40</v>
      </c>
      <c r="D42" s="50" t="s">
        <v>348</v>
      </c>
      <c r="E42" s="45" t="s">
        <v>294</v>
      </c>
      <c r="F42" s="26" t="s">
        <v>303</v>
      </c>
    </row>
    <row r="43" spans="1:6" ht="17.25" x14ac:dyDescent="0.15">
      <c r="A43" s="10">
        <v>40</v>
      </c>
      <c r="B43" s="13" t="s">
        <v>51</v>
      </c>
      <c r="C43" s="13">
        <f t="shared" si="0"/>
        <v>41</v>
      </c>
      <c r="D43" s="50" t="s">
        <v>349</v>
      </c>
      <c r="E43" s="45" t="s">
        <v>294</v>
      </c>
      <c r="F43" s="26" t="s">
        <v>303</v>
      </c>
    </row>
    <row r="44" spans="1:6" ht="17.25" x14ac:dyDescent="0.15">
      <c r="A44" s="10">
        <v>41</v>
      </c>
      <c r="B44" s="13" t="s">
        <v>52</v>
      </c>
      <c r="C44" s="13">
        <f t="shared" si="0"/>
        <v>42</v>
      </c>
      <c r="D44" s="50" t="s">
        <v>350</v>
      </c>
      <c r="E44" s="45" t="s">
        <v>294</v>
      </c>
      <c r="F44" s="26" t="s">
        <v>301</v>
      </c>
    </row>
    <row r="45" spans="1:6" ht="17.25" x14ac:dyDescent="0.15">
      <c r="A45" s="10">
        <v>42</v>
      </c>
      <c r="B45" s="13" t="s">
        <v>53</v>
      </c>
      <c r="C45" s="13">
        <f t="shared" si="0"/>
        <v>43</v>
      </c>
      <c r="D45" s="50" t="s">
        <v>532</v>
      </c>
      <c r="E45" s="45" t="s">
        <v>294</v>
      </c>
      <c r="F45" s="26" t="s">
        <v>301</v>
      </c>
    </row>
    <row r="46" spans="1:6" ht="17.25" x14ac:dyDescent="0.15">
      <c r="A46" s="10">
        <v>43</v>
      </c>
      <c r="B46" s="13" t="s">
        <v>54</v>
      </c>
      <c r="C46" s="13">
        <f t="shared" si="0"/>
        <v>44</v>
      </c>
      <c r="D46" s="60" t="s">
        <v>351</v>
      </c>
      <c r="E46" s="45" t="s">
        <v>294</v>
      </c>
      <c r="F46" s="26" t="s">
        <v>301</v>
      </c>
    </row>
    <row r="47" spans="1:6" ht="17.25" x14ac:dyDescent="0.15">
      <c r="A47" s="10">
        <v>44</v>
      </c>
      <c r="B47" s="13" t="s">
        <v>55</v>
      </c>
      <c r="C47" s="13">
        <f t="shared" si="0"/>
        <v>45</v>
      </c>
      <c r="D47" s="50" t="s">
        <v>352</v>
      </c>
      <c r="E47" s="45" t="s">
        <v>294</v>
      </c>
      <c r="F47" s="26" t="s">
        <v>301</v>
      </c>
    </row>
    <row r="48" spans="1:6" ht="17.25" x14ac:dyDescent="0.15">
      <c r="A48" s="10">
        <v>45</v>
      </c>
      <c r="B48" s="13" t="s">
        <v>56</v>
      </c>
      <c r="C48" s="13">
        <f t="shared" si="0"/>
        <v>46</v>
      </c>
      <c r="D48" s="50" t="s">
        <v>353</v>
      </c>
      <c r="E48" s="45" t="s">
        <v>294</v>
      </c>
      <c r="F48" s="26" t="s">
        <v>303</v>
      </c>
    </row>
    <row r="49" spans="1:6" ht="17.25" x14ac:dyDescent="0.15">
      <c r="A49" s="10">
        <v>46</v>
      </c>
      <c r="B49" s="13" t="s">
        <v>57</v>
      </c>
      <c r="C49" s="13">
        <f t="shared" si="0"/>
        <v>47</v>
      </c>
      <c r="D49" s="50" t="s">
        <v>354</v>
      </c>
      <c r="E49" s="45" t="s">
        <v>294</v>
      </c>
      <c r="F49" s="26" t="s">
        <v>301</v>
      </c>
    </row>
    <row r="50" spans="1:6" ht="17.25" x14ac:dyDescent="0.15">
      <c r="A50" s="10">
        <v>47</v>
      </c>
      <c r="B50" s="13" t="s">
        <v>58</v>
      </c>
      <c r="C50" s="13">
        <f t="shared" si="0"/>
        <v>48</v>
      </c>
      <c r="D50" s="4" t="s">
        <v>355</v>
      </c>
      <c r="E50" s="45" t="s">
        <v>294</v>
      </c>
      <c r="F50" s="26" t="s">
        <v>301</v>
      </c>
    </row>
    <row r="51" spans="1:6" ht="17.25" x14ac:dyDescent="0.15">
      <c r="A51" s="10">
        <v>48</v>
      </c>
      <c r="B51" s="13" t="s">
        <v>59</v>
      </c>
      <c r="C51" s="13">
        <f t="shared" si="0"/>
        <v>49</v>
      </c>
      <c r="D51" s="4" t="s">
        <v>356</v>
      </c>
      <c r="E51" s="45" t="s">
        <v>294</v>
      </c>
      <c r="F51" s="26" t="s">
        <v>303</v>
      </c>
    </row>
    <row r="52" spans="1:6" ht="17.25" x14ac:dyDescent="0.15">
      <c r="A52" s="10">
        <v>49</v>
      </c>
      <c r="B52" s="13" t="s">
        <v>60</v>
      </c>
      <c r="C52" s="13">
        <f t="shared" si="0"/>
        <v>50</v>
      </c>
      <c r="D52" s="4" t="s">
        <v>357</v>
      </c>
      <c r="E52" s="45" t="s">
        <v>294</v>
      </c>
      <c r="F52" s="26" t="s">
        <v>303</v>
      </c>
    </row>
    <row r="53" spans="1:6" ht="17.25" x14ac:dyDescent="0.15">
      <c r="A53" s="10">
        <v>50</v>
      </c>
      <c r="B53" s="13" t="s">
        <v>61</v>
      </c>
      <c r="C53" s="13">
        <f t="shared" si="0"/>
        <v>51</v>
      </c>
      <c r="D53" s="4" t="s">
        <v>358</v>
      </c>
      <c r="E53" s="45" t="s">
        <v>294</v>
      </c>
      <c r="F53" s="26" t="s">
        <v>303</v>
      </c>
    </row>
    <row r="54" spans="1:6" ht="17.25" x14ac:dyDescent="0.15">
      <c r="A54" s="10">
        <v>51</v>
      </c>
      <c r="B54" s="13" t="s">
        <v>62</v>
      </c>
      <c r="C54" s="13">
        <f t="shared" si="0"/>
        <v>52</v>
      </c>
      <c r="D54" s="4" t="s">
        <v>359</v>
      </c>
      <c r="E54" s="45" t="s">
        <v>294</v>
      </c>
      <c r="F54" s="26" t="s">
        <v>303</v>
      </c>
    </row>
    <row r="55" spans="1:6" ht="17.25" x14ac:dyDescent="0.15">
      <c r="A55" s="10">
        <v>52</v>
      </c>
      <c r="B55" s="13" t="s">
        <v>63</v>
      </c>
      <c r="C55" s="13">
        <f t="shared" si="0"/>
        <v>53</v>
      </c>
      <c r="D55" s="4" t="s">
        <v>360</v>
      </c>
      <c r="E55" s="45" t="s">
        <v>294</v>
      </c>
      <c r="F55" s="26" t="s">
        <v>301</v>
      </c>
    </row>
    <row r="56" spans="1:6" ht="17.25" x14ac:dyDescent="0.15">
      <c r="A56" s="10">
        <v>53</v>
      </c>
      <c r="B56" s="13" t="s">
        <v>64</v>
      </c>
      <c r="C56" s="13">
        <f t="shared" si="0"/>
        <v>54</v>
      </c>
      <c r="D56" s="4" t="s">
        <v>361</v>
      </c>
      <c r="E56" s="45" t="s">
        <v>294</v>
      </c>
      <c r="F56" s="26" t="s">
        <v>301</v>
      </c>
    </row>
    <row r="57" spans="1:6" ht="17.25" x14ac:dyDescent="0.15">
      <c r="A57" s="10">
        <v>54</v>
      </c>
      <c r="B57" s="13" t="s">
        <v>65</v>
      </c>
      <c r="C57" s="13">
        <f t="shared" si="0"/>
        <v>55</v>
      </c>
      <c r="D57" s="4" t="s">
        <v>362</v>
      </c>
      <c r="E57" s="45" t="s">
        <v>294</v>
      </c>
      <c r="F57" s="26" t="s">
        <v>301</v>
      </c>
    </row>
    <row r="58" spans="1:6" ht="17.25" x14ac:dyDescent="0.15">
      <c r="A58" s="10">
        <v>55</v>
      </c>
      <c r="B58" s="13" t="s">
        <v>66</v>
      </c>
      <c r="C58" s="13">
        <f t="shared" si="0"/>
        <v>56</v>
      </c>
      <c r="D58" s="4" t="s">
        <v>363</v>
      </c>
      <c r="E58" s="45" t="s">
        <v>294</v>
      </c>
      <c r="F58" s="26" t="s">
        <v>301</v>
      </c>
    </row>
    <row r="59" spans="1:6" ht="17.25" x14ac:dyDescent="0.15">
      <c r="A59" s="10">
        <v>56</v>
      </c>
      <c r="B59" s="13" t="s">
        <v>67</v>
      </c>
      <c r="C59" s="13">
        <f t="shared" si="0"/>
        <v>57</v>
      </c>
      <c r="D59" s="4" t="s">
        <v>364</v>
      </c>
      <c r="E59" s="45" t="s">
        <v>294</v>
      </c>
      <c r="F59" s="26" t="s">
        <v>301</v>
      </c>
    </row>
    <row r="60" spans="1:6" ht="17.25" x14ac:dyDescent="0.15">
      <c r="A60" s="10">
        <v>57</v>
      </c>
      <c r="B60" s="13" t="s">
        <v>68</v>
      </c>
      <c r="C60" s="13">
        <f t="shared" si="0"/>
        <v>58</v>
      </c>
      <c r="D60" s="4" t="s">
        <v>365</v>
      </c>
      <c r="E60" s="45" t="s">
        <v>294</v>
      </c>
      <c r="F60" s="26" t="s">
        <v>301</v>
      </c>
    </row>
    <row r="61" spans="1:6" ht="17.25" x14ac:dyDescent="0.15">
      <c r="A61" s="10">
        <v>58</v>
      </c>
      <c r="B61" s="13" t="s">
        <v>69</v>
      </c>
      <c r="C61" s="13">
        <f t="shared" si="0"/>
        <v>59</v>
      </c>
      <c r="D61" s="4" t="s">
        <v>366</v>
      </c>
      <c r="E61" s="45" t="s">
        <v>294</v>
      </c>
      <c r="F61" s="26" t="s">
        <v>301</v>
      </c>
    </row>
    <row r="62" spans="1:6" ht="17.25" x14ac:dyDescent="0.15">
      <c r="A62" s="10">
        <v>59</v>
      </c>
      <c r="B62" s="13" t="s">
        <v>70</v>
      </c>
      <c r="C62" s="13">
        <f t="shared" si="0"/>
        <v>60</v>
      </c>
      <c r="D62" s="4" t="s">
        <v>367</v>
      </c>
      <c r="E62" s="45" t="s">
        <v>294</v>
      </c>
      <c r="F62" s="26" t="s">
        <v>301</v>
      </c>
    </row>
    <row r="63" spans="1:6" ht="17.25" x14ac:dyDescent="0.15">
      <c r="A63" s="10">
        <v>60</v>
      </c>
      <c r="B63" s="13" t="s">
        <v>71</v>
      </c>
      <c r="C63" s="13">
        <f t="shared" si="0"/>
        <v>61</v>
      </c>
      <c r="D63" s="4" t="s">
        <v>368</v>
      </c>
      <c r="E63" s="45" t="s">
        <v>294</v>
      </c>
      <c r="F63" s="26" t="s">
        <v>301</v>
      </c>
    </row>
    <row r="64" spans="1:6" ht="17.25" x14ac:dyDescent="0.15">
      <c r="A64" s="10">
        <v>61</v>
      </c>
      <c r="B64" s="13" t="s">
        <v>72</v>
      </c>
      <c r="C64" s="13">
        <f t="shared" si="0"/>
        <v>62</v>
      </c>
      <c r="D64" s="4" t="s">
        <v>293</v>
      </c>
      <c r="E64" s="45" t="s">
        <v>294</v>
      </c>
      <c r="F64" s="26" t="s">
        <v>179</v>
      </c>
    </row>
    <row r="65" spans="1:6" ht="17.25" x14ac:dyDescent="0.15">
      <c r="A65" s="10">
        <v>62</v>
      </c>
      <c r="B65" s="13" t="s">
        <v>73</v>
      </c>
      <c r="C65" s="13">
        <f t="shared" si="0"/>
        <v>63</v>
      </c>
      <c r="D65" s="4" t="s">
        <v>369</v>
      </c>
      <c r="E65" s="45" t="s">
        <v>294</v>
      </c>
      <c r="F65" s="26" t="s">
        <v>303</v>
      </c>
    </row>
    <row r="66" spans="1:6" ht="17.25" x14ac:dyDescent="0.15">
      <c r="A66" s="10">
        <v>63</v>
      </c>
      <c r="B66" s="13" t="s">
        <v>74</v>
      </c>
      <c r="C66" s="13">
        <f t="shared" si="0"/>
        <v>64</v>
      </c>
      <c r="D66" s="4" t="s">
        <v>370</v>
      </c>
      <c r="E66" s="45" t="s">
        <v>294</v>
      </c>
      <c r="F66" s="26" t="s">
        <v>303</v>
      </c>
    </row>
    <row r="67" spans="1:6" ht="17.25" x14ac:dyDescent="0.15">
      <c r="A67" s="10">
        <v>64</v>
      </c>
      <c r="B67" s="13" t="s">
        <v>75</v>
      </c>
      <c r="C67" s="13">
        <f t="shared" si="0"/>
        <v>65</v>
      </c>
      <c r="D67" s="4" t="s">
        <v>371</v>
      </c>
      <c r="E67" s="45" t="s">
        <v>294</v>
      </c>
      <c r="F67" s="26" t="s">
        <v>301</v>
      </c>
    </row>
    <row r="68" spans="1:6" ht="17.25" x14ac:dyDescent="0.15">
      <c r="A68" s="10">
        <v>65</v>
      </c>
      <c r="B68" s="13" t="s">
        <v>76</v>
      </c>
      <c r="C68" s="13">
        <f t="shared" ref="C68:C120" si="1">1+A68</f>
        <v>66</v>
      </c>
      <c r="D68" s="4" t="s">
        <v>372</v>
      </c>
      <c r="E68" s="45" t="s">
        <v>294</v>
      </c>
      <c r="F68" s="26" t="s">
        <v>301</v>
      </c>
    </row>
    <row r="69" spans="1:6" ht="17.25" x14ac:dyDescent="0.15">
      <c r="A69" s="10">
        <v>66</v>
      </c>
      <c r="B69" s="13" t="s">
        <v>77</v>
      </c>
      <c r="C69" s="13">
        <f t="shared" si="1"/>
        <v>67</v>
      </c>
      <c r="D69" s="4" t="s">
        <v>373</v>
      </c>
      <c r="E69" s="45" t="s">
        <v>294</v>
      </c>
      <c r="F69" s="26" t="s">
        <v>301</v>
      </c>
    </row>
    <row r="70" spans="1:6" ht="17.25" x14ac:dyDescent="0.15">
      <c r="A70" s="10">
        <v>67</v>
      </c>
      <c r="B70" s="13" t="s">
        <v>78</v>
      </c>
      <c r="C70" s="13">
        <f t="shared" si="1"/>
        <v>68</v>
      </c>
      <c r="D70" s="4" t="s">
        <v>374</v>
      </c>
      <c r="E70" s="45" t="s">
        <v>294</v>
      </c>
      <c r="F70" s="26" t="s">
        <v>301</v>
      </c>
    </row>
    <row r="71" spans="1:6" ht="17.25" x14ac:dyDescent="0.15">
      <c r="A71" s="10">
        <v>68</v>
      </c>
      <c r="B71" s="13" t="s">
        <v>79</v>
      </c>
      <c r="C71" s="13">
        <f t="shared" si="1"/>
        <v>69</v>
      </c>
      <c r="D71" s="4" t="s">
        <v>375</v>
      </c>
      <c r="E71" s="45" t="s">
        <v>294</v>
      </c>
      <c r="F71" s="26" t="s">
        <v>301</v>
      </c>
    </row>
    <row r="72" spans="1:6" ht="17.25" x14ac:dyDescent="0.15">
      <c r="A72" s="10">
        <v>69</v>
      </c>
      <c r="B72" s="13" t="s">
        <v>80</v>
      </c>
      <c r="C72" s="13">
        <f t="shared" si="1"/>
        <v>70</v>
      </c>
      <c r="D72" s="4" t="s">
        <v>376</v>
      </c>
      <c r="E72" s="45" t="s">
        <v>294</v>
      </c>
      <c r="F72" s="26" t="s">
        <v>301</v>
      </c>
    </row>
    <row r="73" spans="1:6" ht="17.25" x14ac:dyDescent="0.15">
      <c r="A73" s="10">
        <v>70</v>
      </c>
      <c r="B73" s="13" t="s">
        <v>81</v>
      </c>
      <c r="C73" s="13">
        <f t="shared" si="1"/>
        <v>71</v>
      </c>
      <c r="D73" s="4" t="s">
        <v>377</v>
      </c>
      <c r="E73" s="45" t="s">
        <v>294</v>
      </c>
      <c r="F73" s="26" t="s">
        <v>301</v>
      </c>
    </row>
    <row r="74" spans="1:6" ht="17.25" x14ac:dyDescent="0.15">
      <c r="A74" s="10">
        <v>71</v>
      </c>
      <c r="B74" s="13" t="s">
        <v>82</v>
      </c>
      <c r="C74" s="13">
        <f t="shared" si="1"/>
        <v>72</v>
      </c>
      <c r="D74" s="4" t="s">
        <v>378</v>
      </c>
      <c r="E74" s="45" t="s">
        <v>294</v>
      </c>
      <c r="F74" s="26" t="s">
        <v>301</v>
      </c>
    </row>
    <row r="75" spans="1:6" ht="17.25" x14ac:dyDescent="0.15">
      <c r="A75" s="10">
        <v>72</v>
      </c>
      <c r="B75" s="13" t="s">
        <v>83</v>
      </c>
      <c r="C75" s="13">
        <f t="shared" si="1"/>
        <v>73</v>
      </c>
      <c r="D75" s="4" t="s">
        <v>379</v>
      </c>
      <c r="E75" s="45" t="s">
        <v>294</v>
      </c>
      <c r="F75" s="26" t="s">
        <v>301</v>
      </c>
    </row>
    <row r="76" spans="1:6" ht="17.25" x14ac:dyDescent="0.15">
      <c r="A76" s="10">
        <v>73</v>
      </c>
      <c r="B76" s="13" t="s">
        <v>84</v>
      </c>
      <c r="C76" s="13">
        <f t="shared" si="1"/>
        <v>74</v>
      </c>
      <c r="D76" s="4" t="s">
        <v>380</v>
      </c>
      <c r="E76" s="45" t="s">
        <v>294</v>
      </c>
      <c r="F76" s="26" t="s">
        <v>301</v>
      </c>
    </row>
    <row r="77" spans="1:6" ht="17.25" x14ac:dyDescent="0.15">
      <c r="A77" s="10">
        <v>74</v>
      </c>
      <c r="B77" s="13" t="s">
        <v>85</v>
      </c>
      <c r="C77" s="13">
        <f t="shared" si="1"/>
        <v>75</v>
      </c>
      <c r="D77" s="4" t="s">
        <v>381</v>
      </c>
      <c r="E77" s="45" t="s">
        <v>294</v>
      </c>
      <c r="F77" s="26" t="s">
        <v>303</v>
      </c>
    </row>
    <row r="78" spans="1:6" ht="17.25" x14ac:dyDescent="0.15">
      <c r="A78" s="10">
        <v>75</v>
      </c>
      <c r="B78" s="13" t="s">
        <v>86</v>
      </c>
      <c r="C78" s="13">
        <f t="shared" si="1"/>
        <v>76</v>
      </c>
      <c r="D78" s="17" t="s">
        <v>382</v>
      </c>
      <c r="E78" s="45" t="s">
        <v>294</v>
      </c>
      <c r="F78" s="26" t="s">
        <v>301</v>
      </c>
    </row>
    <row r="79" spans="1:6" ht="17.25" x14ac:dyDescent="0.15">
      <c r="A79" s="10">
        <v>76</v>
      </c>
      <c r="B79" s="13" t="s">
        <v>87</v>
      </c>
      <c r="C79" s="13">
        <f t="shared" si="1"/>
        <v>77</v>
      </c>
      <c r="D79" s="4" t="s">
        <v>383</v>
      </c>
      <c r="E79" s="45" t="s">
        <v>294</v>
      </c>
      <c r="F79" s="26" t="s">
        <v>301</v>
      </c>
    </row>
    <row r="80" spans="1:6" ht="17.25" x14ac:dyDescent="0.15">
      <c r="A80" s="10">
        <v>77</v>
      </c>
      <c r="B80" s="13" t="s">
        <v>88</v>
      </c>
      <c r="C80" s="13">
        <f t="shared" si="1"/>
        <v>78</v>
      </c>
      <c r="D80" s="4" t="s">
        <v>384</v>
      </c>
      <c r="E80" s="45" t="s">
        <v>294</v>
      </c>
      <c r="F80" s="26" t="s">
        <v>301</v>
      </c>
    </row>
    <row r="81" spans="1:6" ht="17.25" x14ac:dyDescent="0.15">
      <c r="A81" s="10">
        <v>78</v>
      </c>
      <c r="B81" s="13" t="s">
        <v>89</v>
      </c>
      <c r="C81" s="13">
        <f t="shared" si="1"/>
        <v>79</v>
      </c>
      <c r="D81" s="4" t="s">
        <v>385</v>
      </c>
      <c r="E81" s="45" t="s">
        <v>294</v>
      </c>
      <c r="F81" s="26" t="s">
        <v>303</v>
      </c>
    </row>
    <row r="82" spans="1:6" ht="17.25" x14ac:dyDescent="0.15">
      <c r="A82" s="10">
        <v>79</v>
      </c>
      <c r="B82" s="13" t="s">
        <v>90</v>
      </c>
      <c r="C82" s="13">
        <f t="shared" si="1"/>
        <v>80</v>
      </c>
      <c r="D82" s="17" t="s">
        <v>386</v>
      </c>
      <c r="E82" s="45" t="s">
        <v>294</v>
      </c>
      <c r="F82" s="17" t="s">
        <v>301</v>
      </c>
    </row>
    <row r="83" spans="1:6" ht="17.25" x14ac:dyDescent="0.15">
      <c r="A83" s="10">
        <v>80</v>
      </c>
      <c r="B83" s="13" t="s">
        <v>91</v>
      </c>
      <c r="C83" s="13">
        <f t="shared" si="1"/>
        <v>81</v>
      </c>
      <c r="D83" s="4" t="s">
        <v>387</v>
      </c>
      <c r="E83" s="45" t="s">
        <v>294</v>
      </c>
      <c r="F83" s="26" t="s">
        <v>301</v>
      </c>
    </row>
    <row r="84" spans="1:6" ht="17.25" x14ac:dyDescent="0.15">
      <c r="A84" s="10">
        <v>81</v>
      </c>
      <c r="B84" s="13" t="s">
        <v>92</v>
      </c>
      <c r="C84" s="13">
        <f t="shared" si="1"/>
        <v>82</v>
      </c>
      <c r="D84" s="4" t="s">
        <v>388</v>
      </c>
      <c r="E84" s="45" t="s">
        <v>294</v>
      </c>
      <c r="F84" s="26" t="s">
        <v>301</v>
      </c>
    </row>
    <row r="85" spans="1:6" ht="17.25" x14ac:dyDescent="0.15">
      <c r="A85" s="10">
        <v>82</v>
      </c>
      <c r="B85" s="13" t="s">
        <v>93</v>
      </c>
      <c r="C85" s="13">
        <f t="shared" si="1"/>
        <v>83</v>
      </c>
      <c r="D85" s="4" t="s">
        <v>389</v>
      </c>
      <c r="E85" s="45" t="s">
        <v>294</v>
      </c>
      <c r="F85" s="26" t="s">
        <v>301</v>
      </c>
    </row>
    <row r="86" spans="1:6" ht="17.25" x14ac:dyDescent="0.15">
      <c r="A86" s="10">
        <v>83</v>
      </c>
      <c r="B86" s="13" t="s">
        <v>94</v>
      </c>
      <c r="C86" s="13">
        <f t="shared" si="1"/>
        <v>84</v>
      </c>
      <c r="D86" s="4" t="s">
        <v>390</v>
      </c>
      <c r="E86" s="45" t="s">
        <v>294</v>
      </c>
      <c r="F86" s="26" t="s">
        <v>303</v>
      </c>
    </row>
    <row r="87" spans="1:6" ht="17.25" x14ac:dyDescent="0.15">
      <c r="A87" s="10">
        <v>84</v>
      </c>
      <c r="B87" s="13" t="s">
        <v>95</v>
      </c>
      <c r="C87" s="13">
        <f t="shared" si="1"/>
        <v>85</v>
      </c>
      <c r="D87" s="4" t="s">
        <v>391</v>
      </c>
      <c r="E87" s="45" t="s">
        <v>294</v>
      </c>
      <c r="F87" s="26" t="s">
        <v>303</v>
      </c>
    </row>
    <row r="88" spans="1:6" ht="17.25" x14ac:dyDescent="0.15">
      <c r="A88" s="10">
        <v>85</v>
      </c>
      <c r="B88" s="13" t="s">
        <v>96</v>
      </c>
      <c r="C88" s="13">
        <f t="shared" si="1"/>
        <v>86</v>
      </c>
      <c r="D88" s="4" t="s">
        <v>392</v>
      </c>
      <c r="E88" s="45" t="s">
        <v>294</v>
      </c>
      <c r="F88" s="26" t="s">
        <v>303</v>
      </c>
    </row>
    <row r="89" spans="1:6" ht="17.25" x14ac:dyDescent="0.15">
      <c r="A89" s="10">
        <v>86</v>
      </c>
      <c r="B89" s="13" t="s">
        <v>97</v>
      </c>
      <c r="C89" s="13">
        <f t="shared" si="1"/>
        <v>87</v>
      </c>
      <c r="D89" s="4" t="s">
        <v>304</v>
      </c>
      <c r="E89" s="45" t="s">
        <v>294</v>
      </c>
      <c r="F89" s="26" t="s">
        <v>303</v>
      </c>
    </row>
    <row r="90" spans="1:6" ht="17.25" x14ac:dyDescent="0.15">
      <c r="A90" s="10">
        <v>87</v>
      </c>
      <c r="B90" s="13" t="s">
        <v>98</v>
      </c>
      <c r="C90" s="13">
        <f t="shared" si="1"/>
        <v>88</v>
      </c>
      <c r="D90" s="4" t="s">
        <v>293</v>
      </c>
      <c r="E90" s="45" t="s">
        <v>294</v>
      </c>
      <c r="F90" s="26" t="s">
        <v>278</v>
      </c>
    </row>
    <row r="91" spans="1:6" ht="17.25" x14ac:dyDescent="0.15">
      <c r="A91" s="10">
        <v>88</v>
      </c>
      <c r="B91" s="13" t="s">
        <v>99</v>
      </c>
      <c r="C91" s="13">
        <f t="shared" si="1"/>
        <v>89</v>
      </c>
      <c r="D91" s="4" t="s">
        <v>393</v>
      </c>
      <c r="E91" s="45" t="s">
        <v>294</v>
      </c>
      <c r="F91" s="26" t="s">
        <v>303</v>
      </c>
    </row>
    <row r="92" spans="1:6" ht="17.25" x14ac:dyDescent="0.15">
      <c r="A92" s="10">
        <v>89</v>
      </c>
      <c r="B92" s="13" t="s">
        <v>100</v>
      </c>
      <c r="C92" s="13">
        <f t="shared" si="1"/>
        <v>90</v>
      </c>
      <c r="D92" s="4" t="s">
        <v>352</v>
      </c>
      <c r="E92" s="45" t="s">
        <v>294</v>
      </c>
      <c r="F92" s="26" t="s">
        <v>301</v>
      </c>
    </row>
    <row r="93" spans="1:6" ht="17.25" x14ac:dyDescent="0.15">
      <c r="A93" s="10">
        <v>90</v>
      </c>
      <c r="B93" s="13" t="s">
        <v>101</v>
      </c>
      <c r="C93" s="13">
        <f t="shared" si="1"/>
        <v>91</v>
      </c>
      <c r="D93" s="4" t="s">
        <v>353</v>
      </c>
      <c r="E93" s="45" t="s">
        <v>294</v>
      </c>
      <c r="F93" s="26" t="s">
        <v>303</v>
      </c>
    </row>
    <row r="94" spans="1:6" ht="17.25" x14ac:dyDescent="0.15">
      <c r="A94" s="10">
        <v>91</v>
      </c>
      <c r="B94" s="13" t="s">
        <v>102</v>
      </c>
      <c r="C94" s="13">
        <f t="shared" si="1"/>
        <v>92</v>
      </c>
      <c r="D94" s="4" t="s">
        <v>394</v>
      </c>
      <c r="E94" s="45" t="s">
        <v>294</v>
      </c>
      <c r="F94" s="26" t="s">
        <v>301</v>
      </c>
    </row>
    <row r="95" spans="1:6" ht="17.25" x14ac:dyDescent="0.15">
      <c r="A95" s="10">
        <v>92</v>
      </c>
      <c r="B95" s="13" t="s">
        <v>103</v>
      </c>
      <c r="C95" s="13">
        <f t="shared" si="1"/>
        <v>93</v>
      </c>
      <c r="D95" s="4" t="s">
        <v>395</v>
      </c>
      <c r="E95" s="45" t="s">
        <v>294</v>
      </c>
      <c r="F95" s="26" t="s">
        <v>301</v>
      </c>
    </row>
    <row r="96" spans="1:6" ht="17.25" x14ac:dyDescent="0.15">
      <c r="A96" s="10">
        <v>93</v>
      </c>
      <c r="B96" s="13" t="s">
        <v>104</v>
      </c>
      <c r="C96" s="13">
        <f t="shared" si="1"/>
        <v>94</v>
      </c>
      <c r="D96" s="4" t="s">
        <v>396</v>
      </c>
      <c r="E96" s="45" t="s">
        <v>294</v>
      </c>
      <c r="F96" s="26" t="s">
        <v>301</v>
      </c>
    </row>
    <row r="97" spans="1:6" ht="17.25" x14ac:dyDescent="0.15">
      <c r="A97" s="10">
        <v>94</v>
      </c>
      <c r="B97" s="13" t="s">
        <v>105</v>
      </c>
      <c r="C97" s="13">
        <f t="shared" si="1"/>
        <v>95</v>
      </c>
      <c r="D97" s="4" t="s">
        <v>397</v>
      </c>
      <c r="E97" s="45" t="s">
        <v>294</v>
      </c>
      <c r="F97" s="26" t="s">
        <v>301</v>
      </c>
    </row>
    <row r="98" spans="1:6" ht="17.25" x14ac:dyDescent="0.15">
      <c r="A98" s="10">
        <v>95</v>
      </c>
      <c r="B98" s="13" t="s">
        <v>106</v>
      </c>
      <c r="C98" s="13">
        <f t="shared" si="1"/>
        <v>96</v>
      </c>
      <c r="D98" s="4" t="s">
        <v>293</v>
      </c>
      <c r="E98" s="45" t="s">
        <v>294</v>
      </c>
      <c r="F98" s="26" t="s">
        <v>179</v>
      </c>
    </row>
    <row r="99" spans="1:6" ht="17.25" x14ac:dyDescent="0.15">
      <c r="A99" s="10">
        <v>96</v>
      </c>
      <c r="B99" s="13" t="s">
        <v>107</v>
      </c>
      <c r="C99" s="13">
        <f t="shared" si="1"/>
        <v>97</v>
      </c>
      <c r="D99" s="4" t="s">
        <v>293</v>
      </c>
      <c r="E99" s="45" t="s">
        <v>294</v>
      </c>
      <c r="F99" s="26" t="s">
        <v>179</v>
      </c>
    </row>
    <row r="100" spans="1:6" ht="17.25" x14ac:dyDescent="0.15">
      <c r="A100" s="10">
        <v>97</v>
      </c>
      <c r="B100" s="13" t="s">
        <v>108</v>
      </c>
      <c r="C100" s="13">
        <f t="shared" si="1"/>
        <v>98</v>
      </c>
      <c r="D100" s="4" t="s">
        <v>293</v>
      </c>
      <c r="E100" s="45" t="s">
        <v>294</v>
      </c>
      <c r="F100" s="26" t="s">
        <v>179</v>
      </c>
    </row>
    <row r="101" spans="1:6" ht="17.25" x14ac:dyDescent="0.15">
      <c r="A101" s="10">
        <v>98</v>
      </c>
      <c r="B101" s="13" t="s">
        <v>109</v>
      </c>
      <c r="C101" s="13">
        <f t="shared" si="1"/>
        <v>99</v>
      </c>
      <c r="D101" s="4" t="s">
        <v>293</v>
      </c>
      <c r="E101" s="45" t="s">
        <v>294</v>
      </c>
      <c r="F101" s="26" t="s">
        <v>179</v>
      </c>
    </row>
    <row r="102" spans="1:6" ht="17.25" x14ac:dyDescent="0.15">
      <c r="A102" s="10">
        <v>99</v>
      </c>
      <c r="B102" s="13" t="s">
        <v>110</v>
      </c>
      <c r="C102" s="13">
        <f t="shared" si="1"/>
        <v>100</v>
      </c>
      <c r="D102" s="4" t="s">
        <v>293</v>
      </c>
      <c r="E102" s="45" t="s">
        <v>294</v>
      </c>
      <c r="F102" s="26" t="s">
        <v>179</v>
      </c>
    </row>
    <row r="103" spans="1:6" ht="17.25" x14ac:dyDescent="0.15">
      <c r="A103" s="10">
        <v>100</v>
      </c>
      <c r="B103" s="13" t="s">
        <v>111</v>
      </c>
      <c r="C103" s="13">
        <f t="shared" si="1"/>
        <v>101</v>
      </c>
      <c r="D103" s="4" t="s">
        <v>293</v>
      </c>
      <c r="E103" s="45" t="s">
        <v>294</v>
      </c>
      <c r="F103" s="26" t="s">
        <v>179</v>
      </c>
    </row>
    <row r="104" spans="1:6" ht="17.25" x14ac:dyDescent="0.15">
      <c r="A104" s="10">
        <v>101</v>
      </c>
      <c r="B104" s="13" t="s">
        <v>112</v>
      </c>
      <c r="C104" s="13">
        <f t="shared" si="1"/>
        <v>102</v>
      </c>
      <c r="D104" s="4" t="s">
        <v>293</v>
      </c>
      <c r="E104" s="45" t="s">
        <v>294</v>
      </c>
      <c r="F104" s="26" t="s">
        <v>179</v>
      </c>
    </row>
    <row r="105" spans="1:6" ht="17.25" x14ac:dyDescent="0.15">
      <c r="A105" s="10">
        <v>102</v>
      </c>
      <c r="B105" s="13" t="s">
        <v>113</v>
      </c>
      <c r="C105" s="13">
        <f t="shared" si="1"/>
        <v>103</v>
      </c>
      <c r="D105" s="4" t="s">
        <v>293</v>
      </c>
      <c r="E105" s="45" t="s">
        <v>294</v>
      </c>
      <c r="F105" s="26" t="s">
        <v>179</v>
      </c>
    </row>
    <row r="106" spans="1:6" ht="17.25" x14ac:dyDescent="0.15">
      <c r="A106" s="10">
        <v>103</v>
      </c>
      <c r="B106" s="13" t="s">
        <v>114</v>
      </c>
      <c r="C106" s="13">
        <f t="shared" si="1"/>
        <v>104</v>
      </c>
      <c r="D106" s="4" t="s">
        <v>293</v>
      </c>
      <c r="E106" s="45" t="s">
        <v>294</v>
      </c>
      <c r="F106" s="26" t="s">
        <v>179</v>
      </c>
    </row>
    <row r="107" spans="1:6" ht="17.25" x14ac:dyDescent="0.15">
      <c r="A107" s="10">
        <v>104</v>
      </c>
      <c r="B107" s="13" t="s">
        <v>115</v>
      </c>
      <c r="C107" s="13">
        <f t="shared" si="1"/>
        <v>105</v>
      </c>
      <c r="D107" s="4" t="s">
        <v>293</v>
      </c>
      <c r="E107" s="45" t="s">
        <v>294</v>
      </c>
      <c r="F107" s="26" t="s">
        <v>179</v>
      </c>
    </row>
    <row r="108" spans="1:6" ht="17.25" x14ac:dyDescent="0.15">
      <c r="A108" s="10">
        <v>105</v>
      </c>
      <c r="B108" s="13" t="s">
        <v>116</v>
      </c>
      <c r="C108" s="13">
        <f t="shared" si="1"/>
        <v>106</v>
      </c>
      <c r="D108" s="4" t="s">
        <v>293</v>
      </c>
      <c r="E108" s="45" t="s">
        <v>294</v>
      </c>
      <c r="F108" s="26" t="s">
        <v>179</v>
      </c>
    </row>
    <row r="109" spans="1:6" ht="17.25" x14ac:dyDescent="0.15">
      <c r="A109" s="10">
        <v>106</v>
      </c>
      <c r="B109" s="13" t="s">
        <v>117</v>
      </c>
      <c r="C109" s="13">
        <f t="shared" si="1"/>
        <v>107</v>
      </c>
      <c r="D109" s="4" t="s">
        <v>293</v>
      </c>
      <c r="E109" s="45" t="s">
        <v>294</v>
      </c>
      <c r="F109" s="26" t="s">
        <v>179</v>
      </c>
    </row>
    <row r="110" spans="1:6" ht="17.25" x14ac:dyDescent="0.15">
      <c r="A110" s="10">
        <v>107</v>
      </c>
      <c r="B110" s="13" t="s">
        <v>118</v>
      </c>
      <c r="C110" s="13">
        <f t="shared" si="1"/>
        <v>108</v>
      </c>
      <c r="D110" s="4" t="s">
        <v>293</v>
      </c>
      <c r="E110" s="45" t="s">
        <v>294</v>
      </c>
      <c r="F110" s="26" t="s">
        <v>179</v>
      </c>
    </row>
    <row r="111" spans="1:6" ht="17.25" x14ac:dyDescent="0.15">
      <c r="A111" s="10">
        <v>108</v>
      </c>
      <c r="B111" s="13" t="s">
        <v>119</v>
      </c>
      <c r="C111" s="13">
        <f t="shared" si="1"/>
        <v>109</v>
      </c>
      <c r="D111" s="4" t="s">
        <v>293</v>
      </c>
      <c r="E111" s="45" t="s">
        <v>294</v>
      </c>
      <c r="F111" s="26" t="s">
        <v>179</v>
      </c>
    </row>
    <row r="112" spans="1:6" ht="17.25" x14ac:dyDescent="0.15">
      <c r="A112" s="10">
        <v>109</v>
      </c>
      <c r="B112" s="13" t="s">
        <v>120</v>
      </c>
      <c r="C112" s="13">
        <f t="shared" si="1"/>
        <v>110</v>
      </c>
      <c r="D112" s="4" t="s">
        <v>293</v>
      </c>
      <c r="E112" s="45" t="s">
        <v>294</v>
      </c>
      <c r="F112" s="26" t="s">
        <v>179</v>
      </c>
    </row>
    <row r="113" spans="1:6" ht="17.25" x14ac:dyDescent="0.15">
      <c r="A113" s="10">
        <v>110</v>
      </c>
      <c r="B113" s="13" t="s">
        <v>121</v>
      </c>
      <c r="C113" s="13">
        <f t="shared" si="1"/>
        <v>111</v>
      </c>
      <c r="D113" s="4" t="s">
        <v>293</v>
      </c>
      <c r="E113" s="45" t="s">
        <v>294</v>
      </c>
      <c r="F113" s="26" t="s">
        <v>179</v>
      </c>
    </row>
    <row r="114" spans="1:6" ht="17.25" x14ac:dyDescent="0.15">
      <c r="A114" s="10">
        <v>111</v>
      </c>
      <c r="B114" s="13" t="s">
        <v>122</v>
      </c>
      <c r="C114" s="13">
        <f t="shared" si="1"/>
        <v>112</v>
      </c>
      <c r="D114" s="4" t="s">
        <v>293</v>
      </c>
      <c r="E114" s="45" t="s">
        <v>294</v>
      </c>
      <c r="F114" s="26" t="s">
        <v>179</v>
      </c>
    </row>
    <row r="115" spans="1:6" ht="17.25" x14ac:dyDescent="0.15">
      <c r="A115" s="10">
        <v>112</v>
      </c>
      <c r="B115" s="13" t="s">
        <v>152</v>
      </c>
      <c r="C115" s="13">
        <f t="shared" si="1"/>
        <v>113</v>
      </c>
      <c r="D115" s="4" t="s">
        <v>398</v>
      </c>
      <c r="E115" s="45" t="s">
        <v>399</v>
      </c>
      <c r="F115" s="26" t="s">
        <v>179</v>
      </c>
    </row>
    <row r="116" spans="1:6" ht="17.25" x14ac:dyDescent="0.15">
      <c r="A116" s="10">
        <v>113</v>
      </c>
      <c r="B116" s="13" t="s">
        <v>154</v>
      </c>
      <c r="C116" s="13">
        <f t="shared" si="1"/>
        <v>114</v>
      </c>
      <c r="D116" s="48" t="s">
        <v>400</v>
      </c>
      <c r="E116" s="45" t="s">
        <v>401</v>
      </c>
      <c r="F116" s="26" t="s">
        <v>179</v>
      </c>
    </row>
    <row r="117" spans="1:6" ht="17.25" x14ac:dyDescent="0.15">
      <c r="A117" s="10">
        <v>114</v>
      </c>
      <c r="B117" s="13" t="s">
        <v>155</v>
      </c>
      <c r="C117" s="13">
        <f t="shared" si="1"/>
        <v>115</v>
      </c>
      <c r="D117" s="48" t="s">
        <v>409</v>
      </c>
      <c r="E117" s="45" t="s">
        <v>413</v>
      </c>
      <c r="F117" s="26" t="s">
        <v>179</v>
      </c>
    </row>
    <row r="118" spans="1:6" ht="17.25" x14ac:dyDescent="0.15">
      <c r="A118" s="10">
        <v>115</v>
      </c>
      <c r="B118" s="13" t="s">
        <v>156</v>
      </c>
      <c r="C118" s="13">
        <f t="shared" si="1"/>
        <v>116</v>
      </c>
      <c r="D118" s="48" t="s">
        <v>410</v>
      </c>
      <c r="E118" s="45" t="s">
        <v>412</v>
      </c>
      <c r="F118" s="26" t="s">
        <v>179</v>
      </c>
    </row>
    <row r="119" spans="1:6" ht="17.25" x14ac:dyDescent="0.15">
      <c r="A119" s="10">
        <v>116</v>
      </c>
      <c r="B119" s="13" t="s">
        <v>157</v>
      </c>
      <c r="C119" s="13">
        <f t="shared" si="1"/>
        <v>117</v>
      </c>
      <c r="D119" s="48" t="s">
        <v>402</v>
      </c>
      <c r="E119" s="45" t="s">
        <v>411</v>
      </c>
      <c r="F119" s="26" t="s">
        <v>179</v>
      </c>
    </row>
    <row r="120" spans="1:6" ht="17.25" x14ac:dyDescent="0.15">
      <c r="A120" s="10">
        <v>117</v>
      </c>
      <c r="B120" s="13" t="s">
        <v>158</v>
      </c>
      <c r="C120" s="13">
        <f t="shared" si="1"/>
        <v>118</v>
      </c>
      <c r="D120" s="4" t="s">
        <v>403</v>
      </c>
      <c r="E120" s="45" t="s">
        <v>408</v>
      </c>
      <c r="F120" s="26" t="s">
        <v>179</v>
      </c>
    </row>
    <row r="121" spans="1:6" ht="17.25" x14ac:dyDescent="0.15">
      <c r="A121" s="10">
        <v>118</v>
      </c>
      <c r="B121" s="13" t="s">
        <v>159</v>
      </c>
      <c r="C121" s="13">
        <f t="shared" ref="C121:C122" si="2">1+A121</f>
        <v>119</v>
      </c>
      <c r="D121" s="4" t="s">
        <v>404</v>
      </c>
      <c r="E121" s="45" t="s">
        <v>407</v>
      </c>
      <c r="F121" s="26" t="s">
        <v>179</v>
      </c>
    </row>
    <row r="122" spans="1:6" ht="17.25" x14ac:dyDescent="0.15">
      <c r="A122" s="10">
        <v>119</v>
      </c>
      <c r="B122" s="13" t="s">
        <v>160</v>
      </c>
      <c r="C122" s="13">
        <f t="shared" si="2"/>
        <v>120</v>
      </c>
      <c r="D122" s="4" t="s">
        <v>405</v>
      </c>
      <c r="E122" s="45" t="s">
        <v>406</v>
      </c>
      <c r="F122" s="26" t="s">
        <v>179</v>
      </c>
    </row>
    <row r="123" spans="1:6" ht="17.25" x14ac:dyDescent="0.15">
      <c r="A123" s="10">
        <v>120</v>
      </c>
      <c r="B123" s="13" t="s">
        <v>170</v>
      </c>
      <c r="C123" s="13">
        <v>121</v>
      </c>
      <c r="D123" s="51" t="s">
        <v>414</v>
      </c>
      <c r="E123" s="45" t="s">
        <v>416</v>
      </c>
      <c r="F123" s="26" t="s">
        <v>179</v>
      </c>
    </row>
    <row r="124" spans="1:6" ht="17.25" x14ac:dyDescent="0.15">
      <c r="A124" s="10">
        <v>121</v>
      </c>
      <c r="B124" s="10" t="s">
        <v>171</v>
      </c>
      <c r="C124" s="13">
        <v>122</v>
      </c>
      <c r="D124" s="51" t="s">
        <v>415</v>
      </c>
      <c r="E124" s="45" t="s">
        <v>417</v>
      </c>
      <c r="F124" s="26" t="s">
        <v>179</v>
      </c>
    </row>
    <row r="125" spans="1:6" ht="17.25" x14ac:dyDescent="0.15">
      <c r="A125" s="10">
        <v>122</v>
      </c>
      <c r="B125" s="10" t="s">
        <v>172</v>
      </c>
      <c r="C125" s="13">
        <v>123</v>
      </c>
      <c r="D125" s="50" t="s">
        <v>533</v>
      </c>
      <c r="E125" s="45" t="s">
        <v>521</v>
      </c>
      <c r="F125" s="26" t="s">
        <v>179</v>
      </c>
    </row>
    <row r="126" spans="1:6" ht="17.25" x14ac:dyDescent="0.15">
      <c r="A126" s="10">
        <v>123</v>
      </c>
      <c r="B126" s="10" t="s">
        <v>173</v>
      </c>
      <c r="C126" s="13">
        <v>124</v>
      </c>
      <c r="D126" s="4" t="s">
        <v>293</v>
      </c>
      <c r="E126" s="45" t="s">
        <v>418</v>
      </c>
      <c r="F126" s="26" t="s">
        <v>179</v>
      </c>
    </row>
    <row r="127" spans="1:6" ht="17.25" x14ac:dyDescent="0.15">
      <c r="A127" s="10">
        <v>124</v>
      </c>
      <c r="B127" s="10" t="s">
        <v>174</v>
      </c>
      <c r="C127" s="13">
        <v>125</v>
      </c>
      <c r="D127" s="4" t="s">
        <v>293</v>
      </c>
      <c r="E127" s="45" t="s">
        <v>294</v>
      </c>
      <c r="F127" s="26" t="s">
        <v>179</v>
      </c>
    </row>
    <row r="128" spans="1:6" ht="17.25" x14ac:dyDescent="0.15">
      <c r="A128" s="10">
        <v>125</v>
      </c>
      <c r="B128" s="10" t="s">
        <v>175</v>
      </c>
      <c r="C128" s="13">
        <v>126</v>
      </c>
      <c r="D128" s="4" t="s">
        <v>293</v>
      </c>
      <c r="E128" s="45" t="s">
        <v>294</v>
      </c>
      <c r="F128" s="26" t="s">
        <v>237</v>
      </c>
    </row>
    <row r="129" spans="1:6" ht="17.25" x14ac:dyDescent="0.15">
      <c r="A129" s="10">
        <v>126</v>
      </c>
      <c r="B129" s="10" t="s">
        <v>176</v>
      </c>
      <c r="C129" s="13">
        <v>127</v>
      </c>
      <c r="D129" s="4" t="s">
        <v>293</v>
      </c>
      <c r="E129" s="45" t="s">
        <v>294</v>
      </c>
      <c r="F129" s="26" t="s">
        <v>179</v>
      </c>
    </row>
    <row r="130" spans="1:6" ht="17.25" x14ac:dyDescent="0.15">
      <c r="A130" s="10">
        <v>127</v>
      </c>
      <c r="B130" s="10" t="s">
        <v>177</v>
      </c>
      <c r="C130" s="13">
        <v>128</v>
      </c>
      <c r="D130" s="4" t="s">
        <v>293</v>
      </c>
      <c r="E130" s="45" t="s">
        <v>294</v>
      </c>
      <c r="F130" s="4" t="s">
        <v>179</v>
      </c>
    </row>
    <row r="131" spans="1:6" ht="18" thickBot="1" x14ac:dyDescent="0.2">
      <c r="A131" s="10" t="s">
        <v>178</v>
      </c>
      <c r="B131" s="10"/>
      <c r="C131" s="10"/>
      <c r="D131" s="49" t="s">
        <v>293</v>
      </c>
      <c r="E131" s="45" t="s">
        <v>294</v>
      </c>
      <c r="F131" s="43" t="s">
        <v>179</v>
      </c>
    </row>
    <row r="134" spans="1:6" x14ac:dyDescent="0.15">
      <c r="A134" s="20"/>
    </row>
    <row r="135" spans="1:6" x14ac:dyDescent="0.15">
      <c r="A135" s="20"/>
    </row>
  </sheetData>
  <autoFilter ref="A2:F131"/>
  <mergeCells count="1">
    <mergeCell ref="A1:F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A64" zoomScale="85" zoomScaleNormal="85" workbookViewId="0">
      <selection activeCell="G77" sqref="G77"/>
    </sheetView>
  </sheetViews>
  <sheetFormatPr defaultColWidth="9" defaultRowHeight="16.5" x14ac:dyDescent="0.15"/>
  <cols>
    <col min="1" max="1" width="14.25" style="1" customWidth="1"/>
    <col min="2" max="2" width="15" style="1" customWidth="1"/>
    <col min="3" max="4" width="16.25" style="1" customWidth="1"/>
    <col min="5" max="5" width="45.875" style="1" customWidth="1"/>
    <col min="6" max="6" width="11.75" style="1" bestFit="1" customWidth="1"/>
    <col min="7" max="7" width="36.875" style="1" customWidth="1"/>
    <col min="8" max="16384" width="9" style="1"/>
  </cols>
  <sheetData>
    <row r="1" spans="1:10" ht="81.75" customHeight="1" x14ac:dyDescent="0.15">
      <c r="A1" s="68" t="s">
        <v>307</v>
      </c>
      <c r="B1" s="68"/>
      <c r="C1" s="68"/>
      <c r="D1" s="68"/>
      <c r="E1" s="68"/>
      <c r="F1" s="68"/>
      <c r="G1" s="68"/>
      <c r="H1" s="17"/>
    </row>
    <row r="2" spans="1:10" ht="17.25" thickBot="1" x14ac:dyDescent="0.2">
      <c r="A2" s="30" t="s">
        <v>468</v>
      </c>
      <c r="B2" s="30" t="s">
        <v>469</v>
      </c>
      <c r="C2" s="30" t="s">
        <v>471</v>
      </c>
      <c r="D2" s="30" t="s">
        <v>473</v>
      </c>
      <c r="E2" s="30" t="s">
        <v>519</v>
      </c>
      <c r="F2" s="30" t="s">
        <v>530</v>
      </c>
      <c r="G2" s="31" t="s">
        <v>535</v>
      </c>
    </row>
    <row r="3" spans="1:10" ht="219" customHeight="1" x14ac:dyDescent="0.15">
      <c r="A3" s="65" t="s">
        <v>288</v>
      </c>
      <c r="B3" s="32">
        <v>0</v>
      </c>
      <c r="C3" s="33" t="s">
        <v>124</v>
      </c>
      <c r="D3" s="33">
        <f>16385+B3</f>
        <v>16385</v>
      </c>
      <c r="E3" s="33" t="s">
        <v>289</v>
      </c>
      <c r="F3" s="33">
        <v>1</v>
      </c>
      <c r="G3" s="34" t="s">
        <v>536</v>
      </c>
      <c r="H3" s="12"/>
      <c r="I3" s="6"/>
      <c r="J3" s="11"/>
    </row>
    <row r="4" spans="1:10" x14ac:dyDescent="0.15">
      <c r="A4" s="66"/>
      <c r="B4" s="10">
        <v>1</v>
      </c>
      <c r="C4" s="3" t="s">
        <v>125</v>
      </c>
      <c r="D4" s="3">
        <f t="shared" ref="D4:D44" si="0">16385+B4</f>
        <v>16386</v>
      </c>
      <c r="E4" s="3" t="s">
        <v>290</v>
      </c>
      <c r="F4" s="3">
        <v>1</v>
      </c>
      <c r="G4" s="35" t="s">
        <v>0</v>
      </c>
      <c r="H4" s="12"/>
      <c r="I4" s="6"/>
      <c r="J4" s="11"/>
    </row>
    <row r="5" spans="1:10" x14ac:dyDescent="0.15">
      <c r="A5" s="66"/>
      <c r="B5" s="10">
        <v>2</v>
      </c>
      <c r="C5" s="3" t="s">
        <v>126</v>
      </c>
      <c r="D5" s="3">
        <f t="shared" si="0"/>
        <v>16387</v>
      </c>
      <c r="E5" s="3" t="s">
        <v>291</v>
      </c>
      <c r="F5" s="3">
        <v>1</v>
      </c>
      <c r="G5" s="35" t="s">
        <v>1</v>
      </c>
      <c r="H5" s="12"/>
      <c r="I5" s="6"/>
      <c r="J5" s="11"/>
    </row>
    <row r="6" spans="1:10" x14ac:dyDescent="0.15">
      <c r="A6" s="66"/>
      <c r="B6" s="10">
        <v>3</v>
      </c>
      <c r="C6" s="3" t="s">
        <v>127</v>
      </c>
      <c r="D6" s="3">
        <f t="shared" si="0"/>
        <v>16388</v>
      </c>
      <c r="E6" s="3" t="s">
        <v>292</v>
      </c>
      <c r="F6" s="3">
        <v>1</v>
      </c>
      <c r="G6" s="35" t="s">
        <v>2</v>
      </c>
      <c r="H6" s="12"/>
      <c r="I6" s="6"/>
      <c r="J6" s="11"/>
    </row>
    <row r="7" spans="1:10" x14ac:dyDescent="0.15">
      <c r="A7" s="66"/>
      <c r="B7" s="10">
        <v>4</v>
      </c>
      <c r="C7" s="3" t="s">
        <v>128</v>
      </c>
      <c r="D7" s="3">
        <f t="shared" si="0"/>
        <v>16389</v>
      </c>
      <c r="E7" s="3" t="s">
        <v>293</v>
      </c>
      <c r="F7" s="3">
        <v>1</v>
      </c>
      <c r="G7" s="35"/>
      <c r="H7" s="12"/>
      <c r="I7" s="6"/>
      <c r="J7" s="11"/>
    </row>
    <row r="8" spans="1:10" x14ac:dyDescent="0.15">
      <c r="A8" s="66"/>
      <c r="B8" s="10">
        <v>5</v>
      </c>
      <c r="C8" s="3" t="s">
        <v>129</v>
      </c>
      <c r="D8" s="3">
        <f t="shared" si="0"/>
        <v>16390</v>
      </c>
      <c r="E8" s="3" t="s">
        <v>293</v>
      </c>
      <c r="F8" s="3">
        <v>1</v>
      </c>
      <c r="G8" s="35"/>
      <c r="H8" s="12"/>
      <c r="I8" s="6"/>
      <c r="J8" s="11"/>
    </row>
    <row r="9" spans="1:10" x14ac:dyDescent="0.15">
      <c r="A9" s="66"/>
      <c r="B9" s="10">
        <v>6</v>
      </c>
      <c r="C9" s="3" t="s">
        <v>130</v>
      </c>
      <c r="D9" s="3">
        <f t="shared" si="0"/>
        <v>16391</v>
      </c>
      <c r="E9" s="3" t="s">
        <v>420</v>
      </c>
      <c r="F9" s="3">
        <v>1</v>
      </c>
      <c r="G9" s="35"/>
      <c r="H9" s="12"/>
      <c r="I9" s="6"/>
      <c r="J9" s="11"/>
    </row>
    <row r="10" spans="1:10" x14ac:dyDescent="0.15">
      <c r="A10" s="66"/>
      <c r="B10" s="10">
        <v>7</v>
      </c>
      <c r="C10" s="3" t="s">
        <v>131</v>
      </c>
      <c r="D10" s="3">
        <f t="shared" si="0"/>
        <v>16392</v>
      </c>
      <c r="E10" s="3" t="s">
        <v>421</v>
      </c>
      <c r="F10" s="3">
        <v>1</v>
      </c>
      <c r="G10" s="35" t="s">
        <v>3</v>
      </c>
      <c r="H10" s="12"/>
      <c r="I10" s="6"/>
      <c r="J10" s="11"/>
    </row>
    <row r="11" spans="1:10" x14ac:dyDescent="0.15">
      <c r="A11" s="66"/>
      <c r="B11" s="10">
        <v>8</v>
      </c>
      <c r="C11" s="3" t="s">
        <v>132</v>
      </c>
      <c r="D11" s="3">
        <f t="shared" si="0"/>
        <v>16393</v>
      </c>
      <c r="E11" s="3" t="s">
        <v>422</v>
      </c>
      <c r="F11" s="3">
        <v>1</v>
      </c>
      <c r="G11" s="35" t="s">
        <v>3</v>
      </c>
      <c r="H11" s="12"/>
      <c r="I11" s="6"/>
      <c r="J11" s="11"/>
    </row>
    <row r="12" spans="1:10" x14ac:dyDescent="0.15">
      <c r="A12" s="66"/>
      <c r="B12" s="10">
        <v>9</v>
      </c>
      <c r="C12" s="3" t="s">
        <v>133</v>
      </c>
      <c r="D12" s="3">
        <f t="shared" si="0"/>
        <v>16394</v>
      </c>
      <c r="E12" s="3" t="s">
        <v>423</v>
      </c>
      <c r="F12" s="3">
        <v>1</v>
      </c>
      <c r="G12" s="35" t="s">
        <v>3</v>
      </c>
      <c r="H12" s="12"/>
      <c r="I12" s="6"/>
      <c r="J12" s="11"/>
    </row>
    <row r="13" spans="1:10" x14ac:dyDescent="0.15">
      <c r="A13" s="66"/>
      <c r="B13" s="10">
        <v>10</v>
      </c>
      <c r="C13" s="3" t="s">
        <v>134</v>
      </c>
      <c r="D13" s="3">
        <f t="shared" si="0"/>
        <v>16395</v>
      </c>
      <c r="E13" s="3" t="s">
        <v>424</v>
      </c>
      <c r="F13" s="3">
        <v>1</v>
      </c>
      <c r="G13" s="35" t="s">
        <v>4</v>
      </c>
      <c r="H13" s="12"/>
      <c r="I13" s="6"/>
      <c r="J13" s="11"/>
    </row>
    <row r="14" spans="1:10" x14ac:dyDescent="0.15">
      <c r="A14" s="66"/>
      <c r="B14" s="10">
        <v>11</v>
      </c>
      <c r="C14" s="3" t="s">
        <v>135</v>
      </c>
      <c r="D14" s="3">
        <f t="shared" si="0"/>
        <v>16396</v>
      </c>
      <c r="E14" s="3" t="s">
        <v>425</v>
      </c>
      <c r="F14" s="3">
        <v>1</v>
      </c>
      <c r="G14" s="35" t="s">
        <v>4</v>
      </c>
      <c r="H14" s="12"/>
      <c r="I14" s="6"/>
      <c r="J14" s="11"/>
    </row>
    <row r="15" spans="1:10" x14ac:dyDescent="0.15">
      <c r="A15" s="66"/>
      <c r="B15" s="10">
        <v>12</v>
      </c>
      <c r="C15" s="3" t="s">
        <v>136</v>
      </c>
      <c r="D15" s="3">
        <f t="shared" si="0"/>
        <v>16397</v>
      </c>
      <c r="E15" s="3" t="s">
        <v>426</v>
      </c>
      <c r="F15" s="3">
        <v>1</v>
      </c>
      <c r="G15" s="35" t="s">
        <v>4</v>
      </c>
      <c r="H15" s="12"/>
      <c r="I15" s="6"/>
      <c r="J15" s="11"/>
    </row>
    <row r="16" spans="1:10" x14ac:dyDescent="0.15">
      <c r="A16" s="66"/>
      <c r="B16" s="10">
        <v>13</v>
      </c>
      <c r="C16" s="3" t="s">
        <v>137</v>
      </c>
      <c r="D16" s="3">
        <f t="shared" si="0"/>
        <v>16398</v>
      </c>
      <c r="E16" s="3" t="s">
        <v>427</v>
      </c>
      <c r="F16" s="3">
        <v>1</v>
      </c>
      <c r="G16" s="35" t="s">
        <v>4</v>
      </c>
      <c r="H16" s="12"/>
      <c r="I16" s="6"/>
      <c r="J16" s="11"/>
    </row>
    <row r="17" spans="1:10" x14ac:dyDescent="0.15">
      <c r="A17" s="66"/>
      <c r="B17" s="10">
        <v>14</v>
      </c>
      <c r="C17" s="4" t="s">
        <v>163</v>
      </c>
      <c r="D17" s="4">
        <f t="shared" si="0"/>
        <v>16399</v>
      </c>
      <c r="E17" s="4" t="s">
        <v>428</v>
      </c>
      <c r="F17" s="4">
        <v>1</v>
      </c>
      <c r="G17" s="52" t="s">
        <v>5</v>
      </c>
      <c r="H17" s="12"/>
      <c r="I17" s="6"/>
      <c r="J17" s="11"/>
    </row>
    <row r="18" spans="1:10" x14ac:dyDescent="0.15">
      <c r="A18" s="66"/>
      <c r="B18" s="10">
        <v>15</v>
      </c>
      <c r="C18" s="4" t="s">
        <v>164</v>
      </c>
      <c r="D18" s="4">
        <f t="shared" si="0"/>
        <v>16400</v>
      </c>
      <c r="E18" s="4" t="s">
        <v>429</v>
      </c>
      <c r="F18" s="4">
        <v>1</v>
      </c>
      <c r="G18" s="36" t="s">
        <v>5</v>
      </c>
      <c r="H18" s="12"/>
      <c r="I18" s="6"/>
      <c r="J18" s="11"/>
    </row>
    <row r="19" spans="1:10" x14ac:dyDescent="0.15">
      <c r="A19" s="66"/>
      <c r="B19" s="10">
        <v>16</v>
      </c>
      <c r="C19" s="4" t="s">
        <v>165</v>
      </c>
      <c r="D19" s="4">
        <f t="shared" si="0"/>
        <v>16401</v>
      </c>
      <c r="E19" s="4" t="s">
        <v>430</v>
      </c>
      <c r="F19" s="4">
        <v>1</v>
      </c>
      <c r="G19" s="36" t="s">
        <v>5</v>
      </c>
      <c r="H19" s="12"/>
      <c r="I19" s="6"/>
      <c r="J19" s="11"/>
    </row>
    <row r="20" spans="1:10" x14ac:dyDescent="0.15">
      <c r="A20" s="66"/>
      <c r="B20" s="10">
        <v>17</v>
      </c>
      <c r="C20" s="4" t="s">
        <v>166</v>
      </c>
      <c r="D20" s="4">
        <f t="shared" si="0"/>
        <v>16402</v>
      </c>
      <c r="E20" s="4" t="s">
        <v>431</v>
      </c>
      <c r="F20" s="4">
        <v>1</v>
      </c>
      <c r="G20" s="36" t="s">
        <v>5</v>
      </c>
      <c r="H20" s="12"/>
      <c r="I20" s="6"/>
      <c r="J20" s="11"/>
    </row>
    <row r="21" spans="1:10" x14ac:dyDescent="0.15">
      <c r="A21" s="66"/>
      <c r="B21" s="10">
        <v>18</v>
      </c>
      <c r="C21" s="4" t="s">
        <v>168</v>
      </c>
      <c r="D21" s="4">
        <f t="shared" si="0"/>
        <v>16403</v>
      </c>
      <c r="E21" s="4" t="s">
        <v>432</v>
      </c>
      <c r="F21" s="4">
        <v>1</v>
      </c>
      <c r="G21" s="36" t="s">
        <v>3</v>
      </c>
      <c r="H21" s="12"/>
      <c r="I21" s="6"/>
      <c r="J21" s="11"/>
    </row>
    <row r="22" spans="1:10" x14ac:dyDescent="0.15">
      <c r="A22" s="66"/>
      <c r="B22" s="10">
        <v>19</v>
      </c>
      <c r="C22" s="4" t="s">
        <v>169</v>
      </c>
      <c r="D22" s="4">
        <f t="shared" si="0"/>
        <v>16404</v>
      </c>
      <c r="E22" s="4" t="s">
        <v>433</v>
      </c>
      <c r="F22" s="4">
        <v>1</v>
      </c>
      <c r="G22" s="36" t="s">
        <v>1</v>
      </c>
      <c r="H22" s="12"/>
      <c r="I22" s="6"/>
      <c r="J22" s="11"/>
    </row>
    <row r="23" spans="1:10" ht="17.25" x14ac:dyDescent="0.15">
      <c r="A23" s="66"/>
      <c r="B23" s="10">
        <v>20</v>
      </c>
      <c r="C23" s="4" t="s">
        <v>180</v>
      </c>
      <c r="D23" s="4">
        <f t="shared" si="0"/>
        <v>16405</v>
      </c>
      <c r="E23" s="4" t="s">
        <v>434</v>
      </c>
      <c r="F23" s="4">
        <v>1</v>
      </c>
      <c r="G23" s="53" t="s">
        <v>6</v>
      </c>
      <c r="H23" s="12"/>
      <c r="I23" s="6"/>
      <c r="J23" s="11"/>
    </row>
    <row r="24" spans="1:10" ht="17.25" x14ac:dyDescent="0.15">
      <c r="A24" s="66"/>
      <c r="B24" s="10">
        <v>21</v>
      </c>
      <c r="C24" s="4" t="s">
        <v>181</v>
      </c>
      <c r="D24" s="4">
        <f t="shared" si="0"/>
        <v>16406</v>
      </c>
      <c r="E24" s="4" t="s">
        <v>435</v>
      </c>
      <c r="F24" s="4">
        <v>1</v>
      </c>
      <c r="G24" s="53" t="s">
        <v>7</v>
      </c>
      <c r="H24" s="12"/>
      <c r="I24" s="6"/>
      <c r="J24" s="11"/>
    </row>
    <row r="25" spans="1:10" ht="33" x14ac:dyDescent="0.15">
      <c r="A25" s="66"/>
      <c r="B25" s="10">
        <v>22</v>
      </c>
      <c r="C25" s="4" t="s">
        <v>182</v>
      </c>
      <c r="D25" s="4">
        <f t="shared" si="0"/>
        <v>16407</v>
      </c>
      <c r="E25" s="4" t="s">
        <v>436</v>
      </c>
      <c r="F25" s="4">
        <v>1</v>
      </c>
      <c r="G25" s="52" t="s">
        <v>542</v>
      </c>
      <c r="H25" s="12"/>
      <c r="I25" s="6"/>
      <c r="J25" s="11"/>
    </row>
    <row r="26" spans="1:10" x14ac:dyDescent="0.15">
      <c r="A26" s="66"/>
      <c r="B26" s="10">
        <v>23</v>
      </c>
      <c r="C26" s="4" t="s">
        <v>183</v>
      </c>
      <c r="D26" s="4">
        <f t="shared" si="0"/>
        <v>16408</v>
      </c>
      <c r="E26" s="4" t="s">
        <v>437</v>
      </c>
      <c r="F26" s="4">
        <v>1</v>
      </c>
      <c r="G26" s="36" t="s">
        <v>0</v>
      </c>
      <c r="H26" s="12"/>
      <c r="I26" s="6"/>
      <c r="J26" s="11"/>
    </row>
    <row r="27" spans="1:10" x14ac:dyDescent="0.15">
      <c r="A27" s="66"/>
      <c r="B27" s="10">
        <v>24</v>
      </c>
      <c r="C27" s="4" t="s">
        <v>184</v>
      </c>
      <c r="D27" s="4">
        <f t="shared" si="0"/>
        <v>16409</v>
      </c>
      <c r="E27" s="4" t="s">
        <v>438</v>
      </c>
      <c r="F27" s="4">
        <v>1</v>
      </c>
      <c r="G27" s="54" t="s">
        <v>8</v>
      </c>
      <c r="H27" s="12"/>
      <c r="I27" s="6"/>
      <c r="J27" s="11"/>
    </row>
    <row r="28" spans="1:10" x14ac:dyDescent="0.15">
      <c r="A28" s="66"/>
      <c r="B28" s="10">
        <v>25</v>
      </c>
      <c r="C28" s="4" t="s">
        <v>185</v>
      </c>
      <c r="D28" s="4">
        <f t="shared" si="0"/>
        <v>16410</v>
      </c>
      <c r="E28" s="4" t="s">
        <v>439</v>
      </c>
      <c r="F28" s="4">
        <v>1</v>
      </c>
      <c r="G28" s="36" t="s">
        <v>9</v>
      </c>
      <c r="H28" s="12"/>
      <c r="I28" s="6"/>
      <c r="J28" s="11"/>
    </row>
    <row r="29" spans="1:10" x14ac:dyDescent="0.15">
      <c r="A29" s="66"/>
      <c r="B29" s="10">
        <v>26</v>
      </c>
      <c r="C29" s="4" t="s">
        <v>186</v>
      </c>
      <c r="D29" s="4">
        <f t="shared" si="0"/>
        <v>16411</v>
      </c>
      <c r="E29" s="4" t="s">
        <v>440</v>
      </c>
      <c r="F29" s="4">
        <v>1</v>
      </c>
      <c r="G29" s="36" t="s">
        <v>10</v>
      </c>
      <c r="H29" s="12"/>
      <c r="I29" s="6"/>
      <c r="J29" s="11"/>
    </row>
    <row r="30" spans="1:10" x14ac:dyDescent="0.15">
      <c r="A30" s="66"/>
      <c r="B30" s="10">
        <v>27</v>
      </c>
      <c r="C30" s="4" t="s">
        <v>187</v>
      </c>
      <c r="D30" s="4">
        <f t="shared" si="0"/>
        <v>16412</v>
      </c>
      <c r="E30" s="4" t="s">
        <v>446</v>
      </c>
      <c r="F30" s="4">
        <v>1</v>
      </c>
      <c r="G30" s="36" t="s">
        <v>161</v>
      </c>
      <c r="H30" s="12"/>
      <c r="I30" s="6"/>
      <c r="J30" s="11"/>
    </row>
    <row r="31" spans="1:10" x14ac:dyDescent="0.15">
      <c r="A31" s="66"/>
      <c r="B31" s="10">
        <v>28</v>
      </c>
      <c r="C31" s="4" t="s">
        <v>188</v>
      </c>
      <c r="D31" s="4">
        <f t="shared" si="0"/>
        <v>16413</v>
      </c>
      <c r="E31" s="4" t="s">
        <v>441</v>
      </c>
      <c r="F31" s="4">
        <v>1</v>
      </c>
      <c r="G31" s="36" t="s">
        <v>162</v>
      </c>
      <c r="H31" s="12"/>
      <c r="I31" s="6"/>
      <c r="J31" s="11"/>
    </row>
    <row r="32" spans="1:10" x14ac:dyDescent="0.15">
      <c r="A32" s="66"/>
      <c r="B32" s="10">
        <v>29</v>
      </c>
      <c r="C32" s="4" t="s">
        <v>189</v>
      </c>
      <c r="D32" s="4">
        <f t="shared" si="0"/>
        <v>16414</v>
      </c>
      <c r="E32" s="4" t="s">
        <v>442</v>
      </c>
      <c r="F32" s="4">
        <v>1</v>
      </c>
      <c r="G32" s="36" t="s">
        <v>161</v>
      </c>
      <c r="H32" s="12"/>
      <c r="I32" s="6"/>
      <c r="J32" s="11"/>
    </row>
    <row r="33" spans="1:10" x14ac:dyDescent="0.15">
      <c r="A33" s="66"/>
      <c r="B33" s="10">
        <v>30</v>
      </c>
      <c r="C33" s="4" t="s">
        <v>190</v>
      </c>
      <c r="D33" s="4">
        <f t="shared" si="0"/>
        <v>16415</v>
      </c>
      <c r="E33" s="4" t="s">
        <v>443</v>
      </c>
      <c r="F33" s="4">
        <v>1</v>
      </c>
      <c r="G33" s="36" t="s">
        <v>162</v>
      </c>
      <c r="H33" s="12"/>
      <c r="I33" s="6"/>
      <c r="J33" s="11"/>
    </row>
    <row r="34" spans="1:10" x14ac:dyDescent="0.15">
      <c r="A34" s="66"/>
      <c r="B34" s="10">
        <v>31</v>
      </c>
      <c r="C34" s="4" t="s">
        <v>191</v>
      </c>
      <c r="D34" s="4">
        <f t="shared" si="0"/>
        <v>16416</v>
      </c>
      <c r="E34" s="50" t="s">
        <v>538</v>
      </c>
      <c r="F34" s="4">
        <v>1</v>
      </c>
      <c r="G34" s="36" t="s">
        <v>167</v>
      </c>
      <c r="H34" s="12"/>
      <c r="I34" s="6"/>
      <c r="J34" s="11"/>
    </row>
    <row r="35" spans="1:10" x14ac:dyDescent="0.15">
      <c r="A35" s="66"/>
      <c r="B35" s="10">
        <v>32</v>
      </c>
      <c r="C35" s="4" t="s">
        <v>192</v>
      </c>
      <c r="D35" s="4">
        <f t="shared" si="0"/>
        <v>16417</v>
      </c>
      <c r="E35" s="50" t="s">
        <v>539</v>
      </c>
      <c r="F35" s="4">
        <v>1</v>
      </c>
      <c r="G35" s="36" t="s">
        <v>167</v>
      </c>
      <c r="H35" s="12"/>
      <c r="I35" s="6"/>
      <c r="J35" s="11"/>
    </row>
    <row r="36" spans="1:10" x14ac:dyDescent="0.15">
      <c r="A36" s="66"/>
      <c r="B36" s="10">
        <v>33</v>
      </c>
      <c r="C36" s="4" t="s">
        <v>193</v>
      </c>
      <c r="D36" s="4">
        <f t="shared" si="0"/>
        <v>16418</v>
      </c>
      <c r="E36" s="4" t="s">
        <v>445</v>
      </c>
      <c r="F36" s="4">
        <v>1</v>
      </c>
      <c r="G36" s="36" t="s">
        <v>1</v>
      </c>
      <c r="H36" s="12"/>
      <c r="I36" s="6"/>
      <c r="J36" s="11"/>
    </row>
    <row r="37" spans="1:10" x14ac:dyDescent="0.15">
      <c r="A37" s="66"/>
      <c r="B37" s="10">
        <v>34</v>
      </c>
      <c r="C37" s="4" t="s">
        <v>194</v>
      </c>
      <c r="D37" s="4">
        <f t="shared" si="0"/>
        <v>16419</v>
      </c>
      <c r="E37" s="4" t="s">
        <v>444</v>
      </c>
      <c r="F37" s="4">
        <v>1</v>
      </c>
      <c r="G37" s="36" t="s">
        <v>1</v>
      </c>
      <c r="H37" s="12"/>
      <c r="I37" s="6"/>
      <c r="J37" s="11"/>
    </row>
    <row r="38" spans="1:10" ht="82.5" x14ac:dyDescent="0.15">
      <c r="A38" s="66"/>
      <c r="B38" s="10">
        <v>35</v>
      </c>
      <c r="C38" s="4" t="s">
        <v>195</v>
      </c>
      <c r="D38" s="4">
        <f t="shared" si="0"/>
        <v>16420</v>
      </c>
      <c r="E38" s="4" t="s">
        <v>447</v>
      </c>
      <c r="F38" s="4">
        <v>1</v>
      </c>
      <c r="G38" s="52" t="s">
        <v>448</v>
      </c>
      <c r="H38" s="12"/>
      <c r="I38" s="6"/>
      <c r="J38" s="11"/>
    </row>
    <row r="39" spans="1:10" x14ac:dyDescent="0.15">
      <c r="A39" s="66"/>
      <c r="B39" s="10">
        <v>36</v>
      </c>
      <c r="C39" s="4" t="s">
        <v>196</v>
      </c>
      <c r="D39" s="4">
        <f t="shared" si="0"/>
        <v>16421</v>
      </c>
      <c r="E39" s="4" t="s">
        <v>450</v>
      </c>
      <c r="F39" s="4">
        <v>1</v>
      </c>
      <c r="G39" s="36" t="s">
        <v>3</v>
      </c>
      <c r="H39" s="11"/>
      <c r="I39" s="6"/>
      <c r="J39" s="11"/>
    </row>
    <row r="40" spans="1:10" x14ac:dyDescent="0.15">
      <c r="A40" s="66"/>
      <c r="B40" s="10">
        <v>37</v>
      </c>
      <c r="C40" s="4" t="s">
        <v>197</v>
      </c>
      <c r="D40" s="4">
        <f t="shared" si="0"/>
        <v>16422</v>
      </c>
      <c r="E40" s="4" t="s">
        <v>449</v>
      </c>
      <c r="F40" s="4">
        <v>1</v>
      </c>
      <c r="G40" s="36" t="s">
        <v>3</v>
      </c>
      <c r="H40" s="12"/>
      <c r="I40" s="6"/>
      <c r="J40" s="11"/>
    </row>
    <row r="41" spans="1:10" x14ac:dyDescent="0.15">
      <c r="A41" s="66"/>
      <c r="B41" s="10">
        <v>38</v>
      </c>
      <c r="C41" s="4" t="s">
        <v>198</v>
      </c>
      <c r="D41" s="4">
        <f t="shared" si="0"/>
        <v>16423</v>
      </c>
      <c r="E41" s="4" t="s">
        <v>452</v>
      </c>
      <c r="F41" s="4">
        <v>1</v>
      </c>
      <c r="G41" s="36" t="s">
        <v>1</v>
      </c>
      <c r="H41" s="12"/>
      <c r="I41" s="6"/>
      <c r="J41" s="11"/>
    </row>
    <row r="42" spans="1:10" x14ac:dyDescent="0.15">
      <c r="A42" s="66"/>
      <c r="B42" s="10">
        <v>39</v>
      </c>
      <c r="C42" s="4" t="s">
        <v>199</v>
      </c>
      <c r="D42" s="4">
        <f t="shared" si="0"/>
        <v>16424</v>
      </c>
      <c r="E42" s="4" t="s">
        <v>451</v>
      </c>
      <c r="F42" s="4">
        <v>1</v>
      </c>
      <c r="G42" s="36" t="s">
        <v>1</v>
      </c>
      <c r="H42" s="12"/>
      <c r="I42" s="6"/>
      <c r="J42" s="11"/>
    </row>
    <row r="43" spans="1:10" x14ac:dyDescent="0.15">
      <c r="A43" s="66"/>
      <c r="B43" s="10">
        <v>40</v>
      </c>
      <c r="C43" s="4" t="s">
        <v>200</v>
      </c>
      <c r="D43" s="4">
        <f t="shared" si="0"/>
        <v>16425</v>
      </c>
      <c r="E43" s="4" t="s">
        <v>455</v>
      </c>
      <c r="F43" s="4">
        <v>1</v>
      </c>
      <c r="G43" s="36" t="s">
        <v>3</v>
      </c>
      <c r="H43" s="12"/>
      <c r="I43" s="6"/>
      <c r="J43" s="11"/>
    </row>
    <row r="44" spans="1:10" x14ac:dyDescent="0.15">
      <c r="A44" s="66"/>
      <c r="B44" s="10">
        <v>41</v>
      </c>
      <c r="C44" s="4" t="s">
        <v>201</v>
      </c>
      <c r="D44" s="4">
        <f t="shared" si="0"/>
        <v>16426</v>
      </c>
      <c r="E44" s="4" t="s">
        <v>454</v>
      </c>
      <c r="F44" s="4">
        <v>1</v>
      </c>
      <c r="G44" s="36" t="s">
        <v>3</v>
      </c>
      <c r="H44" s="12"/>
      <c r="I44" s="6"/>
      <c r="J44" s="11"/>
    </row>
    <row r="45" spans="1:10" x14ac:dyDescent="0.15">
      <c r="A45" s="66"/>
      <c r="B45" s="10">
        <v>42</v>
      </c>
      <c r="C45" s="4" t="s">
        <v>202</v>
      </c>
      <c r="D45" s="4">
        <f t="shared" ref="D45:D51" si="1">16385+B45</f>
        <v>16427</v>
      </c>
      <c r="E45" s="4" t="s">
        <v>453</v>
      </c>
      <c r="F45" s="4">
        <v>1</v>
      </c>
      <c r="G45" s="36" t="s">
        <v>3</v>
      </c>
      <c r="H45" s="12"/>
      <c r="I45" s="6"/>
      <c r="J45" s="11"/>
    </row>
    <row r="46" spans="1:10" x14ac:dyDescent="0.15">
      <c r="A46" s="66"/>
      <c r="B46" s="10">
        <v>43</v>
      </c>
      <c r="C46" s="4" t="s">
        <v>203</v>
      </c>
      <c r="D46" s="4">
        <f t="shared" si="1"/>
        <v>16428</v>
      </c>
      <c r="E46" s="4" t="s">
        <v>456</v>
      </c>
      <c r="F46" s="4">
        <v>1</v>
      </c>
      <c r="G46" s="36" t="s">
        <v>3</v>
      </c>
      <c r="H46" s="12"/>
      <c r="I46" s="6"/>
      <c r="J46" s="11"/>
    </row>
    <row r="47" spans="1:10" x14ac:dyDescent="0.15">
      <c r="A47" s="66"/>
      <c r="B47" s="10">
        <v>44</v>
      </c>
      <c r="C47" s="4" t="s">
        <v>204</v>
      </c>
      <c r="D47" s="4">
        <f t="shared" si="1"/>
        <v>16429</v>
      </c>
      <c r="E47" s="4" t="s">
        <v>457</v>
      </c>
      <c r="F47" s="4">
        <v>1</v>
      </c>
      <c r="G47" s="36" t="s">
        <v>3</v>
      </c>
      <c r="H47" s="12"/>
      <c r="I47" s="6"/>
      <c r="J47" s="11"/>
    </row>
    <row r="48" spans="1:10" x14ac:dyDescent="0.15">
      <c r="A48" s="66"/>
      <c r="B48" s="10">
        <v>45</v>
      </c>
      <c r="C48" s="4" t="s">
        <v>205</v>
      </c>
      <c r="D48" s="4">
        <f t="shared" si="1"/>
        <v>16430</v>
      </c>
      <c r="E48" s="4" t="s">
        <v>458</v>
      </c>
      <c r="F48" s="4">
        <v>1</v>
      </c>
      <c r="G48" s="36" t="s">
        <v>3</v>
      </c>
      <c r="H48" s="12"/>
      <c r="I48" s="6"/>
      <c r="J48" s="11"/>
    </row>
    <row r="49" spans="1:10" x14ac:dyDescent="0.15">
      <c r="A49" s="66"/>
      <c r="B49" s="10">
        <v>46</v>
      </c>
      <c r="C49" s="4" t="s">
        <v>206</v>
      </c>
      <c r="D49" s="4">
        <f t="shared" si="1"/>
        <v>16431</v>
      </c>
      <c r="E49" s="4" t="s">
        <v>293</v>
      </c>
      <c r="F49" s="4">
        <v>1</v>
      </c>
      <c r="G49" s="36"/>
      <c r="H49" s="12"/>
      <c r="I49" s="6"/>
      <c r="J49" s="11"/>
    </row>
    <row r="50" spans="1:10" x14ac:dyDescent="0.15">
      <c r="A50" s="66"/>
      <c r="B50" s="10">
        <v>47</v>
      </c>
      <c r="C50" s="4" t="s">
        <v>207</v>
      </c>
      <c r="D50" s="4">
        <f t="shared" si="1"/>
        <v>16432</v>
      </c>
      <c r="E50" s="4" t="s">
        <v>293</v>
      </c>
      <c r="F50" s="4">
        <v>1</v>
      </c>
      <c r="G50" s="36"/>
      <c r="H50" s="12"/>
      <c r="I50" s="6"/>
      <c r="J50" s="11"/>
    </row>
    <row r="51" spans="1:10" x14ac:dyDescent="0.15">
      <c r="A51" s="66"/>
      <c r="B51" s="10">
        <v>48</v>
      </c>
      <c r="C51" s="4" t="s">
        <v>208</v>
      </c>
      <c r="D51" s="4">
        <f t="shared" si="1"/>
        <v>16433</v>
      </c>
      <c r="E51" s="4" t="s">
        <v>293</v>
      </c>
      <c r="F51" s="4">
        <v>1</v>
      </c>
      <c r="G51" s="36"/>
      <c r="H51" s="12"/>
      <c r="I51" s="6"/>
      <c r="J51" s="11"/>
    </row>
    <row r="52" spans="1:10" x14ac:dyDescent="0.15">
      <c r="A52" s="66"/>
      <c r="B52" s="10">
        <v>49</v>
      </c>
      <c r="C52" s="4" t="s">
        <v>209</v>
      </c>
      <c r="D52" s="4">
        <f t="shared" ref="D52:D73" si="2">16385+B52</f>
        <v>16434</v>
      </c>
      <c r="E52" s="4" t="s">
        <v>293</v>
      </c>
      <c r="F52" s="4">
        <v>1</v>
      </c>
      <c r="G52" s="36"/>
      <c r="H52" s="12"/>
      <c r="I52" s="6"/>
      <c r="J52" s="11"/>
    </row>
    <row r="53" spans="1:10" ht="115.5" x14ac:dyDescent="0.15">
      <c r="A53" s="66"/>
      <c r="B53" s="10">
        <v>50</v>
      </c>
      <c r="C53" s="4" t="s">
        <v>210</v>
      </c>
      <c r="D53" s="4">
        <f t="shared" si="2"/>
        <v>16435</v>
      </c>
      <c r="E53" s="4" t="s">
        <v>459</v>
      </c>
      <c r="F53" s="4">
        <v>1</v>
      </c>
      <c r="G53" s="52" t="s">
        <v>531</v>
      </c>
      <c r="H53" s="12"/>
      <c r="I53" s="6"/>
      <c r="J53" s="11"/>
    </row>
    <row r="54" spans="1:10" x14ac:dyDescent="0.15">
      <c r="A54" s="66"/>
      <c r="B54" s="10">
        <v>51</v>
      </c>
      <c r="C54" s="4" t="s">
        <v>211</v>
      </c>
      <c r="D54" s="4">
        <f t="shared" si="2"/>
        <v>16436</v>
      </c>
      <c r="E54" s="4" t="s">
        <v>463</v>
      </c>
      <c r="F54" s="4">
        <v>1</v>
      </c>
      <c r="G54" s="36" t="s">
        <v>5</v>
      </c>
      <c r="H54" s="12"/>
      <c r="I54" s="6"/>
      <c r="J54" s="11"/>
    </row>
    <row r="55" spans="1:10" x14ac:dyDescent="0.15">
      <c r="A55" s="66"/>
      <c r="B55" s="10">
        <v>52</v>
      </c>
      <c r="C55" s="4" t="s">
        <v>212</v>
      </c>
      <c r="D55" s="4">
        <f t="shared" si="2"/>
        <v>16437</v>
      </c>
      <c r="E55" s="4" t="s">
        <v>462</v>
      </c>
      <c r="F55" s="4">
        <v>1</v>
      </c>
      <c r="G55" s="36" t="s">
        <v>3</v>
      </c>
      <c r="H55" s="12"/>
      <c r="I55" s="6"/>
      <c r="J55" s="11"/>
    </row>
    <row r="56" spans="1:10" x14ac:dyDescent="0.15">
      <c r="A56" s="66"/>
      <c r="B56" s="10">
        <v>53</v>
      </c>
      <c r="C56" s="4" t="s">
        <v>213</v>
      </c>
      <c r="D56" s="4">
        <f t="shared" si="2"/>
        <v>16438</v>
      </c>
      <c r="E56" s="4" t="s">
        <v>460</v>
      </c>
      <c r="F56" s="4">
        <v>1</v>
      </c>
      <c r="G56" s="55" t="s">
        <v>8</v>
      </c>
      <c r="H56" s="12"/>
      <c r="I56" s="6"/>
      <c r="J56" s="11"/>
    </row>
    <row r="57" spans="1:10" x14ac:dyDescent="0.15">
      <c r="A57" s="66"/>
      <c r="B57" s="10">
        <v>54</v>
      </c>
      <c r="C57" s="4" t="s">
        <v>214</v>
      </c>
      <c r="D57" s="4">
        <f t="shared" si="2"/>
        <v>16439</v>
      </c>
      <c r="E57" s="4" t="s">
        <v>461</v>
      </c>
      <c r="F57" s="4">
        <v>1</v>
      </c>
      <c r="G57" s="55" t="s">
        <v>8</v>
      </c>
      <c r="H57" s="12"/>
      <c r="I57" s="6"/>
      <c r="J57" s="11"/>
    </row>
    <row r="58" spans="1:10" x14ac:dyDescent="0.15">
      <c r="A58" s="66"/>
      <c r="B58" s="10">
        <v>55</v>
      </c>
      <c r="C58" s="4" t="s">
        <v>215</v>
      </c>
      <c r="D58" s="4">
        <f t="shared" si="2"/>
        <v>16440</v>
      </c>
      <c r="E58" s="4" t="s">
        <v>526</v>
      </c>
      <c r="F58" s="4">
        <v>1</v>
      </c>
      <c r="G58" s="36" t="s">
        <v>3</v>
      </c>
      <c r="H58" s="12"/>
      <c r="I58" s="6"/>
      <c r="J58" s="11"/>
    </row>
    <row r="59" spans="1:10" x14ac:dyDescent="0.15">
      <c r="A59" s="66"/>
      <c r="B59" s="10">
        <v>56</v>
      </c>
      <c r="C59" s="4" t="s">
        <v>216</v>
      </c>
      <c r="D59" s="4">
        <f t="shared" si="2"/>
        <v>16441</v>
      </c>
      <c r="E59" s="4" t="s">
        <v>527</v>
      </c>
      <c r="F59" s="4">
        <v>1</v>
      </c>
      <c r="G59" s="36" t="s">
        <v>3</v>
      </c>
      <c r="H59" s="12"/>
      <c r="I59" s="6"/>
      <c r="J59" s="11"/>
    </row>
    <row r="60" spans="1:10" x14ac:dyDescent="0.15">
      <c r="A60" s="66"/>
      <c r="B60" s="10">
        <v>57</v>
      </c>
      <c r="C60" s="4" t="s">
        <v>217</v>
      </c>
      <c r="D60" s="4">
        <f t="shared" si="2"/>
        <v>16442</v>
      </c>
      <c r="E60" s="4" t="s">
        <v>528</v>
      </c>
      <c r="F60" s="4">
        <v>1</v>
      </c>
      <c r="G60" s="36" t="s">
        <v>5</v>
      </c>
      <c r="H60" s="12"/>
      <c r="I60" s="6"/>
      <c r="J60" s="11"/>
    </row>
    <row r="61" spans="1:10" x14ac:dyDescent="0.15">
      <c r="A61" s="66"/>
      <c r="B61" s="10">
        <v>58</v>
      </c>
      <c r="C61" s="4" t="s">
        <v>218</v>
      </c>
      <c r="D61" s="4">
        <f t="shared" si="2"/>
        <v>16443</v>
      </c>
      <c r="E61" s="4" t="s">
        <v>529</v>
      </c>
      <c r="F61" s="4">
        <v>1</v>
      </c>
      <c r="G61" s="36" t="s">
        <v>5</v>
      </c>
      <c r="H61" s="12"/>
      <c r="I61" s="6"/>
      <c r="J61" s="11"/>
    </row>
    <row r="62" spans="1:10" x14ac:dyDescent="0.15">
      <c r="A62" s="66"/>
      <c r="B62" s="10">
        <v>59</v>
      </c>
      <c r="C62" s="4" t="s">
        <v>219</v>
      </c>
      <c r="D62" s="4">
        <f t="shared" si="2"/>
        <v>16444</v>
      </c>
      <c r="E62" s="4" t="s">
        <v>464</v>
      </c>
      <c r="F62" s="4">
        <v>1</v>
      </c>
      <c r="G62" s="36" t="s">
        <v>4</v>
      </c>
      <c r="H62" s="12"/>
      <c r="I62" s="6"/>
      <c r="J62" s="11"/>
    </row>
    <row r="63" spans="1:10" x14ac:dyDescent="0.15">
      <c r="A63" s="66"/>
      <c r="B63" s="10">
        <v>60</v>
      </c>
      <c r="C63" s="4" t="s">
        <v>220</v>
      </c>
      <c r="D63" s="4">
        <f t="shared" si="2"/>
        <v>16445</v>
      </c>
      <c r="E63" s="4" t="s">
        <v>465</v>
      </c>
      <c r="F63" s="4">
        <v>1</v>
      </c>
      <c r="G63" s="36" t="s">
        <v>4</v>
      </c>
      <c r="H63" s="12"/>
      <c r="I63" s="6"/>
      <c r="J63" s="11"/>
    </row>
    <row r="64" spans="1:10" x14ac:dyDescent="0.15">
      <c r="A64" s="66"/>
      <c r="B64" s="10">
        <v>61</v>
      </c>
      <c r="C64" s="4" t="s">
        <v>221</v>
      </c>
      <c r="D64" s="4">
        <f t="shared" si="2"/>
        <v>16446</v>
      </c>
      <c r="E64" s="4" t="s">
        <v>293</v>
      </c>
      <c r="F64" s="4">
        <v>1</v>
      </c>
      <c r="G64" s="36"/>
      <c r="H64" s="12"/>
      <c r="I64" s="6"/>
      <c r="J64" s="11"/>
    </row>
    <row r="65" spans="1:10" x14ac:dyDescent="0.15">
      <c r="A65" s="66"/>
      <c r="B65" s="10">
        <v>62</v>
      </c>
      <c r="C65" s="4" t="s">
        <v>222</v>
      </c>
      <c r="D65" s="4">
        <f t="shared" si="2"/>
        <v>16447</v>
      </c>
      <c r="E65" s="4" t="s">
        <v>293</v>
      </c>
      <c r="F65" s="4">
        <v>1</v>
      </c>
      <c r="G65" s="36"/>
      <c r="H65" s="12"/>
      <c r="I65" s="6"/>
      <c r="J65" s="11"/>
    </row>
    <row r="66" spans="1:10" x14ac:dyDescent="0.15">
      <c r="A66" s="66"/>
      <c r="B66" s="10">
        <v>63</v>
      </c>
      <c r="C66" s="4" t="s">
        <v>223</v>
      </c>
      <c r="D66" s="4">
        <f t="shared" si="2"/>
        <v>16448</v>
      </c>
      <c r="E66" s="4" t="s">
        <v>293</v>
      </c>
      <c r="F66" s="4">
        <v>1</v>
      </c>
      <c r="G66" s="36"/>
      <c r="H66" s="12"/>
      <c r="I66" s="6"/>
      <c r="J66" s="11"/>
    </row>
    <row r="67" spans="1:10" x14ac:dyDescent="0.15">
      <c r="A67" s="67"/>
      <c r="B67" s="10">
        <v>64</v>
      </c>
      <c r="C67" s="4" t="s">
        <v>238</v>
      </c>
      <c r="D67" s="4">
        <f t="shared" si="2"/>
        <v>16449</v>
      </c>
      <c r="E67" s="4" t="s">
        <v>293</v>
      </c>
      <c r="F67" s="4">
        <v>1</v>
      </c>
      <c r="G67" s="36"/>
      <c r="H67" s="12"/>
      <c r="I67" s="6"/>
      <c r="J67" s="11"/>
    </row>
    <row r="68" spans="1:10" x14ac:dyDescent="0.15">
      <c r="A68" s="67"/>
      <c r="B68" s="10">
        <v>65</v>
      </c>
      <c r="C68" s="4" t="s">
        <v>239</v>
      </c>
      <c r="D68" s="4">
        <f t="shared" si="2"/>
        <v>16450</v>
      </c>
      <c r="E68" s="4" t="s">
        <v>293</v>
      </c>
      <c r="F68" s="4">
        <v>1</v>
      </c>
      <c r="G68" s="36"/>
      <c r="H68" s="12"/>
      <c r="I68" s="6"/>
      <c r="J68" s="11"/>
    </row>
    <row r="69" spans="1:10" x14ac:dyDescent="0.15">
      <c r="A69" s="67"/>
      <c r="B69" s="10">
        <v>66</v>
      </c>
      <c r="C69" s="4" t="s">
        <v>240</v>
      </c>
      <c r="D69" s="4">
        <f t="shared" si="2"/>
        <v>16451</v>
      </c>
      <c r="E69" s="4" t="s">
        <v>293</v>
      </c>
      <c r="F69" s="4">
        <v>1</v>
      </c>
      <c r="G69" s="36"/>
      <c r="H69" s="12"/>
      <c r="I69" s="6"/>
      <c r="J69" s="11"/>
    </row>
    <row r="70" spans="1:10" x14ac:dyDescent="0.15">
      <c r="A70" s="67"/>
      <c r="B70" s="10">
        <v>67</v>
      </c>
      <c r="C70" s="4" t="s">
        <v>279</v>
      </c>
      <c r="D70" s="4">
        <f t="shared" si="2"/>
        <v>16452</v>
      </c>
      <c r="E70" s="4" t="s">
        <v>293</v>
      </c>
      <c r="F70" s="4">
        <v>1</v>
      </c>
      <c r="G70" s="36"/>
      <c r="H70" s="12"/>
      <c r="I70" s="6"/>
      <c r="J70" s="11"/>
    </row>
    <row r="71" spans="1:10" x14ac:dyDescent="0.15">
      <c r="A71" s="67"/>
      <c r="B71" s="10">
        <v>68</v>
      </c>
      <c r="C71" s="4" t="s">
        <v>241</v>
      </c>
      <c r="D71" s="4">
        <f t="shared" si="2"/>
        <v>16453</v>
      </c>
      <c r="E71" s="4" t="s">
        <v>293</v>
      </c>
      <c r="F71" s="4">
        <v>1</v>
      </c>
      <c r="G71" s="36"/>
      <c r="H71" s="12"/>
      <c r="I71" s="6"/>
      <c r="J71" s="11"/>
    </row>
    <row r="72" spans="1:10" x14ac:dyDescent="0.15">
      <c r="A72" s="67"/>
      <c r="B72" s="10">
        <v>69</v>
      </c>
      <c r="C72" s="4" t="s">
        <v>242</v>
      </c>
      <c r="D72" s="4">
        <f t="shared" si="2"/>
        <v>16454</v>
      </c>
      <c r="E72" s="4" t="s">
        <v>293</v>
      </c>
      <c r="F72" s="4">
        <v>1</v>
      </c>
      <c r="G72" s="36"/>
      <c r="H72" s="12"/>
      <c r="I72" s="6"/>
      <c r="J72" s="11"/>
    </row>
    <row r="73" spans="1:10" x14ac:dyDescent="0.15">
      <c r="A73" s="67"/>
      <c r="B73" s="40">
        <v>70</v>
      </c>
      <c r="C73" s="4" t="s">
        <v>280</v>
      </c>
      <c r="D73" s="44">
        <f t="shared" si="2"/>
        <v>16455</v>
      </c>
      <c r="E73" s="4" t="s">
        <v>293</v>
      </c>
      <c r="F73" s="4">
        <v>1</v>
      </c>
      <c r="G73" s="36"/>
      <c r="H73" s="12"/>
      <c r="I73" s="6"/>
      <c r="J73" s="11"/>
    </row>
    <row r="74" spans="1:10" ht="17.25" thickBot="1" x14ac:dyDescent="0.2">
      <c r="A74" s="67"/>
      <c r="B74" s="40" t="s">
        <v>282</v>
      </c>
      <c r="C74" s="44" t="s">
        <v>281</v>
      </c>
      <c r="D74" s="56"/>
      <c r="E74" s="44"/>
      <c r="F74" s="44"/>
      <c r="G74" s="57"/>
      <c r="H74" s="12"/>
      <c r="I74" s="6"/>
      <c r="J74" s="11"/>
    </row>
    <row r="75" spans="1:10" x14ac:dyDescent="0.15">
      <c r="A75" s="69" t="s">
        <v>492</v>
      </c>
      <c r="B75" s="22">
        <v>255</v>
      </c>
      <c r="C75" s="23" t="s">
        <v>224</v>
      </c>
      <c r="D75" s="23">
        <f t="shared" ref="D75:D104" si="3">16385+B75</f>
        <v>16640</v>
      </c>
      <c r="E75" s="23" t="s">
        <v>495</v>
      </c>
      <c r="F75" s="23">
        <v>1</v>
      </c>
      <c r="G75" s="24" t="s">
        <v>466</v>
      </c>
    </row>
    <row r="76" spans="1:10" ht="33" x14ac:dyDescent="0.15">
      <c r="A76" s="70"/>
      <c r="B76" s="19">
        <v>256</v>
      </c>
      <c r="C76" s="4" t="s">
        <v>225</v>
      </c>
      <c r="D76" s="4">
        <f t="shared" si="3"/>
        <v>16641</v>
      </c>
      <c r="E76" s="4" t="s">
        <v>496</v>
      </c>
      <c r="F76" s="4">
        <v>1</v>
      </c>
      <c r="G76" s="62" t="s">
        <v>542</v>
      </c>
    </row>
    <row r="77" spans="1:10" ht="33" x14ac:dyDescent="0.15">
      <c r="A77" s="70"/>
      <c r="B77" s="19">
        <v>257</v>
      </c>
      <c r="C77" s="4" t="s">
        <v>226</v>
      </c>
      <c r="D77" s="4">
        <f t="shared" si="3"/>
        <v>16642</v>
      </c>
      <c r="E77" s="4" t="s">
        <v>493</v>
      </c>
      <c r="F77" s="4">
        <v>1</v>
      </c>
      <c r="G77" s="25" t="s">
        <v>544</v>
      </c>
    </row>
    <row r="78" spans="1:10" x14ac:dyDescent="0.15">
      <c r="A78" s="70"/>
      <c r="B78" s="19">
        <v>258</v>
      </c>
      <c r="C78" s="4" t="s">
        <v>227</v>
      </c>
      <c r="D78" s="4">
        <f t="shared" si="3"/>
        <v>16643</v>
      </c>
      <c r="E78" s="4" t="s">
        <v>497</v>
      </c>
      <c r="F78" s="4">
        <v>1</v>
      </c>
      <c r="G78" s="25" t="s">
        <v>466</v>
      </c>
    </row>
    <row r="79" spans="1:10" x14ac:dyDescent="0.15">
      <c r="A79" s="70"/>
      <c r="B79" s="19">
        <v>259</v>
      </c>
      <c r="C79" s="4" t="s">
        <v>228</v>
      </c>
      <c r="D79" s="4">
        <f t="shared" si="3"/>
        <v>16644</v>
      </c>
      <c r="E79" s="4" t="s">
        <v>498</v>
      </c>
      <c r="F79" s="4">
        <v>1</v>
      </c>
      <c r="G79" s="25" t="s">
        <v>501</v>
      </c>
    </row>
    <row r="80" spans="1:10" ht="33" x14ac:dyDescent="0.15">
      <c r="A80" s="70"/>
      <c r="B80" s="19">
        <v>260</v>
      </c>
      <c r="C80" s="4" t="s">
        <v>229</v>
      </c>
      <c r="D80" s="4">
        <f t="shared" si="3"/>
        <v>16645</v>
      </c>
      <c r="E80" s="4" t="s">
        <v>499</v>
      </c>
      <c r="F80" s="4">
        <v>1</v>
      </c>
      <c r="G80" s="25" t="s">
        <v>500</v>
      </c>
    </row>
    <row r="81" spans="1:7" x14ac:dyDescent="0.15">
      <c r="A81" s="70"/>
      <c r="B81" s="19">
        <v>261</v>
      </c>
      <c r="C81" s="4" t="s">
        <v>230</v>
      </c>
      <c r="D81" s="4">
        <f t="shared" si="3"/>
        <v>16646</v>
      </c>
      <c r="E81" s="4" t="s">
        <v>502</v>
      </c>
      <c r="F81" s="4">
        <v>1</v>
      </c>
      <c r="G81" s="25" t="s">
        <v>510</v>
      </c>
    </row>
    <row r="82" spans="1:7" x14ac:dyDescent="0.15">
      <c r="A82" s="70"/>
      <c r="B82" s="19">
        <v>262</v>
      </c>
      <c r="C82" s="4" t="s">
        <v>231</v>
      </c>
      <c r="D82" s="4">
        <f t="shared" si="3"/>
        <v>16647</v>
      </c>
      <c r="E82" s="4" t="s">
        <v>503</v>
      </c>
      <c r="F82" s="4">
        <v>1</v>
      </c>
      <c r="G82" s="25" t="s">
        <v>511</v>
      </c>
    </row>
    <row r="83" spans="1:7" x14ac:dyDescent="0.15">
      <c r="A83" s="70"/>
      <c r="B83" s="19">
        <v>263</v>
      </c>
      <c r="C83" s="4" t="s">
        <v>232</v>
      </c>
      <c r="D83" s="4">
        <f t="shared" si="3"/>
        <v>16648</v>
      </c>
      <c r="E83" s="4" t="s">
        <v>504</v>
      </c>
      <c r="F83" s="4">
        <v>1</v>
      </c>
      <c r="G83" s="25" t="s">
        <v>512</v>
      </c>
    </row>
    <row r="84" spans="1:7" x14ac:dyDescent="0.15">
      <c r="A84" s="70"/>
      <c r="B84" s="19">
        <v>264</v>
      </c>
      <c r="C84" s="4" t="s">
        <v>233</v>
      </c>
      <c r="D84" s="4">
        <f t="shared" si="3"/>
        <v>16649</v>
      </c>
      <c r="E84" s="4" t="s">
        <v>505</v>
      </c>
      <c r="F84" s="4">
        <v>1</v>
      </c>
      <c r="G84" s="25" t="s">
        <v>513</v>
      </c>
    </row>
    <row r="85" spans="1:7" ht="51.75" x14ac:dyDescent="0.15">
      <c r="A85" s="70"/>
      <c r="B85" s="19">
        <v>265</v>
      </c>
      <c r="C85" s="4" t="s">
        <v>234</v>
      </c>
      <c r="D85" s="4">
        <f t="shared" si="3"/>
        <v>16650</v>
      </c>
      <c r="E85" s="4" t="s">
        <v>506</v>
      </c>
      <c r="F85" s="4">
        <v>1</v>
      </c>
      <c r="G85" s="25" t="s">
        <v>517</v>
      </c>
    </row>
    <row r="86" spans="1:7" ht="66" x14ac:dyDescent="0.15">
      <c r="A86" s="70"/>
      <c r="B86" s="19">
        <v>266</v>
      </c>
      <c r="C86" s="4" t="s">
        <v>235</v>
      </c>
      <c r="D86" s="4">
        <f t="shared" si="3"/>
        <v>16651</v>
      </c>
      <c r="E86" s="4" t="s">
        <v>507</v>
      </c>
      <c r="F86" s="4">
        <v>1</v>
      </c>
      <c r="G86" s="25" t="s">
        <v>516</v>
      </c>
    </row>
    <row r="87" spans="1:7" x14ac:dyDescent="0.15">
      <c r="A87" s="70"/>
      <c r="B87" s="19">
        <v>267</v>
      </c>
      <c r="C87" s="4" t="s">
        <v>236</v>
      </c>
      <c r="D87" s="4">
        <f>16385+B87</f>
        <v>16652</v>
      </c>
      <c r="E87" s="4" t="s">
        <v>508</v>
      </c>
      <c r="F87" s="4">
        <v>1</v>
      </c>
      <c r="G87" s="26" t="s">
        <v>514</v>
      </c>
    </row>
    <row r="88" spans="1:7" x14ac:dyDescent="0.15">
      <c r="A88" s="70"/>
      <c r="B88" s="19">
        <v>268</v>
      </c>
      <c r="C88" s="4" t="s">
        <v>259</v>
      </c>
      <c r="D88" s="4">
        <f t="shared" si="3"/>
        <v>16653</v>
      </c>
      <c r="E88" s="4" t="s">
        <v>494</v>
      </c>
      <c r="F88" s="4">
        <v>1</v>
      </c>
      <c r="G88" s="26"/>
    </row>
    <row r="89" spans="1:7" x14ac:dyDescent="0.15">
      <c r="A89" s="70"/>
      <c r="B89" s="19">
        <v>269</v>
      </c>
      <c r="C89" s="4" t="s">
        <v>260</v>
      </c>
      <c r="D89" s="4">
        <f t="shared" si="3"/>
        <v>16654</v>
      </c>
      <c r="E89" s="4" t="s">
        <v>494</v>
      </c>
      <c r="F89" s="4">
        <v>1</v>
      </c>
      <c r="G89" s="26"/>
    </row>
    <row r="90" spans="1:7" x14ac:dyDescent="0.15">
      <c r="A90" s="70"/>
      <c r="B90" s="19">
        <v>270</v>
      </c>
      <c r="C90" s="4" t="s">
        <v>261</v>
      </c>
      <c r="D90" s="4">
        <f t="shared" si="3"/>
        <v>16655</v>
      </c>
      <c r="E90" s="4" t="s">
        <v>494</v>
      </c>
      <c r="F90" s="4">
        <v>1</v>
      </c>
      <c r="G90" s="26"/>
    </row>
    <row r="91" spans="1:7" x14ac:dyDescent="0.15">
      <c r="A91" s="70"/>
      <c r="B91" s="19">
        <v>271</v>
      </c>
      <c r="C91" s="4" t="s">
        <v>262</v>
      </c>
      <c r="D91" s="4">
        <f t="shared" si="3"/>
        <v>16656</v>
      </c>
      <c r="E91" s="4" t="s">
        <v>494</v>
      </c>
      <c r="F91" s="4">
        <v>1</v>
      </c>
      <c r="G91" s="26"/>
    </row>
    <row r="92" spans="1:7" x14ac:dyDescent="0.15">
      <c r="A92" s="70"/>
      <c r="B92" s="19">
        <v>272</v>
      </c>
      <c r="C92" s="4" t="s">
        <v>263</v>
      </c>
      <c r="D92" s="4">
        <f t="shared" si="3"/>
        <v>16657</v>
      </c>
      <c r="E92" s="4" t="s">
        <v>494</v>
      </c>
      <c r="F92" s="4">
        <v>1</v>
      </c>
      <c r="G92" s="26"/>
    </row>
    <row r="93" spans="1:7" x14ac:dyDescent="0.15">
      <c r="A93" s="70"/>
      <c r="B93" s="19">
        <v>273</v>
      </c>
      <c r="C93" s="4" t="s">
        <v>264</v>
      </c>
      <c r="D93" s="4">
        <f t="shared" si="3"/>
        <v>16658</v>
      </c>
      <c r="E93" s="4" t="s">
        <v>494</v>
      </c>
      <c r="F93" s="4">
        <v>1</v>
      </c>
      <c r="G93" s="26"/>
    </row>
    <row r="94" spans="1:7" x14ac:dyDescent="0.15">
      <c r="A94" s="70"/>
      <c r="B94" s="19">
        <v>274</v>
      </c>
      <c r="C94" s="4" t="s">
        <v>265</v>
      </c>
      <c r="D94" s="4">
        <f t="shared" si="3"/>
        <v>16659</v>
      </c>
      <c r="E94" s="4" t="s">
        <v>494</v>
      </c>
      <c r="F94" s="4">
        <v>1</v>
      </c>
      <c r="G94" s="26"/>
    </row>
    <row r="95" spans="1:7" x14ac:dyDescent="0.15">
      <c r="A95" s="70"/>
      <c r="B95" s="19">
        <v>275</v>
      </c>
      <c r="C95" s="4" t="s">
        <v>266</v>
      </c>
      <c r="D95" s="4">
        <f t="shared" si="3"/>
        <v>16660</v>
      </c>
      <c r="E95" s="4" t="s">
        <v>494</v>
      </c>
      <c r="F95" s="4">
        <v>1</v>
      </c>
      <c r="G95" s="26"/>
    </row>
    <row r="96" spans="1:7" x14ac:dyDescent="0.15">
      <c r="A96" s="70"/>
      <c r="B96" s="19">
        <v>276</v>
      </c>
      <c r="C96" s="4" t="s">
        <v>267</v>
      </c>
      <c r="D96" s="4">
        <f t="shared" si="3"/>
        <v>16661</v>
      </c>
      <c r="E96" s="4" t="s">
        <v>494</v>
      </c>
      <c r="F96" s="4">
        <v>1</v>
      </c>
      <c r="G96" s="26"/>
    </row>
    <row r="97" spans="1:7" x14ac:dyDescent="0.15">
      <c r="A97" s="70"/>
      <c r="B97" s="19">
        <v>277</v>
      </c>
      <c r="C97" s="4" t="s">
        <v>268</v>
      </c>
      <c r="D97" s="4">
        <f t="shared" si="3"/>
        <v>16662</v>
      </c>
      <c r="E97" s="4" t="s">
        <v>494</v>
      </c>
      <c r="F97" s="4">
        <v>1</v>
      </c>
      <c r="G97" s="26"/>
    </row>
    <row r="98" spans="1:7" x14ac:dyDescent="0.15">
      <c r="A98" s="70"/>
      <c r="B98" s="19">
        <v>278</v>
      </c>
      <c r="C98" s="4" t="s">
        <v>269</v>
      </c>
      <c r="D98" s="4">
        <f t="shared" si="3"/>
        <v>16663</v>
      </c>
      <c r="E98" s="4" t="s">
        <v>494</v>
      </c>
      <c r="F98" s="4">
        <v>1</v>
      </c>
      <c r="G98" s="26"/>
    </row>
    <row r="99" spans="1:7" x14ac:dyDescent="0.15">
      <c r="A99" s="70"/>
      <c r="B99" s="19">
        <v>279</v>
      </c>
      <c r="C99" s="4" t="s">
        <v>270</v>
      </c>
      <c r="D99" s="4">
        <f t="shared" si="3"/>
        <v>16664</v>
      </c>
      <c r="E99" s="4" t="s">
        <v>494</v>
      </c>
      <c r="F99" s="4">
        <v>1</v>
      </c>
      <c r="G99" s="26"/>
    </row>
    <row r="100" spans="1:7" x14ac:dyDescent="0.15">
      <c r="A100" s="70"/>
      <c r="B100" s="19">
        <v>280</v>
      </c>
      <c r="C100" s="4" t="s">
        <v>271</v>
      </c>
      <c r="D100" s="4">
        <f t="shared" si="3"/>
        <v>16665</v>
      </c>
      <c r="E100" s="4" t="s">
        <v>494</v>
      </c>
      <c r="F100" s="4">
        <v>1</v>
      </c>
      <c r="G100" s="26"/>
    </row>
    <row r="101" spans="1:7" x14ac:dyDescent="0.15">
      <c r="A101" s="70"/>
      <c r="B101" s="19">
        <v>281</v>
      </c>
      <c r="C101" s="4" t="s">
        <v>272</v>
      </c>
      <c r="D101" s="4">
        <f t="shared" si="3"/>
        <v>16666</v>
      </c>
      <c r="E101" s="4" t="s">
        <v>494</v>
      </c>
      <c r="F101" s="4">
        <v>1</v>
      </c>
      <c r="G101" s="26"/>
    </row>
    <row r="102" spans="1:7" x14ac:dyDescent="0.15">
      <c r="A102" s="70"/>
      <c r="B102" s="19">
        <v>282</v>
      </c>
      <c r="C102" s="4" t="s">
        <v>273</v>
      </c>
      <c r="D102" s="4">
        <f t="shared" si="3"/>
        <v>16667</v>
      </c>
      <c r="E102" s="4" t="s">
        <v>494</v>
      </c>
      <c r="F102" s="4">
        <v>1</v>
      </c>
      <c r="G102" s="26"/>
    </row>
    <row r="103" spans="1:7" x14ac:dyDescent="0.15">
      <c r="A103" s="70"/>
      <c r="B103" s="19">
        <v>283</v>
      </c>
      <c r="C103" s="4" t="s">
        <v>274</v>
      </c>
      <c r="D103" s="4">
        <f t="shared" si="3"/>
        <v>16668</v>
      </c>
      <c r="E103" s="4" t="s">
        <v>494</v>
      </c>
      <c r="F103" s="4">
        <v>1</v>
      </c>
      <c r="G103" s="26"/>
    </row>
    <row r="104" spans="1:7" x14ac:dyDescent="0.15">
      <c r="A104" s="70"/>
      <c r="B104" s="19">
        <v>284</v>
      </c>
      <c r="C104" s="4" t="s">
        <v>275</v>
      </c>
      <c r="D104" s="4">
        <f t="shared" si="3"/>
        <v>16669</v>
      </c>
      <c r="E104" s="4" t="s">
        <v>494</v>
      </c>
      <c r="F104" s="4">
        <v>1</v>
      </c>
      <c r="G104" s="26"/>
    </row>
    <row r="105" spans="1:7" ht="17.25" thickBot="1" x14ac:dyDescent="0.2">
      <c r="A105" s="71"/>
      <c r="B105" s="27" t="s">
        <v>276</v>
      </c>
      <c r="C105" s="28" t="s">
        <v>277</v>
      </c>
      <c r="D105" s="28"/>
      <c r="E105" s="28" t="s">
        <v>293</v>
      </c>
      <c r="F105" s="28">
        <v>1</v>
      </c>
      <c r="G105" s="29"/>
    </row>
    <row r="108" spans="1:7" x14ac:dyDescent="0.15">
      <c r="A108" s="20"/>
    </row>
    <row r="109" spans="1:7" x14ac:dyDescent="0.15">
      <c r="A109" s="20"/>
    </row>
  </sheetData>
  <mergeCells count="3">
    <mergeCell ref="A3:A74"/>
    <mergeCell ref="A1:G1"/>
    <mergeCell ref="A75:A105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15" sqref="I15"/>
    </sheetView>
  </sheetViews>
  <sheetFormatPr defaultColWidth="9" defaultRowHeight="16.5" x14ac:dyDescent="0.15"/>
  <cols>
    <col min="1" max="1" width="11.25" style="1" customWidth="1"/>
    <col min="2" max="2" width="16.625" style="1" bestFit="1" customWidth="1"/>
    <col min="3" max="3" width="17.375" style="1" bestFit="1" customWidth="1"/>
    <col min="4" max="4" width="15" style="1" customWidth="1"/>
    <col min="5" max="5" width="16.375" style="1" customWidth="1"/>
    <col min="6" max="6" width="37.25" style="2" customWidth="1"/>
    <col min="7" max="8" width="9" style="1"/>
    <col min="9" max="9" width="9.625" style="1" bestFit="1" customWidth="1"/>
    <col min="10" max="16384" width="9" style="1"/>
  </cols>
  <sheetData>
    <row r="1" spans="1:10" ht="82.5" customHeight="1" thickBot="1" x14ac:dyDescent="0.2">
      <c r="A1" s="73" t="s">
        <v>306</v>
      </c>
      <c r="B1" s="73"/>
      <c r="C1" s="73"/>
      <c r="D1" s="73"/>
      <c r="E1" s="73"/>
      <c r="F1" s="73"/>
      <c r="G1" s="8"/>
      <c r="H1" s="8"/>
      <c r="I1" s="8"/>
    </row>
    <row r="2" spans="1:10" ht="17.25" x14ac:dyDescent="0.15">
      <c r="A2" s="59" t="s">
        <v>286</v>
      </c>
      <c r="B2" s="9" t="s">
        <v>470</v>
      </c>
      <c r="C2" s="9" t="s">
        <v>472</v>
      </c>
      <c r="D2" s="9" t="s">
        <v>474</v>
      </c>
      <c r="E2" s="9" t="s">
        <v>520</v>
      </c>
      <c r="F2" s="61" t="s">
        <v>537</v>
      </c>
    </row>
    <row r="3" spans="1:10" x14ac:dyDescent="0.15">
      <c r="A3" s="72" t="s">
        <v>467</v>
      </c>
      <c r="B3" s="10">
        <v>0</v>
      </c>
      <c r="C3" s="13" t="s">
        <v>153</v>
      </c>
      <c r="D3" s="13">
        <f>24577+B3</f>
        <v>24577</v>
      </c>
      <c r="E3" s="3" t="s">
        <v>522</v>
      </c>
      <c r="F3" s="14" t="s">
        <v>523</v>
      </c>
      <c r="G3" s="18"/>
      <c r="J3" s="7"/>
    </row>
    <row r="4" spans="1:10" x14ac:dyDescent="0.15">
      <c r="A4" s="72"/>
      <c r="B4" s="16" t="s">
        <v>283</v>
      </c>
      <c r="C4" s="10" t="s">
        <v>284</v>
      </c>
      <c r="D4" s="10" t="s">
        <v>285</v>
      </c>
      <c r="E4" s="3" t="s">
        <v>524</v>
      </c>
      <c r="F4" s="14" t="s">
        <v>293</v>
      </c>
      <c r="J4" s="7"/>
    </row>
  </sheetData>
  <mergeCells count="2">
    <mergeCell ref="A3:A4"/>
    <mergeCell ref="A1:F1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G5" sqref="G5"/>
    </sheetView>
  </sheetViews>
  <sheetFormatPr defaultColWidth="9" defaultRowHeight="16.5" x14ac:dyDescent="0.15"/>
  <cols>
    <col min="1" max="1" width="11.25" style="1" customWidth="1"/>
    <col min="2" max="2" width="16.625" style="1" bestFit="1" customWidth="1"/>
    <col min="3" max="3" width="18.125" style="1" bestFit="1" customWidth="1"/>
    <col min="4" max="4" width="19" style="1" bestFit="1" customWidth="1"/>
    <col min="5" max="5" width="25.625" style="1" customWidth="1"/>
    <col min="6" max="6" width="37.25" style="2" customWidth="1"/>
    <col min="7" max="7" width="18.5" style="1" customWidth="1"/>
    <col min="8" max="8" width="9" style="1"/>
    <col min="9" max="9" width="9.625" style="1" bestFit="1" customWidth="1"/>
    <col min="10" max="16384" width="9" style="1"/>
  </cols>
  <sheetData>
    <row r="1" spans="1:10" ht="82.5" customHeight="1" thickBot="1" x14ac:dyDescent="0.2">
      <c r="A1" s="73" t="s">
        <v>308</v>
      </c>
      <c r="B1" s="73"/>
      <c r="C1" s="73"/>
      <c r="D1" s="73"/>
      <c r="E1" s="73"/>
      <c r="F1" s="73"/>
      <c r="G1" s="8"/>
      <c r="H1" s="8"/>
      <c r="I1" s="8"/>
    </row>
    <row r="2" spans="1:10" x14ac:dyDescent="0.15">
      <c r="A2" s="30" t="s">
        <v>286</v>
      </c>
      <c r="B2" s="30" t="s">
        <v>295</v>
      </c>
      <c r="C2" s="30" t="s">
        <v>296</v>
      </c>
      <c r="D2" s="30" t="s">
        <v>298</v>
      </c>
      <c r="E2" s="30" t="s">
        <v>520</v>
      </c>
      <c r="F2" s="31" t="s">
        <v>534</v>
      </c>
    </row>
    <row r="3" spans="1:10" x14ac:dyDescent="0.15">
      <c r="A3" s="74" t="s">
        <v>309</v>
      </c>
      <c r="B3" s="41">
        <v>0</v>
      </c>
      <c r="C3" s="41" t="s">
        <v>138</v>
      </c>
      <c r="D3" s="41">
        <f>25089+B3</f>
        <v>25089</v>
      </c>
      <c r="E3" s="21" t="s">
        <v>475</v>
      </c>
      <c r="F3" s="42" t="s">
        <v>466</v>
      </c>
      <c r="G3" s="18"/>
      <c r="J3" s="7"/>
    </row>
    <row r="4" spans="1:10" ht="33" x14ac:dyDescent="0.15">
      <c r="A4" s="75"/>
      <c r="B4" s="10">
        <v>1</v>
      </c>
      <c r="C4" s="10" t="s">
        <v>139</v>
      </c>
      <c r="D4" s="10">
        <f t="shared" ref="D4:D31" si="0">25089+B4</f>
        <v>25090</v>
      </c>
      <c r="E4" s="3" t="s">
        <v>476</v>
      </c>
      <c r="F4" s="62" t="s">
        <v>543</v>
      </c>
      <c r="J4" s="7"/>
    </row>
    <row r="5" spans="1:10" ht="33" x14ac:dyDescent="0.15">
      <c r="A5" s="75"/>
      <c r="B5" s="10">
        <v>2</v>
      </c>
      <c r="C5" s="10" t="s">
        <v>140</v>
      </c>
      <c r="D5" s="10">
        <f t="shared" si="0"/>
        <v>25091</v>
      </c>
      <c r="E5" s="3" t="s">
        <v>11</v>
      </c>
      <c r="F5" s="25" t="s">
        <v>544</v>
      </c>
      <c r="J5" s="7"/>
    </row>
    <row r="6" spans="1:10" x14ac:dyDescent="0.15">
      <c r="A6" s="75"/>
      <c r="B6" s="10">
        <v>3</v>
      </c>
      <c r="C6" s="10" t="s">
        <v>141</v>
      </c>
      <c r="D6" s="10">
        <f t="shared" si="0"/>
        <v>25092</v>
      </c>
      <c r="E6" s="3" t="s">
        <v>477</v>
      </c>
      <c r="F6" s="38" t="s">
        <v>466</v>
      </c>
      <c r="J6" s="7"/>
    </row>
    <row r="7" spans="1:10" x14ac:dyDescent="0.15">
      <c r="A7" s="75"/>
      <c r="B7" s="10">
        <v>4</v>
      </c>
      <c r="C7" s="10" t="s">
        <v>142</v>
      </c>
      <c r="D7" s="10">
        <f t="shared" si="0"/>
        <v>25093</v>
      </c>
      <c r="E7" s="3" t="s">
        <v>478</v>
      </c>
      <c r="F7" s="38" t="s">
        <v>479</v>
      </c>
      <c r="J7" s="7"/>
    </row>
    <row r="8" spans="1:10" ht="33" x14ac:dyDescent="0.15">
      <c r="A8" s="75"/>
      <c r="B8" s="10">
        <v>5</v>
      </c>
      <c r="C8" s="10" t="s">
        <v>143</v>
      </c>
      <c r="D8" s="10">
        <f t="shared" si="0"/>
        <v>25094</v>
      </c>
      <c r="E8" s="3" t="s">
        <v>480</v>
      </c>
      <c r="F8" s="38" t="s">
        <v>481</v>
      </c>
      <c r="J8" s="7"/>
    </row>
    <row r="9" spans="1:10" x14ac:dyDescent="0.15">
      <c r="A9" s="75"/>
      <c r="B9" s="10">
        <v>6</v>
      </c>
      <c r="C9" s="10" t="s">
        <v>144</v>
      </c>
      <c r="D9" s="10">
        <f t="shared" si="0"/>
        <v>25095</v>
      </c>
      <c r="E9" s="4" t="s">
        <v>525</v>
      </c>
      <c r="F9" s="38" t="s">
        <v>509</v>
      </c>
      <c r="J9" s="7"/>
    </row>
    <row r="10" spans="1:10" x14ac:dyDescent="0.15">
      <c r="A10" s="75"/>
      <c r="B10" s="10">
        <v>7</v>
      </c>
      <c r="C10" s="10" t="s">
        <v>145</v>
      </c>
      <c r="D10" s="10">
        <f t="shared" si="0"/>
        <v>25096</v>
      </c>
      <c r="E10" s="50" t="s">
        <v>540</v>
      </c>
      <c r="F10" s="38" t="s">
        <v>485</v>
      </c>
      <c r="J10" s="7"/>
    </row>
    <row r="11" spans="1:10" x14ac:dyDescent="0.15">
      <c r="A11" s="75"/>
      <c r="B11" s="10">
        <v>8</v>
      </c>
      <c r="C11" s="10" t="s">
        <v>146</v>
      </c>
      <c r="D11" s="10">
        <f t="shared" si="0"/>
        <v>25097</v>
      </c>
      <c r="E11" s="4" t="s">
        <v>482</v>
      </c>
      <c r="F11" s="38" t="s">
        <v>486</v>
      </c>
      <c r="J11" s="7"/>
    </row>
    <row r="12" spans="1:10" x14ac:dyDescent="0.15">
      <c r="A12" s="75"/>
      <c r="B12" s="10">
        <v>9</v>
      </c>
      <c r="C12" s="10" t="s">
        <v>147</v>
      </c>
      <c r="D12" s="10">
        <f t="shared" si="0"/>
        <v>25098</v>
      </c>
      <c r="E12" s="4" t="s">
        <v>483</v>
      </c>
      <c r="F12" s="25" t="s">
        <v>487</v>
      </c>
      <c r="J12" s="7"/>
    </row>
    <row r="13" spans="1:10" ht="33" x14ac:dyDescent="0.15">
      <c r="A13" s="75"/>
      <c r="B13" s="10">
        <v>10</v>
      </c>
      <c r="C13" s="10" t="s">
        <v>148</v>
      </c>
      <c r="D13" s="10">
        <f t="shared" si="0"/>
        <v>25099</v>
      </c>
      <c r="E13" s="3" t="s">
        <v>484</v>
      </c>
      <c r="F13" s="25" t="s">
        <v>490</v>
      </c>
      <c r="J13" s="7"/>
    </row>
    <row r="14" spans="1:10" ht="66" x14ac:dyDescent="0.15">
      <c r="A14" s="75"/>
      <c r="B14" s="10">
        <v>11</v>
      </c>
      <c r="C14" s="10" t="s">
        <v>149</v>
      </c>
      <c r="D14" s="10">
        <f t="shared" si="0"/>
        <v>25100</v>
      </c>
      <c r="E14" s="3" t="s">
        <v>488</v>
      </c>
      <c r="F14" s="38" t="s">
        <v>515</v>
      </c>
      <c r="G14" s="17"/>
      <c r="J14" s="7"/>
    </row>
    <row r="15" spans="1:10" x14ac:dyDescent="0.15">
      <c r="A15" s="75"/>
      <c r="B15" s="10">
        <v>12</v>
      </c>
      <c r="C15" s="10" t="s">
        <v>150</v>
      </c>
      <c r="D15" s="10">
        <f t="shared" si="0"/>
        <v>25101</v>
      </c>
      <c r="E15" s="3" t="s">
        <v>489</v>
      </c>
      <c r="F15" s="38" t="s">
        <v>491</v>
      </c>
      <c r="G15" s="17"/>
      <c r="J15" s="7"/>
    </row>
    <row r="16" spans="1:10" x14ac:dyDescent="0.15">
      <c r="A16" s="75"/>
      <c r="B16" s="10">
        <v>13</v>
      </c>
      <c r="C16" s="10" t="s">
        <v>151</v>
      </c>
      <c r="D16" s="10">
        <f t="shared" ref="D16:D32" si="1">25089+B16</f>
        <v>25102</v>
      </c>
      <c r="E16" s="4" t="s">
        <v>293</v>
      </c>
      <c r="F16" s="38"/>
      <c r="G16" s="17"/>
      <c r="J16" s="7"/>
    </row>
    <row r="17" spans="1:10" x14ac:dyDescent="0.15">
      <c r="A17" s="75"/>
      <c r="B17" s="10">
        <v>14</v>
      </c>
      <c r="C17" s="10" t="s">
        <v>243</v>
      </c>
      <c r="D17" s="10">
        <f t="shared" si="0"/>
        <v>25103</v>
      </c>
      <c r="E17" s="4" t="s">
        <v>293</v>
      </c>
      <c r="F17" s="38"/>
      <c r="G17" s="17"/>
      <c r="J17" s="7"/>
    </row>
    <row r="18" spans="1:10" x14ac:dyDescent="0.15">
      <c r="A18" s="75"/>
      <c r="B18" s="10">
        <v>15</v>
      </c>
      <c r="C18" s="10" t="s">
        <v>244</v>
      </c>
      <c r="D18" s="10">
        <f t="shared" si="1"/>
        <v>25104</v>
      </c>
      <c r="E18" s="4" t="s">
        <v>293</v>
      </c>
      <c r="F18" s="38"/>
      <c r="G18" s="17"/>
      <c r="J18" s="7"/>
    </row>
    <row r="19" spans="1:10" x14ac:dyDescent="0.15">
      <c r="A19" s="75"/>
      <c r="B19" s="10">
        <v>16</v>
      </c>
      <c r="C19" s="10" t="s">
        <v>245</v>
      </c>
      <c r="D19" s="10">
        <f t="shared" si="0"/>
        <v>25105</v>
      </c>
      <c r="E19" s="4" t="s">
        <v>293</v>
      </c>
      <c r="F19" s="38"/>
      <c r="G19" s="17"/>
      <c r="J19" s="7"/>
    </row>
    <row r="20" spans="1:10" x14ac:dyDescent="0.15">
      <c r="A20" s="75"/>
      <c r="B20" s="10">
        <v>17</v>
      </c>
      <c r="C20" s="10" t="s">
        <v>246</v>
      </c>
      <c r="D20" s="10">
        <f t="shared" si="1"/>
        <v>25106</v>
      </c>
      <c r="E20" s="4" t="s">
        <v>293</v>
      </c>
      <c r="F20" s="38"/>
      <c r="G20" s="17"/>
      <c r="J20" s="7"/>
    </row>
    <row r="21" spans="1:10" x14ac:dyDescent="0.15">
      <c r="A21" s="75"/>
      <c r="B21" s="10">
        <v>18</v>
      </c>
      <c r="C21" s="10" t="s">
        <v>247</v>
      </c>
      <c r="D21" s="10">
        <f t="shared" si="0"/>
        <v>25107</v>
      </c>
      <c r="E21" s="4" t="s">
        <v>293</v>
      </c>
      <c r="F21" s="38"/>
      <c r="G21" s="17"/>
      <c r="J21" s="7"/>
    </row>
    <row r="22" spans="1:10" x14ac:dyDescent="0.15">
      <c r="A22" s="75"/>
      <c r="B22" s="10">
        <v>19</v>
      </c>
      <c r="C22" s="10" t="s">
        <v>248</v>
      </c>
      <c r="D22" s="10">
        <f t="shared" si="1"/>
        <v>25108</v>
      </c>
      <c r="E22" s="4" t="s">
        <v>293</v>
      </c>
      <c r="F22" s="38"/>
      <c r="G22" s="17"/>
      <c r="J22" s="7"/>
    </row>
    <row r="23" spans="1:10" x14ac:dyDescent="0.15">
      <c r="A23" s="75"/>
      <c r="B23" s="10">
        <v>20</v>
      </c>
      <c r="C23" s="10" t="s">
        <v>249</v>
      </c>
      <c r="D23" s="10">
        <f t="shared" si="0"/>
        <v>25109</v>
      </c>
      <c r="E23" s="4" t="s">
        <v>293</v>
      </c>
      <c r="F23" s="38"/>
      <c r="G23" s="17"/>
      <c r="J23" s="7"/>
    </row>
    <row r="24" spans="1:10" x14ac:dyDescent="0.15">
      <c r="A24" s="75"/>
      <c r="B24" s="10">
        <v>21</v>
      </c>
      <c r="C24" s="10" t="s">
        <v>250</v>
      </c>
      <c r="D24" s="10">
        <f t="shared" si="1"/>
        <v>25110</v>
      </c>
      <c r="E24" s="4" t="s">
        <v>293</v>
      </c>
      <c r="F24" s="38"/>
      <c r="G24" s="17"/>
      <c r="J24" s="7"/>
    </row>
    <row r="25" spans="1:10" x14ac:dyDescent="0.15">
      <c r="A25" s="75"/>
      <c r="B25" s="10">
        <v>22</v>
      </c>
      <c r="C25" s="10" t="s">
        <v>251</v>
      </c>
      <c r="D25" s="10">
        <f t="shared" si="0"/>
        <v>25111</v>
      </c>
      <c r="E25" s="4" t="s">
        <v>293</v>
      </c>
      <c r="F25" s="38"/>
      <c r="G25" s="17"/>
      <c r="J25" s="7"/>
    </row>
    <row r="26" spans="1:10" x14ac:dyDescent="0.15">
      <c r="A26" s="75"/>
      <c r="B26" s="10">
        <v>23</v>
      </c>
      <c r="C26" s="10" t="s">
        <v>252</v>
      </c>
      <c r="D26" s="10">
        <f t="shared" si="1"/>
        <v>25112</v>
      </c>
      <c r="E26" s="4" t="s">
        <v>293</v>
      </c>
      <c r="F26" s="38"/>
      <c r="G26" s="17"/>
      <c r="J26" s="7"/>
    </row>
    <row r="27" spans="1:10" x14ac:dyDescent="0.15">
      <c r="A27" s="75"/>
      <c r="B27" s="10">
        <v>24</v>
      </c>
      <c r="C27" s="10" t="s">
        <v>253</v>
      </c>
      <c r="D27" s="10">
        <f t="shared" si="0"/>
        <v>25113</v>
      </c>
      <c r="E27" s="4" t="s">
        <v>293</v>
      </c>
      <c r="F27" s="38"/>
      <c r="G27" s="17"/>
      <c r="J27" s="7"/>
    </row>
    <row r="28" spans="1:10" x14ac:dyDescent="0.15">
      <c r="A28" s="75"/>
      <c r="B28" s="10">
        <v>25</v>
      </c>
      <c r="C28" s="10" t="s">
        <v>254</v>
      </c>
      <c r="D28" s="10">
        <f t="shared" si="1"/>
        <v>25114</v>
      </c>
      <c r="E28" s="4" t="s">
        <v>293</v>
      </c>
      <c r="F28" s="38"/>
      <c r="G28" s="17"/>
      <c r="J28" s="7"/>
    </row>
    <row r="29" spans="1:10" x14ac:dyDescent="0.15">
      <c r="A29" s="75"/>
      <c r="B29" s="10">
        <v>26</v>
      </c>
      <c r="C29" s="10" t="s">
        <v>255</v>
      </c>
      <c r="D29" s="10">
        <f t="shared" si="0"/>
        <v>25115</v>
      </c>
      <c r="E29" s="4" t="s">
        <v>293</v>
      </c>
      <c r="F29" s="38"/>
      <c r="G29" s="17"/>
      <c r="J29" s="7"/>
    </row>
    <row r="30" spans="1:10" x14ac:dyDescent="0.15">
      <c r="A30" s="75"/>
      <c r="B30" s="10">
        <v>27</v>
      </c>
      <c r="C30" s="10" t="s">
        <v>256</v>
      </c>
      <c r="D30" s="10">
        <f t="shared" si="1"/>
        <v>25116</v>
      </c>
      <c r="E30" s="4" t="s">
        <v>293</v>
      </c>
      <c r="F30" s="38"/>
      <c r="G30" s="17"/>
      <c r="J30" s="7"/>
    </row>
    <row r="31" spans="1:10" x14ac:dyDescent="0.15">
      <c r="A31" s="75"/>
      <c r="B31" s="10">
        <v>28</v>
      </c>
      <c r="C31" s="10" t="s">
        <v>257</v>
      </c>
      <c r="D31" s="10">
        <f t="shared" si="0"/>
        <v>25117</v>
      </c>
      <c r="E31" s="4" t="s">
        <v>293</v>
      </c>
      <c r="F31" s="38"/>
      <c r="G31" s="17"/>
      <c r="J31" s="7"/>
    </row>
    <row r="32" spans="1:10" ht="17.25" thickBot="1" x14ac:dyDescent="0.2">
      <c r="A32" s="76"/>
      <c r="B32" s="37">
        <v>29</v>
      </c>
      <c r="C32" s="37" t="s">
        <v>258</v>
      </c>
      <c r="D32" s="37">
        <f t="shared" si="1"/>
        <v>25118</v>
      </c>
      <c r="E32" s="28" t="s">
        <v>293</v>
      </c>
      <c r="F32" s="39"/>
      <c r="G32" s="17"/>
      <c r="J32" s="7"/>
    </row>
    <row r="35" spans="1:6" x14ac:dyDescent="0.15">
      <c r="A35" s="20"/>
      <c r="F35" s="1"/>
    </row>
    <row r="36" spans="1:6" x14ac:dyDescent="0.15">
      <c r="A36" s="20"/>
      <c r="F36" s="1"/>
    </row>
    <row r="37" spans="1:6" x14ac:dyDescent="0.15">
      <c r="F37" s="1"/>
    </row>
    <row r="38" spans="1:6" x14ac:dyDescent="0.15">
      <c r="F38" s="1"/>
    </row>
  </sheetData>
  <mergeCells count="2">
    <mergeCell ref="A1:F1"/>
    <mergeCell ref="A3:A3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Remote signaling quantity</vt:lpstr>
      <vt:lpstr>Telemetering quantity</vt:lpstr>
      <vt:lpstr>Remote control quantity</vt:lpstr>
      <vt:lpstr>Teleadjusting quantity</vt:lpstr>
      <vt:lpstr>'Telemetering quantity'!OLE_LINK2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林俊腾</cp:lastModifiedBy>
  <dcterms:created xsi:type="dcterms:W3CDTF">2020-06-30T01:55:00Z</dcterms:created>
  <dcterms:modified xsi:type="dcterms:W3CDTF">2024-06-11T01:36:12Z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CA49F77AFF2C4D158E0348B74FAA6507</vt:lpwstr>
  </property>
  <property fmtid="{D5CDD505-2E9C-101B-9397-08002B2CF9AE}" pid="3" name="KSOProductBuildVer">
    <vt:lpwstr>2052-11.1.0.11744</vt:lpwstr>
  </property>
</Properties>
</file>