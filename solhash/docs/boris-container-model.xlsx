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S19j-Pro" sheetId="3" state="visible" r:id="rId3"/>
    <sheet xmlns:r="http://schemas.openxmlformats.org/officeDocument/2006/relationships" name="S21-200T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Price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&quot;$&quot;#,##0"/>
    <numFmt numFmtId="167" formatCode="0.00 &quot;yr&quot;"/>
    <numFmt numFmtId="168" formatCode="#,##0.00 &quot;PH/s&quot;"/>
    <numFmt numFmtId="169" formatCode="0.00&quot;×&quot;"/>
  </numFmts>
  <fonts count="11">
    <font>
      <name val="Calibri"/>
      <family val="2"/>
      <color theme="1"/>
      <sz val="11"/>
      <scheme val="minor"/>
    </font>
    <font>
      <name val="Calibri"/>
      <b val="1"/>
      <color rgb="00C9A432"/>
      <sz val="13"/>
    </font>
    <font>
      <name val="Calibri"/>
      <color rgb="00404040"/>
      <sz val="9"/>
    </font>
    <font>
      <name val="Calibri"/>
      <b val="1"/>
      <color rgb="001A365D"/>
      <sz val="10"/>
    </font>
    <font>
      <name val="Calibri"/>
      <color rgb="001A1A1A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b val="1"/>
      <color rgb="001A365D"/>
      <sz val="11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9C4"/>
      </patternFill>
    </fill>
    <fill>
      <patternFill patternType="solid">
        <fgColor rgb="00EEF2F8"/>
      </patternFill>
    </fill>
    <fill>
      <patternFill patternType="solid">
        <fgColor rgb="00E8F5E9"/>
      </patternFill>
    </fill>
    <fill>
      <patternFill patternType="solid">
        <fgColor rgb="00F7F9FC"/>
      </patternFill>
    </fill>
    <fill>
      <patternFill patternType="solid">
        <fgColor rgb="00C9A432"/>
      </patternFill>
    </fill>
  </fills>
  <borders count="2">
    <border>
      <left/>
      <right/>
      <top/>
      <bottom/>
      <diagonal/>
    </border>
    <border>
      <bottom style="medium">
        <color rgb="001A365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10" fontId="4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6" fontId="8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right" vertical="center"/>
    </xf>
    <xf numFmtId="167" fontId="7" fillId="6" borderId="0" applyAlignment="1" pivotButton="0" quotePrefix="0" xfId="0">
      <alignment horizontal="right" vertical="center"/>
    </xf>
    <xf numFmtId="166" fontId="6" fillId="6" borderId="0" applyAlignment="1" pivotButton="0" quotePrefix="0" xfId="0">
      <alignment horizontal="right" vertical="center"/>
    </xf>
    <xf numFmtId="167" fontId="6" fillId="6" borderId="0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168" fontId="6" fillId="6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164" fontId="7" fillId="5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432"/>
    <outlinePr summaryBelow="1" summaryRight="1"/>
    <pageSetUpPr/>
  </sheetPr>
  <dimension ref="A1:D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4" customWidth="1" min="4" max="4"/>
  </cols>
  <sheetData>
    <row r="1" ht="28" customHeight="1">
      <c r="A1" s="1" t="inlineStr">
        <is>
          <t>MINING CONTAINER MODEL — INPUTS</t>
        </is>
      </c>
    </row>
    <row r="2" ht="16" customHeight="1">
      <c r="A2" s="2" t="inlineStr">
        <is>
          <t>Yellow cells are editable. All other sheets read from here.</t>
        </is>
      </c>
    </row>
    <row r="4" ht="22" customHeight="1">
      <c r="A4" s="3" t="inlineStr">
        <is>
          <t>HASHRATE &amp; MARKET</t>
        </is>
      </c>
    </row>
    <row r="5">
      <c r="A5" s="4" t="inlineStr">
        <is>
          <t>Hashprice (BTC/PH/day)</t>
        </is>
      </c>
      <c r="B5" s="5" t="n">
        <v>0.00049578</v>
      </c>
      <c r="C5" s="2" t="inlineStr">
        <is>
          <t>BTC/PH/day</t>
        </is>
      </c>
      <c r="D5" s="2" t="inlineStr">
        <is>
          <t>Hashrate Index 14 Sep 2026, diff 127.45T</t>
        </is>
      </c>
    </row>
    <row r="6">
      <c r="A6" s="4" t="inlineStr">
        <is>
          <t>Pool fee</t>
        </is>
      </c>
      <c r="B6" s="6" t="n">
        <v>0.02</v>
      </c>
      <c r="C6" s="2" t="inlineStr">
        <is>
          <t>%</t>
        </is>
      </c>
      <c r="D6" s="2" t="inlineStr">
        <is>
          <t>2% (standard Braiins / Foundry)</t>
        </is>
      </c>
    </row>
    <row r="7">
      <c r="A7" s="4" t="inlineStr">
        <is>
          <t>Daytime hours / day</t>
        </is>
      </c>
      <c r="B7" s="5" t="n">
        <v>8</v>
      </c>
      <c r="C7" s="2" t="inlineStr">
        <is>
          <t>h/day</t>
        </is>
      </c>
      <c r="D7" s="2" t="inlineStr">
        <is>
          <t>Cyprus solar, 8 productive sun hours</t>
        </is>
      </c>
    </row>
    <row r="8">
      <c r="A8" s="4" t="inlineStr">
        <is>
          <t>BTC price — scenario 1</t>
        </is>
      </c>
      <c r="B8" s="5" t="n">
        <v>60000</v>
      </c>
      <c r="C8" s="2" t="inlineStr">
        <is>
          <t>USD</t>
        </is>
      </c>
      <c r="D8" s="2" t="inlineStr">
        <is>
          <t>Low</t>
        </is>
      </c>
    </row>
    <row r="9">
      <c r="A9" s="4" t="inlineStr">
        <is>
          <t>BTC price — scenario 2</t>
        </is>
      </c>
      <c r="B9" s="5" t="n">
        <v>80000</v>
      </c>
      <c r="C9" s="2" t="inlineStr">
        <is>
          <t>USD</t>
        </is>
      </c>
      <c r="D9" s="2" t="inlineStr">
        <is>
          <t>Mid (near live $78,274)</t>
        </is>
      </c>
    </row>
    <row r="10">
      <c r="A10" s="4" t="inlineStr">
        <is>
          <t>BTC price — scenario 3</t>
        </is>
      </c>
      <c r="B10" s="5" t="n">
        <v>100000</v>
      </c>
      <c r="C10" s="2" t="inlineStr">
        <is>
          <t>USD</t>
        </is>
      </c>
      <c r="D10" s="2" t="inlineStr">
        <is>
          <t>Base</t>
        </is>
      </c>
    </row>
    <row r="11">
      <c r="A11" s="4" t="inlineStr">
        <is>
          <t>BTC price — scenario 4</t>
        </is>
      </c>
      <c r="B11" s="5" t="n">
        <v>120000</v>
      </c>
      <c r="C11" s="2" t="inlineStr">
        <is>
          <t>USD</t>
        </is>
      </c>
      <c r="D11" s="2" t="inlineStr">
        <is>
          <t>High</t>
        </is>
      </c>
    </row>
    <row r="13" ht="22" customHeight="1">
      <c r="A13" s="3" t="inlineStr">
        <is>
          <t>MINER SPECS</t>
        </is>
      </c>
    </row>
    <row r="14">
      <c r="A14" s="4" t="inlineStr">
        <is>
          <t>S19j Pro — hashrate</t>
        </is>
      </c>
      <c r="B14" s="5" t="n">
        <v>104</v>
      </c>
      <c r="C14" s="2" t="inlineStr">
        <is>
          <t>TH/s</t>
        </is>
      </c>
      <c r="D14" s="2" t="inlineStr">
        <is>
          <t>Bitmain spec</t>
        </is>
      </c>
    </row>
    <row r="15">
      <c r="A15" s="4" t="inlineStr">
        <is>
          <t>S19j Pro — power</t>
        </is>
      </c>
      <c r="B15" s="5" t="n">
        <v>3068</v>
      </c>
      <c r="C15" s="2" t="inlineStr">
        <is>
          <t>W</t>
        </is>
      </c>
      <c r="D15" s="2" t="inlineStr">
        <is>
          <t>At wall, 25°C, Bitmain spec</t>
        </is>
      </c>
    </row>
    <row r="16">
      <c r="A16" s="4" t="inlineStr">
        <is>
          <t>S19j Pro — unit price</t>
        </is>
      </c>
      <c r="B16" s="5" t="n">
        <v>300</v>
      </c>
      <c r="C16" s="2" t="inlineStr">
        <is>
          <t>USD</t>
        </is>
      </c>
      <c r="D16" s="2" t="inlineStr">
        <is>
          <t>Mid-market used: BitmainMiners $156-$312, Digital Bridge $312</t>
        </is>
      </c>
    </row>
    <row r="17">
      <c r="A17" s="4" t="inlineStr">
        <is>
          <t>S21 200T — hashrate</t>
        </is>
      </c>
      <c r="B17" s="5" t="n">
        <v>200</v>
      </c>
      <c r="C17" s="2" t="inlineStr">
        <is>
          <t>TH/s</t>
        </is>
      </c>
      <c r="D17" s="2" t="inlineStr">
        <is>
          <t>Bitmain spec</t>
        </is>
      </c>
    </row>
    <row r="18">
      <c r="A18" s="4" t="inlineStr">
        <is>
          <t>S21 200T — power</t>
        </is>
      </c>
      <c r="B18" s="5" t="n">
        <v>3500</v>
      </c>
      <c r="C18" s="2" t="inlineStr">
        <is>
          <t>W</t>
        </is>
      </c>
      <c r="D18" s="2" t="inlineStr">
        <is>
          <t>At wall, 25°C, Bitmain spec</t>
        </is>
      </c>
    </row>
    <row r="19">
      <c r="A19" s="4" t="inlineStr">
        <is>
          <t>S21 200T — unit price</t>
        </is>
      </c>
      <c r="B19" s="5" t="n">
        <v>1000</v>
      </c>
      <c r="C19" s="2" t="inlineStr">
        <is>
          <t>USD</t>
        </is>
      </c>
      <c r="D19" s="2" t="inlineStr">
        <is>
          <t>Mid-market used: ECOS $900, Bitark $1,100 (Sep 2026)</t>
        </is>
      </c>
    </row>
    <row r="20">
      <c r="A20" s="4" t="inlineStr">
        <is>
          <t>Container slots</t>
        </is>
      </c>
      <c r="B20" s="5" t="n">
        <v>168</v>
      </c>
      <c r="C20" s="2" t="inlineStr">
        <is>
          <t>miners</t>
        </is>
      </c>
      <c r="D20" s="2" t="inlineStr">
        <is>
          <t>OneMiners 20ft 168-slot S19/S21 compatible</t>
        </is>
      </c>
    </row>
    <row r="21">
      <c r="A21" s="4" t="inlineStr">
        <is>
          <t>Container price</t>
        </is>
      </c>
      <c r="B21" s="5" t="n">
        <v>25118</v>
      </c>
      <c r="C21" s="2" t="inlineStr">
        <is>
          <t>USD</t>
        </is>
      </c>
      <c r="D21" s="2" t="inlineStr">
        <is>
          <t>OneMiners list price Sep 2026</t>
        </is>
      </c>
    </row>
    <row r="22">
      <c r="A22" s="4" t="inlineStr">
        <is>
          <t>Container fans aux</t>
        </is>
      </c>
      <c r="B22" s="5" t="n">
        <v>25</v>
      </c>
      <c r="C22" s="2" t="inlineStr">
        <is>
          <t>kW</t>
        </is>
      </c>
      <c r="D22" s="2" t="inlineStr">
        <is>
          <t>~4-5% of miner load</t>
        </is>
      </c>
    </row>
    <row r="23">
      <c r="A23" s="4" t="inlineStr">
        <is>
          <t>Year-1 failure rate</t>
        </is>
      </c>
      <c r="B23" s="6" t="n">
        <v>0.15</v>
      </c>
      <c r="C23" s="2" t="inlineStr">
        <is>
          <t>%</t>
        </is>
      </c>
      <c r="D23" s="2" t="inlineStr">
        <is>
          <t>Used miners; not replaced</t>
        </is>
      </c>
    </row>
    <row r="24">
      <c r="A24" s="4" t="inlineStr">
        <is>
          <t>Uptime Y2-Y5</t>
        </is>
      </c>
      <c r="B24" s="6" t="n">
        <v>0.85</v>
      </c>
      <c r="C24" s="2" t="inlineStr">
        <is>
          <t>%</t>
        </is>
      </c>
      <c r="D24" s="2" t="inlineStr">
        <is>
          <t>85% of fleet (15% dead, no replacement)</t>
        </is>
      </c>
    </row>
    <row r="26" ht="22" customHeight="1">
      <c r="A26" s="3" t="inlineStr">
        <is>
          <t>IMPORT COSTS (CHINA → LIMASSOL)</t>
        </is>
      </c>
    </row>
    <row r="27">
      <c r="A27" s="4" t="inlineStr">
        <is>
          <t>Ocean freight (per container)</t>
        </is>
      </c>
      <c r="B27" s="5" t="n">
        <v>4000</v>
      </c>
      <c r="C27" s="2" t="inlineStr">
        <is>
          <t>USD</t>
        </is>
      </c>
      <c r="D27" s="2" t="inlineStr">
        <is>
          <t>China–Limassol FCL 20ft; published range $2,250-$4,400</t>
        </is>
      </c>
    </row>
    <row r="28">
      <c r="A28" s="4" t="inlineStr">
        <is>
          <t>Marine insurance rate</t>
        </is>
      </c>
      <c r="B28" s="7" t="n">
        <v>0.003</v>
      </c>
      <c r="C28" s="2" t="inlineStr">
        <is>
          <t>%</t>
        </is>
      </c>
      <c r="D28" s="2" t="inlineStr">
        <is>
          <t>0.3% of FOB</t>
        </is>
      </c>
    </row>
    <row r="29">
      <c r="A29" s="4" t="inlineStr">
        <is>
          <t>Customs duty rate</t>
        </is>
      </c>
      <c r="B29" s="6" t="n">
        <v>0</v>
      </c>
      <c r="C29" s="2" t="inlineStr">
        <is>
          <t>%</t>
        </is>
      </c>
      <c r="D29" s="2" t="inlineStr">
        <is>
          <t>0% under EU TARIC 8471 (ITA/German BTI); 8543 alt = 3.7%</t>
        </is>
      </c>
    </row>
    <row r="30">
      <c r="A30" s="4" t="inlineStr">
        <is>
          <t>Cyprus import VAT</t>
        </is>
      </c>
      <c r="B30" s="6" t="n">
        <v>0.19</v>
      </c>
      <c r="C30" s="2" t="inlineStr">
        <is>
          <t>%</t>
        </is>
      </c>
      <c r="D30" s="2" t="inlineStr">
        <is>
          <t>19% on (CIF + duty + THC); reclaimable by VAT-reg entity</t>
        </is>
      </c>
    </row>
    <row r="31">
      <c r="A31" s="4" t="inlineStr">
        <is>
          <t>Limassol terminal (THC)</t>
        </is>
      </c>
      <c r="B31" s="5" t="n">
        <v>300</v>
      </c>
      <c r="C31" s="2" t="inlineStr">
        <is>
          <t>USD</t>
        </is>
      </c>
      <c r="D31" s="2" t="inlineStr">
        <is>
          <t>EUROGATE €260.85 / 20ft (Feb 2026 tariff), converted</t>
        </is>
      </c>
    </row>
    <row r="32">
      <c r="A32" s="4" t="inlineStr">
        <is>
          <t>Customs broker</t>
        </is>
      </c>
      <c r="B32" s="5" t="n">
        <v>287</v>
      </c>
      <c r="C32" s="2" t="inlineStr">
        <is>
          <t>USD</t>
        </is>
      </c>
      <c r="D32" s="2" t="inlineStr">
        <is>
          <t>~€250 est.</t>
        </is>
      </c>
    </row>
    <row r="34" ht="22" customHeight="1">
      <c r="A34" s="3" t="inlineStr">
        <is>
          <t>HALVING</t>
        </is>
      </c>
    </row>
    <row r="35">
      <c r="A35" s="4" t="inlineStr">
        <is>
          <t>Halving date</t>
        </is>
      </c>
      <c r="B35" s="5" t="inlineStr">
        <is>
          <t>13-Apr-2028</t>
        </is>
      </c>
      <c r="C35" s="2" t="inlineStr"/>
      <c r="D35" s="2" t="inlineStr">
        <is>
          <t>Block 1,050,000; subsidy 3.125 → 1.5625 BTC</t>
        </is>
      </c>
    </row>
    <row r="36">
      <c r="A36" s="4" t="inlineStr">
        <is>
          <t>Y1 pre-halving factor</t>
        </is>
      </c>
      <c r="B36" s="8" t="n">
        <v>1</v>
      </c>
      <c r="C36" s="2" t="inlineStr"/>
      <c r="D36" s="2" t="inlineStr">
        <is>
          <t>All 365 days pre-halving</t>
        </is>
      </c>
    </row>
    <row r="37">
      <c r="A37" s="4" t="inlineStr">
        <is>
          <t>Y2 blended factor</t>
        </is>
      </c>
      <c r="B37" s="8" t="n">
        <v>0.784</v>
      </c>
      <c r="C37" s="2" t="inlineStr"/>
      <c r="D37" s="2" t="inlineStr">
        <is>
          <t>208 pre-halving + 158 post = 78.4% of pre-halving</t>
        </is>
      </c>
    </row>
    <row r="38">
      <c r="A38" s="4" t="inlineStr">
        <is>
          <t>Y3-Y5 post-halving factor</t>
        </is>
      </c>
      <c r="B38" s="8" t="n">
        <v>0.5</v>
      </c>
      <c r="C38" s="2" t="inlineStr"/>
      <c r="D38" s="2" t="inlineStr">
        <is>
          <t>All 365 days post-halving = 50%</t>
        </is>
      </c>
    </row>
  </sheetData>
  <mergeCells count="5">
    <mergeCell ref="A1:D1"/>
    <mergeCell ref="A34:D34"/>
    <mergeCell ref="A4:D4"/>
    <mergeCell ref="A26:D2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65D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4" customWidth="1" min="4" max="4"/>
  </cols>
  <sheetData>
    <row r="1" ht="28" customHeight="1">
      <c r="A1" s="1" t="inlineStr">
        <is>
          <t>LANDED CAPEX — CHINA TO LIMASSOL</t>
        </is>
      </c>
    </row>
    <row r="2" ht="18" customHeight="1">
      <c r="B2" s="9" t="inlineStr">
        <is>
          <t>S19j Pro ($300/unit)</t>
        </is>
      </c>
      <c r="C2" s="9" t="inlineStr">
        <is>
          <t>S21 200T ($1,000/unit)</t>
        </is>
      </c>
      <c r="D2" s="10" t="inlineStr">
        <is>
          <t>Notes</t>
        </is>
      </c>
    </row>
    <row r="3">
      <c r="A3" s="11" t="inlineStr">
        <is>
          <t>Miners</t>
        </is>
      </c>
      <c r="B3" s="12">
        <f>Inputs!$B$19*Inputs!$B$15</f>
        <v/>
      </c>
      <c r="C3" s="12">
        <f>Inputs!$B$19*Inputs!$B$18</f>
        <v/>
      </c>
      <c r="D3" s="2" t="inlineStr">
        <is>
          <t>168 × unit price</t>
        </is>
      </c>
    </row>
    <row r="4">
      <c r="A4" s="11" t="inlineStr">
        <is>
          <t>Container (OneMiners 168-slot)</t>
        </is>
      </c>
      <c r="B4" s="12">
        <f>Inputs!$B$20</f>
        <v/>
      </c>
      <c r="C4" s="12">
        <f>Inputs!$B$20</f>
        <v/>
      </c>
      <c r="D4" s="2" t="inlineStr">
        <is>
          <t>Same box for both miner types</t>
        </is>
      </c>
    </row>
    <row r="5">
      <c r="A5" s="13" t="inlineStr">
        <is>
          <t>FOB China</t>
        </is>
      </c>
      <c r="B5" s="14">
        <f>Capex!B3+Capex!B4</f>
        <v/>
      </c>
      <c r="C5" s="14">
        <f>Capex!C3+Capex!C4</f>
        <v/>
      </c>
      <c r="D5" s="15" t="inlineStr"/>
    </row>
    <row r="6">
      <c r="A6" s="11" t="inlineStr">
        <is>
          <t>Ocean freight (China → Limassol)</t>
        </is>
      </c>
      <c r="B6" s="12">
        <f>Inputs!$B$25</f>
        <v/>
      </c>
      <c r="C6" s="12">
        <f>Inputs!$B$25</f>
        <v/>
      </c>
      <c r="D6" s="2" t="inlineStr">
        <is>
          <t>FCL 20ft; range $2,250–$4,400</t>
        </is>
      </c>
    </row>
    <row r="7">
      <c r="A7" s="11" t="inlineStr">
        <is>
          <t>Marine insurance (0.3% of FOB)</t>
        </is>
      </c>
      <c r="B7" s="12">
        <f>Capex!B5*Inputs!$B$26</f>
        <v/>
      </c>
      <c r="C7" s="12">
        <f>Capex!C5*Inputs!$B$26</f>
        <v/>
      </c>
      <c r="D7" s="2" t="inlineStr">
        <is>
          <t>0.3%</t>
        </is>
      </c>
    </row>
    <row r="8">
      <c r="A8" s="13" t="inlineStr">
        <is>
          <t>CIF Limassol</t>
        </is>
      </c>
      <c r="B8" s="14">
        <f>Capex!B5+Capex!B6+Capex!B7</f>
        <v/>
      </c>
      <c r="C8" s="14">
        <f>Capex!C5+Capex!C6+Capex!C7</f>
        <v/>
      </c>
      <c r="D8" s="15" t="inlineStr"/>
    </row>
    <row r="9">
      <c r="A9" s="11" t="inlineStr">
        <is>
          <t>Customs duty (EU TARIC 8471 ITA: 0%)</t>
        </is>
      </c>
      <c r="B9" s="12">
        <f>Capex!B8*Inputs!$B$27</f>
        <v/>
      </c>
      <c r="C9" s="12">
        <f>Capex!C8*Inputs!$B$27</f>
        <v/>
      </c>
      <c r="D9" s="2" t="inlineStr">
        <is>
          <t>Change to 3.7% in Inputs if customs reclassifies to 8543</t>
        </is>
      </c>
    </row>
    <row r="10">
      <c r="A10" s="11" t="inlineStr">
        <is>
          <t>Cyprus import VAT 19% (reclaimable)</t>
        </is>
      </c>
      <c r="B10" s="12">
        <f>(Capex!B8+Capex!B9+Inputs!$B$29)*Inputs!$B$28</f>
        <v/>
      </c>
      <c r="C10" s="12">
        <f>(Capex!C8+Capex!C9+Inputs!$B$29)*Inputs!$B$28</f>
        <v/>
      </c>
      <c r="D10" s="2" t="inlineStr">
        <is>
          <t>Paid at port; reclaimed by VAT-registered importer</t>
        </is>
      </c>
    </row>
    <row r="11">
      <c r="A11" s="11" t="inlineStr">
        <is>
          <t>EUROGATE Limassol THC</t>
        </is>
      </c>
      <c r="B11" s="12">
        <f>Inputs!$B$29</f>
        <v/>
      </c>
      <c r="C11" s="12">
        <f>Inputs!$B$29</f>
        <v/>
      </c>
      <c r="D11" s="2" t="inlineStr">
        <is>
          <t>€260.85/20ft effective Feb 2026, converted at 1.15</t>
        </is>
      </c>
    </row>
    <row r="12">
      <c r="A12" s="11" t="inlineStr">
        <is>
          <t>Customs broker</t>
        </is>
      </c>
      <c r="B12" s="12">
        <f>Inputs!$B$30</f>
        <v/>
      </c>
      <c r="C12" s="12">
        <f>Inputs!$B$30</f>
        <v/>
      </c>
      <c r="D12" s="2" t="inlineStr">
        <is>
          <t>~€250</t>
        </is>
      </c>
    </row>
    <row r="13">
      <c r="A13" s="16" t="inlineStr">
        <is>
          <t>CASH TO CLEAR PORT</t>
        </is>
      </c>
      <c r="B13" s="17">
        <f>Capex!B8+Capex!B9+Capex!B10+Capex!B11+Capex!B12</f>
        <v/>
      </c>
      <c r="C13" s="17">
        <f>Capex!C8+Capex!C9+Capex!C10+Capex!C11+Capex!C12</f>
        <v/>
      </c>
      <c r="D13" s="18" t="inlineStr">
        <is>
          <t>Pay this to get the container</t>
        </is>
      </c>
    </row>
    <row r="14">
      <c r="A14" s="19" t="inlineStr">
        <is>
          <t>Net after VAT reclaim</t>
        </is>
      </c>
      <c r="B14" s="20">
        <f>Capex!B13-Capex!B10</f>
        <v/>
      </c>
      <c r="C14" s="20">
        <f>Capex!C13-Capex!C10</f>
        <v/>
      </c>
      <c r="D14" s="21" t="inlineStr">
        <is>
          <t>Effective capex for VAT-registered entity</t>
        </is>
      </c>
    </row>
    <row r="16">
      <c r="A16" s="10" t="inlineStr">
        <is>
          <t>CONTAINER SPECS</t>
        </is>
      </c>
      <c r="B16" s="22" t="inlineStr"/>
    </row>
    <row r="17">
      <c r="A17" s="11" t="inlineStr">
        <is>
          <t>Hashrate (168 units)</t>
        </is>
      </c>
      <c r="B17" s="23">
        <f>Inputs!$B$19*Inputs!$B$13/1000&amp;" PH/s"</f>
        <v/>
      </c>
      <c r="C17" s="23">
        <f>Inputs!$B$19*Inputs!$B$16/1000&amp;" PH/s"</f>
        <v/>
      </c>
    </row>
    <row r="18">
      <c r="A18" s="24" t="inlineStr">
        <is>
          <t>Miner load (168 units)</t>
        </is>
      </c>
      <c r="B18" s="25">
        <f>Inputs!$B$19*Inputs!$B$14/1000&amp;" kW"</f>
        <v/>
      </c>
      <c r="C18" s="25">
        <f>Inputs!$B$19*Inputs!$B$17/1000&amp;" kW"</f>
        <v/>
      </c>
    </row>
    <row r="19">
      <c r="A19" s="11" t="inlineStr">
        <is>
          <t>Peak draw incl. fans</t>
        </is>
      </c>
      <c r="B19" s="23">
        <f>(Inputs!$B$19*Inputs!$B$14+Inputs!$B$21*1000)/1000&amp;" kW"</f>
        <v/>
      </c>
      <c r="C19" s="23">
        <f>(Inputs!$B$19*Inputs!$B$17+Inputs!$B$21*1000)/1000&amp;" kW"</f>
        <v/>
      </c>
    </row>
  </sheetData>
  <mergeCells count="2">
    <mergeCell ref="A1:D1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5FA0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S19j Pro 104T — 5-YEAR DAYTIME MINING REVENUE</t>
        </is>
      </c>
    </row>
    <row r="2">
      <c r="A2" s="2" t="inlineStr">
        <is>
          <t>Daytime only (8 h/day) · Pool fee 2% · 15% failure Y1 · Halving ~13 Apr 2028 · Difficulty flat</t>
        </is>
      </c>
    </row>
    <row r="3" ht="18" customHeight="1">
      <c r="A3" s="9" t="inlineStr">
        <is>
          <t>BTC Price</t>
        </is>
      </c>
      <c r="B3" s="9" t="inlineStr">
        <is>
          <t>Year 1</t>
        </is>
      </c>
      <c r="C3" s="9" t="inlineStr">
        <is>
          <t>Year 2</t>
        </is>
      </c>
      <c r="D3" s="9" t="inlineStr">
        <is>
          <t>Year 3</t>
        </is>
      </c>
      <c r="E3" s="9" t="inlineStr">
        <is>
          <t>Year 4</t>
        </is>
      </c>
      <c r="F3" s="9" t="inlineStr">
        <is>
          <t>Year 5</t>
        </is>
      </c>
      <c r="G3" s="9" t="inlineStr">
        <is>
          <t>5-Yr Gross</t>
        </is>
      </c>
      <c r="H3" s="9" t="inlineStr">
        <is>
          <t>Payback (cash)</t>
        </is>
      </c>
      <c r="I3" s="9" t="inlineStr">
        <is>
          <t>Payback (net VAT)</t>
        </is>
      </c>
    </row>
    <row r="4">
      <c r="A4" s="26" t="inlineStr">
        <is>
          <t>$60k</t>
        </is>
      </c>
      <c r="B4" s="12">
        <f>(Inputs!$B$19*Inputs!$B$13/1000)*Inputs!$B$5*(1-Inputs!$B$6)*Inputs!$B$8*365*(Inputs!$B$7/24)*(1-Inputs!$B$22)*Inputs!$B$33</f>
        <v/>
      </c>
      <c r="C4" s="12">
        <f>(Inputs!$B$19*Inputs!$B$13/1000)*Inputs!$B$5*(1-Inputs!$B$6)*Inputs!$B$8*365*(Inputs!$B$7/24)*Inputs!$B$23*Inputs!$B$34</f>
        <v/>
      </c>
      <c r="D4" s="12">
        <f>(Inputs!$B$19*Inputs!$B$13/1000)*Inputs!$B$5*(1-Inputs!$B$6)*Inputs!$B$8*365*(Inputs!$B$7/24)*Inputs!$B$23*Inputs!$B$35</f>
        <v/>
      </c>
      <c r="E4" s="12">
        <f>(Inputs!$B$19*Inputs!$B$13/1000)*Inputs!$B$5*(1-Inputs!$B$6)*Inputs!$B$8*365*(Inputs!$B$7/24)*Inputs!$B$23*Inputs!$B$35</f>
        <v/>
      </c>
      <c r="F4" s="12">
        <f>(Inputs!$B$19*Inputs!$B$13/1000)*Inputs!$B$5*(1-Inputs!$B$6)*Inputs!$B$8*365*(Inputs!$B$7/24)*Inputs!$B$23*Inputs!$B$35</f>
        <v/>
      </c>
      <c r="G4" s="27">
        <f>SUM(B4:F4)</f>
        <v/>
      </c>
      <c r="H4" s="28">
        <f>Capex!B13/B4</f>
        <v/>
      </c>
      <c r="I4" s="28">
        <f>Capex!B14/B4</f>
        <v/>
      </c>
    </row>
    <row r="5">
      <c r="A5" s="29" t="inlineStr">
        <is>
          <t>$80k</t>
        </is>
      </c>
      <c r="B5" s="30">
        <f>(Inputs!$B$19*Inputs!$B$13/1000)*Inputs!$B$5*(1-Inputs!$B$6)*Inputs!$B$9*365*(Inputs!$B$7/24)*(1-Inputs!$B$22)*Inputs!$B$33</f>
        <v/>
      </c>
      <c r="C5" s="30">
        <f>(Inputs!$B$19*Inputs!$B$13/1000)*Inputs!$B$5*(1-Inputs!$B$6)*Inputs!$B$9*365*(Inputs!$B$7/24)*Inputs!$B$23*Inputs!$B$34</f>
        <v/>
      </c>
      <c r="D5" s="30">
        <f>(Inputs!$B$19*Inputs!$B$13/1000)*Inputs!$B$5*(1-Inputs!$B$6)*Inputs!$B$9*365*(Inputs!$B$7/24)*Inputs!$B$23*Inputs!$B$35</f>
        <v/>
      </c>
      <c r="E5" s="30">
        <f>(Inputs!$B$19*Inputs!$B$13/1000)*Inputs!$B$5*(1-Inputs!$B$6)*Inputs!$B$9*365*(Inputs!$B$7/24)*Inputs!$B$23*Inputs!$B$35</f>
        <v/>
      </c>
      <c r="F5" s="30">
        <f>(Inputs!$B$19*Inputs!$B$13/1000)*Inputs!$B$5*(1-Inputs!$B$6)*Inputs!$B$9*365*(Inputs!$B$7/24)*Inputs!$B$23*Inputs!$B$35</f>
        <v/>
      </c>
      <c r="G5" s="27">
        <f>SUM(B5:F5)</f>
        <v/>
      </c>
      <c r="H5" s="31">
        <f>Capex!B13/B5</f>
        <v/>
      </c>
      <c r="I5" s="31">
        <f>Capex!B14/B5</f>
        <v/>
      </c>
    </row>
    <row r="6">
      <c r="A6" s="26" t="inlineStr">
        <is>
          <t>$100k</t>
        </is>
      </c>
      <c r="B6" s="12">
        <f>(Inputs!$B$19*Inputs!$B$13/1000)*Inputs!$B$5*(1-Inputs!$B$6)*Inputs!$B$10*365*(Inputs!$B$7/24)*(1-Inputs!$B$22)*Inputs!$B$33</f>
        <v/>
      </c>
      <c r="C6" s="12">
        <f>(Inputs!$B$19*Inputs!$B$13/1000)*Inputs!$B$5*(1-Inputs!$B$6)*Inputs!$B$10*365*(Inputs!$B$7/24)*Inputs!$B$23*Inputs!$B$34</f>
        <v/>
      </c>
      <c r="D6" s="12">
        <f>(Inputs!$B$19*Inputs!$B$13/1000)*Inputs!$B$5*(1-Inputs!$B$6)*Inputs!$B$10*365*(Inputs!$B$7/24)*Inputs!$B$23*Inputs!$B$35</f>
        <v/>
      </c>
      <c r="E6" s="12">
        <f>(Inputs!$B$19*Inputs!$B$13/1000)*Inputs!$B$5*(1-Inputs!$B$6)*Inputs!$B$10*365*(Inputs!$B$7/24)*Inputs!$B$23*Inputs!$B$35</f>
        <v/>
      </c>
      <c r="F6" s="12">
        <f>(Inputs!$B$19*Inputs!$B$13/1000)*Inputs!$B$5*(1-Inputs!$B$6)*Inputs!$B$10*365*(Inputs!$B$7/24)*Inputs!$B$23*Inputs!$B$35</f>
        <v/>
      </c>
      <c r="G6" s="27">
        <f>SUM(B6:F6)</f>
        <v/>
      </c>
      <c r="H6" s="28">
        <f>Capex!B13/B6</f>
        <v/>
      </c>
      <c r="I6" s="28">
        <f>Capex!B14/B6</f>
        <v/>
      </c>
    </row>
    <row r="7">
      <c r="A7" s="29" t="inlineStr">
        <is>
          <t>$120k</t>
        </is>
      </c>
      <c r="B7" s="32">
        <f>(Inputs!$B$19*Inputs!$B$13/1000)*Inputs!$B$5*(1-Inputs!$B$6)*Inputs!$B$11*365*(Inputs!$B$7/24)*(1-Inputs!$B$22)*Inputs!$B$33</f>
        <v/>
      </c>
      <c r="C7" s="32">
        <f>(Inputs!$B$19*Inputs!$B$13/1000)*Inputs!$B$5*(1-Inputs!$B$6)*Inputs!$B$11*365*(Inputs!$B$7/24)*Inputs!$B$23*Inputs!$B$34</f>
        <v/>
      </c>
      <c r="D7" s="32">
        <f>(Inputs!$B$19*Inputs!$B$13/1000)*Inputs!$B$5*(1-Inputs!$B$6)*Inputs!$B$11*365*(Inputs!$B$7/24)*Inputs!$B$23*Inputs!$B$35</f>
        <v/>
      </c>
      <c r="E7" s="32">
        <f>(Inputs!$B$19*Inputs!$B$13/1000)*Inputs!$B$5*(1-Inputs!$B$6)*Inputs!$B$11*365*(Inputs!$B$7/24)*Inputs!$B$23*Inputs!$B$35</f>
        <v/>
      </c>
      <c r="F7" s="32">
        <f>(Inputs!$B$19*Inputs!$B$13/1000)*Inputs!$B$5*(1-Inputs!$B$6)*Inputs!$B$11*365*(Inputs!$B$7/24)*Inputs!$B$23*Inputs!$B$35</f>
        <v/>
      </c>
      <c r="G7" s="27">
        <f>SUM(B7:F7)</f>
        <v/>
      </c>
      <c r="H7" s="33">
        <f>Capex!B13/B7</f>
        <v/>
      </c>
      <c r="I7" s="33">
        <f>Capex!B14/B7</f>
        <v/>
      </c>
    </row>
    <row r="9">
      <c r="A9" s="2" t="inlineStr">
        <is>
          <t>Hashrate:  (Inputs!$B$19*Inputs!$B$13/1000) PH/s  (=Inputs!$B$19 slots × Inputs!$B$13 TH ÷ 1,000)</t>
        </is>
      </c>
    </row>
    <row r="10">
      <c r="A10" s="2" t="inlineStr">
        <is>
          <t>Payback = Cash-to-port ÷ Year-1 revenue (conservative: ignores Year-2+ cash in).  Actual payback is faster.</t>
        </is>
      </c>
    </row>
    <row r="11">
      <c r="A11" s="2" t="inlineStr">
        <is>
          <t>Year 2 blended factor 0.784 = 208 pre-halving days + 158 post-halving days (out of 365).</t>
        </is>
      </c>
    </row>
    <row r="12">
      <c r="A12" s="2" t="inlineStr">
        <is>
          <t>Difficulty is held flat. A ~5% increase was queued for 19 Sep 2026 — subtract 5% from all figures if confirmed.</t>
        </is>
      </c>
    </row>
  </sheetData>
  <mergeCells count="6">
    <mergeCell ref="A2:I2"/>
    <mergeCell ref="A11:I11"/>
    <mergeCell ref="A10:I10"/>
    <mergeCell ref="A1:I1"/>
    <mergeCell ref="A9:I9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432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S21 200T — 5-YEAR DAYTIME MINING REVENUE</t>
        </is>
      </c>
    </row>
    <row r="2">
      <c r="A2" s="2" t="inlineStr">
        <is>
          <t>Daytime only (8 h/day) · Pool fee 2% · 15% failure Y1 · Halving ~13 Apr 2028 · Difficulty flat</t>
        </is>
      </c>
    </row>
    <row r="3" ht="18" customHeight="1">
      <c r="A3" s="9" t="inlineStr">
        <is>
          <t>BTC Price</t>
        </is>
      </c>
      <c r="B3" s="9" t="inlineStr">
        <is>
          <t>Year 1</t>
        </is>
      </c>
      <c r="C3" s="9" t="inlineStr">
        <is>
          <t>Year 2</t>
        </is>
      </c>
      <c r="D3" s="9" t="inlineStr">
        <is>
          <t>Year 3</t>
        </is>
      </c>
      <c r="E3" s="9" t="inlineStr">
        <is>
          <t>Year 4</t>
        </is>
      </c>
      <c r="F3" s="9" t="inlineStr">
        <is>
          <t>Year 5</t>
        </is>
      </c>
      <c r="G3" s="9" t="inlineStr">
        <is>
          <t>5-Yr Gross</t>
        </is>
      </c>
      <c r="H3" s="9" t="inlineStr">
        <is>
          <t>Payback (cash)</t>
        </is>
      </c>
      <c r="I3" s="9" t="inlineStr">
        <is>
          <t>Payback (net VAT)</t>
        </is>
      </c>
    </row>
    <row r="4">
      <c r="A4" s="26" t="inlineStr">
        <is>
          <t>$60k</t>
        </is>
      </c>
      <c r="B4" s="12">
        <f>(Inputs!$B$19*Inputs!$B$16/1000)*Inputs!$B$5*(1-Inputs!$B$6)*Inputs!$B$8*365*(Inputs!$B$7/24)*(1-Inputs!$B$22)*Inputs!$B$33</f>
        <v/>
      </c>
      <c r="C4" s="12">
        <f>(Inputs!$B$19*Inputs!$B$16/1000)*Inputs!$B$5*(1-Inputs!$B$6)*Inputs!$B$8*365*(Inputs!$B$7/24)*Inputs!$B$23*Inputs!$B$34</f>
        <v/>
      </c>
      <c r="D4" s="12">
        <f>(Inputs!$B$19*Inputs!$B$16/1000)*Inputs!$B$5*(1-Inputs!$B$6)*Inputs!$B$8*365*(Inputs!$B$7/24)*Inputs!$B$23*Inputs!$B$35</f>
        <v/>
      </c>
      <c r="E4" s="12">
        <f>(Inputs!$B$19*Inputs!$B$16/1000)*Inputs!$B$5*(1-Inputs!$B$6)*Inputs!$B$8*365*(Inputs!$B$7/24)*Inputs!$B$23*Inputs!$B$35</f>
        <v/>
      </c>
      <c r="F4" s="12">
        <f>(Inputs!$B$19*Inputs!$B$16/1000)*Inputs!$B$5*(1-Inputs!$B$6)*Inputs!$B$8*365*(Inputs!$B$7/24)*Inputs!$B$23*Inputs!$B$35</f>
        <v/>
      </c>
      <c r="G4" s="27">
        <f>SUM(B4:F4)</f>
        <v/>
      </c>
      <c r="H4" s="28">
        <f>Capex!C13/B4</f>
        <v/>
      </c>
      <c r="I4" s="28">
        <f>Capex!C14/B4</f>
        <v/>
      </c>
    </row>
    <row r="5">
      <c r="A5" s="29" t="inlineStr">
        <is>
          <t>$80k</t>
        </is>
      </c>
      <c r="B5" s="30">
        <f>(Inputs!$B$19*Inputs!$B$16/1000)*Inputs!$B$5*(1-Inputs!$B$6)*Inputs!$B$9*365*(Inputs!$B$7/24)*(1-Inputs!$B$22)*Inputs!$B$33</f>
        <v/>
      </c>
      <c r="C5" s="30">
        <f>(Inputs!$B$19*Inputs!$B$16/1000)*Inputs!$B$5*(1-Inputs!$B$6)*Inputs!$B$9*365*(Inputs!$B$7/24)*Inputs!$B$23*Inputs!$B$34</f>
        <v/>
      </c>
      <c r="D5" s="30">
        <f>(Inputs!$B$19*Inputs!$B$16/1000)*Inputs!$B$5*(1-Inputs!$B$6)*Inputs!$B$9*365*(Inputs!$B$7/24)*Inputs!$B$23*Inputs!$B$35</f>
        <v/>
      </c>
      <c r="E5" s="30">
        <f>(Inputs!$B$19*Inputs!$B$16/1000)*Inputs!$B$5*(1-Inputs!$B$6)*Inputs!$B$9*365*(Inputs!$B$7/24)*Inputs!$B$23*Inputs!$B$35</f>
        <v/>
      </c>
      <c r="F5" s="30">
        <f>(Inputs!$B$19*Inputs!$B$16/1000)*Inputs!$B$5*(1-Inputs!$B$6)*Inputs!$B$9*365*(Inputs!$B$7/24)*Inputs!$B$23*Inputs!$B$35</f>
        <v/>
      </c>
      <c r="G5" s="27">
        <f>SUM(B5:F5)</f>
        <v/>
      </c>
      <c r="H5" s="31">
        <f>Capex!C13/B5</f>
        <v/>
      </c>
      <c r="I5" s="31">
        <f>Capex!C14/B5</f>
        <v/>
      </c>
    </row>
    <row r="6">
      <c r="A6" s="26" t="inlineStr">
        <is>
          <t>$100k</t>
        </is>
      </c>
      <c r="B6" s="12">
        <f>(Inputs!$B$19*Inputs!$B$16/1000)*Inputs!$B$5*(1-Inputs!$B$6)*Inputs!$B$10*365*(Inputs!$B$7/24)*(1-Inputs!$B$22)*Inputs!$B$33</f>
        <v/>
      </c>
      <c r="C6" s="12">
        <f>(Inputs!$B$19*Inputs!$B$16/1000)*Inputs!$B$5*(1-Inputs!$B$6)*Inputs!$B$10*365*(Inputs!$B$7/24)*Inputs!$B$23*Inputs!$B$34</f>
        <v/>
      </c>
      <c r="D6" s="12">
        <f>(Inputs!$B$19*Inputs!$B$16/1000)*Inputs!$B$5*(1-Inputs!$B$6)*Inputs!$B$10*365*(Inputs!$B$7/24)*Inputs!$B$23*Inputs!$B$35</f>
        <v/>
      </c>
      <c r="E6" s="12">
        <f>(Inputs!$B$19*Inputs!$B$16/1000)*Inputs!$B$5*(1-Inputs!$B$6)*Inputs!$B$10*365*(Inputs!$B$7/24)*Inputs!$B$23*Inputs!$B$35</f>
        <v/>
      </c>
      <c r="F6" s="12">
        <f>(Inputs!$B$19*Inputs!$B$16/1000)*Inputs!$B$5*(1-Inputs!$B$6)*Inputs!$B$10*365*(Inputs!$B$7/24)*Inputs!$B$23*Inputs!$B$35</f>
        <v/>
      </c>
      <c r="G6" s="27">
        <f>SUM(B6:F6)</f>
        <v/>
      </c>
      <c r="H6" s="28">
        <f>Capex!C13/B6</f>
        <v/>
      </c>
      <c r="I6" s="28">
        <f>Capex!C14/B6</f>
        <v/>
      </c>
    </row>
    <row r="7">
      <c r="A7" s="29" t="inlineStr">
        <is>
          <t>$120k</t>
        </is>
      </c>
      <c r="B7" s="32">
        <f>(Inputs!$B$19*Inputs!$B$16/1000)*Inputs!$B$5*(1-Inputs!$B$6)*Inputs!$B$11*365*(Inputs!$B$7/24)*(1-Inputs!$B$22)*Inputs!$B$33</f>
        <v/>
      </c>
      <c r="C7" s="32">
        <f>(Inputs!$B$19*Inputs!$B$16/1000)*Inputs!$B$5*(1-Inputs!$B$6)*Inputs!$B$11*365*(Inputs!$B$7/24)*Inputs!$B$23*Inputs!$B$34</f>
        <v/>
      </c>
      <c r="D7" s="32">
        <f>(Inputs!$B$19*Inputs!$B$16/1000)*Inputs!$B$5*(1-Inputs!$B$6)*Inputs!$B$11*365*(Inputs!$B$7/24)*Inputs!$B$23*Inputs!$B$35</f>
        <v/>
      </c>
      <c r="E7" s="32">
        <f>(Inputs!$B$19*Inputs!$B$16/1000)*Inputs!$B$5*(1-Inputs!$B$6)*Inputs!$B$11*365*(Inputs!$B$7/24)*Inputs!$B$23*Inputs!$B$35</f>
        <v/>
      </c>
      <c r="F7" s="32">
        <f>(Inputs!$B$19*Inputs!$B$16/1000)*Inputs!$B$5*(1-Inputs!$B$6)*Inputs!$B$11*365*(Inputs!$B$7/24)*Inputs!$B$23*Inputs!$B$35</f>
        <v/>
      </c>
      <c r="G7" s="27">
        <f>SUM(B7:F7)</f>
        <v/>
      </c>
      <c r="H7" s="33">
        <f>Capex!C13/B7</f>
        <v/>
      </c>
      <c r="I7" s="33">
        <f>Capex!C14/B7</f>
        <v/>
      </c>
    </row>
    <row r="9">
      <c r="A9" s="2" t="inlineStr">
        <is>
          <t>Hashrate:  (Inputs!$B$19*Inputs!$B$16/1000) PH/s  (=Inputs!$B$19 slots × Inputs!$B$16 TH ÷ 1,000)</t>
        </is>
      </c>
    </row>
    <row r="10">
      <c r="A10" s="2" t="inlineStr">
        <is>
          <t>Payback = Cash-to-port ÷ Year-1 revenue (conservative: ignores Year-2+ cash in).  Actual payback is faster.</t>
        </is>
      </c>
    </row>
    <row r="11">
      <c r="A11" s="2" t="inlineStr">
        <is>
          <t>Year 2 blended factor 0.784 = 208 pre-halving days + 158 post-halving days (out of 365).</t>
        </is>
      </c>
    </row>
    <row r="12">
      <c r="A12" s="2" t="inlineStr">
        <is>
          <t>Difficulty is held flat. A ~5% increase was queued for 19 Sep 2026 — subtract 5% from all figures if confirmed.</t>
        </is>
      </c>
    </row>
  </sheetData>
  <mergeCells count="6">
    <mergeCell ref="A2:I2"/>
    <mergeCell ref="A11:I11"/>
    <mergeCell ref="A10:I10"/>
    <mergeCell ref="A1:I1"/>
    <mergeCell ref="A9:I9"/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6749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</cols>
  <sheetData>
    <row r="1" ht="28" customHeight="1">
      <c r="A1" s="1" t="inlineStr">
        <is>
          <t>S19j Pro vs S21 200T — COMPARISON @ $80k BTC</t>
        </is>
      </c>
    </row>
    <row r="2">
      <c r="B2" s="9" t="inlineStr">
        <is>
          <t>S19j Pro</t>
        </is>
      </c>
      <c r="C2" s="34" t="inlineStr">
        <is>
          <t>S21 200T</t>
        </is>
      </c>
      <c r="D2" s="10" t="inlineStr">
        <is>
          <t>Notes</t>
        </is>
      </c>
    </row>
    <row r="3">
      <c r="A3" s="11" t="inlineStr">
        <is>
          <t>Unit price</t>
        </is>
      </c>
      <c r="B3" s="12">
        <f>Inputs!$B$15</f>
        <v/>
      </c>
      <c r="C3" s="12">
        <f>Inputs!$B$18</f>
        <v/>
      </c>
      <c r="D3" s="2" t="inlineStr">
        <is>
          <t>USD, per miner</t>
        </is>
      </c>
    </row>
    <row r="4">
      <c r="A4" s="24" t="inlineStr">
        <is>
          <t>Hashrate per container</t>
        </is>
      </c>
      <c r="B4" s="35">
        <f>Inputs!$B$19*Inputs!$B$13/1000</f>
        <v/>
      </c>
      <c r="C4" s="35">
        <f>Inputs!$B$19*Inputs!$B$16/1000</f>
        <v/>
      </c>
      <c r="D4" s="36" t="inlineStr">
        <is>
          <t>PH/s</t>
        </is>
      </c>
    </row>
    <row r="5">
      <c r="A5" s="11" t="inlineStr">
        <is>
          <t>S21 : S19 hashrate ratio</t>
        </is>
      </c>
      <c r="B5" s="37" t="inlineStr">
        <is>
          <t>—</t>
        </is>
      </c>
      <c r="C5" s="37">
        <f>Inputs!$B$19*Inputs!$B$16/(Inputs!$B$19*Inputs!$B$13)</f>
        <v/>
      </c>
      <c r="D5" s="2" t="inlineStr">
        <is>
          <t>×</t>
        </is>
      </c>
    </row>
    <row r="6">
      <c r="A6" s="24" t="inlineStr">
        <is>
          <t>Cash to clear Limassol</t>
        </is>
      </c>
      <c r="B6" s="32">
        <f>Capex!B13</f>
        <v/>
      </c>
      <c r="C6" s="32">
        <f>Capex!C13</f>
        <v/>
      </c>
      <c r="D6" s="36" t="inlineStr">
        <is>
          <t>USD</t>
        </is>
      </c>
    </row>
    <row r="7">
      <c r="A7" s="11" t="inlineStr">
        <is>
          <t>Net after VAT reclaim</t>
        </is>
      </c>
      <c r="B7" s="12">
        <f>Capex!B14</f>
        <v/>
      </c>
      <c r="C7" s="12">
        <f>Capex!C14</f>
        <v/>
      </c>
      <c r="D7" s="2" t="inlineStr">
        <is>
          <t>USD</t>
        </is>
      </c>
    </row>
    <row r="8">
      <c r="A8" s="24" t="inlineStr">
        <is>
          <t>S21 premium vs S19 (cash)</t>
        </is>
      </c>
      <c r="B8" s="32" t="inlineStr">
        <is>
          <t>—</t>
        </is>
      </c>
      <c r="C8" s="32">
        <f>Capex!C13-Capex!B13</f>
        <v/>
      </c>
      <c r="D8" s="36" t="inlineStr">
        <is>
          <t>USD extra</t>
        </is>
      </c>
    </row>
    <row r="9">
      <c r="A9" s="11" t="inlineStr">
        <is>
          <t>Year 1 revenue @ $80k</t>
        </is>
      </c>
      <c r="B9" s="12">
        <f>'S19j-Pro'!B5</f>
        <v/>
      </c>
      <c r="C9" s="12">
        <f>'S21-200T'!B5</f>
        <v/>
      </c>
      <c r="D9" s="2" t="inlineStr">
        <is>
          <t>USD</t>
        </is>
      </c>
    </row>
    <row r="10">
      <c r="A10" s="24" t="inlineStr">
        <is>
          <t>Year 2 revenue @ $80k</t>
        </is>
      </c>
      <c r="B10" s="32">
        <f>'S19j-Pro'!C5</f>
        <v/>
      </c>
      <c r="C10" s="32">
        <f>'S21-200T'!C5</f>
        <v/>
      </c>
      <c r="D10" s="36" t="inlineStr">
        <is>
          <t>USD</t>
        </is>
      </c>
    </row>
    <row r="11">
      <c r="A11" s="11" t="inlineStr">
        <is>
          <t>5-year gross @ $80k</t>
        </is>
      </c>
      <c r="B11" s="12">
        <f>'S19j-Pro'!G5</f>
        <v/>
      </c>
      <c r="C11" s="12">
        <f>'S21-200T'!G5</f>
        <v/>
      </c>
      <c r="D11" s="2" t="inlineStr">
        <is>
          <t>USD</t>
        </is>
      </c>
    </row>
    <row r="12">
      <c r="A12" s="38" t="inlineStr">
        <is>
          <t>5-year net profit @ $80k</t>
        </is>
      </c>
      <c r="B12" s="20">
        <f>'S19j-Pro'!G5-Capex!B13</f>
        <v/>
      </c>
      <c r="C12" s="20">
        <f>'S21-200T'!G5-Capex!C13</f>
        <v/>
      </c>
      <c r="D12" s="21" t="inlineStr">
        <is>
          <t>USD</t>
        </is>
      </c>
    </row>
    <row r="13">
      <c r="A13" s="11" t="inlineStr">
        <is>
          <t>Payback — cash @ $80k</t>
        </is>
      </c>
      <c r="B13" s="28">
        <f>Capex!B13/'S19j-Pro'!B5</f>
        <v/>
      </c>
      <c r="C13" s="28">
        <f>Capex!C13/'S21-200T'!B5</f>
        <v/>
      </c>
      <c r="D13" s="2" t="inlineStr">
        <is>
          <t>years (Y1 basis)</t>
        </is>
      </c>
    </row>
    <row r="14">
      <c r="A14" s="24" t="inlineStr">
        <is>
          <t>Payback — net VAT @ $80k</t>
        </is>
      </c>
      <c r="B14" s="33">
        <f>Capex!B14/'S19j-Pro'!B5</f>
        <v/>
      </c>
      <c r="C14" s="33">
        <f>Capex!C14/'S21-200T'!B5</f>
        <v/>
      </c>
      <c r="D14" s="36" t="inlineStr">
        <is>
          <t>years (Y1 basis)</t>
        </is>
      </c>
    </row>
    <row r="15">
      <c r="A15" s="38" t="inlineStr">
        <is>
          <t>5-yr ROI on cash @ $80k</t>
        </is>
      </c>
      <c r="B15" s="39">
        <f>('S19j-Pro'!G5-Capex!B13)/Capex!B13</f>
        <v/>
      </c>
      <c r="C15" s="39">
        <f>('S21-200T'!G5-Capex!C13)/Capex!C13</f>
        <v/>
      </c>
      <c r="D15" s="21" t="inlineStr">
        <is>
          <t>%</t>
        </is>
      </c>
    </row>
    <row r="17" ht="36" customHeight="1">
      <c r="A17" s="40" t="inlineStr">
        <is>
          <t>★  S19 wins on ROI %; S21 wins on absolute 5-yr profit. Two S19 cans (~$191k cash) outperform one S21 can ($236k) on absolute profit at every BTC scenario.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18096"/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30" customWidth="1" min="4" max="4"/>
    <col width="36" customWidth="1" min="5" max="5"/>
  </cols>
  <sheetData>
    <row r="1" ht="28" customHeight="1">
      <c r="A1" s="1" t="inlineStr">
        <is>
          <t>MINER PRICE VERIFICATION — SOURCES (Sep 2026)</t>
        </is>
      </c>
    </row>
    <row r="2">
      <c r="A2" s="10" t="inlineStr">
        <is>
          <t>Source</t>
        </is>
      </c>
      <c r="B2" s="9" t="inlineStr">
        <is>
          <t>Model</t>
        </is>
      </c>
      <c r="C2" s="9" t="inlineStr">
        <is>
          <t>Price (USD)</t>
        </is>
      </c>
      <c r="D2" s="9" t="inlineStr">
        <is>
          <t>Condition</t>
        </is>
      </c>
      <c r="E2" s="9" t="inlineStr">
        <is>
          <t>URL / Note</t>
        </is>
      </c>
    </row>
    <row r="3">
      <c r="A3" s="4" t="inlineStr">
        <is>
          <t>— S19j Pro 104 TH/s —</t>
        </is>
      </c>
    </row>
    <row r="4">
      <c r="A4" s="11" t="inlineStr">
        <is>
          <t>BitmainMiners (Delaware)</t>
        </is>
      </c>
      <c r="B4" s="11" t="inlineStr">
        <is>
          <t>S19j Pro 104T</t>
        </is>
      </c>
      <c r="C4" s="11" t="inlineStr">
        <is>
          <t>$156</t>
        </is>
      </c>
      <c r="D4" s="11" t="inlineStr">
        <is>
          <t>Used, 60-day warranty</t>
        </is>
      </c>
      <c r="E4" s="11" t="inlineStr">
        <is>
          <t>bitmainminers.com — cheapest verifiable spot</t>
        </is>
      </c>
    </row>
    <row r="5">
      <c r="A5" s="24" t="inlineStr">
        <is>
          <t>EndlessMining (Philadelphia)</t>
        </is>
      </c>
      <c r="B5" s="24" t="inlineStr">
        <is>
          <t>S19j Pro 104T</t>
        </is>
      </c>
      <c r="C5" s="24" t="inlineStr">
        <is>
          <t>$190</t>
        </is>
      </c>
      <c r="D5" s="24" t="inlineStr">
        <is>
          <t>Used, listed serial numbers</t>
        </is>
      </c>
      <c r="E5" s="24" t="inlineStr">
        <is>
          <t>endlessmining.com — 23 units with s/n</t>
        </is>
      </c>
    </row>
    <row r="6">
      <c r="A6" s="11" t="inlineStr">
        <is>
          <t>Digital Bridge Mining</t>
        </is>
      </c>
      <c r="B6" s="11" t="inlineStr">
        <is>
          <t>S19j Pro 104T</t>
        </is>
      </c>
      <c r="C6" s="11" t="inlineStr">
        <is>
          <t>$312</t>
        </is>
      </c>
      <c r="D6" s="11" t="inlineStr">
        <is>
          <t>Used, in-slot</t>
        </is>
      </c>
      <c r="E6" s="11" t="inlineStr">
        <is>
          <t>digitalbridgemining.io</t>
        </is>
      </c>
    </row>
    <row r="7">
      <c r="A7" s="24" t="inlineStr">
        <is>
          <t>IngListing sold-comp DB</t>
        </is>
      </c>
      <c r="B7" s="24" t="inlineStr">
        <is>
          <t>S19j Pro 104T</t>
        </is>
      </c>
      <c r="C7" s="24" t="inlineStr">
        <is>
          <t>$118</t>
        </is>
      </c>
      <c r="D7" s="24" t="inlineStr">
        <is>
          <t>Median of 18 sold units</t>
        </is>
      </c>
      <c r="E7" s="24" t="inlineStr">
        <is>
          <t>inglisting.com — bare machines, auction data</t>
        </is>
      </c>
    </row>
    <row r="8">
      <c r="A8" s="11" t="inlineStr">
        <is>
          <t>CryptoMiningHubs</t>
        </is>
      </c>
      <c r="B8" s="11" t="inlineStr">
        <is>
          <t>S19j Pro 104T</t>
        </is>
      </c>
      <c r="C8" s="11" t="inlineStr">
        <is>
          <t>$740</t>
        </is>
      </c>
      <c r="D8" s="11" t="inlineStr">
        <is>
          <t>Used, manufacturer warranty</t>
        </is>
      </c>
      <c r="E8" s="11" t="inlineStr">
        <is>
          <t>cryptomininghubs.com — EU-priced</t>
        </is>
      </c>
    </row>
    <row r="9">
      <c r="A9" s="24" t="inlineStr">
        <is>
          <t>NoxHash 2026 range</t>
        </is>
      </c>
      <c r="B9" s="24" t="inlineStr">
        <is>
          <t>S19j Pro 104T</t>
        </is>
      </c>
      <c r="C9" s="24" t="inlineStr">
        <is>
          <t>$5–9/TH → $520–935</t>
        </is>
      </c>
      <c r="D9" s="24" t="inlineStr">
        <is>
          <t>Used, indicative</t>
        </is>
      </c>
      <c r="E9" s="24" t="inlineStr">
        <is>
          <t>noxhash.com — Luxor desk / Kaboomracks data</t>
        </is>
      </c>
    </row>
    <row r="10">
      <c r="A10" s="41" t="inlineStr">
        <is>
          <t>★  MODEL PRICE USED</t>
        </is>
      </c>
      <c r="B10" s="41" t="inlineStr">
        <is>
          <t>S19j Pro 104T</t>
        </is>
      </c>
      <c r="C10" s="41" t="inlineStr">
        <is>
          <t>$300</t>
        </is>
      </c>
      <c r="D10" s="41" t="inlineStr">
        <is>
          <t>Mid of spot warehouse</t>
        </is>
      </c>
      <c r="E10" s="41" t="inlineStr">
        <is>
          <t>Midpoint $156–$312; tested, serial, minimal warranty</t>
        </is>
      </c>
    </row>
    <row r="12">
      <c r="A12" s="4" t="inlineStr">
        <is>
          <t>— S21 200 TH/s —</t>
        </is>
      </c>
    </row>
    <row r="13">
      <c r="A13" s="11" t="inlineStr">
        <is>
          <t>ECOS marketplace (Sep 2026)</t>
        </is>
      </c>
      <c r="B13" s="11" t="inlineStr">
        <is>
          <t>S21 200T</t>
        </is>
      </c>
      <c r="C13" s="11" t="inlineStr">
        <is>
          <t>$900</t>
        </is>
      </c>
      <c r="D13" s="11" t="inlineStr">
        <is>
          <t>Used peer sale (9 Sep 2026)</t>
        </is>
      </c>
      <c r="E13" s="11" t="inlineStr">
        <is>
          <t>ecos.am marketplace — lowest Sep listing</t>
        </is>
      </c>
    </row>
    <row r="14">
      <c r="A14" s="24" t="inlineStr">
        <is>
          <t>IngListing sold-comp</t>
        </is>
      </c>
      <c r="B14" s="24" t="inlineStr">
        <is>
          <t>S21 200T</t>
        </is>
      </c>
      <c r="C14" s="24" t="inlineStr">
        <is>
          <t>$999</t>
        </is>
      </c>
      <c r="D14" s="24" t="inlineStr">
        <is>
          <t>1 unit sold, thin data</t>
        </is>
      </c>
      <c r="E14" s="24" t="inlineStr">
        <is>
          <t>inglisting.com — single sold comp</t>
        </is>
      </c>
    </row>
    <row r="15">
      <c r="A15" s="11" t="inlineStr">
        <is>
          <t>Bitark (ASIC Miner Value)</t>
        </is>
      </c>
      <c r="B15" s="11" t="inlineStr">
        <is>
          <t>S21 200T</t>
        </is>
      </c>
      <c r="C15" s="11" t="inlineStr">
        <is>
          <t>$1,100</t>
        </is>
      </c>
      <c r="D15" s="11" t="inlineStr">
        <is>
          <t>Used, Hong Kong stock</t>
        </is>
      </c>
      <c r="E15" s="11" t="inlineStr">
        <is>
          <t>asicminervalue.com vendor list</t>
        </is>
      </c>
    </row>
    <row r="16">
      <c r="A16" s="24" t="inlineStr">
        <is>
          <t>HSASICMiner</t>
        </is>
      </c>
      <c r="B16" s="24" t="inlineStr">
        <is>
          <t>S21 200T</t>
        </is>
      </c>
      <c r="C16" s="24" t="inlineStr">
        <is>
          <t>$716–$1,725</t>
        </is>
      </c>
      <c r="D16" s="24" t="inlineStr">
        <is>
          <t>Used, PSU included</t>
        </is>
      </c>
      <c r="E16" s="24" t="inlineStr">
        <is>
          <t>hsasicminer.com</t>
        </is>
      </c>
    </row>
    <row r="17">
      <c r="A17" s="11" t="inlineStr">
        <is>
          <t>EndlessMining (US stock)</t>
        </is>
      </c>
      <c r="B17" s="11" t="inlineStr">
        <is>
          <t>S21 200T</t>
        </is>
      </c>
      <c r="C17" s="11" t="inlineStr">
        <is>
          <t>$1,657</t>
        </is>
      </c>
      <c r="D17" s="11" t="inlineStr">
        <is>
          <t>Used, 7-day DOA</t>
        </is>
      </c>
      <c r="E17" s="11" t="inlineStr">
        <is>
          <t>endlessmining.com</t>
        </is>
      </c>
    </row>
    <row r="18">
      <c r="A18" s="24" t="inlineStr">
        <is>
          <t>MillionMiner</t>
        </is>
      </c>
      <c r="B18" s="24" t="inlineStr">
        <is>
          <t>S21 200T</t>
        </is>
      </c>
      <c r="C18" s="24" t="inlineStr">
        <is>
          <t>$1,755</t>
        </is>
      </c>
      <c r="D18" s="24" t="inlineStr">
        <is>
          <t>Used</t>
        </is>
      </c>
      <c r="E18" s="24" t="inlineStr">
        <is>
          <t>millionminer.com</t>
        </is>
      </c>
    </row>
    <row r="19">
      <c r="A19" s="11" t="inlineStr">
        <is>
          <t>NoxHash 2026 range</t>
        </is>
      </c>
      <c r="B19" s="11" t="inlineStr">
        <is>
          <t>S21 200T</t>
        </is>
      </c>
      <c r="C19" s="11" t="inlineStr">
        <is>
          <t>$16–19/TH → $3,200–$3,800</t>
        </is>
      </c>
      <c r="D19" s="11" t="inlineStr">
        <is>
          <t>Used, indicative</t>
        </is>
      </c>
      <c r="E19" s="11" t="inlineStr">
        <is>
          <t>noxhash.com — newer gen retains value better</t>
        </is>
      </c>
    </row>
    <row r="20">
      <c r="A20" s="41" t="inlineStr">
        <is>
          <t>★  MODEL PRICE USED</t>
        </is>
      </c>
      <c r="B20" s="41" t="inlineStr">
        <is>
          <t>S21 200T</t>
        </is>
      </c>
      <c r="C20" s="41" t="inlineStr">
        <is>
          <t>$1,000</t>
        </is>
      </c>
      <c r="D20" s="41" t="inlineStr">
        <is>
          <t>Mid ECOS $900 / Bitark $1,100</t>
        </is>
      </c>
      <c r="E20" s="41" t="inlineStr">
        <is>
          <t>Minimum verifiable: $716; mid Asia/peer market: $1,000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2026-09-18T11:16:27Z</dcterms:created>
  <dcterms:modified xmlns:dcterms="http://purl.org/dc/terms/" xmlns:xsi="http://www.w3.org/2001/XMLSchema-instance" xsi:type="dcterms:W3CDTF">2026-09-18T11:16:27Z</dcterms:modified>
</cp:coreProperties>
</file>