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ssumptions" sheetId="2" r:id="rId5"/>
    <sheet state="visible" name="Type A - 10MWp" sheetId="3" r:id="rId6"/>
    <sheet state="visible" name="Type B - 5MWp" sheetId="4" r:id="rId7"/>
    <sheet state="visible" name="Type C - 3MWp" sheetId="5" r:id="rId8"/>
    <sheet state="visible" name="Fund Portfolio" sheetId="6" r:id="rId9"/>
    <sheet state="visible" name="Debt Schedules" sheetId="7" r:id="rId10"/>
  </sheets>
  <definedNames/>
  <calcPr/>
  <extLst>
    <ext uri="GoogleSheetsCustomDataVersion2">
      <go:sheetsCustomData xmlns:go="http://customooxmlschemas.google.com/" r:id="rId11" roundtripDataChecksum="vJOw9XWRyTjipIynEw1G0i7n5kKGKBlkLxfLeEnKT4g="/>
    </ext>
  </extLst>
</workbook>
</file>

<file path=xl/sharedStrings.xml><?xml version="1.0" encoding="utf-8"?>
<sst xmlns="http://schemas.openxmlformats.org/spreadsheetml/2006/main" count="520" uniqueCount="213">
  <si>
    <t>SHARK FUND</t>
  </si>
  <si>
    <t>Shapiro &amp; Arkadiusz Renewable Hybrid Assets in Kypros</t>
  </si>
  <si>
    <t>Financial Plan — Hybrid PV + BESS Investments in Cyprus</t>
  </si>
  <si>
    <t>FUND OVERVIEW</t>
  </si>
  <si>
    <t>Target Equity Investment (EUR)</t>
  </si>
  <si>
    <t>Total Debt (EUR)</t>
  </si>
  <si>
    <t>Total CAPEX (EUR)</t>
  </si>
  <si>
    <t>Project Lifetime</t>
  </si>
  <si>
    <t>PV Financing</t>
  </si>
  <si>
    <t>100% Equity</t>
  </si>
  <si>
    <t>BESS Financing</t>
  </si>
  <si>
    <t>100% Debt (LTV)</t>
  </si>
  <si>
    <t>Loan Interest Rate</t>
  </si>
  <si>
    <t>Loan Term (years)</t>
  </si>
  <si>
    <t>Corporate Tax Rate</t>
  </si>
  <si>
    <t>PORTFOLIO COMPOSITION</t>
  </si>
  <si>
    <t>Asset Type</t>
  </si>
  <si>
    <t>Size</t>
  </si>
  <si>
    <t>Units</t>
  </si>
  <si>
    <t>Equity/Unit</t>
  </si>
  <si>
    <t>Debt/Unit</t>
  </si>
  <si>
    <t>Total Equity</t>
  </si>
  <si>
    <t>Total Debt</t>
  </si>
  <si>
    <t>Total CAPEX</t>
  </si>
  <si>
    <t>Type A: Large Hybrid Park</t>
  </si>
  <si>
    <t>10 MWp + 40 MWh</t>
  </si>
  <si>
    <t>Type B: Medium Hybrid Park</t>
  </si>
  <si>
    <t>5 MWp + 20 MWh</t>
  </si>
  <si>
    <t>Type C: Small Hybrid Park</t>
  </si>
  <si>
    <t>3 MWp + 12 MWh</t>
  </si>
  <si>
    <t>TOTAL PORTFOLIO</t>
  </si>
  <si>
    <t>FUND RETURNS BY SCENARIO</t>
  </si>
  <si>
    <t>Metric</t>
  </si>
  <si>
    <t>Low (EUR 110/MWh)</t>
  </si>
  <si>
    <t>Base (EUR 150/MWh)</t>
  </si>
  <si>
    <t>High (EUR 175/MWh)</t>
  </si>
  <si>
    <t>Fund Equity IRR</t>
  </si>
  <si>
    <t>Fund Equity NPV (@ 8%)</t>
  </si>
  <si>
    <t>Fund Equity Multiple</t>
  </si>
  <si>
    <t>Fund Total FCFE</t>
  </si>
  <si>
    <t>SHARK Fund — Assumptions &amp; Inputs</t>
  </si>
  <si>
    <t>Change the blue-highlighted cells to update the entire model automatically.</t>
  </si>
  <si>
    <t>GENERAL ASSUMPTIONS</t>
  </si>
  <si>
    <t>RTB Acquisition Cost (EUR/MWp)</t>
  </si>
  <si>
    <t>Ready-to-build permit cost</t>
  </si>
  <si>
    <t>BESS Duration (hours)</t>
  </si>
  <si>
    <t>4-hour BESS sizing</t>
  </si>
  <si>
    <t>Project Lifetime (years)</t>
  </si>
  <si>
    <t>Operational years</t>
  </si>
  <si>
    <t>PV ASSUMPTIONS</t>
  </si>
  <si>
    <t>PV Annual Yield (MWh/MWp)</t>
  </si>
  <si>
    <t>Cyprus fixed-tilt</t>
  </si>
  <si>
    <t>PV Degradation — Year 1</t>
  </si>
  <si>
    <t>2.5% first year</t>
  </si>
  <si>
    <t>PV Degradation — Year 2 onwards</t>
  </si>
  <si>
    <t>0.5% per year</t>
  </si>
  <si>
    <t>PV Curtailment Rate</t>
  </si>
  <si>
    <t>50% of PV output curtailed / used by BESS</t>
  </si>
  <si>
    <t>PV Direct Sale Price (EUR/MWh)</t>
  </si>
  <si>
    <t>PPA or market rate</t>
  </si>
  <si>
    <t>GoO Price (EUR/MWh)</t>
  </si>
  <si>
    <t>Guarantees of Origin</t>
  </si>
  <si>
    <t>PV OPEX — all-in (EUR/MWp/year)</t>
  </si>
  <si>
    <t>O&amp;M, insurance, admin, CERA PV, rent</t>
  </si>
  <si>
    <t>BESS ASSUMPTIONS</t>
  </si>
  <si>
    <t>BESS Round-Trip Efficiency (RTE)</t>
  </si>
  <si>
    <t>DC RTE incl. losses</t>
  </si>
  <si>
    <t>BESS Initial State of Health</t>
  </si>
  <si>
    <t>BOL capacity</t>
  </si>
  <si>
    <t>BESS Annual SOH Degradation</t>
  </si>
  <si>
    <t>Linear approx.</t>
  </si>
  <si>
    <t>BESS Depth of Discharge (DoD)</t>
  </si>
  <si>
    <t>BESS System Availability</t>
  </si>
  <si>
    <t>Warranted</t>
  </si>
  <si>
    <t>BESS Cycles Per Day</t>
  </si>
  <si>
    <t>BESS Grid Purchase Price (EUR/MWh)</t>
  </si>
  <si>
    <t>Cost to charge from grid</t>
  </si>
  <si>
    <t>BESS O&amp;M (EUR/MWh installed/yr)</t>
  </si>
  <si>
    <t>Includes CERA, grounds, monitoring</t>
  </si>
  <si>
    <t>BESS Management Fee (EUR/MWh installed/yr)</t>
  </si>
  <si>
    <t>Asset management</t>
  </si>
  <si>
    <t>CERA BESS License (EUR/MW/yr)</t>
  </si>
  <si>
    <t>BESS Grounds Maintenance (EUR/site/yr)</t>
  </si>
  <si>
    <t>Security, landscaping</t>
  </si>
  <si>
    <t>Warranty Extension Yr 6-10 (EUR/MWh/yr)</t>
  </si>
  <si>
    <t>Warranty Extension Yr 11-15 (EUR/MWh/yr)</t>
  </si>
  <si>
    <t>Warranty Extension Yr 16-20 (EUR/MWh/yr)</t>
  </si>
  <si>
    <t>FINANCIAL ASSUMPTIONS</t>
  </si>
  <si>
    <t>Corporate Tax Rate (Cyprus)</t>
  </si>
  <si>
    <t>12.5%</t>
  </si>
  <si>
    <t>Annual OPEX Inflation</t>
  </si>
  <si>
    <t>1%</t>
  </si>
  <si>
    <t>Discount Rate (for NPV)</t>
  </si>
  <si>
    <t>8% WACC</t>
  </si>
  <si>
    <t>Cyprus commercial</t>
  </si>
  <si>
    <t>Senior debt</t>
  </si>
  <si>
    <t>REVENUE SCENARIOS ASSUMPTIONS</t>
  </si>
  <si>
    <t>BESS Arbitrage Price — Low (EUR/MWh)</t>
  </si>
  <si>
    <t>Conservative</t>
  </si>
  <si>
    <t>BESS Arbitrage Price — Base (EUR/MWh)</t>
  </si>
  <si>
    <t>Blended average</t>
  </si>
  <si>
    <t>BESS Arbitrage Price — High (EUR/MWh)</t>
  </si>
  <si>
    <t>Strong prediction</t>
  </si>
  <si>
    <t>EPC SELF-COST REFERENCE (from Solarfarms.cy model)</t>
  </si>
  <si>
    <t>Asset</t>
  </si>
  <si>
    <t>PV MWp</t>
  </si>
  <si>
    <t>BESS MWh</t>
  </si>
  <si>
    <t>PV EPC (EUR)</t>
  </si>
  <si>
    <t>BESS (EUR)</t>
  </si>
  <si>
    <t>RTB (EUR)</t>
  </si>
  <si>
    <t>SHARK — Type A: Large Hybrid Park</t>
  </si>
  <si>
    <t>10 MWp + 40 MWh Hybrid Park — Per-Unit Financial Model</t>
  </si>
  <si>
    <t>CAPEX &amp; FINANCING</t>
  </si>
  <si>
    <t>PV Capacity (MWp)</t>
  </si>
  <si>
    <t>BESS Capacity (MWh)</t>
  </si>
  <si>
    <t>BESS Power (MW)</t>
  </si>
  <si>
    <t>PV EPC Self-Cost (EUR)</t>
  </si>
  <si>
    <t>RTB Acquisition (EUR)</t>
  </si>
  <si>
    <t>BESS Installed Cost (EUR)</t>
  </si>
  <si>
    <t>Equity (PV + RTB)</t>
  </si>
  <si>
    <t>Debt (BESS — 100% LTV)</t>
  </si>
  <si>
    <t>Annual Debt Service</t>
  </si>
  <si>
    <t>Annual Depreciation (SL)</t>
  </si>
  <si>
    <t>Units in Portfolio</t>
  </si>
  <si>
    <t>ANNUAL PRODUCTION &amp; TECHNICAL DATA</t>
  </si>
  <si>
    <t>Year #</t>
  </si>
  <si>
    <t>Total/Avg</t>
  </si>
  <si>
    <t>Calendar</t>
  </si>
  <si>
    <t>PV Production (MWh)</t>
  </si>
  <si>
    <t>PV Direct Sales (MWh)</t>
  </si>
  <si>
    <t>PV Curtailed → BESS (MWh)</t>
  </si>
  <si>
    <t>BESS State of Health (%)</t>
  </si>
  <si>
    <t>BESS Sellable Energy (MWh)</t>
  </si>
  <si>
    <t>BESS Charging Needed (MWh)</t>
  </si>
  <si>
    <t>Grid Purchases for BESS (MWh)</t>
  </si>
  <si>
    <t>SCENARIO: LOW CASE (EUR 110/MWh)</t>
  </si>
  <si>
    <t>PV Direct Revenue</t>
  </si>
  <si>
    <t>GoO Revenue</t>
  </si>
  <si>
    <t>BESS Arbitrage Revenue</t>
  </si>
  <si>
    <t>Total Revenue</t>
  </si>
  <si>
    <t>Energy Purchase Cost</t>
  </si>
  <si>
    <t>PV OPEX</t>
  </si>
  <si>
    <t>BESS OPEX (O&amp;M+Mgmt+CERA+Grounds)</t>
  </si>
  <si>
    <t>BESS Warranty Extension</t>
  </si>
  <si>
    <t>Total Operating Costs</t>
  </si>
  <si>
    <t>EBITDA</t>
  </si>
  <si>
    <t>Depreciation</t>
  </si>
  <si>
    <t>Interest Expense</t>
  </si>
  <si>
    <t>Earnings Before Tax</t>
  </si>
  <si>
    <t>Corporate Tax (12.5%)</t>
  </si>
  <si>
    <t>Net Income</t>
  </si>
  <si>
    <t>Debt Service (Annuity)</t>
  </si>
  <si>
    <t>Free Cash Flow to Equity</t>
  </si>
  <si>
    <t>Cumulative Cash Flow</t>
  </si>
  <si>
    <t>DSCR</t>
  </si>
  <si>
    <t>SCENARIO: BASE CASE (EUR 150/MWh Blended)</t>
  </si>
  <si>
    <t>SCENARIO: HIGH CASE (EUR 175/MWh)</t>
  </si>
  <si>
    <t>RETURNS SUMMARY (PER UNIT)</t>
  </si>
  <si>
    <t>Low (110)</t>
  </si>
  <si>
    <t>Base (150)</t>
  </si>
  <si>
    <t>High (175)</t>
  </si>
  <si>
    <t>Equity IRR</t>
  </si>
  <si>
    <t>Project IRR (Unlevered)</t>
  </si>
  <si>
    <t>Equity NPV (@ 8%)</t>
  </si>
  <si>
    <t>Equity Multiple</t>
  </si>
  <si>
    <t>Avg DSCR (loan period)</t>
  </si>
  <si>
    <t>Total FCFE (20 years)</t>
  </si>
  <si>
    <t>Equity CF (Low)</t>
  </si>
  <si>
    <t>Equity CF (Base)</t>
  </si>
  <si>
    <t>Equity CF (High)</t>
  </si>
  <si>
    <t>Project CF (Low)</t>
  </si>
  <si>
    <t>Project CF (Base)</t>
  </si>
  <si>
    <t>Project CF (High)</t>
  </si>
  <si>
    <t>SHARK — Type B: Medium Hybrid Park</t>
  </si>
  <si>
    <t>5 MWp + 20 MWh Hybrid Park — Per-Unit Financial Model</t>
  </si>
  <si>
    <t>SHARK — Type C: Small Hybrid Park</t>
  </si>
  <si>
    <t>3 MWp + 12 MWh Hybrid Park — Per-Unit Financial Model</t>
  </si>
  <si>
    <t>SHARK Fund — Aggregated Portfolio Model</t>
  </si>
  <si>
    <t>All formulas reference asset sheets and scale by unit count</t>
  </si>
  <si>
    <t>PORTFOLIO — LOW CASE (EUR 110/MWh)</t>
  </si>
  <si>
    <t>Year</t>
  </si>
  <si>
    <t>Total / Avg</t>
  </si>
  <si>
    <t>Portfolio EBITDA</t>
  </si>
  <si>
    <t>Total Debt Service</t>
  </si>
  <si>
    <t>Total Tax</t>
  </si>
  <si>
    <t>Portfolio FCFE</t>
  </si>
  <si>
    <t>Cumulative Portfolio CF</t>
  </si>
  <si>
    <t>PORTFOLIO — BASE CASE (EUR 150/MWh Blended)</t>
  </si>
  <si>
    <t>PORTFOLIO — HIGH CASE (EUR 175/MWh)</t>
  </si>
  <si>
    <t>FUND-LEVEL RETURNS COMPARISON</t>
  </si>
  <si>
    <t>Fund Total FCFE (20 yr)</t>
  </si>
  <si>
    <t>Fund Equity CF (Low)</t>
  </si>
  <si>
    <t>Fund Equity CF (Base)</t>
  </si>
  <si>
    <t>Fund Equity CF (High)</t>
  </si>
  <si>
    <t>PER-ASSET-TYPE EQUITY IRR COMPARISON</t>
  </si>
  <si>
    <t>Low IRR</t>
  </si>
  <si>
    <t>Base IRR</t>
  </si>
  <si>
    <t>High IRR</t>
  </si>
  <si>
    <t>SHARK Fund — BESS Debt Amortization Schedules</t>
  </si>
  <si>
    <t>All cells use Excel PMT/IPMT/PPMT formulas linked to Assumptions</t>
  </si>
  <si>
    <t>Type A: Large Hybrid Park — BESS Loan (40 MWh)</t>
  </si>
  <si>
    <t>Principal (EUR)</t>
  </si>
  <si>
    <t>Rate</t>
  </si>
  <si>
    <t>Term</t>
  </si>
  <si>
    <t>Payment/yr</t>
  </si>
  <si>
    <t>Total</t>
  </si>
  <si>
    <t>Opening Balance</t>
  </si>
  <si>
    <t>Interest</t>
  </si>
  <si>
    <t>Total Payment</t>
  </si>
  <si>
    <t>Principal Repayment</t>
  </si>
  <si>
    <t>Closing Balance</t>
  </si>
  <si>
    <t>Type B: Medium Hybrid Park — BESS Loan (20 MWh)</t>
  </si>
  <si>
    <t>Type C: Small Hybrid Park — BESS Loan (12 MWh)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</si>
</sst>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0&quot;x&quot;"/>
  </numFmts>
  <fonts count="13">
    <font>
      <sz val="11.0"/>
      <color theme="1"/>
      <name val="Calibri"/>
      <scheme val="minor"/>
    </font>
    <font>
      <b/>
      <sz val="24.0"/>
      <color rgb="FF1F3864"/>
      <name val="Calibri"/>
      <scheme val="minor"/>
    </font>
    <font>
      <b/>
      <sz val="13.0"/>
      <color rgb="FF2E75B6"/>
      <name val="Calibri"/>
      <scheme val="minor"/>
    </font>
    <font>
      <sz val="11.0"/>
      <color rgb="FF666666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sz val="10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rgb="FF1F3864"/>
      <name val="Calibri"/>
      <scheme val="minor"/>
    </font>
    <font>
      <i/>
      <sz val="10.0"/>
      <color rgb="FF666666"/>
      <name val="Calibri"/>
      <scheme val="minor"/>
    </font>
    <font>
      <i/>
      <sz val="9.0"/>
      <color rgb="FF888888"/>
      <name val="Calibri"/>
      <scheme val="minor"/>
    </font>
    <font>
      <sz val="8.0"/>
      <color rgb="FF999999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DAEEF3"/>
        <bgColor rgb="FFDAEEF3"/>
      </patternFill>
    </fill>
    <fill>
      <patternFill patternType="solid">
        <fgColor rgb="FF2E75B6"/>
        <bgColor rgb="FF2E75B6"/>
      </patternFill>
    </fill>
    <fill>
      <patternFill patternType="solid">
        <fgColor rgb="FFFCE4EC"/>
        <bgColor rgb="FFFCE4EC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2" fontId="5" numFmtId="0" xfId="0" applyBorder="1" applyFont="1"/>
    <xf borderId="0" fillId="0" fontId="6" numFmtId="0" xfId="0" applyFont="1"/>
    <xf borderId="0" fillId="0" fontId="7" numFmtId="3" xfId="0" applyFont="1" applyNumberFormat="1"/>
    <xf borderId="0" fillId="0" fontId="7" numFmtId="1" xfId="0" applyFont="1" applyNumberFormat="1"/>
    <xf borderId="0" fillId="0" fontId="7" numFmtId="0" xfId="0" applyFont="1"/>
    <xf borderId="0" fillId="0" fontId="7" numFmtId="164" xfId="0" applyFont="1" applyNumberFormat="1"/>
    <xf borderId="1" fillId="3" fontId="7" numFmtId="0" xfId="0" applyBorder="1" applyFill="1" applyFont="1"/>
    <xf borderId="0" fillId="0" fontId="8" numFmtId="0" xfId="0" applyFont="1"/>
    <xf borderId="0" fillId="0" fontId="8" numFmtId="1" xfId="0" applyFont="1" applyNumberFormat="1"/>
    <xf borderId="0" fillId="0" fontId="5" numFmtId="3" xfId="0" applyFont="1" applyNumberFormat="1"/>
    <xf borderId="1" fillId="4" fontId="7" numFmtId="0" xfId="0" applyBorder="1" applyFill="1" applyFont="1"/>
    <xf borderId="1" fillId="4" fontId="7" numFmtId="1" xfId="0" applyBorder="1" applyFont="1" applyNumberFormat="1"/>
    <xf borderId="1" fillId="4" fontId="7" numFmtId="3" xfId="0" applyBorder="1" applyFont="1" applyNumberFormat="1"/>
    <xf borderId="0" fillId="0" fontId="7" numFmtId="165" xfId="0" applyFont="1" applyNumberFormat="1"/>
    <xf borderId="0" fillId="0" fontId="9" numFmtId="0" xfId="0" applyFont="1"/>
    <xf borderId="0" fillId="0" fontId="10" numFmtId="0" xfId="0" applyFont="1"/>
    <xf borderId="1" fillId="5" fontId="7" numFmtId="3" xfId="0" applyBorder="1" applyFill="1" applyFont="1" applyNumberFormat="1"/>
    <xf borderId="0" fillId="0" fontId="11" numFmtId="0" xfId="0" applyFont="1"/>
    <xf borderId="1" fillId="5" fontId="7" numFmtId="1" xfId="0" applyBorder="1" applyFont="1" applyNumberFormat="1"/>
    <xf borderId="1" fillId="5" fontId="7" numFmtId="164" xfId="0" applyBorder="1" applyFont="1" applyNumberFormat="1"/>
    <xf borderId="1" fillId="5" fontId="7" numFmtId="10" xfId="0" applyBorder="1" applyFont="1" applyNumberFormat="1"/>
    <xf borderId="1" fillId="5" fontId="6" numFmtId="3" xfId="0" applyBorder="1" applyFont="1" applyNumberFormat="1"/>
    <xf borderId="0" fillId="0" fontId="6" numFmtId="3" xfId="0" applyFont="1" applyNumberFormat="1"/>
    <xf borderId="1" fillId="5" fontId="6" numFmtId="1" xfId="0" applyBorder="1" applyFont="1" applyNumberFormat="1"/>
    <xf borderId="1" fillId="3" fontId="5" numFmtId="0" xfId="0" applyBorder="1" applyFont="1"/>
    <xf borderId="0" fillId="0" fontId="5" numFmtId="164" xfId="0" applyFont="1" applyNumberFormat="1"/>
    <xf borderId="1" fillId="6" fontId="4" numFmtId="0" xfId="0" applyBorder="1" applyFill="1" applyFont="1"/>
    <xf borderId="1" fillId="6" fontId="5" numFmtId="0" xfId="0" applyBorder="1" applyFont="1"/>
    <xf borderId="1" fillId="7" fontId="7" numFmtId="0" xfId="0" applyBorder="1" applyFill="1" applyFont="1"/>
    <xf borderId="1" fillId="7" fontId="7" numFmtId="3" xfId="0" applyBorder="1" applyFont="1" applyNumberFormat="1"/>
    <xf borderId="0" fillId="0" fontId="5" numFmtId="165" xfId="0" applyFont="1" applyNumberFormat="1"/>
    <xf borderId="1" fillId="8" fontId="7" numFmtId="0" xfId="0" applyBorder="1" applyFill="1" applyFont="1"/>
    <xf borderId="1" fillId="8" fontId="7" numFmtId="3" xfId="0" applyBorder="1" applyFont="1" applyNumberFormat="1"/>
    <xf borderId="0" fillId="0" fontId="12" numFmtId="0" xfId="0" applyFont="1"/>
    <xf borderId="1" fillId="9" fontId="5" numFmtId="3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895350</xdr:colOff>
      <xdr:row>0</xdr:row>
      <xdr:rowOff>0</xdr:rowOff>
    </xdr:from>
    <xdr:ext cx="2838450" cy="2266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8" width="18.0"/>
    <col customWidth="1" min="9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B5" s="5"/>
      <c r="C5" s="5"/>
      <c r="D5" s="5"/>
      <c r="E5" s="5"/>
      <c r="F5" s="5"/>
      <c r="G5" s="5"/>
      <c r="H5" s="5"/>
    </row>
    <row r="6">
      <c r="A6" s="6" t="s">
        <v>4</v>
      </c>
      <c r="B6" s="7">
        <f>'Type A - 10MWp'!$B$12*'Type A - 10MWp'!$B$16+'Type B - 5MWp'!$B$12*'Type B - 5MWp'!$B$16+'Type C - 3MWp'!$B$12*'Type C - 3MWp'!$B$16</f>
        <v>50074389</v>
      </c>
    </row>
    <row r="7">
      <c r="A7" s="6" t="s">
        <v>5</v>
      </c>
      <c r="B7" s="7">
        <f>'Type A - 10MWp'!$B$13*'Type A - 10MWp'!$B$16+'Type B - 5MWp'!$B$13*'Type B - 5MWp'!$B$16+'Type C - 3MWp'!$B$13*'Type C - 3MWp'!$B$16</f>
        <v>22578534</v>
      </c>
    </row>
    <row r="8">
      <c r="A8" s="6" t="s">
        <v>6</v>
      </c>
      <c r="B8" s="7">
        <f>B6+B7</f>
        <v>72652923</v>
      </c>
    </row>
    <row r="9">
      <c r="A9" s="6" t="s">
        <v>7</v>
      </c>
      <c r="B9" s="8">
        <f>Assumptions!$B$7</f>
        <v>20</v>
      </c>
    </row>
    <row r="10">
      <c r="A10" s="6" t="s">
        <v>8</v>
      </c>
      <c r="B10" s="9" t="s">
        <v>9</v>
      </c>
    </row>
    <row r="11">
      <c r="A11" s="6" t="s">
        <v>10</v>
      </c>
      <c r="B11" s="9" t="s">
        <v>11</v>
      </c>
    </row>
    <row r="12">
      <c r="A12" s="6" t="s">
        <v>12</v>
      </c>
      <c r="B12" s="10">
        <f>Assumptions!$B$38</f>
        <v>0.05</v>
      </c>
    </row>
    <row r="13">
      <c r="A13" s="6" t="s">
        <v>13</v>
      </c>
      <c r="B13" s="8">
        <f>Assumptions!$B$39</f>
        <v>15</v>
      </c>
    </row>
    <row r="14">
      <c r="A14" s="6" t="s">
        <v>14</v>
      </c>
      <c r="B14" s="10">
        <f>Assumptions!$B$35</f>
        <v>0.125</v>
      </c>
    </row>
    <row r="16">
      <c r="A16" s="4" t="s">
        <v>15</v>
      </c>
      <c r="B16" s="5"/>
      <c r="C16" s="5"/>
      <c r="D16" s="5"/>
      <c r="E16" s="5"/>
      <c r="F16" s="5"/>
      <c r="G16" s="5"/>
      <c r="H16" s="5"/>
    </row>
    <row r="17">
      <c r="A17" s="11" t="s">
        <v>16</v>
      </c>
      <c r="B17" s="11" t="s">
        <v>17</v>
      </c>
      <c r="C17" s="11" t="s">
        <v>18</v>
      </c>
      <c r="D17" s="11" t="s">
        <v>19</v>
      </c>
      <c r="E17" s="11" t="s">
        <v>20</v>
      </c>
      <c r="F17" s="11" t="s">
        <v>21</v>
      </c>
      <c r="G17" s="11" t="s">
        <v>22</v>
      </c>
      <c r="H17" s="11" t="s">
        <v>23</v>
      </c>
    </row>
    <row r="18">
      <c r="A18" s="12" t="s">
        <v>24</v>
      </c>
      <c r="B18" s="12" t="s">
        <v>25</v>
      </c>
      <c r="C18" s="13">
        <f>'Type A - 10MWp'!$B$16</f>
        <v>3</v>
      </c>
      <c r="D18" s="14">
        <f>'Type A - 10MWp'!$B$12</f>
        <v>8600770</v>
      </c>
      <c r="E18" s="14">
        <f>'Type A - 10MWp'!$B$13</f>
        <v>3740967</v>
      </c>
      <c r="F18" s="14">
        <f>'Type A - 10MWp'!$B$12*'Type A - 10MWp'!$B$16</f>
        <v>25802310</v>
      </c>
      <c r="G18" s="14">
        <f>'Type A - 10MWp'!$B$13*'Type A - 10MWp'!$B$16</f>
        <v>11222901</v>
      </c>
      <c r="H18" s="14">
        <f>('Type A - 10MWp'!$B$12+'Type A - 10MWp'!$B$13)*'Type A - 10MWp'!$B$16</f>
        <v>37025211</v>
      </c>
    </row>
    <row r="19">
      <c r="A19" s="12" t="s">
        <v>26</v>
      </c>
      <c r="B19" s="12" t="s">
        <v>27</v>
      </c>
      <c r="C19" s="13">
        <f>'Type B - 5MWp'!$B$16</f>
        <v>3</v>
      </c>
      <c r="D19" s="14">
        <f>'Type B - 5MWp'!$B$12</f>
        <v>4450385</v>
      </c>
      <c r="E19" s="14">
        <f>'Type B - 5MWp'!$B$13</f>
        <v>1919179</v>
      </c>
      <c r="F19" s="14">
        <f>'Type B - 5MWp'!$B$12*'Type B - 5MWp'!$B$16</f>
        <v>13351155</v>
      </c>
      <c r="G19" s="14">
        <f>'Type B - 5MWp'!$B$13*'Type B - 5MWp'!$B$16</f>
        <v>5757537</v>
      </c>
      <c r="H19" s="14">
        <f>('Type B - 5MWp'!$B$12+'Type B - 5MWp'!$B$13)*'Type B - 5MWp'!$B$16</f>
        <v>19108692</v>
      </c>
    </row>
    <row r="20">
      <c r="A20" s="12" t="s">
        <v>28</v>
      </c>
      <c r="B20" s="12" t="s">
        <v>29</v>
      </c>
      <c r="C20" s="13">
        <f>'Type C - 3MWp'!$B$16</f>
        <v>4</v>
      </c>
      <c r="D20" s="14">
        <f>'Type C - 3MWp'!$B$12</f>
        <v>2730231</v>
      </c>
      <c r="E20" s="14">
        <f>'Type C - 3MWp'!$B$13</f>
        <v>1399524</v>
      </c>
      <c r="F20" s="14">
        <f>'Type C - 3MWp'!$B$12*'Type C - 3MWp'!$B$16</f>
        <v>10920924</v>
      </c>
      <c r="G20" s="14">
        <f>'Type C - 3MWp'!$B$13*'Type C - 3MWp'!$B$16</f>
        <v>5598096</v>
      </c>
      <c r="H20" s="14">
        <f>('Type C - 3MWp'!$B$12+'Type C - 3MWp'!$B$13)*'Type C - 3MWp'!$B$16</f>
        <v>16519020</v>
      </c>
    </row>
    <row r="21" ht="15.75" customHeight="1">
      <c r="A21" s="15" t="s">
        <v>30</v>
      </c>
      <c r="B21" s="15"/>
      <c r="C21" s="16">
        <f>SUM(C18:C20)</f>
        <v>10</v>
      </c>
      <c r="D21" s="15"/>
      <c r="E21" s="15"/>
      <c r="F21" s="17">
        <f t="shared" ref="F21:H21" si="1">SUM(F18:F20)</f>
        <v>50074389</v>
      </c>
      <c r="G21" s="17">
        <f t="shared" si="1"/>
        <v>22578534</v>
      </c>
      <c r="H21" s="17">
        <f t="shared" si="1"/>
        <v>72652923</v>
      </c>
    </row>
    <row r="22" ht="15.75" customHeight="1"/>
    <row r="23" ht="15.75" customHeight="1">
      <c r="A23" s="4" t="s">
        <v>31</v>
      </c>
      <c r="B23" s="5"/>
      <c r="C23" s="5"/>
      <c r="D23" s="5"/>
      <c r="E23" s="5"/>
    </row>
    <row r="24" ht="15.75" customHeight="1">
      <c r="A24" s="11" t="s">
        <v>32</v>
      </c>
      <c r="B24" s="11" t="s">
        <v>33</v>
      </c>
      <c r="C24" s="11" t="s">
        <v>34</v>
      </c>
      <c r="D24" s="11" t="s">
        <v>35</v>
      </c>
    </row>
    <row r="25" ht="15.75" customHeight="1">
      <c r="A25" s="9" t="s">
        <v>36</v>
      </c>
      <c r="B25" s="10">
        <f>'Fund Portfolio'!B$36</f>
        <v>0.1534325417</v>
      </c>
      <c r="C25" s="10">
        <f>'Fund Portfolio'!C$36</f>
        <v>0.1999285611</v>
      </c>
      <c r="D25" s="10">
        <f>'Fund Portfolio'!D$36</f>
        <v>0.2283661365</v>
      </c>
    </row>
    <row r="26" ht="15.75" customHeight="1">
      <c r="A26" s="9" t="s">
        <v>37</v>
      </c>
      <c r="B26" s="7">
        <f>'Fund Portfolio'!B$37</f>
        <v>28742746.33</v>
      </c>
      <c r="C26" s="7">
        <f>'Fund Portfolio'!C$37</f>
        <v>48115675</v>
      </c>
      <c r="D26" s="7">
        <f>'Fund Portfolio'!D$37</f>
        <v>60223755.42</v>
      </c>
    </row>
    <row r="27" ht="15.75" customHeight="1">
      <c r="A27" s="9" t="s">
        <v>38</v>
      </c>
      <c r="B27" s="18">
        <f>'Fund Portfolio'!B$38</f>
        <v>3.166519943</v>
      </c>
      <c r="C27" s="18">
        <f>'Fund Portfolio'!C$38</f>
        <v>3.925173654</v>
      </c>
      <c r="D27" s="18">
        <f>'Fund Portfolio'!D$38</f>
        <v>4.399332223</v>
      </c>
    </row>
    <row r="28" ht="15.75" customHeight="1">
      <c r="A28" s="9" t="s">
        <v>39</v>
      </c>
      <c r="B28" s="7">
        <f>'Fund Portfolio'!B$39</f>
        <v>158561551.4</v>
      </c>
      <c r="C28" s="7">
        <f>'Fund Portfolio'!C$39</f>
        <v>196550672.4</v>
      </c>
      <c r="D28" s="7">
        <f>'Fund Portfolio'!D$39</f>
        <v>220293873.1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18.0"/>
    <col customWidth="1" min="3" max="3" width="50.0"/>
    <col customWidth="1" min="4" max="26" width="8.71"/>
  </cols>
  <sheetData>
    <row r="1">
      <c r="A1" s="19" t="s">
        <v>40</v>
      </c>
    </row>
    <row r="2">
      <c r="A2" s="20" t="s">
        <v>41</v>
      </c>
    </row>
    <row r="4">
      <c r="A4" s="4" t="s">
        <v>42</v>
      </c>
      <c r="B4" s="5"/>
      <c r="C4" s="5"/>
    </row>
    <row r="5">
      <c r="A5" s="6" t="s">
        <v>43</v>
      </c>
      <c r="B5" s="21">
        <v>350000.0</v>
      </c>
      <c r="C5" s="22" t="s">
        <v>44</v>
      </c>
    </row>
    <row r="6">
      <c r="A6" s="6" t="s">
        <v>45</v>
      </c>
      <c r="B6" s="23">
        <v>4.0</v>
      </c>
      <c r="C6" s="22" t="s">
        <v>46</v>
      </c>
    </row>
    <row r="7">
      <c r="A7" s="6" t="s">
        <v>47</v>
      </c>
      <c r="B7" s="23">
        <v>20.0</v>
      </c>
      <c r="C7" s="22" t="s">
        <v>48</v>
      </c>
    </row>
    <row r="9">
      <c r="A9" s="4" t="s">
        <v>49</v>
      </c>
      <c r="B9" s="5"/>
      <c r="C9" s="5"/>
    </row>
    <row r="10">
      <c r="A10" s="6" t="s">
        <v>50</v>
      </c>
      <c r="B10" s="21">
        <v>1750.0</v>
      </c>
      <c r="C10" s="22" t="s">
        <v>51</v>
      </c>
    </row>
    <row r="11">
      <c r="A11" s="6" t="s">
        <v>52</v>
      </c>
      <c r="B11" s="24">
        <v>0.025</v>
      </c>
      <c r="C11" s="22" t="s">
        <v>53</v>
      </c>
    </row>
    <row r="12">
      <c r="A12" s="6" t="s">
        <v>54</v>
      </c>
      <c r="B12" s="24">
        <v>0.005</v>
      </c>
      <c r="C12" s="22" t="s">
        <v>55</v>
      </c>
    </row>
    <row r="13">
      <c r="A13" s="6" t="s">
        <v>56</v>
      </c>
      <c r="B13" s="24">
        <v>0.5</v>
      </c>
      <c r="C13" s="22" t="s">
        <v>57</v>
      </c>
    </row>
    <row r="14">
      <c r="A14" s="6" t="s">
        <v>58</v>
      </c>
      <c r="B14" s="21">
        <v>160.0</v>
      </c>
      <c r="C14" s="22" t="s">
        <v>59</v>
      </c>
    </row>
    <row r="15">
      <c r="A15" s="6" t="s">
        <v>60</v>
      </c>
      <c r="B15" s="21">
        <v>1.0</v>
      </c>
      <c r="C15" s="22" t="s">
        <v>61</v>
      </c>
    </row>
    <row r="16">
      <c r="A16" s="6" t="s">
        <v>62</v>
      </c>
      <c r="B16" s="21">
        <v>15000.0</v>
      </c>
      <c r="C16" s="22" t="s">
        <v>63</v>
      </c>
    </row>
    <row r="18">
      <c r="A18" s="4" t="s">
        <v>64</v>
      </c>
      <c r="B18" s="5"/>
      <c r="C18" s="5"/>
    </row>
    <row r="19">
      <c r="A19" s="6" t="s">
        <v>65</v>
      </c>
      <c r="B19" s="24">
        <v>0.863</v>
      </c>
      <c r="C19" s="22" t="s">
        <v>66</v>
      </c>
    </row>
    <row r="20">
      <c r="A20" s="6" t="s">
        <v>67</v>
      </c>
      <c r="B20" s="24">
        <v>0.985</v>
      </c>
      <c r="C20" s="22" t="s">
        <v>68</v>
      </c>
    </row>
    <row r="21" ht="15.75" customHeight="1">
      <c r="A21" s="6" t="s">
        <v>69</v>
      </c>
      <c r="B21" s="25">
        <v>0.0135</v>
      </c>
      <c r="C21" s="22" t="s">
        <v>70</v>
      </c>
    </row>
    <row r="22" ht="15.75" customHeight="1">
      <c r="A22" s="6" t="s">
        <v>71</v>
      </c>
      <c r="B22" s="24">
        <v>0.9</v>
      </c>
    </row>
    <row r="23" ht="15.75" customHeight="1">
      <c r="A23" s="6" t="s">
        <v>72</v>
      </c>
      <c r="B23" s="24">
        <v>0.98</v>
      </c>
      <c r="C23" s="22" t="s">
        <v>73</v>
      </c>
    </row>
    <row r="24" ht="15.75" customHeight="1">
      <c r="A24" s="6" t="s">
        <v>74</v>
      </c>
      <c r="B24" s="23">
        <v>1.0</v>
      </c>
    </row>
    <row r="25" ht="15.75" customHeight="1">
      <c r="A25" s="6" t="s">
        <v>75</v>
      </c>
      <c r="B25" s="21">
        <v>50.0</v>
      </c>
      <c r="C25" s="22" t="s">
        <v>76</v>
      </c>
    </row>
    <row r="26" ht="15.75" customHeight="1">
      <c r="A26" s="6" t="s">
        <v>77</v>
      </c>
      <c r="B26" s="21">
        <v>1750.0</v>
      </c>
      <c r="C26" s="22" t="s">
        <v>78</v>
      </c>
    </row>
    <row r="27" ht="15.75" customHeight="1">
      <c r="A27" s="6" t="s">
        <v>79</v>
      </c>
      <c r="B27" s="21">
        <v>1500.0</v>
      </c>
      <c r="C27" s="22" t="s">
        <v>80</v>
      </c>
    </row>
    <row r="28" ht="15.75" customHeight="1">
      <c r="A28" s="6" t="s">
        <v>81</v>
      </c>
      <c r="B28" s="21">
        <v>700.0</v>
      </c>
    </row>
    <row r="29" ht="15.75" customHeight="1">
      <c r="A29" s="6" t="s">
        <v>82</v>
      </c>
      <c r="B29" s="21">
        <v>4000.0</v>
      </c>
      <c r="C29" s="22" t="s">
        <v>83</v>
      </c>
    </row>
    <row r="30" ht="15.75" customHeight="1">
      <c r="A30" s="6" t="s">
        <v>84</v>
      </c>
      <c r="B30" s="21">
        <v>1800.0</v>
      </c>
    </row>
    <row r="31" ht="15.75" customHeight="1">
      <c r="A31" s="6" t="s">
        <v>85</v>
      </c>
      <c r="B31" s="21">
        <v>2100.0</v>
      </c>
    </row>
    <row r="32" ht="15.75" customHeight="1">
      <c r="A32" s="6" t="s">
        <v>86</v>
      </c>
      <c r="B32" s="21">
        <v>2450.0</v>
      </c>
    </row>
    <row r="33" ht="15.75" customHeight="1"/>
    <row r="34" ht="15.75" customHeight="1">
      <c r="A34" s="4" t="s">
        <v>87</v>
      </c>
      <c r="B34" s="5"/>
      <c r="C34" s="5"/>
    </row>
    <row r="35" ht="15.75" customHeight="1">
      <c r="A35" s="6" t="s">
        <v>88</v>
      </c>
      <c r="B35" s="24">
        <v>0.125</v>
      </c>
      <c r="C35" s="22" t="s">
        <v>89</v>
      </c>
    </row>
    <row r="36" ht="15.75" customHeight="1">
      <c r="A36" s="6" t="s">
        <v>90</v>
      </c>
      <c r="B36" s="24">
        <v>0.01</v>
      </c>
      <c r="C36" s="22" t="s">
        <v>91</v>
      </c>
    </row>
    <row r="37" ht="15.75" customHeight="1">
      <c r="A37" s="6" t="s">
        <v>92</v>
      </c>
      <c r="B37" s="24">
        <v>0.08</v>
      </c>
      <c r="C37" s="22" t="s">
        <v>93</v>
      </c>
    </row>
    <row r="38" ht="15.75" customHeight="1">
      <c r="A38" s="6" t="s">
        <v>12</v>
      </c>
      <c r="B38" s="24">
        <v>0.05</v>
      </c>
      <c r="C38" s="22" t="s">
        <v>94</v>
      </c>
    </row>
    <row r="39" ht="15.75" customHeight="1">
      <c r="A39" s="6" t="s">
        <v>13</v>
      </c>
      <c r="B39" s="23">
        <v>15.0</v>
      </c>
      <c r="C39" s="22" t="s">
        <v>95</v>
      </c>
    </row>
    <row r="40" ht="15.75" customHeight="1"/>
    <row r="41" ht="15.75" customHeight="1">
      <c r="A41" s="4" t="s">
        <v>96</v>
      </c>
      <c r="B41" s="5"/>
      <c r="C41" s="5"/>
    </row>
    <row r="42" ht="15.75" customHeight="1">
      <c r="A42" s="6" t="s">
        <v>97</v>
      </c>
      <c r="B42" s="21">
        <v>110.0</v>
      </c>
      <c r="C42" s="22" t="s">
        <v>98</v>
      </c>
    </row>
    <row r="43" ht="15.75" customHeight="1">
      <c r="A43" s="6" t="s">
        <v>99</v>
      </c>
      <c r="B43" s="21">
        <v>150.0</v>
      </c>
      <c r="C43" s="22" t="s">
        <v>100</v>
      </c>
    </row>
    <row r="44" ht="15.75" customHeight="1">
      <c r="A44" s="6" t="s">
        <v>101</v>
      </c>
      <c r="B44" s="21">
        <v>175.0</v>
      </c>
      <c r="C44" s="22" t="s">
        <v>102</v>
      </c>
    </row>
    <row r="45" ht="15.75" customHeight="1"/>
    <row r="46" ht="15.75" customHeight="1">
      <c r="A46" s="4" t="s">
        <v>103</v>
      </c>
      <c r="B46" s="5"/>
      <c r="C46" s="5"/>
      <c r="D46" s="5"/>
      <c r="E46" s="5"/>
      <c r="F46" s="5"/>
      <c r="G46" s="5"/>
    </row>
    <row r="47" ht="15.75" customHeight="1">
      <c r="A47" s="11" t="s">
        <v>104</v>
      </c>
      <c r="B47" s="11" t="s">
        <v>105</v>
      </c>
      <c r="C47" s="11" t="s">
        <v>106</v>
      </c>
      <c r="D47" s="11" t="s">
        <v>107</v>
      </c>
      <c r="E47" s="11" t="s">
        <v>108</v>
      </c>
      <c r="F47" s="11" t="s">
        <v>109</v>
      </c>
      <c r="G47" s="11" t="s">
        <v>23</v>
      </c>
    </row>
    <row r="48" ht="15.75" customHeight="1">
      <c r="A48" s="12" t="s">
        <v>24</v>
      </c>
      <c r="B48" s="12">
        <v>10.0</v>
      </c>
      <c r="C48" s="12">
        <v>40.0</v>
      </c>
      <c r="D48" s="14">
        <v>5100770.0</v>
      </c>
      <c r="E48" s="14">
        <v>3740967.0</v>
      </c>
      <c r="F48" s="14">
        <v>3500000.0</v>
      </c>
      <c r="G48" s="14">
        <v>1.2341737E7</v>
      </c>
    </row>
    <row r="49" ht="15.75" customHeight="1">
      <c r="A49" s="12" t="s">
        <v>26</v>
      </c>
      <c r="B49" s="12">
        <v>5.0</v>
      </c>
      <c r="C49" s="12">
        <v>20.0</v>
      </c>
      <c r="D49" s="14">
        <v>2700385.0</v>
      </c>
      <c r="E49" s="14">
        <v>1919179.0</v>
      </c>
      <c r="F49" s="14">
        <v>1750000.0</v>
      </c>
      <c r="G49" s="14">
        <v>6369564.0</v>
      </c>
    </row>
    <row r="50" ht="15.75" customHeight="1">
      <c r="A50" s="12" t="s">
        <v>28</v>
      </c>
      <c r="B50" s="12">
        <v>3.0</v>
      </c>
      <c r="C50" s="12">
        <v>12.0</v>
      </c>
      <c r="D50" s="14">
        <v>1680231.0</v>
      </c>
      <c r="E50" s="14">
        <v>1399524.0</v>
      </c>
      <c r="F50" s="14">
        <v>1050000.0</v>
      </c>
      <c r="G50" s="14">
        <v>4129755.0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0.0"/>
    <col customWidth="1" min="2" max="23" width="14.0"/>
    <col customWidth="1" min="24" max="26" width="8.71"/>
  </cols>
  <sheetData>
    <row r="1">
      <c r="A1" s="19" t="s">
        <v>110</v>
      </c>
    </row>
    <row r="2">
      <c r="A2" s="2" t="s">
        <v>111</v>
      </c>
    </row>
    <row r="4">
      <c r="A4" s="4" t="s">
        <v>112</v>
      </c>
      <c r="B4" s="5"/>
      <c r="C4" s="5"/>
    </row>
    <row r="5">
      <c r="A5" s="6" t="s">
        <v>113</v>
      </c>
      <c r="B5" s="26">
        <v>10.0</v>
      </c>
    </row>
    <row r="6">
      <c r="A6" s="6" t="s">
        <v>114</v>
      </c>
      <c r="B6" s="26">
        <v>40.0</v>
      </c>
    </row>
    <row r="7">
      <c r="A7" s="6" t="s">
        <v>115</v>
      </c>
      <c r="B7" s="27">
        <f>B6/Assumptions!$B$6</f>
        <v>10</v>
      </c>
    </row>
    <row r="8">
      <c r="A8" s="6" t="s">
        <v>116</v>
      </c>
      <c r="B8" s="26">
        <v>5100770.0</v>
      </c>
    </row>
    <row r="9">
      <c r="A9" s="6" t="s">
        <v>117</v>
      </c>
      <c r="B9" s="27">
        <f>B5*Assumptions!$B$5</f>
        <v>3500000</v>
      </c>
    </row>
    <row r="10">
      <c r="A10" s="6" t="s">
        <v>118</v>
      </c>
      <c r="B10" s="26">
        <v>3740967.0</v>
      </c>
    </row>
    <row r="11">
      <c r="A11" s="15" t="s">
        <v>6</v>
      </c>
      <c r="B11" s="17">
        <f>B8+B9+B10</f>
        <v>12341737</v>
      </c>
      <c r="C11" s="15"/>
    </row>
    <row r="12">
      <c r="A12" s="15" t="s">
        <v>119</v>
      </c>
      <c r="B12" s="17">
        <f>B8+B9</f>
        <v>8600770</v>
      </c>
      <c r="C12" s="15"/>
    </row>
    <row r="13">
      <c r="A13" s="6" t="s">
        <v>120</v>
      </c>
      <c r="B13" s="27">
        <f>B10</f>
        <v>3740967</v>
      </c>
    </row>
    <row r="14">
      <c r="A14" s="15" t="s">
        <v>121</v>
      </c>
      <c r="B14" s="17">
        <f>-PMT(Assumptions!$B$38,Assumptions!$B$39,B13)</f>
        <v>360413.3187</v>
      </c>
      <c r="C14" s="15"/>
    </row>
    <row r="15">
      <c r="A15" s="6" t="s">
        <v>122</v>
      </c>
      <c r="B15" s="27">
        <f>B11/Assumptions!$B$7</f>
        <v>617086.85</v>
      </c>
    </row>
    <row r="16">
      <c r="A16" s="6" t="s">
        <v>123</v>
      </c>
      <c r="B16" s="28">
        <v>3.0</v>
      </c>
    </row>
    <row r="18">
      <c r="A18" s="4" t="s">
        <v>124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11" t="s">
        <v>125</v>
      </c>
      <c r="C19" s="11">
        <v>1.0</v>
      </c>
      <c r="D19" s="11">
        <v>2.0</v>
      </c>
      <c r="E19" s="11">
        <v>3.0</v>
      </c>
      <c r="F19" s="11">
        <v>4.0</v>
      </c>
      <c r="G19" s="11">
        <v>5.0</v>
      </c>
      <c r="H19" s="11">
        <v>6.0</v>
      </c>
      <c r="I19" s="11">
        <v>7.0</v>
      </c>
      <c r="J19" s="11">
        <v>8.0</v>
      </c>
      <c r="K19" s="11">
        <v>9.0</v>
      </c>
      <c r="L19" s="11">
        <v>10.0</v>
      </c>
      <c r="M19" s="11">
        <v>11.0</v>
      </c>
      <c r="N19" s="11">
        <v>12.0</v>
      </c>
      <c r="O19" s="11">
        <v>13.0</v>
      </c>
      <c r="P19" s="11">
        <v>14.0</v>
      </c>
      <c r="Q19" s="11">
        <v>15.0</v>
      </c>
      <c r="R19" s="11">
        <v>16.0</v>
      </c>
      <c r="S19" s="11">
        <v>17.0</v>
      </c>
      <c r="T19" s="11">
        <v>18.0</v>
      </c>
      <c r="U19" s="11">
        <v>19.0</v>
      </c>
      <c r="V19" s="11">
        <v>20.0</v>
      </c>
      <c r="W19" s="11" t="s">
        <v>126</v>
      </c>
    </row>
    <row r="20">
      <c r="A20" s="11" t="s">
        <v>127</v>
      </c>
      <c r="C20" s="11">
        <v>2026.0</v>
      </c>
      <c r="D20" s="11">
        <v>2027.0</v>
      </c>
      <c r="E20" s="11">
        <v>2028.0</v>
      </c>
      <c r="F20" s="11">
        <v>2029.0</v>
      </c>
      <c r="G20" s="11">
        <v>2030.0</v>
      </c>
      <c r="H20" s="11">
        <v>2031.0</v>
      </c>
      <c r="I20" s="11">
        <v>2032.0</v>
      </c>
      <c r="J20" s="11">
        <v>2033.0</v>
      </c>
      <c r="K20" s="11">
        <v>2034.0</v>
      </c>
      <c r="L20" s="11">
        <v>2035.0</v>
      </c>
      <c r="M20" s="11">
        <v>2036.0</v>
      </c>
      <c r="N20" s="11">
        <v>2037.0</v>
      </c>
      <c r="O20" s="11">
        <v>2038.0</v>
      </c>
      <c r="P20" s="11">
        <v>2039.0</v>
      </c>
      <c r="Q20" s="11">
        <v>2040.0</v>
      </c>
      <c r="R20" s="11">
        <v>2041.0</v>
      </c>
      <c r="S20" s="11">
        <v>2042.0</v>
      </c>
      <c r="T20" s="11">
        <v>2043.0</v>
      </c>
      <c r="U20" s="11">
        <v>2044.0</v>
      </c>
      <c r="V20" s="11">
        <v>2045.0</v>
      </c>
      <c r="W20" s="29"/>
    </row>
    <row r="21" ht="15.75" customHeight="1">
      <c r="A21" s="6" t="s">
        <v>128</v>
      </c>
      <c r="C21" s="14">
        <f>IF(C$19=1,$B$5*Assumptions!$B$10*(1-Assumptions!$B$11),$B$5*Assumptions!$B$10*(1-Assumptions!$B$11)*(1-Assumptions!$B$12)^(C$19-1))</f>
        <v>17062.5</v>
      </c>
      <c r="D21" s="14">
        <f>IF(D$19=1,$B$5*Assumptions!$B$10*(1-Assumptions!$B$11),$B$5*Assumptions!$B$10*(1-Assumptions!$B$11)*(1-Assumptions!$B$12)^(D$19-1))</f>
        <v>16977.1875</v>
      </c>
      <c r="E21" s="14">
        <f>IF(E$19=1,$B$5*Assumptions!$B$10*(1-Assumptions!$B$11),$B$5*Assumptions!$B$10*(1-Assumptions!$B$11)*(1-Assumptions!$B$12)^(E$19-1))</f>
        <v>16892.30156</v>
      </c>
      <c r="F21" s="14">
        <f>IF(F$19=1,$B$5*Assumptions!$B$10*(1-Assumptions!$B$11),$B$5*Assumptions!$B$10*(1-Assumptions!$B$11)*(1-Assumptions!$B$12)^(F$19-1))</f>
        <v>16807.84005</v>
      </c>
      <c r="G21" s="14">
        <f>IF(G$19=1,$B$5*Assumptions!$B$10*(1-Assumptions!$B$11),$B$5*Assumptions!$B$10*(1-Assumptions!$B$11)*(1-Assumptions!$B$12)^(G$19-1))</f>
        <v>16723.80085</v>
      </c>
      <c r="H21" s="14">
        <f>IF(H$19=1,$B$5*Assumptions!$B$10*(1-Assumptions!$B$11),$B$5*Assumptions!$B$10*(1-Assumptions!$B$11)*(1-Assumptions!$B$12)^(H$19-1))</f>
        <v>16640.18185</v>
      </c>
      <c r="I21" s="14">
        <f>IF(I$19=1,$B$5*Assumptions!$B$10*(1-Assumptions!$B$11),$B$5*Assumptions!$B$10*(1-Assumptions!$B$11)*(1-Assumptions!$B$12)^(I$19-1))</f>
        <v>16556.98094</v>
      </c>
      <c r="J21" s="14">
        <f>IF(J$19=1,$B$5*Assumptions!$B$10*(1-Assumptions!$B$11),$B$5*Assumptions!$B$10*(1-Assumptions!$B$11)*(1-Assumptions!$B$12)^(J$19-1))</f>
        <v>16474.19604</v>
      </c>
      <c r="K21" s="14">
        <f>IF(K$19=1,$B$5*Assumptions!$B$10*(1-Assumptions!$B$11),$B$5*Assumptions!$B$10*(1-Assumptions!$B$11)*(1-Assumptions!$B$12)^(K$19-1))</f>
        <v>16391.82506</v>
      </c>
      <c r="L21" s="14">
        <f>IF(L$19=1,$B$5*Assumptions!$B$10*(1-Assumptions!$B$11),$B$5*Assumptions!$B$10*(1-Assumptions!$B$11)*(1-Assumptions!$B$12)^(L$19-1))</f>
        <v>16309.86593</v>
      </c>
      <c r="M21" s="14">
        <f>IF(M$19=1,$B$5*Assumptions!$B$10*(1-Assumptions!$B$11),$B$5*Assumptions!$B$10*(1-Assumptions!$B$11)*(1-Assumptions!$B$12)^(M$19-1))</f>
        <v>16228.3166</v>
      </c>
      <c r="N21" s="14">
        <f>IF(N$19=1,$B$5*Assumptions!$B$10*(1-Assumptions!$B$11),$B$5*Assumptions!$B$10*(1-Assumptions!$B$11)*(1-Assumptions!$B$12)^(N$19-1))</f>
        <v>16147.17502</v>
      </c>
      <c r="O21" s="14">
        <f>IF(O$19=1,$B$5*Assumptions!$B$10*(1-Assumptions!$B$11),$B$5*Assumptions!$B$10*(1-Assumptions!$B$11)*(1-Assumptions!$B$12)^(O$19-1))</f>
        <v>16066.43914</v>
      </c>
      <c r="P21" s="14">
        <f>IF(P$19=1,$B$5*Assumptions!$B$10*(1-Assumptions!$B$11),$B$5*Assumptions!$B$10*(1-Assumptions!$B$11)*(1-Assumptions!$B$12)^(P$19-1))</f>
        <v>15986.10695</v>
      </c>
      <c r="Q21" s="14">
        <f>IF(Q$19=1,$B$5*Assumptions!$B$10*(1-Assumptions!$B$11),$B$5*Assumptions!$B$10*(1-Assumptions!$B$11)*(1-Assumptions!$B$12)^(Q$19-1))</f>
        <v>15906.17641</v>
      </c>
      <c r="R21" s="14">
        <f>IF(R$19=1,$B$5*Assumptions!$B$10*(1-Assumptions!$B$11),$B$5*Assumptions!$B$10*(1-Assumptions!$B$11)*(1-Assumptions!$B$12)^(R$19-1))</f>
        <v>15826.64553</v>
      </c>
      <c r="S21" s="14">
        <f>IF(S$19=1,$B$5*Assumptions!$B$10*(1-Assumptions!$B$11),$B$5*Assumptions!$B$10*(1-Assumptions!$B$11)*(1-Assumptions!$B$12)^(S$19-1))</f>
        <v>15747.5123</v>
      </c>
      <c r="T21" s="14">
        <f>IF(T$19=1,$B$5*Assumptions!$B$10*(1-Assumptions!$B$11),$B$5*Assumptions!$B$10*(1-Assumptions!$B$11)*(1-Assumptions!$B$12)^(T$19-1))</f>
        <v>15668.77474</v>
      </c>
      <c r="U21" s="14">
        <f>IF(U$19=1,$B$5*Assumptions!$B$10*(1-Assumptions!$B$11),$B$5*Assumptions!$B$10*(1-Assumptions!$B$11)*(1-Assumptions!$B$12)^(U$19-1))</f>
        <v>15590.43087</v>
      </c>
      <c r="V21" s="14">
        <f>IF(V$19=1,$B$5*Assumptions!$B$10*(1-Assumptions!$B$11),$B$5*Assumptions!$B$10*(1-Assumptions!$B$11)*(1-Assumptions!$B$12)^(V$19-1))</f>
        <v>15512.47871</v>
      </c>
      <c r="W21" s="14">
        <f>SUM(C$21:V$21)</f>
        <v>325516.7361</v>
      </c>
    </row>
    <row r="22" ht="15.75" customHeight="1">
      <c r="A22" s="6" t="s">
        <v>129</v>
      </c>
      <c r="C22" s="14">
        <f>C$21*(1-Assumptions!$B$13)</f>
        <v>8531.25</v>
      </c>
      <c r="D22" s="14">
        <f>D$21*(1-Assumptions!$B$13)</f>
        <v>8488.59375</v>
      </c>
      <c r="E22" s="14">
        <f>E$21*(1-Assumptions!$B$13)</f>
        <v>8446.150781</v>
      </c>
      <c r="F22" s="14">
        <f>F$21*(1-Assumptions!$B$13)</f>
        <v>8403.920027</v>
      </c>
      <c r="G22" s="14">
        <f>G$21*(1-Assumptions!$B$13)</f>
        <v>8361.900427</v>
      </c>
      <c r="H22" s="14">
        <f>H$21*(1-Assumptions!$B$13)</f>
        <v>8320.090925</v>
      </c>
      <c r="I22" s="14">
        <f>I$21*(1-Assumptions!$B$13)</f>
        <v>8278.49047</v>
      </c>
      <c r="J22" s="14">
        <f>J$21*(1-Assumptions!$B$13)</f>
        <v>8237.098018</v>
      </c>
      <c r="K22" s="14">
        <f>K$21*(1-Assumptions!$B$13)</f>
        <v>8195.912528</v>
      </c>
      <c r="L22" s="14">
        <f>L$21*(1-Assumptions!$B$13)</f>
        <v>8154.932965</v>
      </c>
      <c r="M22" s="14">
        <f>M$21*(1-Assumptions!$B$13)</f>
        <v>8114.158301</v>
      </c>
      <c r="N22" s="14">
        <f>N$21*(1-Assumptions!$B$13)</f>
        <v>8073.587509</v>
      </c>
      <c r="O22" s="14">
        <f>O$21*(1-Assumptions!$B$13)</f>
        <v>8033.219571</v>
      </c>
      <c r="P22" s="14">
        <f>P$21*(1-Assumptions!$B$13)</f>
        <v>7993.053474</v>
      </c>
      <c r="Q22" s="14">
        <f>Q$21*(1-Assumptions!$B$13)</f>
        <v>7953.088206</v>
      </c>
      <c r="R22" s="14">
        <f>R$21*(1-Assumptions!$B$13)</f>
        <v>7913.322765</v>
      </c>
      <c r="S22" s="14">
        <f>S$21*(1-Assumptions!$B$13)</f>
        <v>7873.756151</v>
      </c>
      <c r="T22" s="14">
        <f>T$21*(1-Assumptions!$B$13)</f>
        <v>7834.387371</v>
      </c>
      <c r="U22" s="14">
        <f>U$21*(1-Assumptions!$B$13)</f>
        <v>7795.215434</v>
      </c>
      <c r="V22" s="14">
        <f>V$21*(1-Assumptions!$B$13)</f>
        <v>7756.239357</v>
      </c>
      <c r="W22" s="14">
        <f>SUM(C$22:V$22)</f>
        <v>162758.368</v>
      </c>
    </row>
    <row r="23" ht="15.75" customHeight="1">
      <c r="A23" s="6" t="s">
        <v>130</v>
      </c>
      <c r="C23" s="14">
        <f>C$21*Assumptions!$B$13</f>
        <v>8531.25</v>
      </c>
      <c r="D23" s="14">
        <f>D$21*Assumptions!$B$13</f>
        <v>8488.59375</v>
      </c>
      <c r="E23" s="14">
        <f>E$21*Assumptions!$B$13</f>
        <v>8446.150781</v>
      </c>
      <c r="F23" s="14">
        <f>F$21*Assumptions!$B$13</f>
        <v>8403.920027</v>
      </c>
      <c r="G23" s="14">
        <f>G$21*Assumptions!$B$13</f>
        <v>8361.900427</v>
      </c>
      <c r="H23" s="14">
        <f>H$21*Assumptions!$B$13</f>
        <v>8320.090925</v>
      </c>
      <c r="I23" s="14">
        <f>I$21*Assumptions!$B$13</f>
        <v>8278.49047</v>
      </c>
      <c r="J23" s="14">
        <f>J$21*Assumptions!$B$13</f>
        <v>8237.098018</v>
      </c>
      <c r="K23" s="14">
        <f>K$21*Assumptions!$B$13</f>
        <v>8195.912528</v>
      </c>
      <c r="L23" s="14">
        <f>L$21*Assumptions!$B$13</f>
        <v>8154.932965</v>
      </c>
      <c r="M23" s="14">
        <f>M$21*Assumptions!$B$13</f>
        <v>8114.158301</v>
      </c>
      <c r="N23" s="14">
        <f>N$21*Assumptions!$B$13</f>
        <v>8073.587509</v>
      </c>
      <c r="O23" s="14">
        <f>O$21*Assumptions!$B$13</f>
        <v>8033.219571</v>
      </c>
      <c r="P23" s="14">
        <f>P$21*Assumptions!$B$13</f>
        <v>7993.053474</v>
      </c>
      <c r="Q23" s="14">
        <f>Q$21*Assumptions!$B$13</f>
        <v>7953.088206</v>
      </c>
      <c r="R23" s="14">
        <f>R$21*Assumptions!$B$13</f>
        <v>7913.322765</v>
      </c>
      <c r="S23" s="14">
        <f>S$21*Assumptions!$B$13</f>
        <v>7873.756151</v>
      </c>
      <c r="T23" s="14">
        <f>T$21*Assumptions!$B$13</f>
        <v>7834.387371</v>
      </c>
      <c r="U23" s="14">
        <f>U$21*Assumptions!$B$13</f>
        <v>7795.215434</v>
      </c>
      <c r="V23" s="14">
        <f>V$21*Assumptions!$B$13</f>
        <v>7756.239357</v>
      </c>
      <c r="W23" s="14">
        <f>SUM(C$23:V$23)</f>
        <v>162758.368</v>
      </c>
    </row>
    <row r="24" ht="15.75" customHeight="1">
      <c r="A24" s="6" t="s">
        <v>131</v>
      </c>
      <c r="C24" s="30">
        <f>MAX(0.6,Assumptions!$B$20-Assumptions!$B$21*(C$19-1))</f>
        <v>0.985</v>
      </c>
      <c r="D24" s="30">
        <f>MAX(0.6,Assumptions!$B$20-Assumptions!$B$21*(D$19-1))</f>
        <v>0.9715</v>
      </c>
      <c r="E24" s="30">
        <f>MAX(0.6,Assumptions!$B$20-Assumptions!$B$21*(E$19-1))</f>
        <v>0.958</v>
      </c>
      <c r="F24" s="30">
        <f>MAX(0.6,Assumptions!$B$20-Assumptions!$B$21*(F$19-1))</f>
        <v>0.9445</v>
      </c>
      <c r="G24" s="30">
        <f>MAX(0.6,Assumptions!$B$20-Assumptions!$B$21*(G$19-1))</f>
        <v>0.931</v>
      </c>
      <c r="H24" s="30">
        <f>MAX(0.6,Assumptions!$B$20-Assumptions!$B$21*(H$19-1))</f>
        <v>0.9175</v>
      </c>
      <c r="I24" s="30">
        <f>MAX(0.6,Assumptions!$B$20-Assumptions!$B$21*(I$19-1))</f>
        <v>0.904</v>
      </c>
      <c r="J24" s="30">
        <f>MAX(0.6,Assumptions!$B$20-Assumptions!$B$21*(J$19-1))</f>
        <v>0.8905</v>
      </c>
      <c r="K24" s="30">
        <f>MAX(0.6,Assumptions!$B$20-Assumptions!$B$21*(K$19-1))</f>
        <v>0.877</v>
      </c>
      <c r="L24" s="30">
        <f>MAX(0.6,Assumptions!$B$20-Assumptions!$B$21*(L$19-1))</f>
        <v>0.8635</v>
      </c>
      <c r="M24" s="30">
        <f>MAX(0.6,Assumptions!$B$20-Assumptions!$B$21*(M$19-1))</f>
        <v>0.85</v>
      </c>
      <c r="N24" s="30">
        <f>MAX(0.6,Assumptions!$B$20-Assumptions!$B$21*(N$19-1))</f>
        <v>0.8365</v>
      </c>
      <c r="O24" s="30">
        <f>MAX(0.6,Assumptions!$B$20-Assumptions!$B$21*(O$19-1))</f>
        <v>0.823</v>
      </c>
      <c r="P24" s="30">
        <f>MAX(0.6,Assumptions!$B$20-Assumptions!$B$21*(P$19-1))</f>
        <v>0.8095</v>
      </c>
      <c r="Q24" s="30">
        <f>MAX(0.6,Assumptions!$B$20-Assumptions!$B$21*(Q$19-1))</f>
        <v>0.796</v>
      </c>
      <c r="R24" s="30">
        <f>MAX(0.6,Assumptions!$B$20-Assumptions!$B$21*(R$19-1))</f>
        <v>0.7825</v>
      </c>
      <c r="S24" s="30">
        <f>MAX(0.6,Assumptions!$B$20-Assumptions!$B$21*(S$19-1))</f>
        <v>0.769</v>
      </c>
      <c r="T24" s="30">
        <f>MAX(0.6,Assumptions!$B$20-Assumptions!$B$21*(T$19-1))</f>
        <v>0.7555</v>
      </c>
      <c r="U24" s="30">
        <f>MAX(0.6,Assumptions!$B$20-Assumptions!$B$21*(U$19-1))</f>
        <v>0.742</v>
      </c>
      <c r="V24" s="30">
        <f>MAX(0.6,Assumptions!$B$20-Assumptions!$B$21*(V$19-1))</f>
        <v>0.7285</v>
      </c>
      <c r="W24" s="30">
        <f>AVERAGE(C$24:V$24)</f>
        <v>0.85675</v>
      </c>
    </row>
    <row r="25" ht="15.75" customHeight="1">
      <c r="A25" s="6" t="s">
        <v>132</v>
      </c>
      <c r="C25" s="14">
        <f>$B$6*C$24*Assumptions!$B$22*Assumptions!$B$19*Assumptions!$B$24*365*Assumptions!$B$23</f>
        <v>10946.32825</v>
      </c>
      <c r="D25" s="14">
        <f>$B$6*D$24*Assumptions!$B$22*Assumptions!$B$19*Assumptions!$B$24*365*Assumptions!$B$23</f>
        <v>10796.30243</v>
      </c>
      <c r="E25" s="14">
        <f>$B$6*E$24*Assumptions!$B$22*Assumptions!$B$19*Assumptions!$B$24*365*Assumptions!$B$23</f>
        <v>10646.27661</v>
      </c>
      <c r="F25" s="14">
        <f>$B$6*F$24*Assumptions!$B$22*Assumptions!$B$19*Assumptions!$B$24*365*Assumptions!$B$23</f>
        <v>10496.25079</v>
      </c>
      <c r="G25" s="14">
        <f>$B$6*G$24*Assumptions!$B$22*Assumptions!$B$19*Assumptions!$B$24*365*Assumptions!$B$23</f>
        <v>10346.22497</v>
      </c>
      <c r="H25" s="14">
        <f>$B$6*H$24*Assumptions!$B$22*Assumptions!$B$19*Assumptions!$B$24*365*Assumptions!$B$23</f>
        <v>10196.19915</v>
      </c>
      <c r="I25" s="14">
        <f>$B$6*I$24*Assumptions!$B$22*Assumptions!$B$19*Assumptions!$B$24*365*Assumptions!$B$23</f>
        <v>10046.17333</v>
      </c>
      <c r="J25" s="14">
        <f>$B$6*J$24*Assumptions!$B$22*Assumptions!$B$19*Assumptions!$B$24*365*Assumptions!$B$23</f>
        <v>9896.147516</v>
      </c>
      <c r="K25" s="14">
        <f>$B$6*K$24*Assumptions!$B$22*Assumptions!$B$19*Assumptions!$B$24*365*Assumptions!$B$23</f>
        <v>9746.121697</v>
      </c>
      <c r="L25" s="14">
        <f>$B$6*L$24*Assumptions!$B$22*Assumptions!$B$19*Assumptions!$B$24*365*Assumptions!$B$23</f>
        <v>9596.095879</v>
      </c>
      <c r="M25" s="14">
        <f>$B$6*M$24*Assumptions!$B$22*Assumptions!$B$19*Assumptions!$B$24*365*Assumptions!$B$23</f>
        <v>9446.07006</v>
      </c>
      <c r="N25" s="14">
        <f>$B$6*N$24*Assumptions!$B$22*Assumptions!$B$19*Assumptions!$B$24*365*Assumptions!$B$23</f>
        <v>9296.044241</v>
      </c>
      <c r="O25" s="14">
        <f>$B$6*O$24*Assumptions!$B$22*Assumptions!$B$19*Assumptions!$B$24*365*Assumptions!$B$23</f>
        <v>9146.018423</v>
      </c>
      <c r="P25" s="14">
        <f>$B$6*P$24*Assumptions!$B$22*Assumptions!$B$19*Assumptions!$B$24*365*Assumptions!$B$23</f>
        <v>8995.992604</v>
      </c>
      <c r="Q25" s="14">
        <f>$B$6*Q$24*Assumptions!$B$22*Assumptions!$B$19*Assumptions!$B$24*365*Assumptions!$B$23</f>
        <v>8845.966786</v>
      </c>
      <c r="R25" s="14">
        <f>$B$6*R$24*Assumptions!$B$22*Assumptions!$B$19*Assumptions!$B$24*365*Assumptions!$B$23</f>
        <v>8695.940967</v>
      </c>
      <c r="S25" s="14">
        <f>$B$6*S$24*Assumptions!$B$22*Assumptions!$B$19*Assumptions!$B$24*365*Assumptions!$B$23</f>
        <v>8545.915148</v>
      </c>
      <c r="T25" s="14">
        <f>$B$6*T$24*Assumptions!$B$22*Assumptions!$B$19*Assumptions!$B$24*365*Assumptions!$B$23</f>
        <v>8395.88933</v>
      </c>
      <c r="U25" s="14">
        <f>$B$6*U$24*Assumptions!$B$22*Assumptions!$B$19*Assumptions!$B$24*365*Assumptions!$B$23</f>
        <v>8245.863511</v>
      </c>
      <c r="V25" s="14">
        <f>$B$6*V$24*Assumptions!$B$22*Assumptions!$B$19*Assumptions!$B$24*365*Assumptions!$B$23</f>
        <v>8095.837693</v>
      </c>
      <c r="W25" s="14">
        <f>SUM(C$25:V$25)</f>
        <v>190421.6594</v>
      </c>
    </row>
    <row r="26" ht="15.75" customHeight="1">
      <c r="A26" s="6" t="s">
        <v>133</v>
      </c>
      <c r="C26" s="14">
        <f>$B$6*C$24*Assumptions!$B$22*Assumptions!$B$24*365*Assumptions!$B$23</f>
        <v>12684.042</v>
      </c>
      <c r="D26" s="14">
        <f>$B$6*D$24*Assumptions!$B$22*Assumptions!$B$24*365*Assumptions!$B$23</f>
        <v>12510.1998</v>
      </c>
      <c r="E26" s="14">
        <f>$B$6*E$24*Assumptions!$B$22*Assumptions!$B$24*365*Assumptions!$B$23</f>
        <v>12336.3576</v>
      </c>
      <c r="F26" s="14">
        <f>$B$6*F$24*Assumptions!$B$22*Assumptions!$B$24*365*Assumptions!$B$23</f>
        <v>12162.5154</v>
      </c>
      <c r="G26" s="14">
        <f>$B$6*G$24*Assumptions!$B$22*Assumptions!$B$24*365*Assumptions!$B$23</f>
        <v>11988.6732</v>
      </c>
      <c r="H26" s="14">
        <f>$B$6*H$24*Assumptions!$B$22*Assumptions!$B$24*365*Assumptions!$B$23</f>
        <v>11814.831</v>
      </c>
      <c r="I26" s="14">
        <f>$B$6*I$24*Assumptions!$B$22*Assumptions!$B$24*365*Assumptions!$B$23</f>
        <v>11640.9888</v>
      </c>
      <c r="J26" s="14">
        <f>$B$6*J$24*Assumptions!$B$22*Assumptions!$B$24*365*Assumptions!$B$23</f>
        <v>11467.1466</v>
      </c>
      <c r="K26" s="14">
        <f>$B$6*K$24*Assumptions!$B$22*Assumptions!$B$24*365*Assumptions!$B$23</f>
        <v>11293.3044</v>
      </c>
      <c r="L26" s="14">
        <f>$B$6*L$24*Assumptions!$B$22*Assumptions!$B$24*365*Assumptions!$B$23</f>
        <v>11119.4622</v>
      </c>
      <c r="M26" s="14">
        <f>$B$6*M$24*Assumptions!$B$22*Assumptions!$B$24*365*Assumptions!$B$23</f>
        <v>10945.62</v>
      </c>
      <c r="N26" s="14">
        <f>$B$6*N$24*Assumptions!$B$22*Assumptions!$B$24*365*Assumptions!$B$23</f>
        <v>10771.7778</v>
      </c>
      <c r="O26" s="14">
        <f>$B$6*O$24*Assumptions!$B$22*Assumptions!$B$24*365*Assumptions!$B$23</f>
        <v>10597.9356</v>
      </c>
      <c r="P26" s="14">
        <f>$B$6*P$24*Assumptions!$B$22*Assumptions!$B$24*365*Assumptions!$B$23</f>
        <v>10424.0934</v>
      </c>
      <c r="Q26" s="14">
        <f>$B$6*Q$24*Assumptions!$B$22*Assumptions!$B$24*365*Assumptions!$B$23</f>
        <v>10250.2512</v>
      </c>
      <c r="R26" s="14">
        <f>$B$6*R$24*Assumptions!$B$22*Assumptions!$B$24*365*Assumptions!$B$23</f>
        <v>10076.409</v>
      </c>
      <c r="S26" s="14">
        <f>$B$6*S$24*Assumptions!$B$22*Assumptions!$B$24*365*Assumptions!$B$23</f>
        <v>9902.5668</v>
      </c>
      <c r="T26" s="14">
        <f>$B$6*T$24*Assumptions!$B$22*Assumptions!$B$24*365*Assumptions!$B$23</f>
        <v>9728.7246</v>
      </c>
      <c r="U26" s="14">
        <f>$B$6*U$24*Assumptions!$B$22*Assumptions!$B$24*365*Assumptions!$B$23</f>
        <v>9554.8824</v>
      </c>
      <c r="V26" s="14">
        <f>$B$6*V$24*Assumptions!$B$22*Assumptions!$B$24*365*Assumptions!$B$23</f>
        <v>9381.0402</v>
      </c>
      <c r="W26" s="14">
        <f>SUM(C$26:V$26)</f>
        <v>220650.822</v>
      </c>
    </row>
    <row r="27" ht="15.75" customHeight="1">
      <c r="A27" s="6" t="s">
        <v>134</v>
      </c>
      <c r="C27" s="14">
        <f t="shared" ref="C27:V27" si="1">MAX(0,C$26-C$23)</f>
        <v>4152.792</v>
      </c>
      <c r="D27" s="14">
        <f t="shared" si="1"/>
        <v>4021.60605</v>
      </c>
      <c r="E27" s="14">
        <f t="shared" si="1"/>
        <v>3890.206819</v>
      </c>
      <c r="F27" s="14">
        <f t="shared" si="1"/>
        <v>3758.595373</v>
      </c>
      <c r="G27" s="14">
        <f t="shared" si="1"/>
        <v>3626.772773</v>
      </c>
      <c r="H27" s="14">
        <f t="shared" si="1"/>
        <v>3494.740075</v>
      </c>
      <c r="I27" s="14">
        <f t="shared" si="1"/>
        <v>3362.49833</v>
      </c>
      <c r="J27" s="14">
        <f t="shared" si="1"/>
        <v>3230.048582</v>
      </c>
      <c r="K27" s="14">
        <f t="shared" si="1"/>
        <v>3097.391872</v>
      </c>
      <c r="L27" s="14">
        <f t="shared" si="1"/>
        <v>2964.529235</v>
      </c>
      <c r="M27" s="14">
        <f t="shared" si="1"/>
        <v>2831.461699</v>
      </c>
      <c r="N27" s="14">
        <f t="shared" si="1"/>
        <v>2698.190291</v>
      </c>
      <c r="O27" s="14">
        <f t="shared" si="1"/>
        <v>2564.716029</v>
      </c>
      <c r="P27" s="14">
        <f t="shared" si="1"/>
        <v>2431.039926</v>
      </c>
      <c r="Q27" s="14">
        <f t="shared" si="1"/>
        <v>2297.162994</v>
      </c>
      <c r="R27" s="14">
        <f t="shared" si="1"/>
        <v>2163.086235</v>
      </c>
      <c r="S27" s="14">
        <f t="shared" si="1"/>
        <v>2028.810649</v>
      </c>
      <c r="T27" s="14">
        <f t="shared" si="1"/>
        <v>1894.337229</v>
      </c>
      <c r="U27" s="14">
        <f t="shared" si="1"/>
        <v>1759.666966</v>
      </c>
      <c r="V27" s="14">
        <f t="shared" si="1"/>
        <v>1624.800843</v>
      </c>
      <c r="W27" s="14">
        <f>SUM(C$27:V$27)</f>
        <v>57892.45397</v>
      </c>
    </row>
    <row r="28" ht="15.75" customHeight="1"/>
    <row r="29" ht="15.75" customHeight="1">
      <c r="A29" s="31" t="s">
        <v>135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</row>
    <row r="30" ht="15.75" customHeight="1">
      <c r="A30" s="6" t="s">
        <v>136</v>
      </c>
      <c r="C30" s="14">
        <f>C$22*Assumptions!$B$14</f>
        <v>1365000</v>
      </c>
      <c r="D30" s="14">
        <f>D$22*Assumptions!$B$14</f>
        <v>1358175</v>
      </c>
      <c r="E30" s="14">
        <f>E$22*Assumptions!$B$14</f>
        <v>1351384.125</v>
      </c>
      <c r="F30" s="14">
        <f>F$22*Assumptions!$B$14</f>
        <v>1344627.204</v>
      </c>
      <c r="G30" s="14">
        <f>G$22*Assumptions!$B$14</f>
        <v>1337904.068</v>
      </c>
      <c r="H30" s="14">
        <f>H$22*Assumptions!$B$14</f>
        <v>1331214.548</v>
      </c>
      <c r="I30" s="14">
        <f>I$22*Assumptions!$B$14</f>
        <v>1324558.475</v>
      </c>
      <c r="J30" s="14">
        <f>J$22*Assumptions!$B$14</f>
        <v>1317935.683</v>
      </c>
      <c r="K30" s="14">
        <f>K$22*Assumptions!$B$14</f>
        <v>1311346.004</v>
      </c>
      <c r="L30" s="14">
        <f>L$22*Assumptions!$B$14</f>
        <v>1304789.274</v>
      </c>
      <c r="M30" s="14">
        <f>M$22*Assumptions!$B$14</f>
        <v>1298265.328</v>
      </c>
      <c r="N30" s="14">
        <f>N$22*Assumptions!$B$14</f>
        <v>1291774.001</v>
      </c>
      <c r="O30" s="14">
        <f>O$22*Assumptions!$B$14</f>
        <v>1285315.131</v>
      </c>
      <c r="P30" s="14">
        <f>P$22*Assumptions!$B$14</f>
        <v>1278888.556</v>
      </c>
      <c r="Q30" s="14">
        <f>Q$22*Assumptions!$B$14</f>
        <v>1272494.113</v>
      </c>
      <c r="R30" s="14">
        <f>R$22*Assumptions!$B$14</f>
        <v>1266131.642</v>
      </c>
      <c r="S30" s="14">
        <f>S$22*Assumptions!$B$14</f>
        <v>1259800.984</v>
      </c>
      <c r="T30" s="14">
        <f>T$22*Assumptions!$B$14</f>
        <v>1253501.979</v>
      </c>
      <c r="U30" s="14">
        <f>U$22*Assumptions!$B$14</f>
        <v>1247234.469</v>
      </c>
      <c r="V30" s="14">
        <f>V$22*Assumptions!$B$14</f>
        <v>1240998.297</v>
      </c>
      <c r="W30" s="14">
        <f>SUM(C$30:V$30)</f>
        <v>26041338.89</v>
      </c>
    </row>
    <row r="31" ht="15.75" customHeight="1">
      <c r="A31" s="6" t="s">
        <v>137</v>
      </c>
      <c r="C31" s="14">
        <f>C$21*Assumptions!$B$15</f>
        <v>17062.5</v>
      </c>
      <c r="D31" s="14">
        <f>D$21*Assumptions!$B$15</f>
        <v>16977.1875</v>
      </c>
      <c r="E31" s="14">
        <f>E$21*Assumptions!$B$15</f>
        <v>16892.30156</v>
      </c>
      <c r="F31" s="14">
        <f>F$21*Assumptions!$B$15</f>
        <v>16807.84005</v>
      </c>
      <c r="G31" s="14">
        <f>G$21*Assumptions!$B$15</f>
        <v>16723.80085</v>
      </c>
      <c r="H31" s="14">
        <f>H$21*Assumptions!$B$15</f>
        <v>16640.18185</v>
      </c>
      <c r="I31" s="14">
        <f>I$21*Assumptions!$B$15</f>
        <v>16556.98094</v>
      </c>
      <c r="J31" s="14">
        <f>J$21*Assumptions!$B$15</f>
        <v>16474.19604</v>
      </c>
      <c r="K31" s="14">
        <f>K$21*Assumptions!$B$15</f>
        <v>16391.82506</v>
      </c>
      <c r="L31" s="14">
        <f>L$21*Assumptions!$B$15</f>
        <v>16309.86593</v>
      </c>
      <c r="M31" s="14">
        <f>M$21*Assumptions!$B$15</f>
        <v>16228.3166</v>
      </c>
      <c r="N31" s="14">
        <f>N$21*Assumptions!$B$15</f>
        <v>16147.17502</v>
      </c>
      <c r="O31" s="14">
        <f>O$21*Assumptions!$B$15</f>
        <v>16066.43914</v>
      </c>
      <c r="P31" s="14">
        <f>P$21*Assumptions!$B$15</f>
        <v>15986.10695</v>
      </c>
      <c r="Q31" s="14">
        <f>Q$21*Assumptions!$B$15</f>
        <v>15906.17641</v>
      </c>
      <c r="R31" s="14">
        <f>R$21*Assumptions!$B$15</f>
        <v>15826.64553</v>
      </c>
      <c r="S31" s="14">
        <f>S$21*Assumptions!$B$15</f>
        <v>15747.5123</v>
      </c>
      <c r="T31" s="14">
        <f>T$21*Assumptions!$B$15</f>
        <v>15668.77474</v>
      </c>
      <c r="U31" s="14">
        <f>U$21*Assumptions!$B$15</f>
        <v>15590.43087</v>
      </c>
      <c r="V31" s="14">
        <f>V$21*Assumptions!$B$15</f>
        <v>15512.47871</v>
      </c>
      <c r="W31" s="14">
        <f>SUM(C$31:V$31)</f>
        <v>325516.7361</v>
      </c>
    </row>
    <row r="32" ht="15.75" customHeight="1">
      <c r="A32" s="6" t="s">
        <v>138</v>
      </c>
      <c r="C32" s="14">
        <f>C$25*Assumptions!$B$42</f>
        <v>1204096.107</v>
      </c>
      <c r="D32" s="14">
        <f>D$25*Assumptions!$B$42</f>
        <v>1187593.267</v>
      </c>
      <c r="E32" s="14">
        <f>E$25*Assumptions!$B$42</f>
        <v>1171090.427</v>
      </c>
      <c r="F32" s="14">
        <f>F$25*Assumptions!$B$42</f>
        <v>1154587.587</v>
      </c>
      <c r="G32" s="14">
        <f>G$25*Assumptions!$B$42</f>
        <v>1138084.747</v>
      </c>
      <c r="H32" s="14">
        <f>H$25*Assumptions!$B$42</f>
        <v>1121581.907</v>
      </c>
      <c r="I32" s="14">
        <f>I$25*Assumptions!$B$42</f>
        <v>1105079.067</v>
      </c>
      <c r="J32" s="14">
        <f>J$25*Assumptions!$B$42</f>
        <v>1088576.227</v>
      </c>
      <c r="K32" s="14">
        <f>K$25*Assumptions!$B$42</f>
        <v>1072073.387</v>
      </c>
      <c r="L32" s="14">
        <f>L$25*Assumptions!$B$42</f>
        <v>1055570.547</v>
      </c>
      <c r="M32" s="14">
        <f>M$25*Assumptions!$B$42</f>
        <v>1039067.707</v>
      </c>
      <c r="N32" s="14">
        <f>N$25*Assumptions!$B$42</f>
        <v>1022564.867</v>
      </c>
      <c r="O32" s="14">
        <f>O$25*Assumptions!$B$42</f>
        <v>1006062.027</v>
      </c>
      <c r="P32" s="14">
        <f>P$25*Assumptions!$B$42</f>
        <v>989559.1865</v>
      </c>
      <c r="Q32" s="14">
        <f>Q$25*Assumptions!$B$42</f>
        <v>973056.3464</v>
      </c>
      <c r="R32" s="14">
        <f>R$25*Assumptions!$B$42</f>
        <v>956553.5064</v>
      </c>
      <c r="S32" s="14">
        <f>S$25*Assumptions!$B$42</f>
        <v>940050.6663</v>
      </c>
      <c r="T32" s="14">
        <f>T$25*Assumptions!$B$42</f>
        <v>923547.8263</v>
      </c>
      <c r="U32" s="14">
        <f>U$25*Assumptions!$B$42</f>
        <v>907044.9862</v>
      </c>
      <c r="V32" s="14">
        <f>V$25*Assumptions!$B$42</f>
        <v>890542.1462</v>
      </c>
      <c r="W32" s="14">
        <f>SUM(C$32:V$32)</f>
        <v>20946382.53</v>
      </c>
    </row>
    <row r="33" ht="15.75" customHeight="1">
      <c r="A33" s="33" t="s">
        <v>139</v>
      </c>
      <c r="B33" s="33"/>
      <c r="C33" s="34">
        <f t="shared" ref="C33:V33" si="2">C$30+C$31+C$32</f>
        <v>2586158.607</v>
      </c>
      <c r="D33" s="34">
        <f t="shared" si="2"/>
        <v>2562745.455</v>
      </c>
      <c r="E33" s="34">
        <f t="shared" si="2"/>
        <v>2539366.854</v>
      </c>
      <c r="F33" s="34">
        <f t="shared" si="2"/>
        <v>2516022.631</v>
      </c>
      <c r="G33" s="34">
        <f t="shared" si="2"/>
        <v>2492712.616</v>
      </c>
      <c r="H33" s="34">
        <f t="shared" si="2"/>
        <v>2469436.637</v>
      </c>
      <c r="I33" s="34">
        <f t="shared" si="2"/>
        <v>2446194.523</v>
      </c>
      <c r="J33" s="34">
        <f t="shared" si="2"/>
        <v>2422986.106</v>
      </c>
      <c r="K33" s="34">
        <f t="shared" si="2"/>
        <v>2399811.216</v>
      </c>
      <c r="L33" s="34">
        <f t="shared" si="2"/>
        <v>2376669.687</v>
      </c>
      <c r="M33" s="34">
        <f t="shared" si="2"/>
        <v>2353561.351</v>
      </c>
      <c r="N33" s="34">
        <f t="shared" si="2"/>
        <v>2330486.043</v>
      </c>
      <c r="O33" s="34">
        <f t="shared" si="2"/>
        <v>2307443.597</v>
      </c>
      <c r="P33" s="34">
        <f t="shared" si="2"/>
        <v>2284433.849</v>
      </c>
      <c r="Q33" s="34">
        <f t="shared" si="2"/>
        <v>2261456.636</v>
      </c>
      <c r="R33" s="34">
        <f t="shared" si="2"/>
        <v>2238511.794</v>
      </c>
      <c r="S33" s="34">
        <f t="shared" si="2"/>
        <v>2215599.163</v>
      </c>
      <c r="T33" s="34">
        <f t="shared" si="2"/>
        <v>2192718.58</v>
      </c>
      <c r="U33" s="34">
        <f t="shared" si="2"/>
        <v>2169869.887</v>
      </c>
      <c r="V33" s="34">
        <f t="shared" si="2"/>
        <v>2147052.922</v>
      </c>
      <c r="W33" s="34">
        <f>SUM(C$33:V$33)</f>
        <v>47313238.15</v>
      </c>
    </row>
    <row r="34" ht="15.75" customHeight="1">
      <c r="A34" s="6" t="s">
        <v>140</v>
      </c>
      <c r="C34" s="14">
        <f>C$27*Assumptions!$B$25*(1+Assumptions!$B$36)^(C$19-1)</f>
        <v>207639.6</v>
      </c>
      <c r="D34" s="14">
        <f>D$27*Assumptions!$B$25*(1+Assumptions!$B$36)^(D$19-1)</f>
        <v>203091.1055</v>
      </c>
      <c r="E34" s="14">
        <f>E$27*Assumptions!$B$25*(1+Assumptions!$B$36)^(E$19-1)</f>
        <v>198419.9988</v>
      </c>
      <c r="F34" s="14">
        <f>F$27*Assumptions!$B$25*(1+Assumptions!$B$36)^(F$19-1)</f>
        <v>193624.2286</v>
      </c>
      <c r="G34" s="14">
        <f>G$27*Assumptions!$B$25*(1+Assumptions!$B$36)^(G$19-1)</f>
        <v>188701.7145</v>
      </c>
      <c r="H34" s="14">
        <f>H$27*Assumptions!$B$25*(1+Assumptions!$B$36)^(H$19-1)</f>
        <v>183650.3471</v>
      </c>
      <c r="I34" s="14">
        <f>I$27*Assumptions!$B$25*(1+Assumptions!$B$36)^(I$19-1)</f>
        <v>178467.9867</v>
      </c>
      <c r="J34" s="14">
        <f>J$27*Assumptions!$B$25*(1+Assumptions!$B$36)^(J$19-1)</f>
        <v>173152.4637</v>
      </c>
      <c r="K34" s="14">
        <f>K$27*Assumptions!$B$25*(1+Assumptions!$B$36)^(K$19-1)</f>
        <v>167701.5779</v>
      </c>
      <c r="L34" s="14">
        <f>L$27*Assumptions!$B$25*(1+Assumptions!$B$36)^(L$19-1)</f>
        <v>162113.0982</v>
      </c>
      <c r="M34" s="14">
        <f>M$27*Assumptions!$B$25*(1+Assumptions!$B$36)^(M$19-1)</f>
        <v>156384.762</v>
      </c>
      <c r="N34" s="14">
        <f>N$27*Assumptions!$B$25*(1+Assumptions!$B$36)^(N$19-1)</f>
        <v>150514.275</v>
      </c>
      <c r="O34" s="14">
        <f>O$27*Assumptions!$B$25*(1+Assumptions!$B$36)^(O$19-1)</f>
        <v>144499.3108</v>
      </c>
      <c r="P34" s="14">
        <f>P$27*Assumptions!$B$25*(1+Assumptions!$B$36)^(P$19-1)</f>
        <v>138337.5102</v>
      </c>
      <c r="Q34" s="14">
        <f>Q$27*Assumptions!$B$25*(1+Assumptions!$B$36)^(Q$19-1)</f>
        <v>132026.4812</v>
      </c>
      <c r="R34" s="14">
        <f>R$27*Assumptions!$B$25*(1+Assumptions!$B$36)^(R$19-1)</f>
        <v>125563.7983</v>
      </c>
      <c r="S34" s="14">
        <f>S$27*Assumptions!$B$25*(1+Assumptions!$B$36)^(S$19-1)</f>
        <v>118947.0021</v>
      </c>
      <c r="T34" s="14">
        <f>T$27*Assumptions!$B$25*(1+Assumptions!$B$36)^(T$19-1)</f>
        <v>112173.5988</v>
      </c>
      <c r="U34" s="14">
        <f>U$27*Assumptions!$B$25*(1+Assumptions!$B$36)^(U$19-1)</f>
        <v>105241.06</v>
      </c>
      <c r="V34" s="14">
        <f>V$27*Assumptions!$B$25*(1+Assumptions!$B$36)^(V$19-1)</f>
        <v>98146.82208</v>
      </c>
      <c r="W34" s="14">
        <f>SUM(C$34:V$34)</f>
        <v>3138396.742</v>
      </c>
    </row>
    <row r="35" ht="15.75" customHeight="1">
      <c r="A35" s="6" t="s">
        <v>141</v>
      </c>
      <c r="C35" s="14">
        <f>$B$5*Assumptions!$B$16*(1+Assumptions!$B$36)^(C$19-1)</f>
        <v>150000</v>
      </c>
      <c r="D35" s="14">
        <f>$B$5*Assumptions!$B$16*(1+Assumptions!$B$36)^(D$19-1)</f>
        <v>151500</v>
      </c>
      <c r="E35" s="14">
        <f>$B$5*Assumptions!$B$16*(1+Assumptions!$B$36)^(E$19-1)</f>
        <v>153015</v>
      </c>
      <c r="F35" s="14">
        <f>$B$5*Assumptions!$B$16*(1+Assumptions!$B$36)^(F$19-1)</f>
        <v>154545.15</v>
      </c>
      <c r="G35" s="14">
        <f>$B$5*Assumptions!$B$16*(1+Assumptions!$B$36)^(G$19-1)</f>
        <v>156090.6015</v>
      </c>
      <c r="H35" s="14">
        <f>$B$5*Assumptions!$B$16*(1+Assumptions!$B$36)^(H$19-1)</f>
        <v>157651.5075</v>
      </c>
      <c r="I35" s="14">
        <f>$B$5*Assumptions!$B$16*(1+Assumptions!$B$36)^(I$19-1)</f>
        <v>159228.0226</v>
      </c>
      <c r="J35" s="14">
        <f>$B$5*Assumptions!$B$16*(1+Assumptions!$B$36)^(J$19-1)</f>
        <v>160820.3028</v>
      </c>
      <c r="K35" s="14">
        <f>$B$5*Assumptions!$B$16*(1+Assumptions!$B$36)^(K$19-1)</f>
        <v>162428.5058</v>
      </c>
      <c r="L35" s="14">
        <f>$B$5*Assumptions!$B$16*(1+Assumptions!$B$36)^(L$19-1)</f>
        <v>164052.7909</v>
      </c>
      <c r="M35" s="14">
        <f>$B$5*Assumptions!$B$16*(1+Assumptions!$B$36)^(M$19-1)</f>
        <v>165693.3188</v>
      </c>
      <c r="N35" s="14">
        <f>$B$5*Assumptions!$B$16*(1+Assumptions!$B$36)^(N$19-1)</f>
        <v>167350.252</v>
      </c>
      <c r="O35" s="14">
        <f>$B$5*Assumptions!$B$16*(1+Assumptions!$B$36)^(O$19-1)</f>
        <v>169023.7545</v>
      </c>
      <c r="P35" s="14">
        <f>$B$5*Assumptions!$B$16*(1+Assumptions!$B$36)^(P$19-1)</f>
        <v>170713.9921</v>
      </c>
      <c r="Q35" s="14">
        <f>$B$5*Assumptions!$B$16*(1+Assumptions!$B$36)^(Q$19-1)</f>
        <v>172421.132</v>
      </c>
      <c r="R35" s="14">
        <f>$B$5*Assumptions!$B$16*(1+Assumptions!$B$36)^(R$19-1)</f>
        <v>174145.3433</v>
      </c>
      <c r="S35" s="14">
        <f>$B$5*Assumptions!$B$16*(1+Assumptions!$B$36)^(S$19-1)</f>
        <v>175886.7967</v>
      </c>
      <c r="T35" s="14">
        <f>$B$5*Assumptions!$B$16*(1+Assumptions!$B$36)^(T$19-1)</f>
        <v>177645.6647</v>
      </c>
      <c r="U35" s="14">
        <f>$B$5*Assumptions!$B$16*(1+Assumptions!$B$36)^(U$19-1)</f>
        <v>179422.1214</v>
      </c>
      <c r="V35" s="14">
        <f>$B$5*Assumptions!$B$16*(1+Assumptions!$B$36)^(V$19-1)</f>
        <v>181216.3426</v>
      </c>
      <c r="W35" s="14">
        <f>SUM(C$35:V$35)</f>
        <v>3302850.599</v>
      </c>
    </row>
    <row r="36" ht="15.75" customHeight="1">
      <c r="A36" s="6" t="s">
        <v>142</v>
      </c>
      <c r="C36" s="14">
        <f>($B$6*Assumptions!$B$26+$B$6*Assumptions!$B$27+$B$7*Assumptions!$B$28+Assumptions!$B$29)*(1+Assumptions!$B$36)^(C$19-1)</f>
        <v>141000</v>
      </c>
      <c r="D36" s="14">
        <f>($B$6*Assumptions!$B$26+$B$6*Assumptions!$B$27+$B$7*Assumptions!$B$28+Assumptions!$B$29)*(1+Assumptions!$B$36)^(D$19-1)</f>
        <v>142410</v>
      </c>
      <c r="E36" s="14">
        <f>($B$6*Assumptions!$B$26+$B$6*Assumptions!$B$27+$B$7*Assumptions!$B$28+Assumptions!$B$29)*(1+Assumptions!$B$36)^(E$19-1)</f>
        <v>143834.1</v>
      </c>
      <c r="F36" s="14">
        <f>($B$6*Assumptions!$B$26+$B$6*Assumptions!$B$27+$B$7*Assumptions!$B$28+Assumptions!$B$29)*(1+Assumptions!$B$36)^(F$19-1)</f>
        <v>145272.441</v>
      </c>
      <c r="G36" s="14">
        <f>($B$6*Assumptions!$B$26+$B$6*Assumptions!$B$27+$B$7*Assumptions!$B$28+Assumptions!$B$29)*(1+Assumptions!$B$36)^(G$19-1)</f>
        <v>146725.1654</v>
      </c>
      <c r="H36" s="14">
        <f>($B$6*Assumptions!$B$26+$B$6*Assumptions!$B$27+$B$7*Assumptions!$B$28+Assumptions!$B$29)*(1+Assumptions!$B$36)^(H$19-1)</f>
        <v>148192.4171</v>
      </c>
      <c r="I36" s="14">
        <f>($B$6*Assumptions!$B$26+$B$6*Assumptions!$B$27+$B$7*Assumptions!$B$28+Assumptions!$B$29)*(1+Assumptions!$B$36)^(I$19-1)</f>
        <v>149674.3412</v>
      </c>
      <c r="J36" s="14">
        <f>($B$6*Assumptions!$B$26+$B$6*Assumptions!$B$27+$B$7*Assumptions!$B$28+Assumptions!$B$29)*(1+Assumptions!$B$36)^(J$19-1)</f>
        <v>151171.0846</v>
      </c>
      <c r="K36" s="14">
        <f>($B$6*Assumptions!$B$26+$B$6*Assumptions!$B$27+$B$7*Assumptions!$B$28+Assumptions!$B$29)*(1+Assumptions!$B$36)^(K$19-1)</f>
        <v>152682.7955</v>
      </c>
      <c r="L36" s="14">
        <f>($B$6*Assumptions!$B$26+$B$6*Assumptions!$B$27+$B$7*Assumptions!$B$28+Assumptions!$B$29)*(1+Assumptions!$B$36)^(L$19-1)</f>
        <v>154209.6234</v>
      </c>
      <c r="M36" s="14">
        <f>($B$6*Assumptions!$B$26+$B$6*Assumptions!$B$27+$B$7*Assumptions!$B$28+Assumptions!$B$29)*(1+Assumptions!$B$36)^(M$19-1)</f>
        <v>155751.7197</v>
      </c>
      <c r="N36" s="14">
        <f>($B$6*Assumptions!$B$26+$B$6*Assumptions!$B$27+$B$7*Assumptions!$B$28+Assumptions!$B$29)*(1+Assumptions!$B$36)^(N$19-1)</f>
        <v>157309.2369</v>
      </c>
      <c r="O36" s="14">
        <f>($B$6*Assumptions!$B$26+$B$6*Assumptions!$B$27+$B$7*Assumptions!$B$28+Assumptions!$B$29)*(1+Assumptions!$B$36)^(O$19-1)</f>
        <v>158882.3292</v>
      </c>
      <c r="P36" s="14">
        <f>($B$6*Assumptions!$B$26+$B$6*Assumptions!$B$27+$B$7*Assumptions!$B$28+Assumptions!$B$29)*(1+Assumptions!$B$36)^(P$19-1)</f>
        <v>160471.1525</v>
      </c>
      <c r="Q36" s="14">
        <f>($B$6*Assumptions!$B$26+$B$6*Assumptions!$B$27+$B$7*Assumptions!$B$28+Assumptions!$B$29)*(1+Assumptions!$B$36)^(Q$19-1)</f>
        <v>162075.8641</v>
      </c>
      <c r="R36" s="14">
        <f>($B$6*Assumptions!$B$26+$B$6*Assumptions!$B$27+$B$7*Assumptions!$B$28+Assumptions!$B$29)*(1+Assumptions!$B$36)^(R$19-1)</f>
        <v>163696.6227</v>
      </c>
      <c r="S36" s="14">
        <f>($B$6*Assumptions!$B$26+$B$6*Assumptions!$B$27+$B$7*Assumptions!$B$28+Assumptions!$B$29)*(1+Assumptions!$B$36)^(S$19-1)</f>
        <v>165333.5889</v>
      </c>
      <c r="T36" s="14">
        <f>($B$6*Assumptions!$B$26+$B$6*Assumptions!$B$27+$B$7*Assumptions!$B$28+Assumptions!$B$29)*(1+Assumptions!$B$36)^(T$19-1)</f>
        <v>166986.9248</v>
      </c>
      <c r="U36" s="14">
        <f>($B$6*Assumptions!$B$26+$B$6*Assumptions!$B$27+$B$7*Assumptions!$B$28+Assumptions!$B$29)*(1+Assumptions!$B$36)^(U$19-1)</f>
        <v>168656.7941</v>
      </c>
      <c r="V36" s="14">
        <f>($B$6*Assumptions!$B$26+$B$6*Assumptions!$B$27+$B$7*Assumptions!$B$28+Assumptions!$B$29)*(1+Assumptions!$B$36)^(V$19-1)</f>
        <v>170343.362</v>
      </c>
      <c r="W36" s="14">
        <f>SUM(C$36:V$36)</f>
        <v>3104679.563</v>
      </c>
    </row>
    <row r="37" ht="15.75" customHeight="1">
      <c r="A37" s="6" t="s">
        <v>143</v>
      </c>
      <c r="C37" s="14">
        <f>IF(C$19&lt;=5,0,IF(C$19&lt;=10,Assumptions!$B$30,IF(C$19&lt;=15,Assumptions!$B$31,Assumptions!$B$32)))*$B$6*(1+Assumptions!$B$36)^(C$19-1)</f>
        <v>0</v>
      </c>
      <c r="D37" s="14">
        <f>IF(D$19&lt;=5,0,IF(D$19&lt;=10,Assumptions!$B$30,IF(D$19&lt;=15,Assumptions!$B$31,Assumptions!$B$32)))*$B$6*(1+Assumptions!$B$36)^(D$19-1)</f>
        <v>0</v>
      </c>
      <c r="E37" s="14">
        <f>IF(E$19&lt;=5,0,IF(E$19&lt;=10,Assumptions!$B$30,IF(E$19&lt;=15,Assumptions!$B$31,Assumptions!$B$32)))*$B$6*(1+Assumptions!$B$36)^(E$19-1)</f>
        <v>0</v>
      </c>
      <c r="F37" s="14">
        <f>IF(F$19&lt;=5,0,IF(F$19&lt;=10,Assumptions!$B$30,IF(F$19&lt;=15,Assumptions!$B$31,Assumptions!$B$32)))*$B$6*(1+Assumptions!$B$36)^(F$19-1)</f>
        <v>0</v>
      </c>
      <c r="G37" s="14">
        <f>IF(G$19&lt;=5,0,IF(G$19&lt;=10,Assumptions!$B$30,IF(G$19&lt;=15,Assumptions!$B$31,Assumptions!$B$32)))*$B$6*(1+Assumptions!$B$36)^(G$19-1)</f>
        <v>0</v>
      </c>
      <c r="H37" s="14">
        <f>IF(H$19&lt;=5,0,IF(H$19&lt;=10,Assumptions!$B$30,IF(H$19&lt;=15,Assumptions!$B$31,Assumptions!$B$32)))*$B$6*(1+Assumptions!$B$36)^(H$19-1)</f>
        <v>75672.72361</v>
      </c>
      <c r="I37" s="14">
        <f>IF(I$19&lt;=5,0,IF(I$19&lt;=10,Assumptions!$B$30,IF(I$19&lt;=15,Assumptions!$B$31,Assumptions!$B$32)))*$B$6*(1+Assumptions!$B$36)^(I$19-1)</f>
        <v>76429.45084</v>
      </c>
      <c r="J37" s="14">
        <f>IF(J$19&lt;=5,0,IF(J$19&lt;=10,Assumptions!$B$30,IF(J$19&lt;=15,Assumptions!$B$31,Assumptions!$B$32)))*$B$6*(1+Assumptions!$B$36)^(J$19-1)</f>
        <v>77193.74535</v>
      </c>
      <c r="K37" s="14">
        <f>IF(K$19&lt;=5,0,IF(K$19&lt;=10,Assumptions!$B$30,IF(K$19&lt;=15,Assumptions!$B$31,Assumptions!$B$32)))*$B$6*(1+Assumptions!$B$36)^(K$19-1)</f>
        <v>77965.68281</v>
      </c>
      <c r="L37" s="14">
        <f>IF(L$19&lt;=5,0,IF(L$19&lt;=10,Assumptions!$B$30,IF(L$19&lt;=15,Assumptions!$B$31,Assumptions!$B$32)))*$B$6*(1+Assumptions!$B$36)^(L$19-1)</f>
        <v>78745.33963</v>
      </c>
      <c r="M37" s="14">
        <f>IF(M$19&lt;=5,0,IF(M$19&lt;=10,Assumptions!$B$30,IF(M$19&lt;=15,Assumptions!$B$31,Assumptions!$B$32)))*$B$6*(1+Assumptions!$B$36)^(M$19-1)</f>
        <v>92788.25853</v>
      </c>
      <c r="N37" s="14">
        <f>IF(N$19&lt;=5,0,IF(N$19&lt;=10,Assumptions!$B$30,IF(N$19&lt;=15,Assumptions!$B$31,Assumptions!$B$32)))*$B$6*(1+Assumptions!$B$36)^(N$19-1)</f>
        <v>93716.14112</v>
      </c>
      <c r="O37" s="14">
        <f>IF(O$19&lt;=5,0,IF(O$19&lt;=10,Assumptions!$B$30,IF(O$19&lt;=15,Assumptions!$B$31,Assumptions!$B$32)))*$B$6*(1+Assumptions!$B$36)^(O$19-1)</f>
        <v>94653.30253</v>
      </c>
      <c r="P37" s="14">
        <f>IF(P$19&lt;=5,0,IF(P$19&lt;=10,Assumptions!$B$30,IF(P$19&lt;=15,Assumptions!$B$31,Assumptions!$B$32)))*$B$6*(1+Assumptions!$B$36)^(P$19-1)</f>
        <v>95599.83556</v>
      </c>
      <c r="Q37" s="14">
        <f>IF(Q$19&lt;=5,0,IF(Q$19&lt;=10,Assumptions!$B$30,IF(Q$19&lt;=15,Assumptions!$B$31,Assumptions!$B$32)))*$B$6*(1+Assumptions!$B$36)^(Q$19-1)</f>
        <v>96555.83391</v>
      </c>
      <c r="R37" s="14">
        <f>IF(R$19&lt;=5,0,IF(R$19&lt;=10,Assumptions!$B$30,IF(R$19&lt;=15,Assumptions!$B$31,Assumptions!$B$32)))*$B$6*(1+Assumptions!$B$36)^(R$19-1)</f>
        <v>113774.9576</v>
      </c>
      <c r="S37" s="14">
        <f>IF(S$19&lt;=5,0,IF(S$19&lt;=10,Assumptions!$B$30,IF(S$19&lt;=15,Assumptions!$B$31,Assumptions!$B$32)))*$B$6*(1+Assumptions!$B$36)^(S$19-1)</f>
        <v>114912.7072</v>
      </c>
      <c r="T37" s="14">
        <f>IF(T$19&lt;=5,0,IF(T$19&lt;=10,Assumptions!$B$30,IF(T$19&lt;=15,Assumptions!$B$31,Assumptions!$B$32)))*$B$6*(1+Assumptions!$B$36)^(T$19-1)</f>
        <v>116061.8343</v>
      </c>
      <c r="U37" s="14">
        <f>IF(U$19&lt;=5,0,IF(U$19&lt;=10,Assumptions!$B$30,IF(U$19&lt;=15,Assumptions!$B$31,Assumptions!$B$32)))*$B$6*(1+Assumptions!$B$36)^(U$19-1)</f>
        <v>117222.4526</v>
      </c>
      <c r="V37" s="14">
        <f>IF(V$19&lt;=5,0,IF(V$19&lt;=10,Assumptions!$B$30,IF(V$19&lt;=15,Assumptions!$B$31,Assumptions!$B$32)))*$B$6*(1+Assumptions!$B$36)^(V$19-1)</f>
        <v>118394.6771</v>
      </c>
      <c r="W37" s="14">
        <f>SUM(C$37:V$37)</f>
        <v>1439686.943</v>
      </c>
    </row>
    <row r="38" ht="15.75" customHeight="1">
      <c r="A38" s="33" t="s">
        <v>144</v>
      </c>
      <c r="B38" s="33"/>
      <c r="C38" s="34">
        <f t="shared" ref="C38:V38" si="3">C$34+C$35+C$36+C$37</f>
        <v>498639.6</v>
      </c>
      <c r="D38" s="34">
        <f t="shared" si="3"/>
        <v>497001.1055</v>
      </c>
      <c r="E38" s="34">
        <f t="shared" si="3"/>
        <v>495269.0988</v>
      </c>
      <c r="F38" s="34">
        <f t="shared" si="3"/>
        <v>493441.8196</v>
      </c>
      <c r="G38" s="34">
        <f t="shared" si="3"/>
        <v>491517.4814</v>
      </c>
      <c r="H38" s="34">
        <f t="shared" si="3"/>
        <v>565166.9952</v>
      </c>
      <c r="I38" s="34">
        <f t="shared" si="3"/>
        <v>563799.8013</v>
      </c>
      <c r="J38" s="34">
        <f t="shared" si="3"/>
        <v>562337.5965</v>
      </c>
      <c r="K38" s="34">
        <f t="shared" si="3"/>
        <v>560778.5621</v>
      </c>
      <c r="L38" s="34">
        <f t="shared" si="3"/>
        <v>559120.8522</v>
      </c>
      <c r="M38" s="34">
        <f t="shared" si="3"/>
        <v>570618.0591</v>
      </c>
      <c r="N38" s="34">
        <f t="shared" si="3"/>
        <v>568889.905</v>
      </c>
      <c r="O38" s="34">
        <f t="shared" si="3"/>
        <v>567058.6971</v>
      </c>
      <c r="P38" s="34">
        <f t="shared" si="3"/>
        <v>565122.4904</v>
      </c>
      <c r="Q38" s="34">
        <f t="shared" si="3"/>
        <v>563079.3112</v>
      </c>
      <c r="R38" s="34">
        <f t="shared" si="3"/>
        <v>577180.722</v>
      </c>
      <c r="S38" s="34">
        <f t="shared" si="3"/>
        <v>575080.0949</v>
      </c>
      <c r="T38" s="34">
        <f t="shared" si="3"/>
        <v>572868.0226</v>
      </c>
      <c r="U38" s="34">
        <f t="shared" si="3"/>
        <v>570542.428</v>
      </c>
      <c r="V38" s="34">
        <f t="shared" si="3"/>
        <v>568101.2038</v>
      </c>
      <c r="W38" s="34">
        <f>SUM(C$38:V$38)</f>
        <v>10985613.85</v>
      </c>
    </row>
    <row r="39" ht="15.75" customHeight="1">
      <c r="A39" s="33" t="s">
        <v>145</v>
      </c>
      <c r="B39" s="33"/>
      <c r="C39" s="34">
        <f t="shared" ref="C39:V39" si="4">C$33-C$38</f>
        <v>2087519.007</v>
      </c>
      <c r="D39" s="34">
        <f t="shared" si="4"/>
        <v>2065744.349</v>
      </c>
      <c r="E39" s="34">
        <f t="shared" si="4"/>
        <v>2044097.755</v>
      </c>
      <c r="F39" s="34">
        <f t="shared" si="4"/>
        <v>2022580.812</v>
      </c>
      <c r="G39" s="34">
        <f t="shared" si="4"/>
        <v>2001195.135</v>
      </c>
      <c r="H39" s="34">
        <f t="shared" si="4"/>
        <v>1904269.641</v>
      </c>
      <c r="I39" s="34">
        <f t="shared" si="4"/>
        <v>1882394.722</v>
      </c>
      <c r="J39" s="34">
        <f t="shared" si="4"/>
        <v>1860648.509</v>
      </c>
      <c r="K39" s="34">
        <f t="shared" si="4"/>
        <v>1839032.654</v>
      </c>
      <c r="L39" s="34">
        <f t="shared" si="4"/>
        <v>1817548.835</v>
      </c>
      <c r="M39" s="34">
        <f t="shared" si="4"/>
        <v>1782943.292</v>
      </c>
      <c r="N39" s="34">
        <f t="shared" si="4"/>
        <v>1761596.138</v>
      </c>
      <c r="O39" s="34">
        <f t="shared" si="4"/>
        <v>1740384.9</v>
      </c>
      <c r="P39" s="34">
        <f t="shared" si="4"/>
        <v>1719311.359</v>
      </c>
      <c r="Q39" s="34">
        <f t="shared" si="4"/>
        <v>1698377.325</v>
      </c>
      <c r="R39" s="34">
        <f t="shared" si="4"/>
        <v>1661331.072</v>
      </c>
      <c r="S39" s="34">
        <f t="shared" si="4"/>
        <v>1640519.068</v>
      </c>
      <c r="T39" s="34">
        <f t="shared" si="4"/>
        <v>1619850.558</v>
      </c>
      <c r="U39" s="34">
        <f t="shared" si="4"/>
        <v>1599327.458</v>
      </c>
      <c r="V39" s="34">
        <f t="shared" si="4"/>
        <v>1578951.718</v>
      </c>
      <c r="W39" s="34">
        <f>SUM(C$39:V$39)</f>
        <v>36327624.31</v>
      </c>
    </row>
    <row r="40" ht="15.75" customHeight="1">
      <c r="A40" s="6" t="s">
        <v>146</v>
      </c>
      <c r="C40" s="14">
        <f t="shared" ref="C40:V40" si="5">$B$15</f>
        <v>617086.85</v>
      </c>
      <c r="D40" s="14">
        <f t="shared" si="5"/>
        <v>617086.85</v>
      </c>
      <c r="E40" s="14">
        <f t="shared" si="5"/>
        <v>617086.85</v>
      </c>
      <c r="F40" s="14">
        <f t="shared" si="5"/>
        <v>617086.85</v>
      </c>
      <c r="G40" s="14">
        <f t="shared" si="5"/>
        <v>617086.85</v>
      </c>
      <c r="H40" s="14">
        <f t="shared" si="5"/>
        <v>617086.85</v>
      </c>
      <c r="I40" s="14">
        <f t="shared" si="5"/>
        <v>617086.85</v>
      </c>
      <c r="J40" s="14">
        <f t="shared" si="5"/>
        <v>617086.85</v>
      </c>
      <c r="K40" s="14">
        <f t="shared" si="5"/>
        <v>617086.85</v>
      </c>
      <c r="L40" s="14">
        <f t="shared" si="5"/>
        <v>617086.85</v>
      </c>
      <c r="M40" s="14">
        <f t="shared" si="5"/>
        <v>617086.85</v>
      </c>
      <c r="N40" s="14">
        <f t="shared" si="5"/>
        <v>617086.85</v>
      </c>
      <c r="O40" s="14">
        <f t="shared" si="5"/>
        <v>617086.85</v>
      </c>
      <c r="P40" s="14">
        <f t="shared" si="5"/>
        <v>617086.85</v>
      </c>
      <c r="Q40" s="14">
        <f t="shared" si="5"/>
        <v>617086.85</v>
      </c>
      <c r="R40" s="14">
        <f t="shared" si="5"/>
        <v>617086.85</v>
      </c>
      <c r="S40" s="14">
        <f t="shared" si="5"/>
        <v>617086.85</v>
      </c>
      <c r="T40" s="14">
        <f t="shared" si="5"/>
        <v>617086.85</v>
      </c>
      <c r="U40" s="14">
        <f t="shared" si="5"/>
        <v>617086.85</v>
      </c>
      <c r="V40" s="14">
        <f t="shared" si="5"/>
        <v>617086.85</v>
      </c>
      <c r="W40" s="14">
        <f>SUM(C$40:V$40)</f>
        <v>12341737</v>
      </c>
    </row>
    <row r="41" ht="15.75" customHeight="1">
      <c r="A41" s="6" t="s">
        <v>147</v>
      </c>
      <c r="C41" s="14">
        <f>IF(C$19&lt;=Assumptions!$B$39,-IPMT(Assumptions!$B$38,C$19,Assumptions!$B$39,$B$13),0)</f>
        <v>187048.35</v>
      </c>
      <c r="D41" s="14">
        <f>IF(D$19&lt;=Assumptions!$B$39,-IPMT(Assumptions!$B$38,D$19,Assumptions!$B$39,$B$13),0)</f>
        <v>178380.1016</v>
      </c>
      <c r="E41" s="14">
        <f>IF(E$19&lt;=Assumptions!$B$39,-IPMT(Assumptions!$B$38,E$19,Assumptions!$B$39,$B$13),0)</f>
        <v>169278.4407</v>
      </c>
      <c r="F41" s="14">
        <f>IF(F$19&lt;=Assumptions!$B$39,-IPMT(Assumptions!$B$38,F$19,Assumptions!$B$39,$B$13),0)</f>
        <v>159721.6968</v>
      </c>
      <c r="G41" s="14">
        <f>IF(G$19&lt;=Assumptions!$B$39,-IPMT(Assumptions!$B$38,G$19,Assumptions!$B$39,$B$13),0)</f>
        <v>149687.1157</v>
      </c>
      <c r="H41" s="14">
        <f>IF(H$19&lt;=Assumptions!$B$39,-IPMT(Assumptions!$B$38,H$19,Assumptions!$B$39,$B$13),0)</f>
        <v>139150.8056</v>
      </c>
      <c r="I41" s="14">
        <f>IF(I$19&lt;=Assumptions!$B$39,-IPMT(Assumptions!$B$38,I$19,Assumptions!$B$39,$B$13),0)</f>
        <v>128087.6799</v>
      </c>
      <c r="J41" s="14">
        <f>IF(J$19&lt;=Assumptions!$B$39,-IPMT(Assumptions!$B$38,J$19,Assumptions!$B$39,$B$13),0)</f>
        <v>116471.398</v>
      </c>
      <c r="K41" s="14">
        <f>IF(K$19&lt;=Assumptions!$B$39,-IPMT(Assumptions!$B$38,K$19,Assumptions!$B$39,$B$13),0)</f>
        <v>104274.302</v>
      </c>
      <c r="L41" s="14">
        <f>IF(L$19&lt;=Assumptions!$B$39,-IPMT(Assumptions!$B$38,L$19,Assumptions!$B$39,$B$13),0)</f>
        <v>91467.35112</v>
      </c>
      <c r="M41" s="14">
        <f>IF(M$19&lt;=Assumptions!$B$39,-IPMT(Assumptions!$B$38,M$19,Assumptions!$B$39,$B$13),0)</f>
        <v>78020.05274</v>
      </c>
      <c r="N41" s="14">
        <f>IF(N$19&lt;=Assumptions!$B$39,-IPMT(Assumptions!$B$38,N$19,Assumptions!$B$39,$B$13),0)</f>
        <v>63900.38945</v>
      </c>
      <c r="O41" s="14">
        <f>IF(O$19&lt;=Assumptions!$B$39,-IPMT(Assumptions!$B$38,O$19,Assumptions!$B$39,$B$13),0)</f>
        <v>49074.74299</v>
      </c>
      <c r="P41" s="14">
        <f>IF(P$19&lt;=Assumptions!$B$39,-IPMT(Assumptions!$B$38,P$19,Assumptions!$B$39,$B$13),0)</f>
        <v>33507.81421</v>
      </c>
      <c r="Q41" s="14">
        <f>IF(Q$19&lt;=Assumptions!$B$39,-IPMT(Assumptions!$B$38,Q$19,Assumptions!$B$39,$B$13),0)</f>
        <v>17162.53898</v>
      </c>
      <c r="R41" s="14">
        <f>IF(R$19&lt;=Assumptions!$B$39,-IPMT(Assumptions!$B$38,R$19,Assumptions!$B$39,$B$13),0)</f>
        <v>0</v>
      </c>
      <c r="S41" s="14">
        <f>IF(S$19&lt;=Assumptions!$B$39,-IPMT(Assumptions!$B$38,S$19,Assumptions!$B$39,$B$13),0)</f>
        <v>0</v>
      </c>
      <c r="T41" s="14">
        <f>IF(T$19&lt;=Assumptions!$B$39,-IPMT(Assumptions!$B$38,T$19,Assumptions!$B$39,$B$13),0)</f>
        <v>0</v>
      </c>
      <c r="U41" s="14">
        <f>IF(U$19&lt;=Assumptions!$B$39,-IPMT(Assumptions!$B$38,U$19,Assumptions!$B$39,$B$13),0)</f>
        <v>0</v>
      </c>
      <c r="V41" s="14">
        <f>IF(V$19&lt;=Assumptions!$B$39,-IPMT(Assumptions!$B$38,V$19,Assumptions!$B$39,$B$13),0)</f>
        <v>0</v>
      </c>
      <c r="W41" s="14">
        <f>SUM(C$41:V$41)</f>
        <v>1665232.78</v>
      </c>
    </row>
    <row r="42" ht="15.75" customHeight="1">
      <c r="A42" s="6" t="s">
        <v>148</v>
      </c>
      <c r="C42" s="14">
        <f t="shared" ref="C42:V42" si="6">C$39-C$40-C$41</f>
        <v>1283383.807</v>
      </c>
      <c r="D42" s="14">
        <f t="shared" si="6"/>
        <v>1270277.397</v>
      </c>
      <c r="E42" s="14">
        <f t="shared" si="6"/>
        <v>1257732.464</v>
      </c>
      <c r="F42" s="14">
        <f t="shared" si="6"/>
        <v>1245772.265</v>
      </c>
      <c r="G42" s="14">
        <f t="shared" si="6"/>
        <v>1234421.169</v>
      </c>
      <c r="H42" s="14">
        <f t="shared" si="6"/>
        <v>1148031.986</v>
      </c>
      <c r="I42" s="14">
        <f t="shared" si="6"/>
        <v>1137220.192</v>
      </c>
      <c r="J42" s="14">
        <f t="shared" si="6"/>
        <v>1127090.261</v>
      </c>
      <c r="K42" s="14">
        <f t="shared" si="6"/>
        <v>1117671.502</v>
      </c>
      <c r="L42" s="14">
        <f t="shared" si="6"/>
        <v>1108994.634</v>
      </c>
      <c r="M42" s="14">
        <f t="shared" si="6"/>
        <v>1087836.389</v>
      </c>
      <c r="N42" s="14">
        <f t="shared" si="6"/>
        <v>1080608.899</v>
      </c>
      <c r="O42" s="14">
        <f t="shared" si="6"/>
        <v>1074223.307</v>
      </c>
      <c r="P42" s="14">
        <f t="shared" si="6"/>
        <v>1068716.695</v>
      </c>
      <c r="Q42" s="14">
        <f t="shared" si="6"/>
        <v>1064127.936</v>
      </c>
      <c r="R42" s="14">
        <f t="shared" si="6"/>
        <v>1044244.222</v>
      </c>
      <c r="S42" s="14">
        <f t="shared" si="6"/>
        <v>1023432.218</v>
      </c>
      <c r="T42" s="14">
        <f t="shared" si="6"/>
        <v>1002763.708</v>
      </c>
      <c r="U42" s="14">
        <f t="shared" si="6"/>
        <v>982240.6085</v>
      </c>
      <c r="V42" s="14">
        <f t="shared" si="6"/>
        <v>961864.8682</v>
      </c>
      <c r="W42" s="14">
        <f>SUM(C$42:V$42)</f>
        <v>22320654.53</v>
      </c>
    </row>
    <row r="43" ht="15.75" customHeight="1">
      <c r="A43" s="6" t="s">
        <v>149</v>
      </c>
      <c r="C43" s="14">
        <f>MAX(0,C$42*Assumptions!$B$35)</f>
        <v>160422.9759</v>
      </c>
      <c r="D43" s="14">
        <f>MAX(0,D$42*Assumptions!$B$35)</f>
        <v>158784.6747</v>
      </c>
      <c r="E43" s="14">
        <f>MAX(0,E$42*Assumptions!$B$35)</f>
        <v>157216.558</v>
      </c>
      <c r="F43" s="14">
        <f>MAX(0,F$42*Assumptions!$B$35)</f>
        <v>155721.5331</v>
      </c>
      <c r="G43" s="14">
        <f>MAX(0,G$42*Assumptions!$B$35)</f>
        <v>154302.6461</v>
      </c>
      <c r="H43" s="14">
        <f>MAX(0,H$42*Assumptions!$B$35)</f>
        <v>143503.9982</v>
      </c>
      <c r="I43" s="14">
        <f>MAX(0,I$42*Assumptions!$B$35)</f>
        <v>142152.524</v>
      </c>
      <c r="J43" s="14">
        <f>MAX(0,J$42*Assumptions!$B$35)</f>
        <v>140886.2826</v>
      </c>
      <c r="K43" s="14">
        <f>MAX(0,K$42*Assumptions!$B$35)</f>
        <v>139708.9378</v>
      </c>
      <c r="L43" s="14">
        <f>MAX(0,L$42*Assumptions!$B$35)</f>
        <v>138624.3292</v>
      </c>
      <c r="M43" s="14">
        <f>MAX(0,M$42*Assumptions!$B$35)</f>
        <v>135979.5487</v>
      </c>
      <c r="N43" s="14">
        <f>MAX(0,N$42*Assumptions!$B$35)</f>
        <v>135076.1123</v>
      </c>
      <c r="O43" s="14">
        <f>MAX(0,O$42*Assumptions!$B$35)</f>
        <v>134277.9134</v>
      </c>
      <c r="P43" s="14">
        <f>MAX(0,P$42*Assumptions!$B$35)</f>
        <v>133589.5868</v>
      </c>
      <c r="Q43" s="14">
        <f>MAX(0,Q$42*Assumptions!$B$35)</f>
        <v>133015.992</v>
      </c>
      <c r="R43" s="14">
        <f>MAX(0,R$42*Assumptions!$B$35)</f>
        <v>130530.5278</v>
      </c>
      <c r="S43" s="14">
        <f>MAX(0,S$42*Assumptions!$B$35)</f>
        <v>127929.0272</v>
      </c>
      <c r="T43" s="14">
        <f>MAX(0,T$42*Assumptions!$B$35)</f>
        <v>125345.4635</v>
      </c>
      <c r="U43" s="14">
        <f>MAX(0,U$42*Assumptions!$B$35)</f>
        <v>122780.0761</v>
      </c>
      <c r="V43" s="14">
        <f>MAX(0,V$42*Assumptions!$B$35)</f>
        <v>120233.1085</v>
      </c>
      <c r="W43" s="14">
        <f>SUM(C$43:V$43)</f>
        <v>2790081.816</v>
      </c>
    </row>
    <row r="44" ht="15.75" customHeight="1">
      <c r="A44" s="33" t="s">
        <v>150</v>
      </c>
      <c r="B44" s="33"/>
      <c r="C44" s="34">
        <f t="shared" ref="C44:V44" si="7">C$42-C$43</f>
        <v>1122960.831</v>
      </c>
      <c r="D44" s="34">
        <f t="shared" si="7"/>
        <v>1111492.723</v>
      </c>
      <c r="E44" s="34">
        <f t="shared" si="7"/>
        <v>1100515.906</v>
      </c>
      <c r="F44" s="34">
        <f t="shared" si="7"/>
        <v>1090050.732</v>
      </c>
      <c r="G44" s="34">
        <f t="shared" si="7"/>
        <v>1080118.523</v>
      </c>
      <c r="H44" s="34">
        <f t="shared" si="7"/>
        <v>1004527.988</v>
      </c>
      <c r="I44" s="34">
        <f t="shared" si="7"/>
        <v>995067.6678</v>
      </c>
      <c r="J44" s="34">
        <f t="shared" si="7"/>
        <v>986203.9785</v>
      </c>
      <c r="K44" s="34">
        <f t="shared" si="7"/>
        <v>977962.5644</v>
      </c>
      <c r="L44" s="34">
        <f t="shared" si="7"/>
        <v>970370.3045</v>
      </c>
      <c r="M44" s="34">
        <f t="shared" si="7"/>
        <v>951856.8408</v>
      </c>
      <c r="N44" s="34">
        <f t="shared" si="7"/>
        <v>945532.7862</v>
      </c>
      <c r="O44" s="34">
        <f t="shared" si="7"/>
        <v>939945.3936</v>
      </c>
      <c r="P44" s="34">
        <f t="shared" si="7"/>
        <v>935127.1078</v>
      </c>
      <c r="Q44" s="34">
        <f t="shared" si="7"/>
        <v>931111.9437</v>
      </c>
      <c r="R44" s="34">
        <f t="shared" si="7"/>
        <v>913713.6946</v>
      </c>
      <c r="S44" s="34">
        <f t="shared" si="7"/>
        <v>895503.1907</v>
      </c>
      <c r="T44" s="34">
        <f t="shared" si="7"/>
        <v>877418.2443</v>
      </c>
      <c r="U44" s="34">
        <f t="shared" si="7"/>
        <v>859460.5324</v>
      </c>
      <c r="V44" s="34">
        <f t="shared" si="7"/>
        <v>841631.7596</v>
      </c>
      <c r="W44" s="34">
        <f>SUM(C$44:V$44)</f>
        <v>19530572.71</v>
      </c>
    </row>
    <row r="45" ht="15.75" customHeight="1">
      <c r="A45" s="6" t="s">
        <v>151</v>
      </c>
      <c r="C45" s="14">
        <f>IF(C$19&lt;=Assumptions!$B$39,$B$14,0)</f>
        <v>360413.3187</v>
      </c>
      <c r="D45" s="14">
        <f>IF(D$19&lt;=Assumptions!$B$39,$B$14,0)</f>
        <v>360413.3187</v>
      </c>
      <c r="E45" s="14">
        <f>IF(E$19&lt;=Assumptions!$B$39,$B$14,0)</f>
        <v>360413.3187</v>
      </c>
      <c r="F45" s="14">
        <f>IF(F$19&lt;=Assumptions!$B$39,$B$14,0)</f>
        <v>360413.3187</v>
      </c>
      <c r="G45" s="14">
        <f>IF(G$19&lt;=Assumptions!$B$39,$B$14,0)</f>
        <v>360413.3187</v>
      </c>
      <c r="H45" s="14">
        <f>IF(H$19&lt;=Assumptions!$B$39,$B$14,0)</f>
        <v>360413.3187</v>
      </c>
      <c r="I45" s="14">
        <f>IF(I$19&lt;=Assumptions!$B$39,$B$14,0)</f>
        <v>360413.3187</v>
      </c>
      <c r="J45" s="14">
        <f>IF(J$19&lt;=Assumptions!$B$39,$B$14,0)</f>
        <v>360413.3187</v>
      </c>
      <c r="K45" s="14">
        <f>IF(K$19&lt;=Assumptions!$B$39,$B$14,0)</f>
        <v>360413.3187</v>
      </c>
      <c r="L45" s="14">
        <f>IF(L$19&lt;=Assumptions!$B$39,$B$14,0)</f>
        <v>360413.3187</v>
      </c>
      <c r="M45" s="14">
        <f>IF(M$19&lt;=Assumptions!$B$39,$B$14,0)</f>
        <v>360413.3187</v>
      </c>
      <c r="N45" s="14">
        <f>IF(N$19&lt;=Assumptions!$B$39,$B$14,0)</f>
        <v>360413.3187</v>
      </c>
      <c r="O45" s="14">
        <f>IF(O$19&lt;=Assumptions!$B$39,$B$14,0)</f>
        <v>360413.3187</v>
      </c>
      <c r="P45" s="14">
        <f>IF(P$19&lt;=Assumptions!$B$39,$B$14,0)</f>
        <v>360413.3187</v>
      </c>
      <c r="Q45" s="14">
        <f>IF(Q$19&lt;=Assumptions!$B$39,$B$14,0)</f>
        <v>360413.3187</v>
      </c>
      <c r="R45" s="14">
        <f>IF(R$19&lt;=Assumptions!$B$39,$B$14,0)</f>
        <v>0</v>
      </c>
      <c r="S45" s="14">
        <f>IF(S$19&lt;=Assumptions!$B$39,$B$14,0)</f>
        <v>0</v>
      </c>
      <c r="T45" s="14">
        <f>IF(T$19&lt;=Assumptions!$B$39,$B$14,0)</f>
        <v>0</v>
      </c>
      <c r="U45" s="14">
        <f>IF(U$19&lt;=Assumptions!$B$39,$B$14,0)</f>
        <v>0</v>
      </c>
      <c r="V45" s="14">
        <f>IF(V$19&lt;=Assumptions!$B$39,$B$14,0)</f>
        <v>0</v>
      </c>
      <c r="W45" s="14">
        <f>SUM(C$45:V$45)</f>
        <v>5406199.78</v>
      </c>
    </row>
    <row r="46" ht="15.75" customHeight="1">
      <c r="A46" s="33" t="s">
        <v>152</v>
      </c>
      <c r="B46" s="33"/>
      <c r="C46" s="34">
        <f t="shared" ref="C46:V46" si="8">C$39-C$45-C$43</f>
        <v>1566682.713</v>
      </c>
      <c r="D46" s="34">
        <f t="shared" si="8"/>
        <v>1546546.356</v>
      </c>
      <c r="E46" s="34">
        <f t="shared" si="8"/>
        <v>1526467.878</v>
      </c>
      <c r="F46" s="34">
        <f t="shared" si="8"/>
        <v>1506445.96</v>
      </c>
      <c r="G46" s="34">
        <f t="shared" si="8"/>
        <v>1486479.17</v>
      </c>
      <c r="H46" s="34">
        <f t="shared" si="8"/>
        <v>1400352.325</v>
      </c>
      <c r="I46" s="34">
        <f t="shared" si="8"/>
        <v>1379828.879</v>
      </c>
      <c r="J46" s="34">
        <f t="shared" si="8"/>
        <v>1359348.908</v>
      </c>
      <c r="K46" s="34">
        <f t="shared" si="8"/>
        <v>1338910.398</v>
      </c>
      <c r="L46" s="34">
        <f t="shared" si="8"/>
        <v>1318511.187</v>
      </c>
      <c r="M46" s="34">
        <f t="shared" si="8"/>
        <v>1286550.425</v>
      </c>
      <c r="N46" s="34">
        <f t="shared" si="8"/>
        <v>1266106.707</v>
      </c>
      <c r="O46" s="34">
        <f t="shared" si="8"/>
        <v>1245693.668</v>
      </c>
      <c r="P46" s="34">
        <f t="shared" si="8"/>
        <v>1225308.453</v>
      </c>
      <c r="Q46" s="34">
        <f t="shared" si="8"/>
        <v>1204948.014</v>
      </c>
      <c r="R46" s="34">
        <f t="shared" si="8"/>
        <v>1530800.545</v>
      </c>
      <c r="S46" s="34">
        <f t="shared" si="8"/>
        <v>1512590.041</v>
      </c>
      <c r="T46" s="34">
        <f t="shared" si="8"/>
        <v>1494505.094</v>
      </c>
      <c r="U46" s="34">
        <f t="shared" si="8"/>
        <v>1476547.382</v>
      </c>
      <c r="V46" s="34">
        <f t="shared" si="8"/>
        <v>1458718.61</v>
      </c>
      <c r="W46" s="34">
        <f>SUM(C$46:V$46)</f>
        <v>28131342.71</v>
      </c>
    </row>
    <row r="47" ht="15.75" customHeight="1">
      <c r="A47" s="6" t="s">
        <v>153</v>
      </c>
      <c r="C47" s="14">
        <f>C$46</f>
        <v>1566682.713</v>
      </c>
      <c r="D47" s="14">
        <f t="shared" ref="D47:V47" si="9">C$47+D$46</f>
        <v>3113229.068</v>
      </c>
      <c r="E47" s="14">
        <f t="shared" si="9"/>
        <v>4639696.946</v>
      </c>
      <c r="F47" s="14">
        <f t="shared" si="9"/>
        <v>6146142.906</v>
      </c>
      <c r="G47" s="14">
        <f t="shared" si="9"/>
        <v>7632622.076</v>
      </c>
      <c r="H47" s="14">
        <f t="shared" si="9"/>
        <v>9032974.401</v>
      </c>
      <c r="I47" s="14">
        <f t="shared" si="9"/>
        <v>10412803.28</v>
      </c>
      <c r="J47" s="14">
        <f t="shared" si="9"/>
        <v>11772152.19</v>
      </c>
      <c r="K47" s="14">
        <f t="shared" si="9"/>
        <v>13111062.59</v>
      </c>
      <c r="L47" s="14">
        <f t="shared" si="9"/>
        <v>14429573.77</v>
      </c>
      <c r="M47" s="14">
        <f t="shared" si="9"/>
        <v>15716124.2</v>
      </c>
      <c r="N47" s="14">
        <f t="shared" si="9"/>
        <v>16982230.9</v>
      </c>
      <c r="O47" s="14">
        <f t="shared" si="9"/>
        <v>18227924.57</v>
      </c>
      <c r="P47" s="14">
        <f t="shared" si="9"/>
        <v>19453233.03</v>
      </c>
      <c r="Q47" s="14">
        <f t="shared" si="9"/>
        <v>20658181.04</v>
      </c>
      <c r="R47" s="14">
        <f t="shared" si="9"/>
        <v>22188981.58</v>
      </c>
      <c r="S47" s="14">
        <f t="shared" si="9"/>
        <v>23701571.62</v>
      </c>
      <c r="T47" s="14">
        <f t="shared" si="9"/>
        <v>25196076.72</v>
      </c>
      <c r="U47" s="14">
        <f t="shared" si="9"/>
        <v>26672624.1</v>
      </c>
      <c r="V47" s="14">
        <f t="shared" si="9"/>
        <v>28131342.71</v>
      </c>
      <c r="W47" s="14">
        <f>V$47</f>
        <v>28131342.71</v>
      </c>
    </row>
    <row r="48" ht="15.75" customHeight="1">
      <c r="A48" s="6" t="s">
        <v>154</v>
      </c>
      <c r="C48" s="35">
        <f t="shared" ref="C48:V48" si="10">IF(C$45&gt;0,C$39/C$45,"N/A")</f>
        <v>5.792014055</v>
      </c>
      <c r="D48" s="35">
        <f t="shared" si="10"/>
        <v>5.731598257</v>
      </c>
      <c r="E48" s="35">
        <f t="shared" si="10"/>
        <v>5.671537784</v>
      </c>
      <c r="F48" s="35">
        <f t="shared" si="10"/>
        <v>5.611837041</v>
      </c>
      <c r="G48" s="35">
        <f t="shared" si="10"/>
        <v>5.552500507</v>
      </c>
      <c r="H48" s="35">
        <f t="shared" si="10"/>
        <v>5.283571785</v>
      </c>
      <c r="I48" s="35">
        <f t="shared" si="10"/>
        <v>5.222877802</v>
      </c>
      <c r="J48" s="35">
        <f t="shared" si="10"/>
        <v>5.16254093</v>
      </c>
      <c r="K48" s="35">
        <f t="shared" si="10"/>
        <v>5.102565746</v>
      </c>
      <c r="L48" s="35">
        <f t="shared" si="10"/>
        <v>5.042956907</v>
      </c>
      <c r="M48" s="35">
        <f t="shared" si="10"/>
        <v>4.946940637</v>
      </c>
      <c r="N48" s="35">
        <f t="shared" si="10"/>
        <v>4.887710989</v>
      </c>
      <c r="O48" s="35">
        <f t="shared" si="10"/>
        <v>4.828858452</v>
      </c>
      <c r="P48" s="35">
        <f t="shared" si="10"/>
        <v>4.770387968</v>
      </c>
      <c r="Q48" s="35">
        <f t="shared" si="10"/>
        <v>4.712304559</v>
      </c>
      <c r="R48" s="35" t="str">
        <f t="shared" si="10"/>
        <v>N/A</v>
      </c>
      <c r="S48" s="35" t="str">
        <f t="shared" si="10"/>
        <v>N/A</v>
      </c>
      <c r="T48" s="35" t="str">
        <f t="shared" si="10"/>
        <v>N/A</v>
      </c>
      <c r="U48" s="35" t="str">
        <f t="shared" si="10"/>
        <v>N/A</v>
      </c>
      <c r="V48" s="35" t="str">
        <f t="shared" si="10"/>
        <v>N/A</v>
      </c>
      <c r="W48" s="35">
        <f>AVERAGE(C$48:Q$48)</f>
        <v>5.221346895</v>
      </c>
    </row>
    <row r="49" ht="15.75" customHeight="1"/>
    <row r="50" ht="15.75" customHeight="1">
      <c r="A50" s="31" t="s">
        <v>155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</row>
    <row r="51" ht="15.75" customHeight="1">
      <c r="A51" s="6" t="s">
        <v>136</v>
      </c>
      <c r="C51" s="14">
        <f>C$22*Assumptions!$B$14</f>
        <v>1365000</v>
      </c>
      <c r="D51" s="14">
        <f>D$22*Assumptions!$B$14</f>
        <v>1358175</v>
      </c>
      <c r="E51" s="14">
        <f>E$22*Assumptions!$B$14</f>
        <v>1351384.125</v>
      </c>
      <c r="F51" s="14">
        <f>F$22*Assumptions!$B$14</f>
        <v>1344627.204</v>
      </c>
      <c r="G51" s="14">
        <f>G$22*Assumptions!$B$14</f>
        <v>1337904.068</v>
      </c>
      <c r="H51" s="14">
        <f>H$22*Assumptions!$B$14</f>
        <v>1331214.548</v>
      </c>
      <c r="I51" s="14">
        <f>I$22*Assumptions!$B$14</f>
        <v>1324558.475</v>
      </c>
      <c r="J51" s="14">
        <f>J$22*Assumptions!$B$14</f>
        <v>1317935.683</v>
      </c>
      <c r="K51" s="14">
        <f>K$22*Assumptions!$B$14</f>
        <v>1311346.004</v>
      </c>
      <c r="L51" s="14">
        <f>L$22*Assumptions!$B$14</f>
        <v>1304789.274</v>
      </c>
      <c r="M51" s="14">
        <f>M$22*Assumptions!$B$14</f>
        <v>1298265.328</v>
      </c>
      <c r="N51" s="14">
        <f>N$22*Assumptions!$B$14</f>
        <v>1291774.001</v>
      </c>
      <c r="O51" s="14">
        <f>O$22*Assumptions!$B$14</f>
        <v>1285315.131</v>
      </c>
      <c r="P51" s="14">
        <f>P$22*Assumptions!$B$14</f>
        <v>1278888.556</v>
      </c>
      <c r="Q51" s="14">
        <f>Q$22*Assumptions!$B$14</f>
        <v>1272494.113</v>
      </c>
      <c r="R51" s="14">
        <f>R$22*Assumptions!$B$14</f>
        <v>1266131.642</v>
      </c>
      <c r="S51" s="14">
        <f>S$22*Assumptions!$B$14</f>
        <v>1259800.984</v>
      </c>
      <c r="T51" s="14">
        <f>T$22*Assumptions!$B$14</f>
        <v>1253501.979</v>
      </c>
      <c r="U51" s="14">
        <f>U$22*Assumptions!$B$14</f>
        <v>1247234.469</v>
      </c>
      <c r="V51" s="14">
        <f>V$22*Assumptions!$B$14</f>
        <v>1240998.297</v>
      </c>
      <c r="W51" s="14">
        <f>SUM(C$51:V$51)</f>
        <v>26041338.89</v>
      </c>
    </row>
    <row r="52" ht="15.75" customHeight="1">
      <c r="A52" s="6" t="s">
        <v>137</v>
      </c>
      <c r="C52" s="14">
        <f>C$21*Assumptions!$B$15</f>
        <v>17062.5</v>
      </c>
      <c r="D52" s="14">
        <f>D$21*Assumptions!$B$15</f>
        <v>16977.1875</v>
      </c>
      <c r="E52" s="14">
        <f>E$21*Assumptions!$B$15</f>
        <v>16892.30156</v>
      </c>
      <c r="F52" s="14">
        <f>F$21*Assumptions!$B$15</f>
        <v>16807.84005</v>
      </c>
      <c r="G52" s="14">
        <f>G$21*Assumptions!$B$15</f>
        <v>16723.80085</v>
      </c>
      <c r="H52" s="14">
        <f>H$21*Assumptions!$B$15</f>
        <v>16640.18185</v>
      </c>
      <c r="I52" s="14">
        <f>I$21*Assumptions!$B$15</f>
        <v>16556.98094</v>
      </c>
      <c r="J52" s="14">
        <f>J$21*Assumptions!$B$15</f>
        <v>16474.19604</v>
      </c>
      <c r="K52" s="14">
        <f>K$21*Assumptions!$B$15</f>
        <v>16391.82506</v>
      </c>
      <c r="L52" s="14">
        <f>L$21*Assumptions!$B$15</f>
        <v>16309.86593</v>
      </c>
      <c r="M52" s="14">
        <f>M$21*Assumptions!$B$15</f>
        <v>16228.3166</v>
      </c>
      <c r="N52" s="14">
        <f>N$21*Assumptions!$B$15</f>
        <v>16147.17502</v>
      </c>
      <c r="O52" s="14">
        <f>O$21*Assumptions!$B$15</f>
        <v>16066.43914</v>
      </c>
      <c r="P52" s="14">
        <f>P$21*Assumptions!$B$15</f>
        <v>15986.10695</v>
      </c>
      <c r="Q52" s="14">
        <f>Q$21*Assumptions!$B$15</f>
        <v>15906.17641</v>
      </c>
      <c r="R52" s="14">
        <f>R$21*Assumptions!$B$15</f>
        <v>15826.64553</v>
      </c>
      <c r="S52" s="14">
        <f>S$21*Assumptions!$B$15</f>
        <v>15747.5123</v>
      </c>
      <c r="T52" s="14">
        <f>T$21*Assumptions!$B$15</f>
        <v>15668.77474</v>
      </c>
      <c r="U52" s="14">
        <f>U$21*Assumptions!$B$15</f>
        <v>15590.43087</v>
      </c>
      <c r="V52" s="14">
        <f>V$21*Assumptions!$B$15</f>
        <v>15512.47871</v>
      </c>
      <c r="W52" s="14">
        <f>SUM(C$52:V$52)</f>
        <v>325516.7361</v>
      </c>
    </row>
    <row r="53" ht="15.75" customHeight="1">
      <c r="A53" s="6" t="s">
        <v>138</v>
      </c>
      <c r="C53" s="14">
        <f>C$25*Assumptions!$B$43</f>
        <v>1641949.237</v>
      </c>
      <c r="D53" s="14">
        <f>D$25*Assumptions!$B$43</f>
        <v>1619445.364</v>
      </c>
      <c r="E53" s="14">
        <f>E$25*Assumptions!$B$43</f>
        <v>1596941.491</v>
      </c>
      <c r="F53" s="14">
        <f>F$25*Assumptions!$B$43</f>
        <v>1574437.619</v>
      </c>
      <c r="G53" s="14">
        <f>G$25*Assumptions!$B$43</f>
        <v>1551933.746</v>
      </c>
      <c r="H53" s="14">
        <f>H$25*Assumptions!$B$43</f>
        <v>1529429.873</v>
      </c>
      <c r="I53" s="14">
        <f>I$25*Assumptions!$B$43</f>
        <v>1506926</v>
      </c>
      <c r="J53" s="14">
        <f>J$25*Assumptions!$B$43</f>
        <v>1484422.127</v>
      </c>
      <c r="K53" s="14">
        <f>K$25*Assumptions!$B$43</f>
        <v>1461918.255</v>
      </c>
      <c r="L53" s="14">
        <f>L$25*Assumptions!$B$43</f>
        <v>1439414.382</v>
      </c>
      <c r="M53" s="14">
        <f>M$25*Assumptions!$B$43</f>
        <v>1416910.509</v>
      </c>
      <c r="N53" s="14">
        <f>N$25*Assumptions!$B$43</f>
        <v>1394406.636</v>
      </c>
      <c r="O53" s="14">
        <f>O$25*Assumptions!$B$43</f>
        <v>1371902.763</v>
      </c>
      <c r="P53" s="14">
        <f>P$25*Assumptions!$B$43</f>
        <v>1349398.891</v>
      </c>
      <c r="Q53" s="14">
        <f>Q$25*Assumptions!$B$43</f>
        <v>1326895.018</v>
      </c>
      <c r="R53" s="14">
        <f>R$25*Assumptions!$B$43</f>
        <v>1304391.145</v>
      </c>
      <c r="S53" s="14">
        <f>S$25*Assumptions!$B$43</f>
        <v>1281887.272</v>
      </c>
      <c r="T53" s="14">
        <f>T$25*Assumptions!$B$43</f>
        <v>1259383.399</v>
      </c>
      <c r="U53" s="14">
        <f>U$25*Assumptions!$B$43</f>
        <v>1236879.527</v>
      </c>
      <c r="V53" s="14">
        <f>V$25*Assumptions!$B$43</f>
        <v>1214375.654</v>
      </c>
      <c r="W53" s="14">
        <f>SUM(C$53:V$53)</f>
        <v>28563248.91</v>
      </c>
    </row>
    <row r="54" ht="15.75" customHeight="1">
      <c r="A54" s="36" t="s">
        <v>139</v>
      </c>
      <c r="B54" s="36"/>
      <c r="C54" s="37">
        <f t="shared" ref="C54:V54" si="11">C$51+C$52+C$53</f>
        <v>3024011.737</v>
      </c>
      <c r="D54" s="37">
        <f t="shared" si="11"/>
        <v>2994597.552</v>
      </c>
      <c r="E54" s="37">
        <f t="shared" si="11"/>
        <v>2965217.918</v>
      </c>
      <c r="F54" s="37">
        <f t="shared" si="11"/>
        <v>2935872.663</v>
      </c>
      <c r="G54" s="37">
        <f t="shared" si="11"/>
        <v>2906561.615</v>
      </c>
      <c r="H54" s="37">
        <f t="shared" si="11"/>
        <v>2877284.603</v>
      </c>
      <c r="I54" s="37">
        <f t="shared" si="11"/>
        <v>2848041.456</v>
      </c>
      <c r="J54" s="37">
        <f t="shared" si="11"/>
        <v>2818832.006</v>
      </c>
      <c r="K54" s="37">
        <f t="shared" si="11"/>
        <v>2789656.084</v>
      </c>
      <c r="L54" s="37">
        <f t="shared" si="11"/>
        <v>2760513.522</v>
      </c>
      <c r="M54" s="37">
        <f t="shared" si="11"/>
        <v>2731404.154</v>
      </c>
      <c r="N54" s="37">
        <f t="shared" si="11"/>
        <v>2702327.813</v>
      </c>
      <c r="O54" s="37">
        <f t="shared" si="11"/>
        <v>2673284.334</v>
      </c>
      <c r="P54" s="37">
        <f t="shared" si="11"/>
        <v>2644273.553</v>
      </c>
      <c r="Q54" s="37">
        <f t="shared" si="11"/>
        <v>2615295.307</v>
      </c>
      <c r="R54" s="37">
        <f t="shared" si="11"/>
        <v>2586349.433</v>
      </c>
      <c r="S54" s="37">
        <f t="shared" si="11"/>
        <v>2557435.769</v>
      </c>
      <c r="T54" s="37">
        <f t="shared" si="11"/>
        <v>2528554.154</v>
      </c>
      <c r="U54" s="37">
        <f t="shared" si="11"/>
        <v>2499704.427</v>
      </c>
      <c r="V54" s="37">
        <f t="shared" si="11"/>
        <v>2470886.43</v>
      </c>
      <c r="W54" s="37">
        <f>SUM(C$54:V$54)</f>
        <v>54930104.53</v>
      </c>
    </row>
    <row r="55" ht="15.75" customHeight="1">
      <c r="A55" s="6" t="s">
        <v>140</v>
      </c>
      <c r="C55" s="14">
        <f>C$27*Assumptions!$B$25*(1+Assumptions!$B$36)^(C$19-1)</f>
        <v>207639.6</v>
      </c>
      <c r="D55" s="14">
        <f>D$27*Assumptions!$B$25*(1+Assumptions!$B$36)^(D$19-1)</f>
        <v>203091.1055</v>
      </c>
      <c r="E55" s="14">
        <f>E$27*Assumptions!$B$25*(1+Assumptions!$B$36)^(E$19-1)</f>
        <v>198419.9988</v>
      </c>
      <c r="F55" s="14">
        <f>F$27*Assumptions!$B$25*(1+Assumptions!$B$36)^(F$19-1)</f>
        <v>193624.2286</v>
      </c>
      <c r="G55" s="14">
        <f>G$27*Assumptions!$B$25*(1+Assumptions!$B$36)^(G$19-1)</f>
        <v>188701.7145</v>
      </c>
      <c r="H55" s="14">
        <f>H$27*Assumptions!$B$25*(1+Assumptions!$B$36)^(H$19-1)</f>
        <v>183650.3471</v>
      </c>
      <c r="I55" s="14">
        <f>I$27*Assumptions!$B$25*(1+Assumptions!$B$36)^(I$19-1)</f>
        <v>178467.9867</v>
      </c>
      <c r="J55" s="14">
        <f>J$27*Assumptions!$B$25*(1+Assumptions!$B$36)^(J$19-1)</f>
        <v>173152.4637</v>
      </c>
      <c r="K55" s="14">
        <f>K$27*Assumptions!$B$25*(1+Assumptions!$B$36)^(K$19-1)</f>
        <v>167701.5779</v>
      </c>
      <c r="L55" s="14">
        <f>L$27*Assumptions!$B$25*(1+Assumptions!$B$36)^(L$19-1)</f>
        <v>162113.0982</v>
      </c>
      <c r="M55" s="14">
        <f>M$27*Assumptions!$B$25*(1+Assumptions!$B$36)^(M$19-1)</f>
        <v>156384.762</v>
      </c>
      <c r="N55" s="14">
        <f>N$27*Assumptions!$B$25*(1+Assumptions!$B$36)^(N$19-1)</f>
        <v>150514.275</v>
      </c>
      <c r="O55" s="14">
        <f>O$27*Assumptions!$B$25*(1+Assumptions!$B$36)^(O$19-1)</f>
        <v>144499.3108</v>
      </c>
      <c r="P55" s="14">
        <f>P$27*Assumptions!$B$25*(1+Assumptions!$B$36)^(P$19-1)</f>
        <v>138337.5102</v>
      </c>
      <c r="Q55" s="14">
        <f>Q$27*Assumptions!$B$25*(1+Assumptions!$B$36)^(Q$19-1)</f>
        <v>132026.4812</v>
      </c>
      <c r="R55" s="14">
        <f>R$27*Assumptions!$B$25*(1+Assumptions!$B$36)^(R$19-1)</f>
        <v>125563.7983</v>
      </c>
      <c r="S55" s="14">
        <f>S$27*Assumptions!$B$25*(1+Assumptions!$B$36)^(S$19-1)</f>
        <v>118947.0021</v>
      </c>
      <c r="T55" s="14">
        <f>T$27*Assumptions!$B$25*(1+Assumptions!$B$36)^(T$19-1)</f>
        <v>112173.5988</v>
      </c>
      <c r="U55" s="14">
        <f>U$27*Assumptions!$B$25*(1+Assumptions!$B$36)^(U$19-1)</f>
        <v>105241.06</v>
      </c>
      <c r="V55" s="14">
        <f>V$27*Assumptions!$B$25*(1+Assumptions!$B$36)^(V$19-1)</f>
        <v>98146.82208</v>
      </c>
      <c r="W55" s="14">
        <f>SUM(C$55:V$55)</f>
        <v>3138396.742</v>
      </c>
    </row>
    <row r="56" ht="15.75" customHeight="1">
      <c r="A56" s="6" t="s">
        <v>141</v>
      </c>
      <c r="C56" s="14">
        <f>$B$5*Assumptions!$B$16*(1+Assumptions!$B$36)^(C$19-1)</f>
        <v>150000</v>
      </c>
      <c r="D56" s="14">
        <f>$B$5*Assumptions!$B$16*(1+Assumptions!$B$36)^(D$19-1)</f>
        <v>151500</v>
      </c>
      <c r="E56" s="14">
        <f>$B$5*Assumptions!$B$16*(1+Assumptions!$B$36)^(E$19-1)</f>
        <v>153015</v>
      </c>
      <c r="F56" s="14">
        <f>$B$5*Assumptions!$B$16*(1+Assumptions!$B$36)^(F$19-1)</f>
        <v>154545.15</v>
      </c>
      <c r="G56" s="14">
        <f>$B$5*Assumptions!$B$16*(1+Assumptions!$B$36)^(G$19-1)</f>
        <v>156090.6015</v>
      </c>
      <c r="H56" s="14">
        <f>$B$5*Assumptions!$B$16*(1+Assumptions!$B$36)^(H$19-1)</f>
        <v>157651.5075</v>
      </c>
      <c r="I56" s="14">
        <f>$B$5*Assumptions!$B$16*(1+Assumptions!$B$36)^(I$19-1)</f>
        <v>159228.0226</v>
      </c>
      <c r="J56" s="14">
        <f>$B$5*Assumptions!$B$16*(1+Assumptions!$B$36)^(J$19-1)</f>
        <v>160820.3028</v>
      </c>
      <c r="K56" s="14">
        <f>$B$5*Assumptions!$B$16*(1+Assumptions!$B$36)^(K$19-1)</f>
        <v>162428.5058</v>
      </c>
      <c r="L56" s="14">
        <f>$B$5*Assumptions!$B$16*(1+Assumptions!$B$36)^(L$19-1)</f>
        <v>164052.7909</v>
      </c>
      <c r="M56" s="14">
        <f>$B$5*Assumptions!$B$16*(1+Assumptions!$B$36)^(M$19-1)</f>
        <v>165693.3188</v>
      </c>
      <c r="N56" s="14">
        <f>$B$5*Assumptions!$B$16*(1+Assumptions!$B$36)^(N$19-1)</f>
        <v>167350.252</v>
      </c>
      <c r="O56" s="14">
        <f>$B$5*Assumptions!$B$16*(1+Assumptions!$B$36)^(O$19-1)</f>
        <v>169023.7545</v>
      </c>
      <c r="P56" s="14">
        <f>$B$5*Assumptions!$B$16*(1+Assumptions!$B$36)^(P$19-1)</f>
        <v>170713.9921</v>
      </c>
      <c r="Q56" s="14">
        <f>$B$5*Assumptions!$B$16*(1+Assumptions!$B$36)^(Q$19-1)</f>
        <v>172421.132</v>
      </c>
      <c r="R56" s="14">
        <f>$B$5*Assumptions!$B$16*(1+Assumptions!$B$36)^(R$19-1)</f>
        <v>174145.3433</v>
      </c>
      <c r="S56" s="14">
        <f>$B$5*Assumptions!$B$16*(1+Assumptions!$B$36)^(S$19-1)</f>
        <v>175886.7967</v>
      </c>
      <c r="T56" s="14">
        <f>$B$5*Assumptions!$B$16*(1+Assumptions!$B$36)^(T$19-1)</f>
        <v>177645.6647</v>
      </c>
      <c r="U56" s="14">
        <f>$B$5*Assumptions!$B$16*(1+Assumptions!$B$36)^(U$19-1)</f>
        <v>179422.1214</v>
      </c>
      <c r="V56" s="14">
        <f>$B$5*Assumptions!$B$16*(1+Assumptions!$B$36)^(V$19-1)</f>
        <v>181216.3426</v>
      </c>
      <c r="W56" s="14">
        <f>SUM(C$56:V$56)</f>
        <v>3302850.599</v>
      </c>
    </row>
    <row r="57" ht="15.75" customHeight="1">
      <c r="A57" s="6" t="s">
        <v>142</v>
      </c>
      <c r="C57" s="14">
        <f>($B$6*Assumptions!$B$26+$B$6*Assumptions!$B$27+$B$7*Assumptions!$B$28+Assumptions!$B$29)*(1+Assumptions!$B$36)^(C$19-1)</f>
        <v>141000</v>
      </c>
      <c r="D57" s="14">
        <f>($B$6*Assumptions!$B$26+$B$6*Assumptions!$B$27+$B$7*Assumptions!$B$28+Assumptions!$B$29)*(1+Assumptions!$B$36)^(D$19-1)</f>
        <v>142410</v>
      </c>
      <c r="E57" s="14">
        <f>($B$6*Assumptions!$B$26+$B$6*Assumptions!$B$27+$B$7*Assumptions!$B$28+Assumptions!$B$29)*(1+Assumptions!$B$36)^(E$19-1)</f>
        <v>143834.1</v>
      </c>
      <c r="F57" s="14">
        <f>($B$6*Assumptions!$B$26+$B$6*Assumptions!$B$27+$B$7*Assumptions!$B$28+Assumptions!$B$29)*(1+Assumptions!$B$36)^(F$19-1)</f>
        <v>145272.441</v>
      </c>
      <c r="G57" s="14">
        <f>($B$6*Assumptions!$B$26+$B$6*Assumptions!$B$27+$B$7*Assumptions!$B$28+Assumptions!$B$29)*(1+Assumptions!$B$36)^(G$19-1)</f>
        <v>146725.1654</v>
      </c>
      <c r="H57" s="14">
        <f>($B$6*Assumptions!$B$26+$B$6*Assumptions!$B$27+$B$7*Assumptions!$B$28+Assumptions!$B$29)*(1+Assumptions!$B$36)^(H$19-1)</f>
        <v>148192.4171</v>
      </c>
      <c r="I57" s="14">
        <f>($B$6*Assumptions!$B$26+$B$6*Assumptions!$B$27+$B$7*Assumptions!$B$28+Assumptions!$B$29)*(1+Assumptions!$B$36)^(I$19-1)</f>
        <v>149674.3412</v>
      </c>
      <c r="J57" s="14">
        <f>($B$6*Assumptions!$B$26+$B$6*Assumptions!$B$27+$B$7*Assumptions!$B$28+Assumptions!$B$29)*(1+Assumptions!$B$36)^(J$19-1)</f>
        <v>151171.0846</v>
      </c>
      <c r="K57" s="14">
        <f>($B$6*Assumptions!$B$26+$B$6*Assumptions!$B$27+$B$7*Assumptions!$B$28+Assumptions!$B$29)*(1+Assumptions!$B$36)^(K$19-1)</f>
        <v>152682.7955</v>
      </c>
      <c r="L57" s="14">
        <f>($B$6*Assumptions!$B$26+$B$6*Assumptions!$B$27+$B$7*Assumptions!$B$28+Assumptions!$B$29)*(1+Assumptions!$B$36)^(L$19-1)</f>
        <v>154209.6234</v>
      </c>
      <c r="M57" s="14">
        <f>($B$6*Assumptions!$B$26+$B$6*Assumptions!$B$27+$B$7*Assumptions!$B$28+Assumptions!$B$29)*(1+Assumptions!$B$36)^(M$19-1)</f>
        <v>155751.7197</v>
      </c>
      <c r="N57" s="14">
        <f>($B$6*Assumptions!$B$26+$B$6*Assumptions!$B$27+$B$7*Assumptions!$B$28+Assumptions!$B$29)*(1+Assumptions!$B$36)^(N$19-1)</f>
        <v>157309.2369</v>
      </c>
      <c r="O57" s="14">
        <f>($B$6*Assumptions!$B$26+$B$6*Assumptions!$B$27+$B$7*Assumptions!$B$28+Assumptions!$B$29)*(1+Assumptions!$B$36)^(O$19-1)</f>
        <v>158882.3292</v>
      </c>
      <c r="P57" s="14">
        <f>($B$6*Assumptions!$B$26+$B$6*Assumptions!$B$27+$B$7*Assumptions!$B$28+Assumptions!$B$29)*(1+Assumptions!$B$36)^(P$19-1)</f>
        <v>160471.1525</v>
      </c>
      <c r="Q57" s="14">
        <f>($B$6*Assumptions!$B$26+$B$6*Assumptions!$B$27+$B$7*Assumptions!$B$28+Assumptions!$B$29)*(1+Assumptions!$B$36)^(Q$19-1)</f>
        <v>162075.8641</v>
      </c>
      <c r="R57" s="14">
        <f>($B$6*Assumptions!$B$26+$B$6*Assumptions!$B$27+$B$7*Assumptions!$B$28+Assumptions!$B$29)*(1+Assumptions!$B$36)^(R$19-1)</f>
        <v>163696.6227</v>
      </c>
      <c r="S57" s="14">
        <f>($B$6*Assumptions!$B$26+$B$6*Assumptions!$B$27+$B$7*Assumptions!$B$28+Assumptions!$B$29)*(1+Assumptions!$B$36)^(S$19-1)</f>
        <v>165333.5889</v>
      </c>
      <c r="T57" s="14">
        <f>($B$6*Assumptions!$B$26+$B$6*Assumptions!$B$27+$B$7*Assumptions!$B$28+Assumptions!$B$29)*(1+Assumptions!$B$36)^(T$19-1)</f>
        <v>166986.9248</v>
      </c>
      <c r="U57" s="14">
        <f>($B$6*Assumptions!$B$26+$B$6*Assumptions!$B$27+$B$7*Assumptions!$B$28+Assumptions!$B$29)*(1+Assumptions!$B$36)^(U$19-1)</f>
        <v>168656.7941</v>
      </c>
      <c r="V57" s="14">
        <f>($B$6*Assumptions!$B$26+$B$6*Assumptions!$B$27+$B$7*Assumptions!$B$28+Assumptions!$B$29)*(1+Assumptions!$B$36)^(V$19-1)</f>
        <v>170343.362</v>
      </c>
      <c r="W57" s="14">
        <f>SUM(C$57:V$57)</f>
        <v>3104679.563</v>
      </c>
    </row>
    <row r="58" ht="15.75" customHeight="1">
      <c r="A58" s="6" t="s">
        <v>143</v>
      </c>
      <c r="C58" s="14">
        <f>IF(C$19&lt;=5,0,IF(C$19&lt;=10,Assumptions!$B$30,IF(C$19&lt;=15,Assumptions!$B$31,Assumptions!$B$32)))*$B$6*(1+Assumptions!$B$36)^(C$19-1)</f>
        <v>0</v>
      </c>
      <c r="D58" s="14">
        <f>IF(D$19&lt;=5,0,IF(D$19&lt;=10,Assumptions!$B$30,IF(D$19&lt;=15,Assumptions!$B$31,Assumptions!$B$32)))*$B$6*(1+Assumptions!$B$36)^(D$19-1)</f>
        <v>0</v>
      </c>
      <c r="E58" s="14">
        <f>IF(E$19&lt;=5,0,IF(E$19&lt;=10,Assumptions!$B$30,IF(E$19&lt;=15,Assumptions!$B$31,Assumptions!$B$32)))*$B$6*(1+Assumptions!$B$36)^(E$19-1)</f>
        <v>0</v>
      </c>
      <c r="F58" s="14">
        <f>IF(F$19&lt;=5,0,IF(F$19&lt;=10,Assumptions!$B$30,IF(F$19&lt;=15,Assumptions!$B$31,Assumptions!$B$32)))*$B$6*(1+Assumptions!$B$36)^(F$19-1)</f>
        <v>0</v>
      </c>
      <c r="G58" s="14">
        <f>IF(G$19&lt;=5,0,IF(G$19&lt;=10,Assumptions!$B$30,IF(G$19&lt;=15,Assumptions!$B$31,Assumptions!$B$32)))*$B$6*(1+Assumptions!$B$36)^(G$19-1)</f>
        <v>0</v>
      </c>
      <c r="H58" s="14">
        <f>IF(H$19&lt;=5,0,IF(H$19&lt;=10,Assumptions!$B$30,IF(H$19&lt;=15,Assumptions!$B$31,Assumptions!$B$32)))*$B$6*(1+Assumptions!$B$36)^(H$19-1)</f>
        <v>75672.72361</v>
      </c>
      <c r="I58" s="14">
        <f>IF(I$19&lt;=5,0,IF(I$19&lt;=10,Assumptions!$B$30,IF(I$19&lt;=15,Assumptions!$B$31,Assumptions!$B$32)))*$B$6*(1+Assumptions!$B$36)^(I$19-1)</f>
        <v>76429.45084</v>
      </c>
      <c r="J58" s="14">
        <f>IF(J$19&lt;=5,0,IF(J$19&lt;=10,Assumptions!$B$30,IF(J$19&lt;=15,Assumptions!$B$31,Assumptions!$B$32)))*$B$6*(1+Assumptions!$B$36)^(J$19-1)</f>
        <v>77193.74535</v>
      </c>
      <c r="K58" s="14">
        <f>IF(K$19&lt;=5,0,IF(K$19&lt;=10,Assumptions!$B$30,IF(K$19&lt;=15,Assumptions!$B$31,Assumptions!$B$32)))*$B$6*(1+Assumptions!$B$36)^(K$19-1)</f>
        <v>77965.68281</v>
      </c>
      <c r="L58" s="14">
        <f>IF(L$19&lt;=5,0,IF(L$19&lt;=10,Assumptions!$B$30,IF(L$19&lt;=15,Assumptions!$B$31,Assumptions!$B$32)))*$B$6*(1+Assumptions!$B$36)^(L$19-1)</f>
        <v>78745.33963</v>
      </c>
      <c r="M58" s="14">
        <f>IF(M$19&lt;=5,0,IF(M$19&lt;=10,Assumptions!$B$30,IF(M$19&lt;=15,Assumptions!$B$31,Assumptions!$B$32)))*$B$6*(1+Assumptions!$B$36)^(M$19-1)</f>
        <v>92788.25853</v>
      </c>
      <c r="N58" s="14">
        <f>IF(N$19&lt;=5,0,IF(N$19&lt;=10,Assumptions!$B$30,IF(N$19&lt;=15,Assumptions!$B$31,Assumptions!$B$32)))*$B$6*(1+Assumptions!$B$36)^(N$19-1)</f>
        <v>93716.14112</v>
      </c>
      <c r="O58" s="14">
        <f>IF(O$19&lt;=5,0,IF(O$19&lt;=10,Assumptions!$B$30,IF(O$19&lt;=15,Assumptions!$B$31,Assumptions!$B$32)))*$B$6*(1+Assumptions!$B$36)^(O$19-1)</f>
        <v>94653.30253</v>
      </c>
      <c r="P58" s="14">
        <f>IF(P$19&lt;=5,0,IF(P$19&lt;=10,Assumptions!$B$30,IF(P$19&lt;=15,Assumptions!$B$31,Assumptions!$B$32)))*$B$6*(1+Assumptions!$B$36)^(P$19-1)</f>
        <v>95599.83556</v>
      </c>
      <c r="Q58" s="14">
        <f>IF(Q$19&lt;=5,0,IF(Q$19&lt;=10,Assumptions!$B$30,IF(Q$19&lt;=15,Assumptions!$B$31,Assumptions!$B$32)))*$B$6*(1+Assumptions!$B$36)^(Q$19-1)</f>
        <v>96555.83391</v>
      </c>
      <c r="R58" s="14">
        <f>IF(R$19&lt;=5,0,IF(R$19&lt;=10,Assumptions!$B$30,IF(R$19&lt;=15,Assumptions!$B$31,Assumptions!$B$32)))*$B$6*(1+Assumptions!$B$36)^(R$19-1)</f>
        <v>113774.9576</v>
      </c>
      <c r="S58" s="14">
        <f>IF(S$19&lt;=5,0,IF(S$19&lt;=10,Assumptions!$B$30,IF(S$19&lt;=15,Assumptions!$B$31,Assumptions!$B$32)))*$B$6*(1+Assumptions!$B$36)^(S$19-1)</f>
        <v>114912.7072</v>
      </c>
      <c r="T58" s="14">
        <f>IF(T$19&lt;=5,0,IF(T$19&lt;=10,Assumptions!$B$30,IF(T$19&lt;=15,Assumptions!$B$31,Assumptions!$B$32)))*$B$6*(1+Assumptions!$B$36)^(T$19-1)</f>
        <v>116061.8343</v>
      </c>
      <c r="U58" s="14">
        <f>IF(U$19&lt;=5,0,IF(U$19&lt;=10,Assumptions!$B$30,IF(U$19&lt;=15,Assumptions!$B$31,Assumptions!$B$32)))*$B$6*(1+Assumptions!$B$36)^(U$19-1)</f>
        <v>117222.4526</v>
      </c>
      <c r="V58" s="14">
        <f>IF(V$19&lt;=5,0,IF(V$19&lt;=10,Assumptions!$B$30,IF(V$19&lt;=15,Assumptions!$B$31,Assumptions!$B$32)))*$B$6*(1+Assumptions!$B$36)^(V$19-1)</f>
        <v>118394.6771</v>
      </c>
      <c r="W58" s="14">
        <f>SUM(C$58:V$58)</f>
        <v>1439686.943</v>
      </c>
    </row>
    <row r="59" ht="15.75" customHeight="1">
      <c r="A59" s="36" t="s">
        <v>144</v>
      </c>
      <c r="B59" s="36"/>
      <c r="C59" s="37">
        <f t="shared" ref="C59:V59" si="12">C$55+C$56+C$57+C$58</f>
        <v>498639.6</v>
      </c>
      <c r="D59" s="37">
        <f t="shared" si="12"/>
        <v>497001.1055</v>
      </c>
      <c r="E59" s="37">
        <f t="shared" si="12"/>
        <v>495269.0988</v>
      </c>
      <c r="F59" s="37">
        <f t="shared" si="12"/>
        <v>493441.8196</v>
      </c>
      <c r="G59" s="37">
        <f t="shared" si="12"/>
        <v>491517.4814</v>
      </c>
      <c r="H59" s="37">
        <f t="shared" si="12"/>
        <v>565166.9952</v>
      </c>
      <c r="I59" s="37">
        <f t="shared" si="12"/>
        <v>563799.8013</v>
      </c>
      <c r="J59" s="37">
        <f t="shared" si="12"/>
        <v>562337.5965</v>
      </c>
      <c r="K59" s="37">
        <f t="shared" si="12"/>
        <v>560778.5621</v>
      </c>
      <c r="L59" s="37">
        <f t="shared" si="12"/>
        <v>559120.8522</v>
      </c>
      <c r="M59" s="37">
        <f t="shared" si="12"/>
        <v>570618.0591</v>
      </c>
      <c r="N59" s="37">
        <f t="shared" si="12"/>
        <v>568889.905</v>
      </c>
      <c r="O59" s="37">
        <f t="shared" si="12"/>
        <v>567058.6971</v>
      </c>
      <c r="P59" s="37">
        <f t="shared" si="12"/>
        <v>565122.4904</v>
      </c>
      <c r="Q59" s="37">
        <f t="shared" si="12"/>
        <v>563079.3112</v>
      </c>
      <c r="R59" s="37">
        <f t="shared" si="12"/>
        <v>577180.722</v>
      </c>
      <c r="S59" s="37">
        <f t="shared" si="12"/>
        <v>575080.0949</v>
      </c>
      <c r="T59" s="37">
        <f t="shared" si="12"/>
        <v>572868.0226</v>
      </c>
      <c r="U59" s="37">
        <f t="shared" si="12"/>
        <v>570542.428</v>
      </c>
      <c r="V59" s="37">
        <f t="shared" si="12"/>
        <v>568101.2038</v>
      </c>
      <c r="W59" s="37">
        <f>SUM(C$59:V$59)</f>
        <v>10985613.85</v>
      </c>
    </row>
    <row r="60" ht="15.75" customHeight="1">
      <c r="A60" s="36" t="s">
        <v>145</v>
      </c>
      <c r="B60" s="36"/>
      <c r="C60" s="37">
        <f t="shared" ref="C60:V60" si="13">C$54-C$59</f>
        <v>2525372.137</v>
      </c>
      <c r="D60" s="37">
        <f t="shared" si="13"/>
        <v>2497596.446</v>
      </c>
      <c r="E60" s="37">
        <f t="shared" si="13"/>
        <v>2469948.819</v>
      </c>
      <c r="F60" s="37">
        <f t="shared" si="13"/>
        <v>2442430.843</v>
      </c>
      <c r="G60" s="37">
        <f t="shared" si="13"/>
        <v>2415044.134</v>
      </c>
      <c r="H60" s="37">
        <f t="shared" si="13"/>
        <v>2312117.608</v>
      </c>
      <c r="I60" s="37">
        <f t="shared" si="13"/>
        <v>2284241.655</v>
      </c>
      <c r="J60" s="37">
        <f t="shared" si="13"/>
        <v>2256494.41</v>
      </c>
      <c r="K60" s="37">
        <f t="shared" si="13"/>
        <v>2228877.522</v>
      </c>
      <c r="L60" s="37">
        <f t="shared" si="13"/>
        <v>2201392.67</v>
      </c>
      <c r="M60" s="37">
        <f t="shared" si="13"/>
        <v>2160786.095</v>
      </c>
      <c r="N60" s="37">
        <f t="shared" si="13"/>
        <v>2133437.908</v>
      </c>
      <c r="O60" s="37">
        <f t="shared" si="13"/>
        <v>2106225.637</v>
      </c>
      <c r="P60" s="37">
        <f t="shared" si="13"/>
        <v>2079151.063</v>
      </c>
      <c r="Q60" s="37">
        <f t="shared" si="13"/>
        <v>2052215.996</v>
      </c>
      <c r="R60" s="37">
        <f t="shared" si="13"/>
        <v>2009168.711</v>
      </c>
      <c r="S60" s="37">
        <f t="shared" si="13"/>
        <v>1982355.674</v>
      </c>
      <c r="T60" s="37">
        <f t="shared" si="13"/>
        <v>1955686.131</v>
      </c>
      <c r="U60" s="37">
        <f t="shared" si="13"/>
        <v>1929161.999</v>
      </c>
      <c r="V60" s="37">
        <f t="shared" si="13"/>
        <v>1902785.226</v>
      </c>
      <c r="W60" s="37">
        <f>SUM(C$60:V$60)</f>
        <v>43944490.68</v>
      </c>
    </row>
    <row r="61" ht="15.75" customHeight="1">
      <c r="A61" s="6" t="s">
        <v>146</v>
      </c>
      <c r="C61" s="14">
        <f t="shared" ref="C61:V61" si="14">$B$15</f>
        <v>617086.85</v>
      </c>
      <c r="D61" s="14">
        <f t="shared" si="14"/>
        <v>617086.85</v>
      </c>
      <c r="E61" s="14">
        <f t="shared" si="14"/>
        <v>617086.85</v>
      </c>
      <c r="F61" s="14">
        <f t="shared" si="14"/>
        <v>617086.85</v>
      </c>
      <c r="G61" s="14">
        <f t="shared" si="14"/>
        <v>617086.85</v>
      </c>
      <c r="H61" s="14">
        <f t="shared" si="14"/>
        <v>617086.85</v>
      </c>
      <c r="I61" s="14">
        <f t="shared" si="14"/>
        <v>617086.85</v>
      </c>
      <c r="J61" s="14">
        <f t="shared" si="14"/>
        <v>617086.85</v>
      </c>
      <c r="K61" s="14">
        <f t="shared" si="14"/>
        <v>617086.85</v>
      </c>
      <c r="L61" s="14">
        <f t="shared" si="14"/>
        <v>617086.85</v>
      </c>
      <c r="M61" s="14">
        <f t="shared" si="14"/>
        <v>617086.85</v>
      </c>
      <c r="N61" s="14">
        <f t="shared" si="14"/>
        <v>617086.85</v>
      </c>
      <c r="O61" s="14">
        <f t="shared" si="14"/>
        <v>617086.85</v>
      </c>
      <c r="P61" s="14">
        <f t="shared" si="14"/>
        <v>617086.85</v>
      </c>
      <c r="Q61" s="14">
        <f t="shared" si="14"/>
        <v>617086.85</v>
      </c>
      <c r="R61" s="14">
        <f t="shared" si="14"/>
        <v>617086.85</v>
      </c>
      <c r="S61" s="14">
        <f t="shared" si="14"/>
        <v>617086.85</v>
      </c>
      <c r="T61" s="14">
        <f t="shared" si="14"/>
        <v>617086.85</v>
      </c>
      <c r="U61" s="14">
        <f t="shared" si="14"/>
        <v>617086.85</v>
      </c>
      <c r="V61" s="14">
        <f t="shared" si="14"/>
        <v>617086.85</v>
      </c>
      <c r="W61" s="14">
        <f>SUM(C$61:V$61)</f>
        <v>12341737</v>
      </c>
    </row>
    <row r="62" ht="15.75" customHeight="1">
      <c r="A62" s="6" t="s">
        <v>147</v>
      </c>
      <c r="C62" s="14">
        <f>IF(C$19&lt;=Assumptions!$B$39,-IPMT(Assumptions!$B$38,C$19,Assumptions!$B$39,$B$13),0)</f>
        <v>187048.35</v>
      </c>
      <c r="D62" s="14">
        <f>IF(D$19&lt;=Assumptions!$B$39,-IPMT(Assumptions!$B$38,D$19,Assumptions!$B$39,$B$13),0)</f>
        <v>178380.1016</v>
      </c>
      <c r="E62" s="14">
        <f>IF(E$19&lt;=Assumptions!$B$39,-IPMT(Assumptions!$B$38,E$19,Assumptions!$B$39,$B$13),0)</f>
        <v>169278.4407</v>
      </c>
      <c r="F62" s="14">
        <f>IF(F$19&lt;=Assumptions!$B$39,-IPMT(Assumptions!$B$38,F$19,Assumptions!$B$39,$B$13),0)</f>
        <v>159721.6968</v>
      </c>
      <c r="G62" s="14">
        <f>IF(G$19&lt;=Assumptions!$B$39,-IPMT(Assumptions!$B$38,G$19,Assumptions!$B$39,$B$13),0)</f>
        <v>149687.1157</v>
      </c>
      <c r="H62" s="14">
        <f>IF(H$19&lt;=Assumptions!$B$39,-IPMT(Assumptions!$B$38,H$19,Assumptions!$B$39,$B$13),0)</f>
        <v>139150.8056</v>
      </c>
      <c r="I62" s="14">
        <f>IF(I$19&lt;=Assumptions!$B$39,-IPMT(Assumptions!$B$38,I$19,Assumptions!$B$39,$B$13),0)</f>
        <v>128087.6799</v>
      </c>
      <c r="J62" s="14">
        <f>IF(J$19&lt;=Assumptions!$B$39,-IPMT(Assumptions!$B$38,J$19,Assumptions!$B$39,$B$13),0)</f>
        <v>116471.398</v>
      </c>
      <c r="K62" s="14">
        <f>IF(K$19&lt;=Assumptions!$B$39,-IPMT(Assumptions!$B$38,K$19,Assumptions!$B$39,$B$13),0)</f>
        <v>104274.302</v>
      </c>
      <c r="L62" s="14">
        <f>IF(L$19&lt;=Assumptions!$B$39,-IPMT(Assumptions!$B$38,L$19,Assumptions!$B$39,$B$13),0)</f>
        <v>91467.35112</v>
      </c>
      <c r="M62" s="14">
        <f>IF(M$19&lt;=Assumptions!$B$39,-IPMT(Assumptions!$B$38,M$19,Assumptions!$B$39,$B$13),0)</f>
        <v>78020.05274</v>
      </c>
      <c r="N62" s="14">
        <f>IF(N$19&lt;=Assumptions!$B$39,-IPMT(Assumptions!$B$38,N$19,Assumptions!$B$39,$B$13),0)</f>
        <v>63900.38945</v>
      </c>
      <c r="O62" s="14">
        <f>IF(O$19&lt;=Assumptions!$B$39,-IPMT(Assumptions!$B$38,O$19,Assumptions!$B$39,$B$13),0)</f>
        <v>49074.74299</v>
      </c>
      <c r="P62" s="14">
        <f>IF(P$19&lt;=Assumptions!$B$39,-IPMT(Assumptions!$B$38,P$19,Assumptions!$B$39,$B$13),0)</f>
        <v>33507.81421</v>
      </c>
      <c r="Q62" s="14">
        <f>IF(Q$19&lt;=Assumptions!$B$39,-IPMT(Assumptions!$B$38,Q$19,Assumptions!$B$39,$B$13),0)</f>
        <v>17162.53898</v>
      </c>
      <c r="R62" s="14">
        <f>IF(R$19&lt;=Assumptions!$B$39,-IPMT(Assumptions!$B$38,R$19,Assumptions!$B$39,$B$13),0)</f>
        <v>0</v>
      </c>
      <c r="S62" s="14">
        <f>IF(S$19&lt;=Assumptions!$B$39,-IPMT(Assumptions!$B$38,S$19,Assumptions!$B$39,$B$13),0)</f>
        <v>0</v>
      </c>
      <c r="T62" s="14">
        <f>IF(T$19&lt;=Assumptions!$B$39,-IPMT(Assumptions!$B$38,T$19,Assumptions!$B$39,$B$13),0)</f>
        <v>0</v>
      </c>
      <c r="U62" s="14">
        <f>IF(U$19&lt;=Assumptions!$B$39,-IPMT(Assumptions!$B$38,U$19,Assumptions!$B$39,$B$13),0)</f>
        <v>0</v>
      </c>
      <c r="V62" s="14">
        <f>IF(V$19&lt;=Assumptions!$B$39,-IPMT(Assumptions!$B$38,V$19,Assumptions!$B$39,$B$13),0)</f>
        <v>0</v>
      </c>
      <c r="W62" s="14">
        <f>SUM(C$62:V$62)</f>
        <v>1665232.78</v>
      </c>
    </row>
    <row r="63" ht="15.75" customHeight="1">
      <c r="A63" s="6" t="s">
        <v>148</v>
      </c>
      <c r="C63" s="14">
        <f t="shared" ref="C63:V63" si="15">C$60-C$61-C$62</f>
        <v>1721236.937</v>
      </c>
      <c r="D63" s="14">
        <f t="shared" si="15"/>
        <v>1702129.495</v>
      </c>
      <c r="E63" s="14">
        <f t="shared" si="15"/>
        <v>1683583.528</v>
      </c>
      <c r="F63" s="14">
        <f t="shared" si="15"/>
        <v>1665622.297</v>
      </c>
      <c r="G63" s="14">
        <f t="shared" si="15"/>
        <v>1648270.168</v>
      </c>
      <c r="H63" s="14">
        <f t="shared" si="15"/>
        <v>1555879.952</v>
      </c>
      <c r="I63" s="14">
        <f t="shared" si="15"/>
        <v>1539067.125</v>
      </c>
      <c r="J63" s="14">
        <f t="shared" si="15"/>
        <v>1522936.162</v>
      </c>
      <c r="K63" s="14">
        <f t="shared" si="15"/>
        <v>1507516.37</v>
      </c>
      <c r="L63" s="14">
        <f t="shared" si="15"/>
        <v>1492838.469</v>
      </c>
      <c r="M63" s="14">
        <f t="shared" si="15"/>
        <v>1465679.192</v>
      </c>
      <c r="N63" s="14">
        <f t="shared" si="15"/>
        <v>1452450.668</v>
      </c>
      <c r="O63" s="14">
        <f t="shared" si="15"/>
        <v>1440064.044</v>
      </c>
      <c r="P63" s="14">
        <f t="shared" si="15"/>
        <v>1428556.399</v>
      </c>
      <c r="Q63" s="14">
        <f t="shared" si="15"/>
        <v>1417966.607</v>
      </c>
      <c r="R63" s="14">
        <f t="shared" si="15"/>
        <v>1392081.861</v>
      </c>
      <c r="S63" s="14">
        <f t="shared" si="15"/>
        <v>1365268.824</v>
      </c>
      <c r="T63" s="14">
        <f t="shared" si="15"/>
        <v>1338599.281</v>
      </c>
      <c r="U63" s="14">
        <f t="shared" si="15"/>
        <v>1312075.149</v>
      </c>
      <c r="V63" s="14">
        <f t="shared" si="15"/>
        <v>1285698.376</v>
      </c>
      <c r="W63" s="14">
        <f>SUM(C$63:V$63)</f>
        <v>29937520.9</v>
      </c>
    </row>
    <row r="64" ht="15.75" customHeight="1">
      <c r="A64" s="6" t="s">
        <v>149</v>
      </c>
      <c r="C64" s="14">
        <f>MAX(0,C$63*Assumptions!$B$35)</f>
        <v>215154.6171</v>
      </c>
      <c r="D64" s="14">
        <f>MAX(0,D$63*Assumptions!$B$35)</f>
        <v>212766.1868</v>
      </c>
      <c r="E64" s="14">
        <f>MAX(0,E$63*Assumptions!$B$35)</f>
        <v>210447.941</v>
      </c>
      <c r="F64" s="14">
        <f>MAX(0,F$63*Assumptions!$B$35)</f>
        <v>208202.7871</v>
      </c>
      <c r="G64" s="14">
        <f>MAX(0,G$63*Assumptions!$B$35)</f>
        <v>206033.771</v>
      </c>
      <c r="H64" s="14">
        <f>MAX(0,H$63*Assumptions!$B$35)</f>
        <v>194484.994</v>
      </c>
      <c r="I64" s="14">
        <f>MAX(0,I$63*Assumptions!$B$35)</f>
        <v>192383.3906</v>
      </c>
      <c r="J64" s="14">
        <f>MAX(0,J$63*Assumptions!$B$35)</f>
        <v>190367.0202</v>
      </c>
      <c r="K64" s="14">
        <f>MAX(0,K$63*Assumptions!$B$35)</f>
        <v>188439.5463</v>
      </c>
      <c r="L64" s="14">
        <f>MAX(0,L$63*Assumptions!$B$35)</f>
        <v>186604.8086</v>
      </c>
      <c r="M64" s="14">
        <f>MAX(0,M$63*Assumptions!$B$35)</f>
        <v>183209.899</v>
      </c>
      <c r="N64" s="14">
        <f>MAX(0,N$63*Assumptions!$B$35)</f>
        <v>181556.3335</v>
      </c>
      <c r="O64" s="14">
        <f>MAX(0,O$63*Assumptions!$B$35)</f>
        <v>180008.0055</v>
      </c>
      <c r="P64" s="14">
        <f>MAX(0,P$63*Assumptions!$B$35)</f>
        <v>178569.5498</v>
      </c>
      <c r="Q64" s="14">
        <f>MAX(0,Q$63*Assumptions!$B$35)</f>
        <v>177245.8259</v>
      </c>
      <c r="R64" s="14">
        <f>MAX(0,R$63*Assumptions!$B$35)</f>
        <v>174010.2326</v>
      </c>
      <c r="S64" s="14">
        <f>MAX(0,S$63*Assumptions!$B$35)</f>
        <v>170658.603</v>
      </c>
      <c r="T64" s="14">
        <f>MAX(0,T$63*Assumptions!$B$35)</f>
        <v>167324.9101</v>
      </c>
      <c r="U64" s="14">
        <f>MAX(0,U$63*Assumptions!$B$35)</f>
        <v>164009.3936</v>
      </c>
      <c r="V64" s="14">
        <f>MAX(0,V$63*Assumptions!$B$35)</f>
        <v>160712.297</v>
      </c>
      <c r="W64" s="14">
        <f>SUM(C$64:V$64)</f>
        <v>3742190.113</v>
      </c>
    </row>
    <row r="65" ht="15.75" customHeight="1">
      <c r="A65" s="36" t="s">
        <v>150</v>
      </c>
      <c r="B65" s="36"/>
      <c r="C65" s="37">
        <f t="shared" ref="C65:V65" si="16">C$63-C$64</f>
        <v>1506082.32</v>
      </c>
      <c r="D65" s="37">
        <f t="shared" si="16"/>
        <v>1489363.308</v>
      </c>
      <c r="E65" s="37">
        <f t="shared" si="16"/>
        <v>1473135.587</v>
      </c>
      <c r="F65" s="37">
        <f t="shared" si="16"/>
        <v>1457419.51</v>
      </c>
      <c r="G65" s="37">
        <f t="shared" si="16"/>
        <v>1442236.397</v>
      </c>
      <c r="H65" s="37">
        <f t="shared" si="16"/>
        <v>1361394.958</v>
      </c>
      <c r="I65" s="37">
        <f t="shared" si="16"/>
        <v>1346683.734</v>
      </c>
      <c r="J65" s="37">
        <f t="shared" si="16"/>
        <v>1332569.142</v>
      </c>
      <c r="K65" s="37">
        <f t="shared" si="16"/>
        <v>1319076.824</v>
      </c>
      <c r="L65" s="37">
        <f t="shared" si="16"/>
        <v>1306233.66</v>
      </c>
      <c r="M65" s="37">
        <f t="shared" si="16"/>
        <v>1282469.293</v>
      </c>
      <c r="N65" s="37">
        <f t="shared" si="16"/>
        <v>1270894.335</v>
      </c>
      <c r="O65" s="37">
        <f t="shared" si="16"/>
        <v>1260056.038</v>
      </c>
      <c r="P65" s="37">
        <f t="shared" si="16"/>
        <v>1249986.849</v>
      </c>
      <c r="Q65" s="37">
        <f t="shared" si="16"/>
        <v>1240720.781</v>
      </c>
      <c r="R65" s="37">
        <f t="shared" si="16"/>
        <v>1218071.628</v>
      </c>
      <c r="S65" s="37">
        <f t="shared" si="16"/>
        <v>1194610.221</v>
      </c>
      <c r="T65" s="37">
        <f t="shared" si="16"/>
        <v>1171274.371</v>
      </c>
      <c r="U65" s="37">
        <f t="shared" si="16"/>
        <v>1148065.755</v>
      </c>
      <c r="V65" s="37">
        <f t="shared" si="16"/>
        <v>1124986.079</v>
      </c>
      <c r="W65" s="37">
        <f>SUM(C$65:V$65)</f>
        <v>26195330.79</v>
      </c>
    </row>
    <row r="66" ht="15.75" customHeight="1">
      <c r="A66" s="6" t="s">
        <v>151</v>
      </c>
      <c r="C66" s="14">
        <f>IF(C$19&lt;=Assumptions!$B$39,$B$14,0)</f>
        <v>360413.3187</v>
      </c>
      <c r="D66" s="14">
        <f>IF(D$19&lt;=Assumptions!$B$39,$B$14,0)</f>
        <v>360413.3187</v>
      </c>
      <c r="E66" s="14">
        <f>IF(E$19&lt;=Assumptions!$B$39,$B$14,0)</f>
        <v>360413.3187</v>
      </c>
      <c r="F66" s="14">
        <f>IF(F$19&lt;=Assumptions!$B$39,$B$14,0)</f>
        <v>360413.3187</v>
      </c>
      <c r="G66" s="14">
        <f>IF(G$19&lt;=Assumptions!$B$39,$B$14,0)</f>
        <v>360413.3187</v>
      </c>
      <c r="H66" s="14">
        <f>IF(H$19&lt;=Assumptions!$B$39,$B$14,0)</f>
        <v>360413.3187</v>
      </c>
      <c r="I66" s="14">
        <f>IF(I$19&lt;=Assumptions!$B$39,$B$14,0)</f>
        <v>360413.3187</v>
      </c>
      <c r="J66" s="14">
        <f>IF(J$19&lt;=Assumptions!$B$39,$B$14,0)</f>
        <v>360413.3187</v>
      </c>
      <c r="K66" s="14">
        <f>IF(K$19&lt;=Assumptions!$B$39,$B$14,0)</f>
        <v>360413.3187</v>
      </c>
      <c r="L66" s="14">
        <f>IF(L$19&lt;=Assumptions!$B$39,$B$14,0)</f>
        <v>360413.3187</v>
      </c>
      <c r="M66" s="14">
        <f>IF(M$19&lt;=Assumptions!$B$39,$B$14,0)</f>
        <v>360413.3187</v>
      </c>
      <c r="N66" s="14">
        <f>IF(N$19&lt;=Assumptions!$B$39,$B$14,0)</f>
        <v>360413.3187</v>
      </c>
      <c r="O66" s="14">
        <f>IF(O$19&lt;=Assumptions!$B$39,$B$14,0)</f>
        <v>360413.3187</v>
      </c>
      <c r="P66" s="14">
        <f>IF(P$19&lt;=Assumptions!$B$39,$B$14,0)</f>
        <v>360413.3187</v>
      </c>
      <c r="Q66" s="14">
        <f>IF(Q$19&lt;=Assumptions!$B$39,$B$14,0)</f>
        <v>360413.3187</v>
      </c>
      <c r="R66" s="14">
        <f>IF(R$19&lt;=Assumptions!$B$39,$B$14,0)</f>
        <v>0</v>
      </c>
      <c r="S66" s="14">
        <f>IF(S$19&lt;=Assumptions!$B$39,$B$14,0)</f>
        <v>0</v>
      </c>
      <c r="T66" s="14">
        <f>IF(T$19&lt;=Assumptions!$B$39,$B$14,0)</f>
        <v>0</v>
      </c>
      <c r="U66" s="14">
        <f>IF(U$19&lt;=Assumptions!$B$39,$B$14,0)</f>
        <v>0</v>
      </c>
      <c r="V66" s="14">
        <f>IF(V$19&lt;=Assumptions!$B$39,$B$14,0)</f>
        <v>0</v>
      </c>
      <c r="W66" s="14">
        <f>SUM(C$66:V$66)</f>
        <v>5406199.78</v>
      </c>
    </row>
    <row r="67" ht="15.75" customHeight="1">
      <c r="A67" s="36" t="s">
        <v>152</v>
      </c>
      <c r="B67" s="36"/>
      <c r="C67" s="37">
        <f t="shared" ref="C67:V67" si="17">C$60-C$66-C$64</f>
        <v>1949804.201</v>
      </c>
      <c r="D67" s="37">
        <f t="shared" si="17"/>
        <v>1924416.941</v>
      </c>
      <c r="E67" s="37">
        <f t="shared" si="17"/>
        <v>1899087.559</v>
      </c>
      <c r="F67" s="37">
        <f t="shared" si="17"/>
        <v>1873814.738</v>
      </c>
      <c r="G67" s="37">
        <f t="shared" si="17"/>
        <v>1848597.044</v>
      </c>
      <c r="H67" s="37">
        <f t="shared" si="17"/>
        <v>1757219.295</v>
      </c>
      <c r="I67" s="37">
        <f t="shared" si="17"/>
        <v>1731444.946</v>
      </c>
      <c r="J67" s="37">
        <f t="shared" si="17"/>
        <v>1705714.071</v>
      </c>
      <c r="K67" s="37">
        <f t="shared" si="17"/>
        <v>1680024.657</v>
      </c>
      <c r="L67" s="37">
        <f t="shared" si="17"/>
        <v>1654374.543</v>
      </c>
      <c r="M67" s="37">
        <f t="shared" si="17"/>
        <v>1617162.877</v>
      </c>
      <c r="N67" s="37">
        <f t="shared" si="17"/>
        <v>1591468.255</v>
      </c>
      <c r="O67" s="37">
        <f t="shared" si="17"/>
        <v>1565804.313</v>
      </c>
      <c r="P67" s="37">
        <f t="shared" si="17"/>
        <v>1540168.194</v>
      </c>
      <c r="Q67" s="37">
        <f t="shared" si="17"/>
        <v>1514556.852</v>
      </c>
      <c r="R67" s="37">
        <f t="shared" si="17"/>
        <v>1835158.478</v>
      </c>
      <c r="S67" s="37">
        <f t="shared" si="17"/>
        <v>1811697.071</v>
      </c>
      <c r="T67" s="37">
        <f t="shared" si="17"/>
        <v>1788361.221</v>
      </c>
      <c r="U67" s="37">
        <f t="shared" si="17"/>
        <v>1765152.605</v>
      </c>
      <c r="V67" s="37">
        <f t="shared" si="17"/>
        <v>1742072.929</v>
      </c>
      <c r="W67" s="37">
        <f>SUM(C$67:V$67)</f>
        <v>34796100.79</v>
      </c>
    </row>
    <row r="68" ht="15.75" customHeight="1">
      <c r="A68" s="6" t="s">
        <v>153</v>
      </c>
      <c r="C68" s="14">
        <f>C$67</f>
        <v>1949804.201</v>
      </c>
      <c r="D68" s="14">
        <f t="shared" ref="D68:V68" si="18">C$68+D$67</f>
        <v>3874221.142</v>
      </c>
      <c r="E68" s="14">
        <f t="shared" si="18"/>
        <v>5773308.701</v>
      </c>
      <c r="F68" s="14">
        <f t="shared" si="18"/>
        <v>7647123.439</v>
      </c>
      <c r="G68" s="14">
        <f t="shared" si="18"/>
        <v>9495720.483</v>
      </c>
      <c r="H68" s="14">
        <f t="shared" si="18"/>
        <v>11252939.78</v>
      </c>
      <c r="I68" s="14">
        <f t="shared" si="18"/>
        <v>12984384.72</v>
      </c>
      <c r="J68" s="14">
        <f t="shared" si="18"/>
        <v>14690098.79</v>
      </c>
      <c r="K68" s="14">
        <f t="shared" si="18"/>
        <v>16370123.45</v>
      </c>
      <c r="L68" s="14">
        <f t="shared" si="18"/>
        <v>18024497.99</v>
      </c>
      <c r="M68" s="14">
        <f t="shared" si="18"/>
        <v>19641660.87</v>
      </c>
      <c r="N68" s="14">
        <f t="shared" si="18"/>
        <v>21233129.13</v>
      </c>
      <c r="O68" s="14">
        <f t="shared" si="18"/>
        <v>22798933.44</v>
      </c>
      <c r="P68" s="14">
        <f t="shared" si="18"/>
        <v>24339101.63</v>
      </c>
      <c r="Q68" s="14">
        <f t="shared" si="18"/>
        <v>25853658.49</v>
      </c>
      <c r="R68" s="14">
        <f t="shared" si="18"/>
        <v>27688816.96</v>
      </c>
      <c r="S68" s="14">
        <f t="shared" si="18"/>
        <v>29500514.03</v>
      </c>
      <c r="T68" s="14">
        <f t="shared" si="18"/>
        <v>31288875.26</v>
      </c>
      <c r="U68" s="14">
        <f t="shared" si="18"/>
        <v>33054027.86</v>
      </c>
      <c r="V68" s="14">
        <f t="shared" si="18"/>
        <v>34796100.79</v>
      </c>
      <c r="W68" s="14">
        <f>V$68</f>
        <v>34796100.79</v>
      </c>
    </row>
    <row r="69" ht="15.75" customHeight="1">
      <c r="A69" s="6" t="s">
        <v>154</v>
      </c>
      <c r="C69" s="35">
        <f t="shared" ref="C69:V69" si="19">IF(C$66&gt;0,C$60/C$66,"N/A")</f>
        <v>7.006877954</v>
      </c>
      <c r="D69" s="35">
        <f t="shared" si="19"/>
        <v>6.929811738</v>
      </c>
      <c r="E69" s="35">
        <f t="shared" si="19"/>
        <v>6.853100846</v>
      </c>
      <c r="F69" s="35">
        <f t="shared" si="19"/>
        <v>6.776749684</v>
      </c>
      <c r="G69" s="35">
        <f t="shared" si="19"/>
        <v>6.700762731</v>
      </c>
      <c r="H69" s="35">
        <f t="shared" si="19"/>
        <v>6.41518359</v>
      </c>
      <c r="I69" s="35">
        <f t="shared" si="19"/>
        <v>6.337839189</v>
      </c>
      <c r="J69" s="35">
        <f t="shared" si="19"/>
        <v>6.260851897</v>
      </c>
      <c r="K69" s="35">
        <f t="shared" si="19"/>
        <v>6.184226294</v>
      </c>
      <c r="L69" s="35">
        <f t="shared" si="19"/>
        <v>6.107967037</v>
      </c>
      <c r="M69" s="35">
        <f t="shared" si="19"/>
        <v>5.995300348</v>
      </c>
      <c r="N69" s="35">
        <f t="shared" si="19"/>
        <v>5.91942028</v>
      </c>
      <c r="O69" s="35">
        <f t="shared" si="19"/>
        <v>5.843917325</v>
      </c>
      <c r="P69" s="35">
        <f t="shared" si="19"/>
        <v>5.768796422</v>
      </c>
      <c r="Q69" s="35">
        <f t="shared" si="19"/>
        <v>5.694062594</v>
      </c>
      <c r="R69" s="35" t="str">
        <f t="shared" si="19"/>
        <v>N/A</v>
      </c>
      <c r="S69" s="35" t="str">
        <f t="shared" si="19"/>
        <v>N/A</v>
      </c>
      <c r="T69" s="35" t="str">
        <f t="shared" si="19"/>
        <v>N/A</v>
      </c>
      <c r="U69" s="35" t="str">
        <f t="shared" si="19"/>
        <v>N/A</v>
      </c>
      <c r="V69" s="35" t="str">
        <f t="shared" si="19"/>
        <v>N/A</v>
      </c>
      <c r="W69" s="35">
        <f>AVERAGE(C$69:Q$69)</f>
        <v>6.319657862</v>
      </c>
    </row>
    <row r="70" ht="15.75" customHeight="1"/>
    <row r="71" ht="15.75" customHeight="1">
      <c r="A71" s="31" t="s">
        <v>156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</row>
    <row r="72" ht="15.75" customHeight="1">
      <c r="A72" s="6" t="s">
        <v>136</v>
      </c>
      <c r="C72" s="14">
        <f>C$22*Assumptions!$B$14</f>
        <v>1365000</v>
      </c>
      <c r="D72" s="14">
        <f>D$22*Assumptions!$B$14</f>
        <v>1358175</v>
      </c>
      <c r="E72" s="14">
        <f>E$22*Assumptions!$B$14</f>
        <v>1351384.125</v>
      </c>
      <c r="F72" s="14">
        <f>F$22*Assumptions!$B$14</f>
        <v>1344627.204</v>
      </c>
      <c r="G72" s="14">
        <f>G$22*Assumptions!$B$14</f>
        <v>1337904.068</v>
      </c>
      <c r="H72" s="14">
        <f>H$22*Assumptions!$B$14</f>
        <v>1331214.548</v>
      </c>
      <c r="I72" s="14">
        <f>I$22*Assumptions!$B$14</f>
        <v>1324558.475</v>
      </c>
      <c r="J72" s="14">
        <f>J$22*Assumptions!$B$14</f>
        <v>1317935.683</v>
      </c>
      <c r="K72" s="14">
        <f>K$22*Assumptions!$B$14</f>
        <v>1311346.004</v>
      </c>
      <c r="L72" s="14">
        <f>L$22*Assumptions!$B$14</f>
        <v>1304789.274</v>
      </c>
      <c r="M72" s="14">
        <f>M$22*Assumptions!$B$14</f>
        <v>1298265.328</v>
      </c>
      <c r="N72" s="14">
        <f>N$22*Assumptions!$B$14</f>
        <v>1291774.001</v>
      </c>
      <c r="O72" s="14">
        <f>O$22*Assumptions!$B$14</f>
        <v>1285315.131</v>
      </c>
      <c r="P72" s="14">
        <f>P$22*Assumptions!$B$14</f>
        <v>1278888.556</v>
      </c>
      <c r="Q72" s="14">
        <f>Q$22*Assumptions!$B$14</f>
        <v>1272494.113</v>
      </c>
      <c r="R72" s="14">
        <f>R$22*Assumptions!$B$14</f>
        <v>1266131.642</v>
      </c>
      <c r="S72" s="14">
        <f>S$22*Assumptions!$B$14</f>
        <v>1259800.984</v>
      </c>
      <c r="T72" s="14">
        <f>T$22*Assumptions!$B$14</f>
        <v>1253501.979</v>
      </c>
      <c r="U72" s="14">
        <f>U$22*Assumptions!$B$14</f>
        <v>1247234.469</v>
      </c>
      <c r="V72" s="14">
        <f>V$22*Assumptions!$B$14</f>
        <v>1240998.297</v>
      </c>
      <c r="W72" s="14">
        <f>SUM(C$72:V$72)</f>
        <v>26041338.89</v>
      </c>
    </row>
    <row r="73" ht="15.75" customHeight="1">
      <c r="A73" s="6" t="s">
        <v>137</v>
      </c>
      <c r="C73" s="14">
        <f>C$21*Assumptions!$B$15</f>
        <v>17062.5</v>
      </c>
      <c r="D73" s="14">
        <f>D$21*Assumptions!$B$15</f>
        <v>16977.1875</v>
      </c>
      <c r="E73" s="14">
        <f>E$21*Assumptions!$B$15</f>
        <v>16892.30156</v>
      </c>
      <c r="F73" s="14">
        <f>F$21*Assumptions!$B$15</f>
        <v>16807.84005</v>
      </c>
      <c r="G73" s="14">
        <f>G$21*Assumptions!$B$15</f>
        <v>16723.80085</v>
      </c>
      <c r="H73" s="14">
        <f>H$21*Assumptions!$B$15</f>
        <v>16640.18185</v>
      </c>
      <c r="I73" s="14">
        <f>I$21*Assumptions!$B$15</f>
        <v>16556.98094</v>
      </c>
      <c r="J73" s="14">
        <f>J$21*Assumptions!$B$15</f>
        <v>16474.19604</v>
      </c>
      <c r="K73" s="14">
        <f>K$21*Assumptions!$B$15</f>
        <v>16391.82506</v>
      </c>
      <c r="L73" s="14">
        <f>L$21*Assumptions!$B$15</f>
        <v>16309.86593</v>
      </c>
      <c r="M73" s="14">
        <f>M$21*Assumptions!$B$15</f>
        <v>16228.3166</v>
      </c>
      <c r="N73" s="14">
        <f>N$21*Assumptions!$B$15</f>
        <v>16147.17502</v>
      </c>
      <c r="O73" s="14">
        <f>O$21*Assumptions!$B$15</f>
        <v>16066.43914</v>
      </c>
      <c r="P73" s="14">
        <f>P$21*Assumptions!$B$15</f>
        <v>15986.10695</v>
      </c>
      <c r="Q73" s="14">
        <f>Q$21*Assumptions!$B$15</f>
        <v>15906.17641</v>
      </c>
      <c r="R73" s="14">
        <f>R$21*Assumptions!$B$15</f>
        <v>15826.64553</v>
      </c>
      <c r="S73" s="14">
        <f>S$21*Assumptions!$B$15</f>
        <v>15747.5123</v>
      </c>
      <c r="T73" s="14">
        <f>T$21*Assumptions!$B$15</f>
        <v>15668.77474</v>
      </c>
      <c r="U73" s="14">
        <f>U$21*Assumptions!$B$15</f>
        <v>15590.43087</v>
      </c>
      <c r="V73" s="14">
        <f>V$21*Assumptions!$B$15</f>
        <v>15512.47871</v>
      </c>
      <c r="W73" s="14">
        <f>SUM(C$73:V$73)</f>
        <v>325516.7361</v>
      </c>
    </row>
    <row r="74" ht="15.75" customHeight="1">
      <c r="A74" s="6" t="s">
        <v>138</v>
      </c>
      <c r="C74" s="14">
        <f>C$25*Assumptions!$B$44</f>
        <v>1915607.443</v>
      </c>
      <c r="D74" s="14">
        <f>D$25*Assumptions!$B$44</f>
        <v>1889352.925</v>
      </c>
      <c r="E74" s="14">
        <f>E$25*Assumptions!$B$44</f>
        <v>1863098.407</v>
      </c>
      <c r="F74" s="14">
        <f>F$25*Assumptions!$B$44</f>
        <v>1836843.888</v>
      </c>
      <c r="G74" s="14">
        <f>G$25*Assumptions!$B$44</f>
        <v>1810589.37</v>
      </c>
      <c r="H74" s="14">
        <f>H$25*Assumptions!$B$44</f>
        <v>1784334.852</v>
      </c>
      <c r="I74" s="14">
        <f>I$25*Assumptions!$B$44</f>
        <v>1758080.334</v>
      </c>
      <c r="J74" s="14">
        <f>J$25*Assumptions!$B$44</f>
        <v>1731825.815</v>
      </c>
      <c r="K74" s="14">
        <f>K$25*Assumptions!$B$44</f>
        <v>1705571.297</v>
      </c>
      <c r="L74" s="14">
        <f>L$25*Assumptions!$B$44</f>
        <v>1679316.779</v>
      </c>
      <c r="M74" s="14">
        <f>M$25*Assumptions!$B$44</f>
        <v>1653062.261</v>
      </c>
      <c r="N74" s="14">
        <f>N$25*Assumptions!$B$44</f>
        <v>1626807.742</v>
      </c>
      <c r="O74" s="14">
        <f>O$25*Assumptions!$B$44</f>
        <v>1600553.224</v>
      </c>
      <c r="P74" s="14">
        <f>P$25*Assumptions!$B$44</f>
        <v>1574298.706</v>
      </c>
      <c r="Q74" s="14">
        <f>Q$25*Assumptions!$B$44</f>
        <v>1548044.187</v>
      </c>
      <c r="R74" s="14">
        <f>R$25*Assumptions!$B$44</f>
        <v>1521789.669</v>
      </c>
      <c r="S74" s="14">
        <f>S$25*Assumptions!$B$44</f>
        <v>1495535.151</v>
      </c>
      <c r="T74" s="14">
        <f>T$25*Assumptions!$B$44</f>
        <v>1469280.633</v>
      </c>
      <c r="U74" s="14">
        <f>U$25*Assumptions!$B$44</f>
        <v>1443026.114</v>
      </c>
      <c r="V74" s="14">
        <f>V$25*Assumptions!$B$44</f>
        <v>1416771.596</v>
      </c>
      <c r="W74" s="14">
        <f>SUM(C$74:V$74)</f>
        <v>33323790.39</v>
      </c>
    </row>
    <row r="75" ht="15.75" customHeight="1">
      <c r="A75" s="15" t="s">
        <v>139</v>
      </c>
      <c r="B75" s="15"/>
      <c r="C75" s="17">
        <f t="shared" ref="C75:V75" si="20">C$72+C$73+C$74</f>
        <v>3297669.943</v>
      </c>
      <c r="D75" s="17">
        <f t="shared" si="20"/>
        <v>3264505.112</v>
      </c>
      <c r="E75" s="17">
        <f t="shared" si="20"/>
        <v>3231374.833</v>
      </c>
      <c r="F75" s="17">
        <f t="shared" si="20"/>
        <v>3198278.933</v>
      </c>
      <c r="G75" s="17">
        <f t="shared" si="20"/>
        <v>3165217.239</v>
      </c>
      <c r="H75" s="17">
        <f t="shared" si="20"/>
        <v>3132189.582</v>
      </c>
      <c r="I75" s="17">
        <f t="shared" si="20"/>
        <v>3099195.79</v>
      </c>
      <c r="J75" s="17">
        <f t="shared" si="20"/>
        <v>3066235.694</v>
      </c>
      <c r="K75" s="17">
        <f t="shared" si="20"/>
        <v>3033309.127</v>
      </c>
      <c r="L75" s="17">
        <f t="shared" si="20"/>
        <v>3000415.919</v>
      </c>
      <c r="M75" s="17">
        <f t="shared" si="20"/>
        <v>2967555.905</v>
      </c>
      <c r="N75" s="17">
        <f t="shared" si="20"/>
        <v>2934728.919</v>
      </c>
      <c r="O75" s="17">
        <f t="shared" si="20"/>
        <v>2901934.795</v>
      </c>
      <c r="P75" s="17">
        <f t="shared" si="20"/>
        <v>2869173.368</v>
      </c>
      <c r="Q75" s="17">
        <f t="shared" si="20"/>
        <v>2836444.477</v>
      </c>
      <c r="R75" s="17">
        <f t="shared" si="20"/>
        <v>2803747.957</v>
      </c>
      <c r="S75" s="17">
        <f t="shared" si="20"/>
        <v>2771083.647</v>
      </c>
      <c r="T75" s="17">
        <f t="shared" si="20"/>
        <v>2738451.387</v>
      </c>
      <c r="U75" s="17">
        <f t="shared" si="20"/>
        <v>2705851.015</v>
      </c>
      <c r="V75" s="17">
        <f t="shared" si="20"/>
        <v>2673282.372</v>
      </c>
      <c r="W75" s="17">
        <f>SUM(C$75:V$75)</f>
        <v>59690646.01</v>
      </c>
    </row>
    <row r="76" ht="15.75" customHeight="1">
      <c r="A76" s="6" t="s">
        <v>140</v>
      </c>
      <c r="C76" s="14">
        <f>C$27*Assumptions!$B$25*(1+Assumptions!$B$36)^(C$19-1)</f>
        <v>207639.6</v>
      </c>
      <c r="D76" s="14">
        <f>D$27*Assumptions!$B$25*(1+Assumptions!$B$36)^(D$19-1)</f>
        <v>203091.1055</v>
      </c>
      <c r="E76" s="14">
        <f>E$27*Assumptions!$B$25*(1+Assumptions!$B$36)^(E$19-1)</f>
        <v>198419.9988</v>
      </c>
      <c r="F76" s="14">
        <f>F$27*Assumptions!$B$25*(1+Assumptions!$B$36)^(F$19-1)</f>
        <v>193624.2286</v>
      </c>
      <c r="G76" s="14">
        <f>G$27*Assumptions!$B$25*(1+Assumptions!$B$36)^(G$19-1)</f>
        <v>188701.7145</v>
      </c>
      <c r="H76" s="14">
        <f>H$27*Assumptions!$B$25*(1+Assumptions!$B$36)^(H$19-1)</f>
        <v>183650.3471</v>
      </c>
      <c r="I76" s="14">
        <f>I$27*Assumptions!$B$25*(1+Assumptions!$B$36)^(I$19-1)</f>
        <v>178467.9867</v>
      </c>
      <c r="J76" s="14">
        <f>J$27*Assumptions!$B$25*(1+Assumptions!$B$36)^(J$19-1)</f>
        <v>173152.4637</v>
      </c>
      <c r="K76" s="14">
        <f>K$27*Assumptions!$B$25*(1+Assumptions!$B$36)^(K$19-1)</f>
        <v>167701.5779</v>
      </c>
      <c r="L76" s="14">
        <f>L$27*Assumptions!$B$25*(1+Assumptions!$B$36)^(L$19-1)</f>
        <v>162113.0982</v>
      </c>
      <c r="M76" s="14">
        <f>M$27*Assumptions!$B$25*(1+Assumptions!$B$36)^(M$19-1)</f>
        <v>156384.762</v>
      </c>
      <c r="N76" s="14">
        <f>N$27*Assumptions!$B$25*(1+Assumptions!$B$36)^(N$19-1)</f>
        <v>150514.275</v>
      </c>
      <c r="O76" s="14">
        <f>O$27*Assumptions!$B$25*(1+Assumptions!$B$36)^(O$19-1)</f>
        <v>144499.3108</v>
      </c>
      <c r="P76" s="14">
        <f>P$27*Assumptions!$B$25*(1+Assumptions!$B$36)^(P$19-1)</f>
        <v>138337.5102</v>
      </c>
      <c r="Q76" s="14">
        <f>Q$27*Assumptions!$B$25*(1+Assumptions!$B$36)^(Q$19-1)</f>
        <v>132026.4812</v>
      </c>
      <c r="R76" s="14">
        <f>R$27*Assumptions!$B$25*(1+Assumptions!$B$36)^(R$19-1)</f>
        <v>125563.7983</v>
      </c>
      <c r="S76" s="14">
        <f>S$27*Assumptions!$B$25*(1+Assumptions!$B$36)^(S$19-1)</f>
        <v>118947.0021</v>
      </c>
      <c r="T76" s="14">
        <f>T$27*Assumptions!$B$25*(1+Assumptions!$B$36)^(T$19-1)</f>
        <v>112173.5988</v>
      </c>
      <c r="U76" s="14">
        <f>U$27*Assumptions!$B$25*(1+Assumptions!$B$36)^(U$19-1)</f>
        <v>105241.06</v>
      </c>
      <c r="V76" s="14">
        <f>V$27*Assumptions!$B$25*(1+Assumptions!$B$36)^(V$19-1)</f>
        <v>98146.82208</v>
      </c>
      <c r="W76" s="14">
        <f>SUM(C$76:V$76)</f>
        <v>3138396.742</v>
      </c>
    </row>
    <row r="77" ht="15.75" customHeight="1">
      <c r="A77" s="6" t="s">
        <v>141</v>
      </c>
      <c r="C77" s="14">
        <f>$B$5*Assumptions!$B$16*(1+Assumptions!$B$36)^(C$19-1)</f>
        <v>150000</v>
      </c>
      <c r="D77" s="14">
        <f>$B$5*Assumptions!$B$16*(1+Assumptions!$B$36)^(D$19-1)</f>
        <v>151500</v>
      </c>
      <c r="E77" s="14">
        <f>$B$5*Assumptions!$B$16*(1+Assumptions!$B$36)^(E$19-1)</f>
        <v>153015</v>
      </c>
      <c r="F77" s="14">
        <f>$B$5*Assumptions!$B$16*(1+Assumptions!$B$36)^(F$19-1)</f>
        <v>154545.15</v>
      </c>
      <c r="G77" s="14">
        <f>$B$5*Assumptions!$B$16*(1+Assumptions!$B$36)^(G$19-1)</f>
        <v>156090.6015</v>
      </c>
      <c r="H77" s="14">
        <f>$B$5*Assumptions!$B$16*(1+Assumptions!$B$36)^(H$19-1)</f>
        <v>157651.5075</v>
      </c>
      <c r="I77" s="14">
        <f>$B$5*Assumptions!$B$16*(1+Assumptions!$B$36)^(I$19-1)</f>
        <v>159228.0226</v>
      </c>
      <c r="J77" s="14">
        <f>$B$5*Assumptions!$B$16*(1+Assumptions!$B$36)^(J$19-1)</f>
        <v>160820.3028</v>
      </c>
      <c r="K77" s="14">
        <f>$B$5*Assumptions!$B$16*(1+Assumptions!$B$36)^(K$19-1)</f>
        <v>162428.5058</v>
      </c>
      <c r="L77" s="14">
        <f>$B$5*Assumptions!$B$16*(1+Assumptions!$B$36)^(L$19-1)</f>
        <v>164052.7909</v>
      </c>
      <c r="M77" s="14">
        <f>$B$5*Assumptions!$B$16*(1+Assumptions!$B$36)^(M$19-1)</f>
        <v>165693.3188</v>
      </c>
      <c r="N77" s="14">
        <f>$B$5*Assumptions!$B$16*(1+Assumptions!$B$36)^(N$19-1)</f>
        <v>167350.252</v>
      </c>
      <c r="O77" s="14">
        <f>$B$5*Assumptions!$B$16*(1+Assumptions!$B$36)^(O$19-1)</f>
        <v>169023.7545</v>
      </c>
      <c r="P77" s="14">
        <f>$B$5*Assumptions!$B$16*(1+Assumptions!$B$36)^(P$19-1)</f>
        <v>170713.9921</v>
      </c>
      <c r="Q77" s="14">
        <f>$B$5*Assumptions!$B$16*(1+Assumptions!$B$36)^(Q$19-1)</f>
        <v>172421.132</v>
      </c>
      <c r="R77" s="14">
        <f>$B$5*Assumptions!$B$16*(1+Assumptions!$B$36)^(R$19-1)</f>
        <v>174145.3433</v>
      </c>
      <c r="S77" s="14">
        <f>$B$5*Assumptions!$B$16*(1+Assumptions!$B$36)^(S$19-1)</f>
        <v>175886.7967</v>
      </c>
      <c r="T77" s="14">
        <f>$B$5*Assumptions!$B$16*(1+Assumptions!$B$36)^(T$19-1)</f>
        <v>177645.6647</v>
      </c>
      <c r="U77" s="14">
        <f>$B$5*Assumptions!$B$16*(1+Assumptions!$B$36)^(U$19-1)</f>
        <v>179422.1214</v>
      </c>
      <c r="V77" s="14">
        <f>$B$5*Assumptions!$B$16*(1+Assumptions!$B$36)^(V$19-1)</f>
        <v>181216.3426</v>
      </c>
      <c r="W77" s="14">
        <f>SUM(C$77:V$77)</f>
        <v>3302850.599</v>
      </c>
    </row>
    <row r="78" ht="15.75" customHeight="1">
      <c r="A78" s="6" t="s">
        <v>142</v>
      </c>
      <c r="C78" s="14">
        <f>($B$6*Assumptions!$B$26+$B$6*Assumptions!$B$27+$B$7*Assumptions!$B$28+Assumptions!$B$29)*(1+Assumptions!$B$36)^(C$19-1)</f>
        <v>141000</v>
      </c>
      <c r="D78" s="14">
        <f>($B$6*Assumptions!$B$26+$B$6*Assumptions!$B$27+$B$7*Assumptions!$B$28+Assumptions!$B$29)*(1+Assumptions!$B$36)^(D$19-1)</f>
        <v>142410</v>
      </c>
      <c r="E78" s="14">
        <f>($B$6*Assumptions!$B$26+$B$6*Assumptions!$B$27+$B$7*Assumptions!$B$28+Assumptions!$B$29)*(1+Assumptions!$B$36)^(E$19-1)</f>
        <v>143834.1</v>
      </c>
      <c r="F78" s="14">
        <f>($B$6*Assumptions!$B$26+$B$6*Assumptions!$B$27+$B$7*Assumptions!$B$28+Assumptions!$B$29)*(1+Assumptions!$B$36)^(F$19-1)</f>
        <v>145272.441</v>
      </c>
      <c r="G78" s="14">
        <f>($B$6*Assumptions!$B$26+$B$6*Assumptions!$B$27+$B$7*Assumptions!$B$28+Assumptions!$B$29)*(1+Assumptions!$B$36)^(G$19-1)</f>
        <v>146725.1654</v>
      </c>
      <c r="H78" s="14">
        <f>($B$6*Assumptions!$B$26+$B$6*Assumptions!$B$27+$B$7*Assumptions!$B$28+Assumptions!$B$29)*(1+Assumptions!$B$36)^(H$19-1)</f>
        <v>148192.4171</v>
      </c>
      <c r="I78" s="14">
        <f>($B$6*Assumptions!$B$26+$B$6*Assumptions!$B$27+$B$7*Assumptions!$B$28+Assumptions!$B$29)*(1+Assumptions!$B$36)^(I$19-1)</f>
        <v>149674.3412</v>
      </c>
      <c r="J78" s="14">
        <f>($B$6*Assumptions!$B$26+$B$6*Assumptions!$B$27+$B$7*Assumptions!$B$28+Assumptions!$B$29)*(1+Assumptions!$B$36)^(J$19-1)</f>
        <v>151171.0846</v>
      </c>
      <c r="K78" s="14">
        <f>($B$6*Assumptions!$B$26+$B$6*Assumptions!$B$27+$B$7*Assumptions!$B$28+Assumptions!$B$29)*(1+Assumptions!$B$36)^(K$19-1)</f>
        <v>152682.7955</v>
      </c>
      <c r="L78" s="14">
        <f>($B$6*Assumptions!$B$26+$B$6*Assumptions!$B$27+$B$7*Assumptions!$B$28+Assumptions!$B$29)*(1+Assumptions!$B$36)^(L$19-1)</f>
        <v>154209.6234</v>
      </c>
      <c r="M78" s="14">
        <f>($B$6*Assumptions!$B$26+$B$6*Assumptions!$B$27+$B$7*Assumptions!$B$28+Assumptions!$B$29)*(1+Assumptions!$B$36)^(M$19-1)</f>
        <v>155751.7197</v>
      </c>
      <c r="N78" s="14">
        <f>($B$6*Assumptions!$B$26+$B$6*Assumptions!$B$27+$B$7*Assumptions!$B$28+Assumptions!$B$29)*(1+Assumptions!$B$36)^(N$19-1)</f>
        <v>157309.2369</v>
      </c>
      <c r="O78" s="14">
        <f>($B$6*Assumptions!$B$26+$B$6*Assumptions!$B$27+$B$7*Assumptions!$B$28+Assumptions!$B$29)*(1+Assumptions!$B$36)^(O$19-1)</f>
        <v>158882.3292</v>
      </c>
      <c r="P78" s="14">
        <f>($B$6*Assumptions!$B$26+$B$6*Assumptions!$B$27+$B$7*Assumptions!$B$28+Assumptions!$B$29)*(1+Assumptions!$B$36)^(P$19-1)</f>
        <v>160471.1525</v>
      </c>
      <c r="Q78" s="14">
        <f>($B$6*Assumptions!$B$26+$B$6*Assumptions!$B$27+$B$7*Assumptions!$B$28+Assumptions!$B$29)*(1+Assumptions!$B$36)^(Q$19-1)</f>
        <v>162075.8641</v>
      </c>
      <c r="R78" s="14">
        <f>($B$6*Assumptions!$B$26+$B$6*Assumptions!$B$27+$B$7*Assumptions!$B$28+Assumptions!$B$29)*(1+Assumptions!$B$36)^(R$19-1)</f>
        <v>163696.6227</v>
      </c>
      <c r="S78" s="14">
        <f>($B$6*Assumptions!$B$26+$B$6*Assumptions!$B$27+$B$7*Assumptions!$B$28+Assumptions!$B$29)*(1+Assumptions!$B$36)^(S$19-1)</f>
        <v>165333.5889</v>
      </c>
      <c r="T78" s="14">
        <f>($B$6*Assumptions!$B$26+$B$6*Assumptions!$B$27+$B$7*Assumptions!$B$28+Assumptions!$B$29)*(1+Assumptions!$B$36)^(T$19-1)</f>
        <v>166986.9248</v>
      </c>
      <c r="U78" s="14">
        <f>($B$6*Assumptions!$B$26+$B$6*Assumptions!$B$27+$B$7*Assumptions!$B$28+Assumptions!$B$29)*(1+Assumptions!$B$36)^(U$19-1)</f>
        <v>168656.7941</v>
      </c>
      <c r="V78" s="14">
        <f>($B$6*Assumptions!$B$26+$B$6*Assumptions!$B$27+$B$7*Assumptions!$B$28+Assumptions!$B$29)*(1+Assumptions!$B$36)^(V$19-1)</f>
        <v>170343.362</v>
      </c>
      <c r="W78" s="14">
        <f>SUM(C$78:V$78)</f>
        <v>3104679.563</v>
      </c>
    </row>
    <row r="79" ht="15.75" customHeight="1">
      <c r="A79" s="6" t="s">
        <v>143</v>
      </c>
      <c r="C79" s="14">
        <f>IF(C$19&lt;=5,0,IF(C$19&lt;=10,Assumptions!$B$30,IF(C$19&lt;=15,Assumptions!$B$31,Assumptions!$B$32)))*$B$6*(1+Assumptions!$B$36)^(C$19-1)</f>
        <v>0</v>
      </c>
      <c r="D79" s="14">
        <f>IF(D$19&lt;=5,0,IF(D$19&lt;=10,Assumptions!$B$30,IF(D$19&lt;=15,Assumptions!$B$31,Assumptions!$B$32)))*$B$6*(1+Assumptions!$B$36)^(D$19-1)</f>
        <v>0</v>
      </c>
      <c r="E79" s="14">
        <f>IF(E$19&lt;=5,0,IF(E$19&lt;=10,Assumptions!$B$30,IF(E$19&lt;=15,Assumptions!$B$31,Assumptions!$B$32)))*$B$6*(1+Assumptions!$B$36)^(E$19-1)</f>
        <v>0</v>
      </c>
      <c r="F79" s="14">
        <f>IF(F$19&lt;=5,0,IF(F$19&lt;=10,Assumptions!$B$30,IF(F$19&lt;=15,Assumptions!$B$31,Assumptions!$B$32)))*$B$6*(1+Assumptions!$B$36)^(F$19-1)</f>
        <v>0</v>
      </c>
      <c r="G79" s="14">
        <f>IF(G$19&lt;=5,0,IF(G$19&lt;=10,Assumptions!$B$30,IF(G$19&lt;=15,Assumptions!$B$31,Assumptions!$B$32)))*$B$6*(1+Assumptions!$B$36)^(G$19-1)</f>
        <v>0</v>
      </c>
      <c r="H79" s="14">
        <f>IF(H$19&lt;=5,0,IF(H$19&lt;=10,Assumptions!$B$30,IF(H$19&lt;=15,Assumptions!$B$31,Assumptions!$B$32)))*$B$6*(1+Assumptions!$B$36)^(H$19-1)</f>
        <v>75672.72361</v>
      </c>
      <c r="I79" s="14">
        <f>IF(I$19&lt;=5,0,IF(I$19&lt;=10,Assumptions!$B$30,IF(I$19&lt;=15,Assumptions!$B$31,Assumptions!$B$32)))*$B$6*(1+Assumptions!$B$36)^(I$19-1)</f>
        <v>76429.45084</v>
      </c>
      <c r="J79" s="14">
        <f>IF(J$19&lt;=5,0,IF(J$19&lt;=10,Assumptions!$B$30,IF(J$19&lt;=15,Assumptions!$B$31,Assumptions!$B$32)))*$B$6*(1+Assumptions!$B$36)^(J$19-1)</f>
        <v>77193.74535</v>
      </c>
      <c r="K79" s="14">
        <f>IF(K$19&lt;=5,0,IF(K$19&lt;=10,Assumptions!$B$30,IF(K$19&lt;=15,Assumptions!$B$31,Assumptions!$B$32)))*$B$6*(1+Assumptions!$B$36)^(K$19-1)</f>
        <v>77965.68281</v>
      </c>
      <c r="L79" s="14">
        <f>IF(L$19&lt;=5,0,IF(L$19&lt;=10,Assumptions!$B$30,IF(L$19&lt;=15,Assumptions!$B$31,Assumptions!$B$32)))*$B$6*(1+Assumptions!$B$36)^(L$19-1)</f>
        <v>78745.33963</v>
      </c>
      <c r="M79" s="14">
        <f>IF(M$19&lt;=5,0,IF(M$19&lt;=10,Assumptions!$B$30,IF(M$19&lt;=15,Assumptions!$B$31,Assumptions!$B$32)))*$B$6*(1+Assumptions!$B$36)^(M$19-1)</f>
        <v>92788.25853</v>
      </c>
      <c r="N79" s="14">
        <f>IF(N$19&lt;=5,0,IF(N$19&lt;=10,Assumptions!$B$30,IF(N$19&lt;=15,Assumptions!$B$31,Assumptions!$B$32)))*$B$6*(1+Assumptions!$B$36)^(N$19-1)</f>
        <v>93716.14112</v>
      </c>
      <c r="O79" s="14">
        <f>IF(O$19&lt;=5,0,IF(O$19&lt;=10,Assumptions!$B$30,IF(O$19&lt;=15,Assumptions!$B$31,Assumptions!$B$32)))*$B$6*(1+Assumptions!$B$36)^(O$19-1)</f>
        <v>94653.30253</v>
      </c>
      <c r="P79" s="14">
        <f>IF(P$19&lt;=5,0,IF(P$19&lt;=10,Assumptions!$B$30,IF(P$19&lt;=15,Assumptions!$B$31,Assumptions!$B$32)))*$B$6*(1+Assumptions!$B$36)^(P$19-1)</f>
        <v>95599.83556</v>
      </c>
      <c r="Q79" s="14">
        <f>IF(Q$19&lt;=5,0,IF(Q$19&lt;=10,Assumptions!$B$30,IF(Q$19&lt;=15,Assumptions!$B$31,Assumptions!$B$32)))*$B$6*(1+Assumptions!$B$36)^(Q$19-1)</f>
        <v>96555.83391</v>
      </c>
      <c r="R79" s="14">
        <f>IF(R$19&lt;=5,0,IF(R$19&lt;=10,Assumptions!$B$30,IF(R$19&lt;=15,Assumptions!$B$31,Assumptions!$B$32)))*$B$6*(1+Assumptions!$B$36)^(R$19-1)</f>
        <v>113774.9576</v>
      </c>
      <c r="S79" s="14">
        <f>IF(S$19&lt;=5,0,IF(S$19&lt;=10,Assumptions!$B$30,IF(S$19&lt;=15,Assumptions!$B$31,Assumptions!$B$32)))*$B$6*(1+Assumptions!$B$36)^(S$19-1)</f>
        <v>114912.7072</v>
      </c>
      <c r="T79" s="14">
        <f>IF(T$19&lt;=5,0,IF(T$19&lt;=10,Assumptions!$B$30,IF(T$19&lt;=15,Assumptions!$B$31,Assumptions!$B$32)))*$B$6*(1+Assumptions!$B$36)^(T$19-1)</f>
        <v>116061.8343</v>
      </c>
      <c r="U79" s="14">
        <f>IF(U$19&lt;=5,0,IF(U$19&lt;=10,Assumptions!$B$30,IF(U$19&lt;=15,Assumptions!$B$31,Assumptions!$B$32)))*$B$6*(1+Assumptions!$B$36)^(U$19-1)</f>
        <v>117222.4526</v>
      </c>
      <c r="V79" s="14">
        <f>IF(V$19&lt;=5,0,IF(V$19&lt;=10,Assumptions!$B$30,IF(V$19&lt;=15,Assumptions!$B$31,Assumptions!$B$32)))*$B$6*(1+Assumptions!$B$36)^(V$19-1)</f>
        <v>118394.6771</v>
      </c>
      <c r="W79" s="14">
        <f>SUM(C$79:V$79)</f>
        <v>1439686.943</v>
      </c>
    </row>
    <row r="80" ht="15.75" customHeight="1">
      <c r="A80" s="15" t="s">
        <v>144</v>
      </c>
      <c r="B80" s="15"/>
      <c r="C80" s="17">
        <f t="shared" ref="C80:V80" si="21">C$76+C$77+C$78+C$79</f>
        <v>498639.6</v>
      </c>
      <c r="D80" s="17">
        <f t="shared" si="21"/>
        <v>497001.1055</v>
      </c>
      <c r="E80" s="17">
        <f t="shared" si="21"/>
        <v>495269.0988</v>
      </c>
      <c r="F80" s="17">
        <f t="shared" si="21"/>
        <v>493441.8196</v>
      </c>
      <c r="G80" s="17">
        <f t="shared" si="21"/>
        <v>491517.4814</v>
      </c>
      <c r="H80" s="17">
        <f t="shared" si="21"/>
        <v>565166.9952</v>
      </c>
      <c r="I80" s="17">
        <f t="shared" si="21"/>
        <v>563799.8013</v>
      </c>
      <c r="J80" s="17">
        <f t="shared" si="21"/>
        <v>562337.5965</v>
      </c>
      <c r="K80" s="17">
        <f t="shared" si="21"/>
        <v>560778.5621</v>
      </c>
      <c r="L80" s="17">
        <f t="shared" si="21"/>
        <v>559120.8522</v>
      </c>
      <c r="M80" s="17">
        <f t="shared" si="21"/>
        <v>570618.0591</v>
      </c>
      <c r="N80" s="17">
        <f t="shared" si="21"/>
        <v>568889.905</v>
      </c>
      <c r="O80" s="17">
        <f t="shared" si="21"/>
        <v>567058.6971</v>
      </c>
      <c r="P80" s="17">
        <f t="shared" si="21"/>
        <v>565122.4904</v>
      </c>
      <c r="Q80" s="17">
        <f t="shared" si="21"/>
        <v>563079.3112</v>
      </c>
      <c r="R80" s="17">
        <f t="shared" si="21"/>
        <v>577180.722</v>
      </c>
      <c r="S80" s="17">
        <f t="shared" si="21"/>
        <v>575080.0949</v>
      </c>
      <c r="T80" s="17">
        <f t="shared" si="21"/>
        <v>572868.0226</v>
      </c>
      <c r="U80" s="17">
        <f t="shared" si="21"/>
        <v>570542.428</v>
      </c>
      <c r="V80" s="17">
        <f t="shared" si="21"/>
        <v>568101.2038</v>
      </c>
      <c r="W80" s="17">
        <f>SUM(C$80:V$80)</f>
        <v>10985613.85</v>
      </c>
    </row>
    <row r="81" ht="15.75" customHeight="1">
      <c r="A81" s="15" t="s">
        <v>145</v>
      </c>
      <c r="B81" s="15"/>
      <c r="C81" s="17">
        <f t="shared" ref="C81:V81" si="22">C$75-C$80</f>
        <v>2799030.343</v>
      </c>
      <c r="D81" s="17">
        <f t="shared" si="22"/>
        <v>2767504.007</v>
      </c>
      <c r="E81" s="17">
        <f t="shared" si="22"/>
        <v>2736105.734</v>
      </c>
      <c r="F81" s="17">
        <f t="shared" si="22"/>
        <v>2704837.113</v>
      </c>
      <c r="G81" s="17">
        <f t="shared" si="22"/>
        <v>2673699.758</v>
      </c>
      <c r="H81" s="17">
        <f t="shared" si="22"/>
        <v>2567022.586</v>
      </c>
      <c r="I81" s="17">
        <f t="shared" si="22"/>
        <v>2535395.988</v>
      </c>
      <c r="J81" s="17">
        <f t="shared" si="22"/>
        <v>2503898.098</v>
      </c>
      <c r="K81" s="17">
        <f t="shared" si="22"/>
        <v>2472530.564</v>
      </c>
      <c r="L81" s="17">
        <f t="shared" si="22"/>
        <v>2441295.067</v>
      </c>
      <c r="M81" s="17">
        <f t="shared" si="22"/>
        <v>2396937.846</v>
      </c>
      <c r="N81" s="17">
        <f t="shared" si="22"/>
        <v>2365839.014</v>
      </c>
      <c r="O81" s="17">
        <f t="shared" si="22"/>
        <v>2334876.097</v>
      </c>
      <c r="P81" s="17">
        <f t="shared" si="22"/>
        <v>2304050.878</v>
      </c>
      <c r="Q81" s="17">
        <f t="shared" si="22"/>
        <v>2273365.166</v>
      </c>
      <c r="R81" s="17">
        <f t="shared" si="22"/>
        <v>2226567.235</v>
      </c>
      <c r="S81" s="17">
        <f t="shared" si="22"/>
        <v>2196003.553</v>
      </c>
      <c r="T81" s="17">
        <f t="shared" si="22"/>
        <v>2165583.364</v>
      </c>
      <c r="U81" s="17">
        <f t="shared" si="22"/>
        <v>2135308.587</v>
      </c>
      <c r="V81" s="17">
        <f t="shared" si="22"/>
        <v>2105181.168</v>
      </c>
      <c r="W81" s="17">
        <f>SUM(C$81:V$81)</f>
        <v>48705032.17</v>
      </c>
    </row>
    <row r="82" ht="15.75" customHeight="1">
      <c r="A82" s="6" t="s">
        <v>146</v>
      </c>
      <c r="C82" s="14">
        <f t="shared" ref="C82:V82" si="23">$B$15</f>
        <v>617086.85</v>
      </c>
      <c r="D82" s="14">
        <f t="shared" si="23"/>
        <v>617086.85</v>
      </c>
      <c r="E82" s="14">
        <f t="shared" si="23"/>
        <v>617086.85</v>
      </c>
      <c r="F82" s="14">
        <f t="shared" si="23"/>
        <v>617086.85</v>
      </c>
      <c r="G82" s="14">
        <f t="shared" si="23"/>
        <v>617086.85</v>
      </c>
      <c r="H82" s="14">
        <f t="shared" si="23"/>
        <v>617086.85</v>
      </c>
      <c r="I82" s="14">
        <f t="shared" si="23"/>
        <v>617086.85</v>
      </c>
      <c r="J82" s="14">
        <f t="shared" si="23"/>
        <v>617086.85</v>
      </c>
      <c r="K82" s="14">
        <f t="shared" si="23"/>
        <v>617086.85</v>
      </c>
      <c r="L82" s="14">
        <f t="shared" si="23"/>
        <v>617086.85</v>
      </c>
      <c r="M82" s="14">
        <f t="shared" si="23"/>
        <v>617086.85</v>
      </c>
      <c r="N82" s="14">
        <f t="shared" si="23"/>
        <v>617086.85</v>
      </c>
      <c r="O82" s="14">
        <f t="shared" si="23"/>
        <v>617086.85</v>
      </c>
      <c r="P82" s="14">
        <f t="shared" si="23"/>
        <v>617086.85</v>
      </c>
      <c r="Q82" s="14">
        <f t="shared" si="23"/>
        <v>617086.85</v>
      </c>
      <c r="R82" s="14">
        <f t="shared" si="23"/>
        <v>617086.85</v>
      </c>
      <c r="S82" s="14">
        <f t="shared" si="23"/>
        <v>617086.85</v>
      </c>
      <c r="T82" s="14">
        <f t="shared" si="23"/>
        <v>617086.85</v>
      </c>
      <c r="U82" s="14">
        <f t="shared" si="23"/>
        <v>617086.85</v>
      </c>
      <c r="V82" s="14">
        <f t="shared" si="23"/>
        <v>617086.85</v>
      </c>
      <c r="W82" s="14">
        <f>SUM(C$82:V$82)</f>
        <v>12341737</v>
      </c>
    </row>
    <row r="83" ht="15.75" customHeight="1">
      <c r="A83" s="6" t="s">
        <v>147</v>
      </c>
      <c r="C83" s="14">
        <f>IF(C$19&lt;=Assumptions!$B$39,-IPMT(Assumptions!$B$38,C$19,Assumptions!$B$39,$B$13),0)</f>
        <v>187048.35</v>
      </c>
      <c r="D83" s="14">
        <f>IF(D$19&lt;=Assumptions!$B$39,-IPMT(Assumptions!$B$38,D$19,Assumptions!$B$39,$B$13),0)</f>
        <v>178380.1016</v>
      </c>
      <c r="E83" s="14">
        <f>IF(E$19&lt;=Assumptions!$B$39,-IPMT(Assumptions!$B$38,E$19,Assumptions!$B$39,$B$13),0)</f>
        <v>169278.4407</v>
      </c>
      <c r="F83" s="14">
        <f>IF(F$19&lt;=Assumptions!$B$39,-IPMT(Assumptions!$B$38,F$19,Assumptions!$B$39,$B$13),0)</f>
        <v>159721.6968</v>
      </c>
      <c r="G83" s="14">
        <f>IF(G$19&lt;=Assumptions!$B$39,-IPMT(Assumptions!$B$38,G$19,Assumptions!$B$39,$B$13),0)</f>
        <v>149687.1157</v>
      </c>
      <c r="H83" s="14">
        <f>IF(H$19&lt;=Assumptions!$B$39,-IPMT(Assumptions!$B$38,H$19,Assumptions!$B$39,$B$13),0)</f>
        <v>139150.8056</v>
      </c>
      <c r="I83" s="14">
        <f>IF(I$19&lt;=Assumptions!$B$39,-IPMT(Assumptions!$B$38,I$19,Assumptions!$B$39,$B$13),0)</f>
        <v>128087.6799</v>
      </c>
      <c r="J83" s="14">
        <f>IF(J$19&lt;=Assumptions!$B$39,-IPMT(Assumptions!$B$38,J$19,Assumptions!$B$39,$B$13),0)</f>
        <v>116471.398</v>
      </c>
      <c r="K83" s="14">
        <f>IF(K$19&lt;=Assumptions!$B$39,-IPMT(Assumptions!$B$38,K$19,Assumptions!$B$39,$B$13),0)</f>
        <v>104274.302</v>
      </c>
      <c r="L83" s="14">
        <f>IF(L$19&lt;=Assumptions!$B$39,-IPMT(Assumptions!$B$38,L$19,Assumptions!$B$39,$B$13),0)</f>
        <v>91467.35112</v>
      </c>
      <c r="M83" s="14">
        <f>IF(M$19&lt;=Assumptions!$B$39,-IPMT(Assumptions!$B$38,M$19,Assumptions!$B$39,$B$13),0)</f>
        <v>78020.05274</v>
      </c>
      <c r="N83" s="14">
        <f>IF(N$19&lt;=Assumptions!$B$39,-IPMT(Assumptions!$B$38,N$19,Assumptions!$B$39,$B$13),0)</f>
        <v>63900.38945</v>
      </c>
      <c r="O83" s="14">
        <f>IF(O$19&lt;=Assumptions!$B$39,-IPMT(Assumptions!$B$38,O$19,Assumptions!$B$39,$B$13),0)</f>
        <v>49074.74299</v>
      </c>
      <c r="P83" s="14">
        <f>IF(P$19&lt;=Assumptions!$B$39,-IPMT(Assumptions!$B$38,P$19,Assumptions!$B$39,$B$13),0)</f>
        <v>33507.81421</v>
      </c>
      <c r="Q83" s="14">
        <f>IF(Q$19&lt;=Assumptions!$B$39,-IPMT(Assumptions!$B$38,Q$19,Assumptions!$B$39,$B$13),0)</f>
        <v>17162.53898</v>
      </c>
      <c r="R83" s="14">
        <f>IF(R$19&lt;=Assumptions!$B$39,-IPMT(Assumptions!$B$38,R$19,Assumptions!$B$39,$B$13),0)</f>
        <v>0</v>
      </c>
      <c r="S83" s="14">
        <f>IF(S$19&lt;=Assumptions!$B$39,-IPMT(Assumptions!$B$38,S$19,Assumptions!$B$39,$B$13),0)</f>
        <v>0</v>
      </c>
      <c r="T83" s="14">
        <f>IF(T$19&lt;=Assumptions!$B$39,-IPMT(Assumptions!$B$38,T$19,Assumptions!$B$39,$B$13),0)</f>
        <v>0</v>
      </c>
      <c r="U83" s="14">
        <f>IF(U$19&lt;=Assumptions!$B$39,-IPMT(Assumptions!$B$38,U$19,Assumptions!$B$39,$B$13),0)</f>
        <v>0</v>
      </c>
      <c r="V83" s="14">
        <f>IF(V$19&lt;=Assumptions!$B$39,-IPMT(Assumptions!$B$38,V$19,Assumptions!$B$39,$B$13),0)</f>
        <v>0</v>
      </c>
      <c r="W83" s="14">
        <f>SUM(C$83:V$83)</f>
        <v>1665232.78</v>
      </c>
    </row>
    <row r="84" ht="15.75" customHeight="1">
      <c r="A84" s="6" t="s">
        <v>148</v>
      </c>
      <c r="C84" s="14">
        <f t="shared" ref="C84:V84" si="24">C$81-C$82-C$83</f>
        <v>1994895.143</v>
      </c>
      <c r="D84" s="14">
        <f t="shared" si="24"/>
        <v>1972037.055</v>
      </c>
      <c r="E84" s="14">
        <f t="shared" si="24"/>
        <v>1949740.444</v>
      </c>
      <c r="F84" s="14">
        <f t="shared" si="24"/>
        <v>1928028.566</v>
      </c>
      <c r="G84" s="14">
        <f t="shared" si="24"/>
        <v>1906925.792</v>
      </c>
      <c r="H84" s="14">
        <f t="shared" si="24"/>
        <v>1810784.931</v>
      </c>
      <c r="I84" s="14">
        <f t="shared" si="24"/>
        <v>1790221.458</v>
      </c>
      <c r="J84" s="14">
        <f t="shared" si="24"/>
        <v>1770339.85</v>
      </c>
      <c r="K84" s="14">
        <f t="shared" si="24"/>
        <v>1751169.413</v>
      </c>
      <c r="L84" s="14">
        <f t="shared" si="24"/>
        <v>1732740.866</v>
      </c>
      <c r="M84" s="14">
        <f t="shared" si="24"/>
        <v>1701830.943</v>
      </c>
      <c r="N84" s="14">
        <f t="shared" si="24"/>
        <v>1684851.774</v>
      </c>
      <c r="O84" s="14">
        <f t="shared" si="24"/>
        <v>1668714.504</v>
      </c>
      <c r="P84" s="14">
        <f t="shared" si="24"/>
        <v>1653456.214</v>
      </c>
      <c r="Q84" s="14">
        <f t="shared" si="24"/>
        <v>1639115.777</v>
      </c>
      <c r="R84" s="14">
        <f t="shared" si="24"/>
        <v>1609480.385</v>
      </c>
      <c r="S84" s="14">
        <f t="shared" si="24"/>
        <v>1578916.703</v>
      </c>
      <c r="T84" s="14">
        <f t="shared" si="24"/>
        <v>1548496.514</v>
      </c>
      <c r="U84" s="14">
        <f t="shared" si="24"/>
        <v>1518221.737</v>
      </c>
      <c r="V84" s="14">
        <f t="shared" si="24"/>
        <v>1488094.318</v>
      </c>
      <c r="W84" s="14">
        <f>SUM(C$84:V$84)</f>
        <v>34698062.39</v>
      </c>
    </row>
    <row r="85" ht="15.75" customHeight="1">
      <c r="A85" s="6" t="s">
        <v>149</v>
      </c>
      <c r="C85" s="14">
        <f>MAX(0,C$84*Assumptions!$B$35)</f>
        <v>249361.8929</v>
      </c>
      <c r="D85" s="14">
        <f>MAX(0,D$84*Assumptions!$B$35)</f>
        <v>246504.6319</v>
      </c>
      <c r="E85" s="14">
        <f>MAX(0,E$84*Assumptions!$B$35)</f>
        <v>243717.5554</v>
      </c>
      <c r="F85" s="14">
        <f>MAX(0,F$84*Assumptions!$B$35)</f>
        <v>241003.5708</v>
      </c>
      <c r="G85" s="14">
        <f>MAX(0,G$84*Assumptions!$B$35)</f>
        <v>238365.724</v>
      </c>
      <c r="H85" s="14">
        <f>MAX(0,H$84*Assumptions!$B$35)</f>
        <v>226348.1164</v>
      </c>
      <c r="I85" s="14">
        <f>MAX(0,I$84*Assumptions!$B$35)</f>
        <v>223777.6823</v>
      </c>
      <c r="J85" s="14">
        <f>MAX(0,J$84*Assumptions!$B$35)</f>
        <v>221292.4812</v>
      </c>
      <c r="K85" s="14">
        <f>MAX(0,K$84*Assumptions!$B$35)</f>
        <v>218896.1766</v>
      </c>
      <c r="L85" s="14">
        <f>MAX(0,L$84*Assumptions!$B$35)</f>
        <v>216592.6082</v>
      </c>
      <c r="M85" s="14">
        <f>MAX(0,M$84*Assumptions!$B$35)</f>
        <v>212728.8679</v>
      </c>
      <c r="N85" s="14">
        <f>MAX(0,N$84*Assumptions!$B$35)</f>
        <v>210606.4718</v>
      </c>
      <c r="O85" s="14">
        <f>MAX(0,O$84*Assumptions!$B$35)</f>
        <v>208589.3131</v>
      </c>
      <c r="P85" s="14">
        <f>MAX(0,P$84*Assumptions!$B$35)</f>
        <v>206682.0267</v>
      </c>
      <c r="Q85" s="14">
        <f>MAX(0,Q$84*Assumptions!$B$35)</f>
        <v>204889.4721</v>
      </c>
      <c r="R85" s="14">
        <f>MAX(0,R$84*Assumptions!$B$35)</f>
        <v>201185.0482</v>
      </c>
      <c r="S85" s="14">
        <f>MAX(0,S$84*Assumptions!$B$35)</f>
        <v>197364.5878</v>
      </c>
      <c r="T85" s="14">
        <f>MAX(0,T$84*Assumptions!$B$35)</f>
        <v>193562.0643</v>
      </c>
      <c r="U85" s="14">
        <f>MAX(0,U$84*Assumptions!$B$35)</f>
        <v>189777.7171</v>
      </c>
      <c r="V85" s="14">
        <f>MAX(0,V$84*Assumptions!$B$35)</f>
        <v>186011.7898</v>
      </c>
      <c r="W85" s="14">
        <f>SUM(C$85:V$85)</f>
        <v>4337257.798</v>
      </c>
    </row>
    <row r="86" ht="15.75" customHeight="1">
      <c r="A86" s="15" t="s">
        <v>150</v>
      </c>
      <c r="B86" s="15"/>
      <c r="C86" s="17">
        <f t="shared" ref="C86:V86" si="25">C$84-C$85</f>
        <v>1745533.25</v>
      </c>
      <c r="D86" s="17">
        <f t="shared" si="25"/>
        <v>1725532.423</v>
      </c>
      <c r="E86" s="17">
        <f t="shared" si="25"/>
        <v>1706022.888</v>
      </c>
      <c r="F86" s="17">
        <f t="shared" si="25"/>
        <v>1687024.996</v>
      </c>
      <c r="G86" s="17">
        <f t="shared" si="25"/>
        <v>1668560.068</v>
      </c>
      <c r="H86" s="17">
        <f t="shared" si="25"/>
        <v>1584436.814</v>
      </c>
      <c r="I86" s="17">
        <f t="shared" si="25"/>
        <v>1566443.776</v>
      </c>
      <c r="J86" s="17">
        <f t="shared" si="25"/>
        <v>1549047.368</v>
      </c>
      <c r="K86" s="17">
        <f t="shared" si="25"/>
        <v>1532273.236</v>
      </c>
      <c r="L86" s="17">
        <f t="shared" si="25"/>
        <v>1516148.258</v>
      </c>
      <c r="M86" s="17">
        <f t="shared" si="25"/>
        <v>1489102.075</v>
      </c>
      <c r="N86" s="17">
        <f t="shared" si="25"/>
        <v>1474245.302</v>
      </c>
      <c r="O86" s="17">
        <f t="shared" si="25"/>
        <v>1460125.191</v>
      </c>
      <c r="P86" s="17">
        <f t="shared" si="25"/>
        <v>1446774.187</v>
      </c>
      <c r="Q86" s="17">
        <f t="shared" si="25"/>
        <v>1434226.305</v>
      </c>
      <c r="R86" s="17">
        <f t="shared" si="25"/>
        <v>1408295.337</v>
      </c>
      <c r="S86" s="17">
        <f t="shared" si="25"/>
        <v>1381552.115</v>
      </c>
      <c r="T86" s="17">
        <f t="shared" si="25"/>
        <v>1354934.45</v>
      </c>
      <c r="U86" s="17">
        <f t="shared" si="25"/>
        <v>1328444.02</v>
      </c>
      <c r="V86" s="17">
        <f t="shared" si="25"/>
        <v>1302082.528</v>
      </c>
      <c r="W86" s="17">
        <f>SUM(C$86:V$86)</f>
        <v>30360804.59</v>
      </c>
    </row>
    <row r="87" ht="15.75" customHeight="1">
      <c r="A87" s="6" t="s">
        <v>151</v>
      </c>
      <c r="C87" s="14">
        <f>IF(C$19&lt;=Assumptions!$B$39,$B$14,0)</f>
        <v>360413.3187</v>
      </c>
      <c r="D87" s="14">
        <f>IF(D$19&lt;=Assumptions!$B$39,$B$14,0)</f>
        <v>360413.3187</v>
      </c>
      <c r="E87" s="14">
        <f>IF(E$19&lt;=Assumptions!$B$39,$B$14,0)</f>
        <v>360413.3187</v>
      </c>
      <c r="F87" s="14">
        <f>IF(F$19&lt;=Assumptions!$B$39,$B$14,0)</f>
        <v>360413.3187</v>
      </c>
      <c r="G87" s="14">
        <f>IF(G$19&lt;=Assumptions!$B$39,$B$14,0)</f>
        <v>360413.3187</v>
      </c>
      <c r="H87" s="14">
        <f>IF(H$19&lt;=Assumptions!$B$39,$B$14,0)</f>
        <v>360413.3187</v>
      </c>
      <c r="I87" s="14">
        <f>IF(I$19&lt;=Assumptions!$B$39,$B$14,0)</f>
        <v>360413.3187</v>
      </c>
      <c r="J87" s="14">
        <f>IF(J$19&lt;=Assumptions!$B$39,$B$14,0)</f>
        <v>360413.3187</v>
      </c>
      <c r="K87" s="14">
        <f>IF(K$19&lt;=Assumptions!$B$39,$B$14,0)</f>
        <v>360413.3187</v>
      </c>
      <c r="L87" s="14">
        <f>IF(L$19&lt;=Assumptions!$B$39,$B$14,0)</f>
        <v>360413.3187</v>
      </c>
      <c r="M87" s="14">
        <f>IF(M$19&lt;=Assumptions!$B$39,$B$14,0)</f>
        <v>360413.3187</v>
      </c>
      <c r="N87" s="14">
        <f>IF(N$19&lt;=Assumptions!$B$39,$B$14,0)</f>
        <v>360413.3187</v>
      </c>
      <c r="O87" s="14">
        <f>IF(O$19&lt;=Assumptions!$B$39,$B$14,0)</f>
        <v>360413.3187</v>
      </c>
      <c r="P87" s="14">
        <f>IF(P$19&lt;=Assumptions!$B$39,$B$14,0)</f>
        <v>360413.3187</v>
      </c>
      <c r="Q87" s="14">
        <f>IF(Q$19&lt;=Assumptions!$B$39,$B$14,0)</f>
        <v>360413.3187</v>
      </c>
      <c r="R87" s="14">
        <f>IF(R$19&lt;=Assumptions!$B$39,$B$14,0)</f>
        <v>0</v>
      </c>
      <c r="S87" s="14">
        <f>IF(S$19&lt;=Assumptions!$B$39,$B$14,0)</f>
        <v>0</v>
      </c>
      <c r="T87" s="14">
        <f>IF(T$19&lt;=Assumptions!$B$39,$B$14,0)</f>
        <v>0</v>
      </c>
      <c r="U87" s="14">
        <f>IF(U$19&lt;=Assumptions!$B$39,$B$14,0)</f>
        <v>0</v>
      </c>
      <c r="V87" s="14">
        <f>IF(V$19&lt;=Assumptions!$B$39,$B$14,0)</f>
        <v>0</v>
      </c>
      <c r="W87" s="14">
        <f>SUM(C$87:V$87)</f>
        <v>5406199.78</v>
      </c>
    </row>
    <row r="88" ht="15.75" customHeight="1">
      <c r="A88" s="15" t="s">
        <v>152</v>
      </c>
      <c r="B88" s="15"/>
      <c r="C88" s="17">
        <f t="shared" ref="C88:V88" si="26">C$81-C$87-C$85</f>
        <v>2189255.132</v>
      </c>
      <c r="D88" s="17">
        <f t="shared" si="26"/>
        <v>2160586.056</v>
      </c>
      <c r="E88" s="17">
        <f t="shared" si="26"/>
        <v>2131974.86</v>
      </c>
      <c r="F88" s="17">
        <f t="shared" si="26"/>
        <v>2103420.224</v>
      </c>
      <c r="G88" s="17">
        <f t="shared" si="26"/>
        <v>2074920.715</v>
      </c>
      <c r="H88" s="17">
        <f t="shared" si="26"/>
        <v>1980261.151</v>
      </c>
      <c r="I88" s="17">
        <f t="shared" si="26"/>
        <v>1951204.987</v>
      </c>
      <c r="J88" s="17">
        <f t="shared" si="26"/>
        <v>1922192.298</v>
      </c>
      <c r="K88" s="17">
        <f t="shared" si="26"/>
        <v>1893221.069</v>
      </c>
      <c r="L88" s="17">
        <f t="shared" si="26"/>
        <v>1864289.14</v>
      </c>
      <c r="M88" s="17">
        <f t="shared" si="26"/>
        <v>1823795.66</v>
      </c>
      <c r="N88" s="17">
        <f t="shared" si="26"/>
        <v>1794819.223</v>
      </c>
      <c r="O88" s="17">
        <f t="shared" si="26"/>
        <v>1765873.466</v>
      </c>
      <c r="P88" s="17">
        <f t="shared" si="26"/>
        <v>1736955.533</v>
      </c>
      <c r="Q88" s="17">
        <f t="shared" si="26"/>
        <v>1708062.375</v>
      </c>
      <c r="R88" s="17">
        <f t="shared" si="26"/>
        <v>2025382.187</v>
      </c>
      <c r="S88" s="17">
        <f t="shared" si="26"/>
        <v>1998638.965</v>
      </c>
      <c r="T88" s="17">
        <f t="shared" si="26"/>
        <v>1972021.3</v>
      </c>
      <c r="U88" s="17">
        <f t="shared" si="26"/>
        <v>1945530.87</v>
      </c>
      <c r="V88" s="17">
        <f t="shared" si="26"/>
        <v>1919169.378</v>
      </c>
      <c r="W88" s="17">
        <f>SUM(C$88:V$88)</f>
        <v>38961574.59</v>
      </c>
    </row>
    <row r="89" ht="15.75" customHeight="1">
      <c r="A89" s="6" t="s">
        <v>153</v>
      </c>
      <c r="C89" s="14">
        <f>C$88</f>
        <v>2189255.132</v>
      </c>
      <c r="D89" s="14">
        <f t="shared" ref="D89:V89" si="27">C$89+D$88</f>
        <v>4349841.188</v>
      </c>
      <c r="E89" s="14">
        <f t="shared" si="27"/>
        <v>6481816.048</v>
      </c>
      <c r="F89" s="14">
        <f t="shared" si="27"/>
        <v>8585236.272</v>
      </c>
      <c r="G89" s="14">
        <f t="shared" si="27"/>
        <v>10660156.99</v>
      </c>
      <c r="H89" s="14">
        <f t="shared" si="27"/>
        <v>12640418.14</v>
      </c>
      <c r="I89" s="14">
        <f t="shared" si="27"/>
        <v>14591623.13</v>
      </c>
      <c r="J89" s="14">
        <f t="shared" si="27"/>
        <v>16513815.42</v>
      </c>
      <c r="K89" s="14">
        <f t="shared" si="27"/>
        <v>18407036.49</v>
      </c>
      <c r="L89" s="14">
        <f t="shared" si="27"/>
        <v>20271325.63</v>
      </c>
      <c r="M89" s="14">
        <f t="shared" si="27"/>
        <v>22095121.29</v>
      </c>
      <c r="N89" s="14">
        <f t="shared" si="27"/>
        <v>23889940.52</v>
      </c>
      <c r="O89" s="14">
        <f t="shared" si="27"/>
        <v>25655813.98</v>
      </c>
      <c r="P89" s="14">
        <f t="shared" si="27"/>
        <v>27392769.51</v>
      </c>
      <c r="Q89" s="14">
        <f t="shared" si="27"/>
        <v>29100831.89</v>
      </c>
      <c r="R89" s="14">
        <f t="shared" si="27"/>
        <v>31126214.08</v>
      </c>
      <c r="S89" s="14">
        <f t="shared" si="27"/>
        <v>33124853.04</v>
      </c>
      <c r="T89" s="14">
        <f t="shared" si="27"/>
        <v>35096874.34</v>
      </c>
      <c r="U89" s="14">
        <f t="shared" si="27"/>
        <v>37042405.21</v>
      </c>
      <c r="V89" s="14">
        <f t="shared" si="27"/>
        <v>38961574.59</v>
      </c>
      <c r="W89" s="14">
        <f>V$89</f>
        <v>38961574.59</v>
      </c>
    </row>
    <row r="90" ht="15.75" customHeight="1">
      <c r="A90" s="6" t="s">
        <v>154</v>
      </c>
      <c r="C90" s="35">
        <f t="shared" ref="C90:V90" si="28">IF(C$87&gt;0,C$81/C$87,"N/A")</f>
        <v>7.766167892</v>
      </c>
      <c r="D90" s="35">
        <f t="shared" si="28"/>
        <v>7.678695163</v>
      </c>
      <c r="E90" s="35">
        <f t="shared" si="28"/>
        <v>7.59157776</v>
      </c>
      <c r="F90" s="35">
        <f t="shared" si="28"/>
        <v>7.504820086</v>
      </c>
      <c r="G90" s="35">
        <f t="shared" si="28"/>
        <v>7.418426621</v>
      </c>
      <c r="H90" s="35">
        <f t="shared" si="28"/>
        <v>7.122440969</v>
      </c>
      <c r="I90" s="35">
        <f t="shared" si="28"/>
        <v>7.034690055</v>
      </c>
      <c r="J90" s="35">
        <f t="shared" si="28"/>
        <v>6.947296252</v>
      </c>
      <c r="K90" s="35">
        <f t="shared" si="28"/>
        <v>6.860264137</v>
      </c>
      <c r="L90" s="35">
        <f t="shared" si="28"/>
        <v>6.773598368</v>
      </c>
      <c r="M90" s="35">
        <f t="shared" si="28"/>
        <v>6.650525167</v>
      </c>
      <c r="N90" s="35">
        <f t="shared" si="28"/>
        <v>6.564238587</v>
      </c>
      <c r="O90" s="35">
        <f t="shared" si="28"/>
        <v>6.47832912</v>
      </c>
      <c r="P90" s="35">
        <f t="shared" si="28"/>
        <v>6.392801705</v>
      </c>
      <c r="Q90" s="35">
        <f t="shared" si="28"/>
        <v>6.307661366</v>
      </c>
      <c r="R90" s="35" t="str">
        <f t="shared" si="28"/>
        <v>N/A</v>
      </c>
      <c r="S90" s="35" t="str">
        <f t="shared" si="28"/>
        <v>N/A</v>
      </c>
      <c r="T90" s="35" t="str">
        <f t="shared" si="28"/>
        <v>N/A</v>
      </c>
      <c r="U90" s="35" t="str">
        <f t="shared" si="28"/>
        <v>N/A</v>
      </c>
      <c r="V90" s="35" t="str">
        <f t="shared" si="28"/>
        <v>N/A</v>
      </c>
      <c r="W90" s="35">
        <f>AVERAGE(C$90:Q$90)</f>
        <v>7.006102217</v>
      </c>
    </row>
    <row r="91" ht="15.75" customHeight="1"/>
    <row r="92" ht="15.75" customHeight="1">
      <c r="A92" s="4" t="s">
        <v>157</v>
      </c>
      <c r="B92" s="5"/>
      <c r="C92" s="5"/>
      <c r="D92" s="5"/>
      <c r="E92" s="5"/>
    </row>
    <row r="93" ht="15.75" customHeight="1">
      <c r="A93" s="11" t="s">
        <v>32</v>
      </c>
      <c r="B93" s="11" t="s">
        <v>158</v>
      </c>
      <c r="C93" s="11" t="s">
        <v>159</v>
      </c>
      <c r="D93" s="11" t="s">
        <v>160</v>
      </c>
    </row>
    <row r="94" ht="15.75" customHeight="1">
      <c r="A94" s="9" t="s">
        <v>161</v>
      </c>
      <c r="B94" s="10">
        <f>IRR(B$101:V$101)</f>
        <v>0.1601030308</v>
      </c>
      <c r="C94" s="10">
        <f>IRR(B$102:V$102)</f>
        <v>0.2073803074</v>
      </c>
      <c r="D94" s="10">
        <f>IRR(B$103:V$103)</f>
        <v>0.2363332188</v>
      </c>
    </row>
    <row r="95" ht="15.75" customHeight="1">
      <c r="A95" s="9" t="s">
        <v>162</v>
      </c>
      <c r="B95" s="10">
        <f>IRR(B$104:V$104)</f>
        <v>0.1300970134</v>
      </c>
      <c r="C95" s="10">
        <f>IRR(B$105:V$105)</f>
        <v>0.1645788235</v>
      </c>
      <c r="D95" s="10">
        <f>IRR(B$106:V$106)</f>
        <v>0.1854961765</v>
      </c>
    </row>
    <row r="96" ht="15.75" customHeight="1">
      <c r="A96" s="9" t="s">
        <v>163</v>
      </c>
      <c r="B96" s="7">
        <f t="array" ref="B96">NPV(Assumptions!$B$37,C$101:V$101)+B$101</f>
        <v>5403352.358</v>
      </c>
      <c r="C96" s="7">
        <f t="array" ref="C96">NPV(Assumptions!$B$37,C$102:V$102)+B$102</f>
        <v>8802111.774</v>
      </c>
      <c r="D96" s="7">
        <f t="array" ref="D96">NPV(Assumptions!$B$37,C$103:V$103)+B$103</f>
        <v>10926336.41</v>
      </c>
    </row>
    <row r="97" ht="15.75" customHeight="1">
      <c r="A97" s="9" t="s">
        <v>164</v>
      </c>
      <c r="B97" s="18">
        <f>SUM(C$101:V$101)/(-B$101)</f>
        <v>3.270793512</v>
      </c>
      <c r="C97" s="18">
        <f>SUM(C$102:V$102)/(-B$102)</f>
        <v>4.045696</v>
      </c>
      <c r="D97" s="18">
        <f>SUM(C$103:V$103)/(-B$103)</f>
        <v>4.530010056</v>
      </c>
    </row>
    <row r="98" ht="15.75" customHeight="1">
      <c r="A98" s="9" t="s">
        <v>165</v>
      </c>
      <c r="B98" s="18">
        <f>AVERAGE(C$48:Q$48)</f>
        <v>5.221346895</v>
      </c>
      <c r="C98" s="18">
        <f>AVERAGE(C$69:Q$69)</f>
        <v>6.319657862</v>
      </c>
      <c r="D98" s="18">
        <f>AVERAGE(C$90:Q$90)</f>
        <v>7.006102217</v>
      </c>
    </row>
    <row r="99" ht="15.75" customHeight="1">
      <c r="A99" s="9" t="s">
        <v>166</v>
      </c>
      <c r="B99" s="7">
        <f>SUM(C$101:V$101)</f>
        <v>28131342.71</v>
      </c>
      <c r="C99" s="7">
        <f>SUM(C$102:V$102)</f>
        <v>34796100.79</v>
      </c>
      <c r="D99" s="7">
        <f>SUM(C$103:V$103)</f>
        <v>38961574.59</v>
      </c>
    </row>
    <row r="100" ht="15.75" customHeight="1"/>
    <row r="101" ht="15.75" customHeight="1">
      <c r="A101" s="38" t="s">
        <v>167</v>
      </c>
      <c r="B101" s="39">
        <f t="shared" ref="B101:B103" si="30">-$B$12</f>
        <v>-8600770</v>
      </c>
      <c r="C101" s="39">
        <f t="shared" ref="C101:V101" si="29">C$46</f>
        <v>1566682.713</v>
      </c>
      <c r="D101" s="39">
        <f t="shared" si="29"/>
        <v>1546546.356</v>
      </c>
      <c r="E101" s="39">
        <f t="shared" si="29"/>
        <v>1526467.878</v>
      </c>
      <c r="F101" s="39">
        <f t="shared" si="29"/>
        <v>1506445.96</v>
      </c>
      <c r="G101" s="39">
        <f t="shared" si="29"/>
        <v>1486479.17</v>
      </c>
      <c r="H101" s="39">
        <f t="shared" si="29"/>
        <v>1400352.325</v>
      </c>
      <c r="I101" s="39">
        <f t="shared" si="29"/>
        <v>1379828.879</v>
      </c>
      <c r="J101" s="39">
        <f t="shared" si="29"/>
        <v>1359348.908</v>
      </c>
      <c r="K101" s="39">
        <f t="shared" si="29"/>
        <v>1338910.398</v>
      </c>
      <c r="L101" s="39">
        <f t="shared" si="29"/>
        <v>1318511.187</v>
      </c>
      <c r="M101" s="39">
        <f t="shared" si="29"/>
        <v>1286550.425</v>
      </c>
      <c r="N101" s="39">
        <f t="shared" si="29"/>
        <v>1266106.707</v>
      </c>
      <c r="O101" s="39">
        <f t="shared" si="29"/>
        <v>1245693.668</v>
      </c>
      <c r="P101" s="39">
        <f t="shared" si="29"/>
        <v>1225308.453</v>
      </c>
      <c r="Q101" s="39">
        <f t="shared" si="29"/>
        <v>1204948.014</v>
      </c>
      <c r="R101" s="39">
        <f t="shared" si="29"/>
        <v>1530800.545</v>
      </c>
      <c r="S101" s="39">
        <f t="shared" si="29"/>
        <v>1512590.041</v>
      </c>
      <c r="T101" s="39">
        <f t="shared" si="29"/>
        <v>1494505.094</v>
      </c>
      <c r="U101" s="39">
        <f t="shared" si="29"/>
        <v>1476547.382</v>
      </c>
      <c r="V101" s="39">
        <f t="shared" si="29"/>
        <v>1458718.61</v>
      </c>
    </row>
    <row r="102" ht="15.75" customHeight="1">
      <c r="A102" s="38" t="s">
        <v>168</v>
      </c>
      <c r="B102" s="39">
        <f t="shared" si="30"/>
        <v>-8600770</v>
      </c>
      <c r="C102" s="39">
        <f t="shared" ref="C102:V102" si="31">C$67</f>
        <v>1949804.201</v>
      </c>
      <c r="D102" s="39">
        <f t="shared" si="31"/>
        <v>1924416.941</v>
      </c>
      <c r="E102" s="39">
        <f t="shared" si="31"/>
        <v>1899087.559</v>
      </c>
      <c r="F102" s="39">
        <f t="shared" si="31"/>
        <v>1873814.738</v>
      </c>
      <c r="G102" s="39">
        <f t="shared" si="31"/>
        <v>1848597.044</v>
      </c>
      <c r="H102" s="39">
        <f t="shared" si="31"/>
        <v>1757219.295</v>
      </c>
      <c r="I102" s="39">
        <f t="shared" si="31"/>
        <v>1731444.946</v>
      </c>
      <c r="J102" s="39">
        <f t="shared" si="31"/>
        <v>1705714.071</v>
      </c>
      <c r="K102" s="39">
        <f t="shared" si="31"/>
        <v>1680024.657</v>
      </c>
      <c r="L102" s="39">
        <f t="shared" si="31"/>
        <v>1654374.543</v>
      </c>
      <c r="M102" s="39">
        <f t="shared" si="31"/>
        <v>1617162.877</v>
      </c>
      <c r="N102" s="39">
        <f t="shared" si="31"/>
        <v>1591468.255</v>
      </c>
      <c r="O102" s="39">
        <f t="shared" si="31"/>
        <v>1565804.313</v>
      </c>
      <c r="P102" s="39">
        <f t="shared" si="31"/>
        <v>1540168.194</v>
      </c>
      <c r="Q102" s="39">
        <f t="shared" si="31"/>
        <v>1514556.852</v>
      </c>
      <c r="R102" s="39">
        <f t="shared" si="31"/>
        <v>1835158.478</v>
      </c>
      <c r="S102" s="39">
        <f t="shared" si="31"/>
        <v>1811697.071</v>
      </c>
      <c r="T102" s="39">
        <f t="shared" si="31"/>
        <v>1788361.221</v>
      </c>
      <c r="U102" s="39">
        <f t="shared" si="31"/>
        <v>1765152.605</v>
      </c>
      <c r="V102" s="39">
        <f t="shared" si="31"/>
        <v>1742072.929</v>
      </c>
    </row>
    <row r="103" ht="15.75" customHeight="1">
      <c r="A103" s="38" t="s">
        <v>169</v>
      </c>
      <c r="B103" s="39">
        <f t="shared" si="30"/>
        <v>-8600770</v>
      </c>
      <c r="C103" s="39">
        <f t="shared" ref="C103:V103" si="32">C$88</f>
        <v>2189255.132</v>
      </c>
      <c r="D103" s="39">
        <f t="shared" si="32"/>
        <v>2160586.056</v>
      </c>
      <c r="E103" s="39">
        <f t="shared" si="32"/>
        <v>2131974.86</v>
      </c>
      <c r="F103" s="39">
        <f t="shared" si="32"/>
        <v>2103420.224</v>
      </c>
      <c r="G103" s="39">
        <f t="shared" si="32"/>
        <v>2074920.715</v>
      </c>
      <c r="H103" s="39">
        <f t="shared" si="32"/>
        <v>1980261.151</v>
      </c>
      <c r="I103" s="39">
        <f t="shared" si="32"/>
        <v>1951204.987</v>
      </c>
      <c r="J103" s="39">
        <f t="shared" si="32"/>
        <v>1922192.298</v>
      </c>
      <c r="K103" s="39">
        <f t="shared" si="32"/>
        <v>1893221.069</v>
      </c>
      <c r="L103" s="39">
        <f t="shared" si="32"/>
        <v>1864289.14</v>
      </c>
      <c r="M103" s="39">
        <f t="shared" si="32"/>
        <v>1823795.66</v>
      </c>
      <c r="N103" s="39">
        <f t="shared" si="32"/>
        <v>1794819.223</v>
      </c>
      <c r="O103" s="39">
        <f t="shared" si="32"/>
        <v>1765873.466</v>
      </c>
      <c r="P103" s="39">
        <f t="shared" si="32"/>
        <v>1736955.533</v>
      </c>
      <c r="Q103" s="39">
        <f t="shared" si="32"/>
        <v>1708062.375</v>
      </c>
      <c r="R103" s="39">
        <f t="shared" si="32"/>
        <v>2025382.187</v>
      </c>
      <c r="S103" s="39">
        <f t="shared" si="32"/>
        <v>1998638.965</v>
      </c>
      <c r="T103" s="39">
        <f t="shared" si="32"/>
        <v>1972021.3</v>
      </c>
      <c r="U103" s="39">
        <f t="shared" si="32"/>
        <v>1945530.87</v>
      </c>
      <c r="V103" s="39">
        <f t="shared" si="32"/>
        <v>1919169.378</v>
      </c>
    </row>
    <row r="104" ht="15.75" customHeight="1">
      <c r="A104" s="38" t="s">
        <v>170</v>
      </c>
      <c r="B104" s="39">
        <f t="shared" ref="B104:B106" si="33">-$B$11</f>
        <v>-12341737</v>
      </c>
      <c r="C104" s="39">
        <f>C$39-MAX(0,(C$39-C$40)*Assumptions!$B$35)</f>
        <v>1903714.987</v>
      </c>
      <c r="D104" s="39">
        <f>D$39-MAX(0,(D$39-D$40)*Assumptions!$B$35)</f>
        <v>1884662.162</v>
      </c>
      <c r="E104" s="39">
        <f>E$39-MAX(0,(E$39-E$40)*Assumptions!$B$35)</f>
        <v>1865721.392</v>
      </c>
      <c r="F104" s="39">
        <f>F$39-MAX(0,(F$39-F$40)*Assumptions!$B$35)</f>
        <v>1846894.067</v>
      </c>
      <c r="G104" s="39">
        <f>G$39-MAX(0,(G$39-G$40)*Assumptions!$B$35)</f>
        <v>1828181.599</v>
      </c>
      <c r="H104" s="39">
        <f>H$39-MAX(0,(H$39-H$40)*Assumptions!$B$35)</f>
        <v>1743371.793</v>
      </c>
      <c r="I104" s="39">
        <f>I$39-MAX(0,(I$39-I$40)*Assumptions!$B$35)</f>
        <v>1724231.238</v>
      </c>
      <c r="J104" s="39">
        <f>J$39-MAX(0,(J$39-J$40)*Assumptions!$B$35)</f>
        <v>1705203.302</v>
      </c>
      <c r="K104" s="39">
        <f>K$39-MAX(0,(K$39-K$40)*Assumptions!$B$35)</f>
        <v>1686289.429</v>
      </c>
      <c r="L104" s="39">
        <f>L$39-MAX(0,(L$39-L$40)*Assumptions!$B$35)</f>
        <v>1667491.087</v>
      </c>
      <c r="M104" s="39">
        <f>M$39-MAX(0,(M$39-M$40)*Assumptions!$B$35)</f>
        <v>1637211.237</v>
      </c>
      <c r="N104" s="39">
        <f>N$39-MAX(0,(N$39-N$40)*Assumptions!$B$35)</f>
        <v>1618532.477</v>
      </c>
      <c r="O104" s="39">
        <f>O$39-MAX(0,(O$39-O$40)*Assumptions!$B$35)</f>
        <v>1599972.644</v>
      </c>
      <c r="P104" s="39">
        <f>P$39-MAX(0,(P$39-P$40)*Assumptions!$B$35)</f>
        <v>1581533.295</v>
      </c>
      <c r="Q104" s="39">
        <f>Q$39-MAX(0,(Q$39-Q$40)*Assumptions!$B$35)</f>
        <v>1563216.015</v>
      </c>
      <c r="R104" s="39">
        <f>R$39-MAX(0,(R$39-R$40)*Assumptions!$B$35)</f>
        <v>1530800.545</v>
      </c>
      <c r="S104" s="39">
        <f>S$39-MAX(0,(S$39-S$40)*Assumptions!$B$35)</f>
        <v>1512590.041</v>
      </c>
      <c r="T104" s="39">
        <f>T$39-MAX(0,(T$39-T$40)*Assumptions!$B$35)</f>
        <v>1494505.094</v>
      </c>
      <c r="U104" s="39">
        <f>U$39-MAX(0,(U$39-U$40)*Assumptions!$B$35)</f>
        <v>1476547.382</v>
      </c>
      <c r="V104" s="39">
        <f>V$39-MAX(0,(V$39-V$40)*Assumptions!$B$35)</f>
        <v>1458718.61</v>
      </c>
    </row>
    <row r="105" ht="15.75" customHeight="1">
      <c r="A105" s="38" t="s">
        <v>171</v>
      </c>
      <c r="B105" s="39">
        <f t="shared" si="33"/>
        <v>-12341737</v>
      </c>
      <c r="C105" s="39">
        <f>C$60-MAX(0,(C$60-C$61)*Assumptions!$B$35)</f>
        <v>2286836.476</v>
      </c>
      <c r="D105" s="39">
        <f>D$60-MAX(0,(D$60-D$61)*Assumptions!$B$35)</f>
        <v>2262532.747</v>
      </c>
      <c r="E105" s="39">
        <f>E$60-MAX(0,(E$60-E$61)*Assumptions!$B$35)</f>
        <v>2238341.073</v>
      </c>
      <c r="F105" s="39">
        <f>F$60-MAX(0,(F$60-F$61)*Assumptions!$B$35)</f>
        <v>2214262.844</v>
      </c>
      <c r="G105" s="39">
        <f>G$60-MAX(0,(G$60-G$61)*Assumptions!$B$35)</f>
        <v>2190299.473</v>
      </c>
      <c r="H105" s="39">
        <f>H$60-MAX(0,(H$60-H$61)*Assumptions!$B$35)</f>
        <v>2100238.763</v>
      </c>
      <c r="I105" s="39">
        <f>I$60-MAX(0,(I$60-I$61)*Assumptions!$B$35)</f>
        <v>2075847.304</v>
      </c>
      <c r="J105" s="39">
        <f>J$60-MAX(0,(J$60-J$61)*Assumptions!$B$35)</f>
        <v>2051568.465</v>
      </c>
      <c r="K105" s="39">
        <f>K$60-MAX(0,(K$60-K$61)*Assumptions!$B$35)</f>
        <v>2027403.688</v>
      </c>
      <c r="L105" s="39">
        <f>L$60-MAX(0,(L$60-L$61)*Assumptions!$B$35)</f>
        <v>2003354.442</v>
      </c>
      <c r="M105" s="39">
        <f>M$60-MAX(0,(M$60-M$61)*Assumptions!$B$35)</f>
        <v>1967823.689</v>
      </c>
      <c r="N105" s="39">
        <f>N$60-MAX(0,(N$60-N$61)*Assumptions!$B$35)</f>
        <v>1943894.025</v>
      </c>
      <c r="O105" s="39">
        <f>O$60-MAX(0,(O$60-O$61)*Assumptions!$B$35)</f>
        <v>1920083.289</v>
      </c>
      <c r="P105" s="39">
        <f>P$60-MAX(0,(P$60-P$61)*Assumptions!$B$35)</f>
        <v>1896393.036</v>
      </c>
      <c r="Q105" s="39">
        <f>Q$60-MAX(0,(Q$60-Q$61)*Assumptions!$B$35)</f>
        <v>1872824.853</v>
      </c>
      <c r="R105" s="39">
        <f>R$60-MAX(0,(R$60-R$61)*Assumptions!$B$35)</f>
        <v>1835158.478</v>
      </c>
      <c r="S105" s="39">
        <f>S$60-MAX(0,(S$60-S$61)*Assumptions!$B$35)</f>
        <v>1811697.071</v>
      </c>
      <c r="T105" s="39">
        <f>T$60-MAX(0,(T$60-T$61)*Assumptions!$B$35)</f>
        <v>1788361.221</v>
      </c>
      <c r="U105" s="39">
        <f>U$60-MAX(0,(U$60-U$61)*Assumptions!$B$35)</f>
        <v>1765152.605</v>
      </c>
      <c r="V105" s="39">
        <f>V$60-MAX(0,(V$60-V$61)*Assumptions!$B$35)</f>
        <v>1742072.929</v>
      </c>
    </row>
    <row r="106" ht="15.75" customHeight="1">
      <c r="A106" s="38" t="s">
        <v>172</v>
      </c>
      <c r="B106" s="39">
        <f t="shared" si="33"/>
        <v>-12341737</v>
      </c>
      <c r="C106" s="39">
        <f>C$81-MAX(0,(C$81-C$82)*Assumptions!$B$35)</f>
        <v>2526287.406</v>
      </c>
      <c r="D106" s="39">
        <f>D$81-MAX(0,(D$81-D$82)*Assumptions!$B$35)</f>
        <v>2498701.862</v>
      </c>
      <c r="E106" s="39">
        <f>E$81-MAX(0,(E$81-E$82)*Assumptions!$B$35)</f>
        <v>2471228.374</v>
      </c>
      <c r="F106" s="39">
        <f>F$81-MAX(0,(F$81-F$82)*Assumptions!$B$35)</f>
        <v>2443868.33</v>
      </c>
      <c r="G106" s="39">
        <f>G$81-MAX(0,(G$81-G$82)*Assumptions!$B$35)</f>
        <v>2416623.144</v>
      </c>
      <c r="H106" s="39">
        <f>H$81-MAX(0,(H$81-H$82)*Assumptions!$B$35)</f>
        <v>2323280.619</v>
      </c>
      <c r="I106" s="39">
        <f>I$81-MAX(0,(I$81-I$82)*Assumptions!$B$35)</f>
        <v>2295607.346</v>
      </c>
      <c r="J106" s="39">
        <f>J$81-MAX(0,(J$81-J$82)*Assumptions!$B$35)</f>
        <v>2268046.692</v>
      </c>
      <c r="K106" s="39">
        <f>K$81-MAX(0,(K$81-K$82)*Assumptions!$B$35)</f>
        <v>2240600.1</v>
      </c>
      <c r="L106" s="39">
        <f>L$81-MAX(0,(L$81-L$82)*Assumptions!$B$35)</f>
        <v>2213269.04</v>
      </c>
      <c r="M106" s="39">
        <f>M$81-MAX(0,(M$81-M$82)*Assumptions!$B$35)</f>
        <v>2174456.472</v>
      </c>
      <c r="N106" s="39">
        <f>N$81-MAX(0,(N$81-N$82)*Assumptions!$B$35)</f>
        <v>2147244.993</v>
      </c>
      <c r="O106" s="39">
        <f>O$81-MAX(0,(O$81-O$82)*Assumptions!$B$35)</f>
        <v>2120152.442</v>
      </c>
      <c r="P106" s="39">
        <f>P$81-MAX(0,(P$81-P$82)*Assumptions!$B$35)</f>
        <v>2093180.375</v>
      </c>
      <c r="Q106" s="39">
        <f>Q$81-MAX(0,(Q$81-Q$82)*Assumptions!$B$35)</f>
        <v>2066330.376</v>
      </c>
      <c r="R106" s="39">
        <f>R$81-MAX(0,(R$81-R$82)*Assumptions!$B$35)</f>
        <v>2025382.187</v>
      </c>
      <c r="S106" s="39">
        <f>S$81-MAX(0,(S$81-S$82)*Assumptions!$B$35)</f>
        <v>1998638.965</v>
      </c>
      <c r="T106" s="39">
        <f>T$81-MAX(0,(T$81-T$82)*Assumptions!$B$35)</f>
        <v>1972021.3</v>
      </c>
      <c r="U106" s="39">
        <f>U$81-MAX(0,(U$81-U$82)*Assumptions!$B$35)</f>
        <v>1945530.87</v>
      </c>
      <c r="V106" s="39">
        <f>V$81-MAX(0,(V$81-V$82)*Assumptions!$B$35)</f>
        <v>1919169.378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0.0"/>
    <col customWidth="1" min="2" max="23" width="14.0"/>
    <col customWidth="1" min="24" max="26" width="8.71"/>
  </cols>
  <sheetData>
    <row r="1">
      <c r="A1" s="19" t="s">
        <v>173</v>
      </c>
    </row>
    <row r="2">
      <c r="A2" s="2" t="s">
        <v>174</v>
      </c>
    </row>
    <row r="4">
      <c r="A4" s="4" t="s">
        <v>112</v>
      </c>
      <c r="B4" s="5"/>
      <c r="C4" s="5"/>
    </row>
    <row r="5">
      <c r="A5" s="6" t="s">
        <v>113</v>
      </c>
      <c r="B5" s="26">
        <v>5.0</v>
      </c>
    </row>
    <row r="6">
      <c r="A6" s="6" t="s">
        <v>114</v>
      </c>
      <c r="B6" s="26">
        <v>20.0</v>
      </c>
    </row>
    <row r="7">
      <c r="A7" s="6" t="s">
        <v>115</v>
      </c>
      <c r="B7" s="27">
        <f>B6/Assumptions!$B$6</f>
        <v>5</v>
      </c>
    </row>
    <row r="8">
      <c r="A8" s="6" t="s">
        <v>116</v>
      </c>
      <c r="B8" s="26">
        <v>2700385.0</v>
      </c>
    </row>
    <row r="9">
      <c r="A9" s="6" t="s">
        <v>117</v>
      </c>
      <c r="B9" s="27">
        <f>B5*Assumptions!$B$5</f>
        <v>1750000</v>
      </c>
    </row>
    <row r="10">
      <c r="A10" s="6" t="s">
        <v>118</v>
      </c>
      <c r="B10" s="26">
        <v>1919179.0</v>
      </c>
    </row>
    <row r="11">
      <c r="A11" s="15" t="s">
        <v>6</v>
      </c>
      <c r="B11" s="17">
        <f>B8+B9+B10</f>
        <v>6369564</v>
      </c>
      <c r="C11" s="15"/>
    </row>
    <row r="12">
      <c r="A12" s="15" t="s">
        <v>119</v>
      </c>
      <c r="B12" s="17">
        <f>B8+B9</f>
        <v>4450385</v>
      </c>
      <c r="C12" s="15"/>
    </row>
    <row r="13">
      <c r="A13" s="6" t="s">
        <v>120</v>
      </c>
      <c r="B13" s="27">
        <f>B10</f>
        <v>1919179</v>
      </c>
    </row>
    <row r="14">
      <c r="A14" s="15" t="s">
        <v>121</v>
      </c>
      <c r="B14" s="17">
        <f>-PMT(Assumptions!$B$38,Assumptions!$B$39,B13)</f>
        <v>184898.0952</v>
      </c>
      <c r="C14" s="15"/>
    </row>
    <row r="15">
      <c r="A15" s="6" t="s">
        <v>122</v>
      </c>
      <c r="B15" s="27">
        <f>B11/Assumptions!$B$7</f>
        <v>318478.2</v>
      </c>
    </row>
    <row r="16">
      <c r="A16" s="6" t="s">
        <v>123</v>
      </c>
      <c r="B16" s="28">
        <v>3.0</v>
      </c>
    </row>
    <row r="18">
      <c r="A18" s="4" t="s">
        <v>124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11" t="s">
        <v>125</v>
      </c>
      <c r="C19" s="11">
        <v>1.0</v>
      </c>
      <c r="D19" s="11">
        <v>2.0</v>
      </c>
      <c r="E19" s="11">
        <v>3.0</v>
      </c>
      <c r="F19" s="11">
        <v>4.0</v>
      </c>
      <c r="G19" s="11">
        <v>5.0</v>
      </c>
      <c r="H19" s="11">
        <v>6.0</v>
      </c>
      <c r="I19" s="11">
        <v>7.0</v>
      </c>
      <c r="J19" s="11">
        <v>8.0</v>
      </c>
      <c r="K19" s="11">
        <v>9.0</v>
      </c>
      <c r="L19" s="11">
        <v>10.0</v>
      </c>
      <c r="M19" s="11">
        <v>11.0</v>
      </c>
      <c r="N19" s="11">
        <v>12.0</v>
      </c>
      <c r="O19" s="11">
        <v>13.0</v>
      </c>
      <c r="P19" s="11">
        <v>14.0</v>
      </c>
      <c r="Q19" s="11">
        <v>15.0</v>
      </c>
      <c r="R19" s="11">
        <v>16.0</v>
      </c>
      <c r="S19" s="11">
        <v>17.0</v>
      </c>
      <c r="T19" s="11">
        <v>18.0</v>
      </c>
      <c r="U19" s="11">
        <v>19.0</v>
      </c>
      <c r="V19" s="11">
        <v>20.0</v>
      </c>
      <c r="W19" s="11" t="s">
        <v>126</v>
      </c>
    </row>
    <row r="20">
      <c r="A20" s="11" t="s">
        <v>127</v>
      </c>
      <c r="C20" s="11">
        <v>2026.0</v>
      </c>
      <c r="D20" s="11">
        <v>2027.0</v>
      </c>
      <c r="E20" s="11">
        <v>2028.0</v>
      </c>
      <c r="F20" s="11">
        <v>2029.0</v>
      </c>
      <c r="G20" s="11">
        <v>2030.0</v>
      </c>
      <c r="H20" s="11">
        <v>2031.0</v>
      </c>
      <c r="I20" s="11">
        <v>2032.0</v>
      </c>
      <c r="J20" s="11">
        <v>2033.0</v>
      </c>
      <c r="K20" s="11">
        <v>2034.0</v>
      </c>
      <c r="L20" s="11">
        <v>2035.0</v>
      </c>
      <c r="M20" s="11">
        <v>2036.0</v>
      </c>
      <c r="N20" s="11">
        <v>2037.0</v>
      </c>
      <c r="O20" s="11">
        <v>2038.0</v>
      </c>
      <c r="P20" s="11">
        <v>2039.0</v>
      </c>
      <c r="Q20" s="11">
        <v>2040.0</v>
      </c>
      <c r="R20" s="11">
        <v>2041.0</v>
      </c>
      <c r="S20" s="11">
        <v>2042.0</v>
      </c>
      <c r="T20" s="11">
        <v>2043.0</v>
      </c>
      <c r="U20" s="11">
        <v>2044.0</v>
      </c>
      <c r="V20" s="11">
        <v>2045.0</v>
      </c>
      <c r="W20" s="29"/>
    </row>
    <row r="21" ht="15.75" customHeight="1">
      <c r="A21" s="6" t="s">
        <v>128</v>
      </c>
      <c r="C21" s="14">
        <f>IF(C$19=1,$B$5*Assumptions!$B$10*(1-Assumptions!$B$11),$B$5*Assumptions!$B$10*(1-Assumptions!$B$11)*(1-Assumptions!$B$12)^(C$19-1))</f>
        <v>8531.25</v>
      </c>
      <c r="D21" s="14">
        <f>IF(D$19=1,$B$5*Assumptions!$B$10*(1-Assumptions!$B$11),$B$5*Assumptions!$B$10*(1-Assumptions!$B$11)*(1-Assumptions!$B$12)^(D$19-1))</f>
        <v>8488.59375</v>
      </c>
      <c r="E21" s="14">
        <f>IF(E$19=1,$B$5*Assumptions!$B$10*(1-Assumptions!$B$11),$B$5*Assumptions!$B$10*(1-Assumptions!$B$11)*(1-Assumptions!$B$12)^(E$19-1))</f>
        <v>8446.150781</v>
      </c>
      <c r="F21" s="14">
        <f>IF(F$19=1,$B$5*Assumptions!$B$10*(1-Assumptions!$B$11),$B$5*Assumptions!$B$10*(1-Assumptions!$B$11)*(1-Assumptions!$B$12)^(F$19-1))</f>
        <v>8403.920027</v>
      </c>
      <c r="G21" s="14">
        <f>IF(G$19=1,$B$5*Assumptions!$B$10*(1-Assumptions!$B$11),$B$5*Assumptions!$B$10*(1-Assumptions!$B$11)*(1-Assumptions!$B$12)^(G$19-1))</f>
        <v>8361.900427</v>
      </c>
      <c r="H21" s="14">
        <f>IF(H$19=1,$B$5*Assumptions!$B$10*(1-Assumptions!$B$11),$B$5*Assumptions!$B$10*(1-Assumptions!$B$11)*(1-Assumptions!$B$12)^(H$19-1))</f>
        <v>8320.090925</v>
      </c>
      <c r="I21" s="14">
        <f>IF(I$19=1,$B$5*Assumptions!$B$10*(1-Assumptions!$B$11),$B$5*Assumptions!$B$10*(1-Assumptions!$B$11)*(1-Assumptions!$B$12)^(I$19-1))</f>
        <v>8278.49047</v>
      </c>
      <c r="J21" s="14">
        <f>IF(J$19=1,$B$5*Assumptions!$B$10*(1-Assumptions!$B$11),$B$5*Assumptions!$B$10*(1-Assumptions!$B$11)*(1-Assumptions!$B$12)^(J$19-1))</f>
        <v>8237.098018</v>
      </c>
      <c r="K21" s="14">
        <f>IF(K$19=1,$B$5*Assumptions!$B$10*(1-Assumptions!$B$11),$B$5*Assumptions!$B$10*(1-Assumptions!$B$11)*(1-Assumptions!$B$12)^(K$19-1))</f>
        <v>8195.912528</v>
      </c>
      <c r="L21" s="14">
        <f>IF(L$19=1,$B$5*Assumptions!$B$10*(1-Assumptions!$B$11),$B$5*Assumptions!$B$10*(1-Assumptions!$B$11)*(1-Assumptions!$B$12)^(L$19-1))</f>
        <v>8154.932965</v>
      </c>
      <c r="M21" s="14">
        <f>IF(M$19=1,$B$5*Assumptions!$B$10*(1-Assumptions!$B$11),$B$5*Assumptions!$B$10*(1-Assumptions!$B$11)*(1-Assumptions!$B$12)^(M$19-1))</f>
        <v>8114.158301</v>
      </c>
      <c r="N21" s="14">
        <f>IF(N$19=1,$B$5*Assumptions!$B$10*(1-Assumptions!$B$11),$B$5*Assumptions!$B$10*(1-Assumptions!$B$11)*(1-Assumptions!$B$12)^(N$19-1))</f>
        <v>8073.587509</v>
      </c>
      <c r="O21" s="14">
        <f>IF(O$19=1,$B$5*Assumptions!$B$10*(1-Assumptions!$B$11),$B$5*Assumptions!$B$10*(1-Assumptions!$B$11)*(1-Assumptions!$B$12)^(O$19-1))</f>
        <v>8033.219571</v>
      </c>
      <c r="P21" s="14">
        <f>IF(P$19=1,$B$5*Assumptions!$B$10*(1-Assumptions!$B$11),$B$5*Assumptions!$B$10*(1-Assumptions!$B$11)*(1-Assumptions!$B$12)^(P$19-1))</f>
        <v>7993.053474</v>
      </c>
      <c r="Q21" s="14">
        <f>IF(Q$19=1,$B$5*Assumptions!$B$10*(1-Assumptions!$B$11),$B$5*Assumptions!$B$10*(1-Assumptions!$B$11)*(1-Assumptions!$B$12)^(Q$19-1))</f>
        <v>7953.088206</v>
      </c>
      <c r="R21" s="14">
        <f>IF(R$19=1,$B$5*Assumptions!$B$10*(1-Assumptions!$B$11),$B$5*Assumptions!$B$10*(1-Assumptions!$B$11)*(1-Assumptions!$B$12)^(R$19-1))</f>
        <v>7913.322765</v>
      </c>
      <c r="S21" s="14">
        <f>IF(S$19=1,$B$5*Assumptions!$B$10*(1-Assumptions!$B$11),$B$5*Assumptions!$B$10*(1-Assumptions!$B$11)*(1-Assumptions!$B$12)^(S$19-1))</f>
        <v>7873.756151</v>
      </c>
      <c r="T21" s="14">
        <f>IF(T$19=1,$B$5*Assumptions!$B$10*(1-Assumptions!$B$11),$B$5*Assumptions!$B$10*(1-Assumptions!$B$11)*(1-Assumptions!$B$12)^(T$19-1))</f>
        <v>7834.387371</v>
      </c>
      <c r="U21" s="14">
        <f>IF(U$19=1,$B$5*Assumptions!$B$10*(1-Assumptions!$B$11),$B$5*Assumptions!$B$10*(1-Assumptions!$B$11)*(1-Assumptions!$B$12)^(U$19-1))</f>
        <v>7795.215434</v>
      </c>
      <c r="V21" s="14">
        <f>IF(V$19=1,$B$5*Assumptions!$B$10*(1-Assumptions!$B$11),$B$5*Assumptions!$B$10*(1-Assumptions!$B$11)*(1-Assumptions!$B$12)^(V$19-1))</f>
        <v>7756.239357</v>
      </c>
      <c r="W21" s="14">
        <f>SUM(C$21:V$21)</f>
        <v>162758.368</v>
      </c>
    </row>
    <row r="22" ht="15.75" customHeight="1">
      <c r="A22" s="6" t="s">
        <v>129</v>
      </c>
      <c r="C22" s="14">
        <f>C$21*(1-Assumptions!$B$13)</f>
        <v>4265.625</v>
      </c>
      <c r="D22" s="14">
        <f>D$21*(1-Assumptions!$B$13)</f>
        <v>4244.296875</v>
      </c>
      <c r="E22" s="14">
        <f>E$21*(1-Assumptions!$B$13)</f>
        <v>4223.075391</v>
      </c>
      <c r="F22" s="14">
        <f>F$21*(1-Assumptions!$B$13)</f>
        <v>4201.960014</v>
      </c>
      <c r="G22" s="14">
        <f>G$21*(1-Assumptions!$B$13)</f>
        <v>4180.950214</v>
      </c>
      <c r="H22" s="14">
        <f>H$21*(1-Assumptions!$B$13)</f>
        <v>4160.045463</v>
      </c>
      <c r="I22" s="14">
        <f>I$21*(1-Assumptions!$B$13)</f>
        <v>4139.245235</v>
      </c>
      <c r="J22" s="14">
        <f>J$21*(1-Assumptions!$B$13)</f>
        <v>4118.549009</v>
      </c>
      <c r="K22" s="14">
        <f>K$21*(1-Assumptions!$B$13)</f>
        <v>4097.956264</v>
      </c>
      <c r="L22" s="14">
        <f>L$21*(1-Assumptions!$B$13)</f>
        <v>4077.466483</v>
      </c>
      <c r="M22" s="14">
        <f>M$21*(1-Assumptions!$B$13)</f>
        <v>4057.07915</v>
      </c>
      <c r="N22" s="14">
        <f>N$21*(1-Assumptions!$B$13)</f>
        <v>4036.793755</v>
      </c>
      <c r="O22" s="14">
        <f>O$21*(1-Assumptions!$B$13)</f>
        <v>4016.609786</v>
      </c>
      <c r="P22" s="14">
        <f>P$21*(1-Assumptions!$B$13)</f>
        <v>3996.526737</v>
      </c>
      <c r="Q22" s="14">
        <f>Q$21*(1-Assumptions!$B$13)</f>
        <v>3976.544103</v>
      </c>
      <c r="R22" s="14">
        <f>R$21*(1-Assumptions!$B$13)</f>
        <v>3956.661383</v>
      </c>
      <c r="S22" s="14">
        <f>S$21*(1-Assumptions!$B$13)</f>
        <v>3936.878076</v>
      </c>
      <c r="T22" s="14">
        <f>T$21*(1-Assumptions!$B$13)</f>
        <v>3917.193685</v>
      </c>
      <c r="U22" s="14">
        <f>U$21*(1-Assumptions!$B$13)</f>
        <v>3897.607717</v>
      </c>
      <c r="V22" s="14">
        <f>V$21*(1-Assumptions!$B$13)</f>
        <v>3878.119678</v>
      </c>
      <c r="W22" s="14">
        <f>SUM(C$22:V$22)</f>
        <v>81379.18402</v>
      </c>
    </row>
    <row r="23" ht="15.75" customHeight="1">
      <c r="A23" s="6" t="s">
        <v>130</v>
      </c>
      <c r="C23" s="14">
        <f>C$21*Assumptions!$B$13</f>
        <v>4265.625</v>
      </c>
      <c r="D23" s="14">
        <f>D$21*Assumptions!$B$13</f>
        <v>4244.296875</v>
      </c>
      <c r="E23" s="14">
        <f>E$21*Assumptions!$B$13</f>
        <v>4223.075391</v>
      </c>
      <c r="F23" s="14">
        <f>F$21*Assumptions!$B$13</f>
        <v>4201.960014</v>
      </c>
      <c r="G23" s="14">
        <f>G$21*Assumptions!$B$13</f>
        <v>4180.950214</v>
      </c>
      <c r="H23" s="14">
        <f>H$21*Assumptions!$B$13</f>
        <v>4160.045463</v>
      </c>
      <c r="I23" s="14">
        <f>I$21*Assumptions!$B$13</f>
        <v>4139.245235</v>
      </c>
      <c r="J23" s="14">
        <f>J$21*Assumptions!$B$13</f>
        <v>4118.549009</v>
      </c>
      <c r="K23" s="14">
        <f>K$21*Assumptions!$B$13</f>
        <v>4097.956264</v>
      </c>
      <c r="L23" s="14">
        <f>L$21*Assumptions!$B$13</f>
        <v>4077.466483</v>
      </c>
      <c r="M23" s="14">
        <f>M$21*Assumptions!$B$13</f>
        <v>4057.07915</v>
      </c>
      <c r="N23" s="14">
        <f>N$21*Assumptions!$B$13</f>
        <v>4036.793755</v>
      </c>
      <c r="O23" s="14">
        <f>O$21*Assumptions!$B$13</f>
        <v>4016.609786</v>
      </c>
      <c r="P23" s="14">
        <f>P$21*Assumptions!$B$13</f>
        <v>3996.526737</v>
      </c>
      <c r="Q23" s="14">
        <f>Q$21*Assumptions!$B$13</f>
        <v>3976.544103</v>
      </c>
      <c r="R23" s="14">
        <f>R$21*Assumptions!$B$13</f>
        <v>3956.661383</v>
      </c>
      <c r="S23" s="14">
        <f>S$21*Assumptions!$B$13</f>
        <v>3936.878076</v>
      </c>
      <c r="T23" s="14">
        <f>T$21*Assumptions!$B$13</f>
        <v>3917.193685</v>
      </c>
      <c r="U23" s="14">
        <f>U$21*Assumptions!$B$13</f>
        <v>3897.607717</v>
      </c>
      <c r="V23" s="14">
        <f>V$21*Assumptions!$B$13</f>
        <v>3878.119678</v>
      </c>
      <c r="W23" s="14">
        <f>SUM(C$23:V$23)</f>
        <v>81379.18402</v>
      </c>
    </row>
    <row r="24" ht="15.75" customHeight="1">
      <c r="A24" s="6" t="s">
        <v>131</v>
      </c>
      <c r="C24" s="30">
        <f>MAX(0.6,Assumptions!$B$20-Assumptions!$B$21*(C$19-1))</f>
        <v>0.985</v>
      </c>
      <c r="D24" s="30">
        <f>MAX(0.6,Assumptions!$B$20-Assumptions!$B$21*(D$19-1))</f>
        <v>0.9715</v>
      </c>
      <c r="E24" s="30">
        <f>MAX(0.6,Assumptions!$B$20-Assumptions!$B$21*(E$19-1))</f>
        <v>0.958</v>
      </c>
      <c r="F24" s="30">
        <f>MAX(0.6,Assumptions!$B$20-Assumptions!$B$21*(F$19-1))</f>
        <v>0.9445</v>
      </c>
      <c r="G24" s="30">
        <f>MAX(0.6,Assumptions!$B$20-Assumptions!$B$21*(G$19-1))</f>
        <v>0.931</v>
      </c>
      <c r="H24" s="30">
        <f>MAX(0.6,Assumptions!$B$20-Assumptions!$B$21*(H$19-1))</f>
        <v>0.9175</v>
      </c>
      <c r="I24" s="30">
        <f>MAX(0.6,Assumptions!$B$20-Assumptions!$B$21*(I$19-1))</f>
        <v>0.904</v>
      </c>
      <c r="J24" s="30">
        <f>MAX(0.6,Assumptions!$B$20-Assumptions!$B$21*(J$19-1))</f>
        <v>0.8905</v>
      </c>
      <c r="K24" s="30">
        <f>MAX(0.6,Assumptions!$B$20-Assumptions!$B$21*(K$19-1))</f>
        <v>0.877</v>
      </c>
      <c r="L24" s="30">
        <f>MAX(0.6,Assumptions!$B$20-Assumptions!$B$21*(L$19-1))</f>
        <v>0.8635</v>
      </c>
      <c r="M24" s="30">
        <f>MAX(0.6,Assumptions!$B$20-Assumptions!$B$21*(M$19-1))</f>
        <v>0.85</v>
      </c>
      <c r="N24" s="30">
        <f>MAX(0.6,Assumptions!$B$20-Assumptions!$B$21*(N$19-1))</f>
        <v>0.8365</v>
      </c>
      <c r="O24" s="30">
        <f>MAX(0.6,Assumptions!$B$20-Assumptions!$B$21*(O$19-1))</f>
        <v>0.823</v>
      </c>
      <c r="P24" s="30">
        <f>MAX(0.6,Assumptions!$B$20-Assumptions!$B$21*(P$19-1))</f>
        <v>0.8095</v>
      </c>
      <c r="Q24" s="30">
        <f>MAX(0.6,Assumptions!$B$20-Assumptions!$B$21*(Q$19-1))</f>
        <v>0.796</v>
      </c>
      <c r="R24" s="30">
        <f>MAX(0.6,Assumptions!$B$20-Assumptions!$B$21*(R$19-1))</f>
        <v>0.7825</v>
      </c>
      <c r="S24" s="30">
        <f>MAX(0.6,Assumptions!$B$20-Assumptions!$B$21*(S$19-1))</f>
        <v>0.769</v>
      </c>
      <c r="T24" s="30">
        <f>MAX(0.6,Assumptions!$B$20-Assumptions!$B$21*(T$19-1))</f>
        <v>0.7555</v>
      </c>
      <c r="U24" s="30">
        <f>MAX(0.6,Assumptions!$B$20-Assumptions!$B$21*(U$19-1))</f>
        <v>0.742</v>
      </c>
      <c r="V24" s="30">
        <f>MAX(0.6,Assumptions!$B$20-Assumptions!$B$21*(V$19-1))</f>
        <v>0.7285</v>
      </c>
      <c r="W24" s="30">
        <f>AVERAGE(C$24:V$24)</f>
        <v>0.85675</v>
      </c>
    </row>
    <row r="25" ht="15.75" customHeight="1">
      <c r="A25" s="6" t="s">
        <v>132</v>
      </c>
      <c r="C25" s="14">
        <f>$B$6*C$24*Assumptions!$B$22*Assumptions!$B$19*Assumptions!$B$24*365*Assumptions!$B$23</f>
        <v>5473.164123</v>
      </c>
      <c r="D25" s="14">
        <f>$B$6*D$24*Assumptions!$B$22*Assumptions!$B$19*Assumptions!$B$24*365*Assumptions!$B$23</f>
        <v>5398.151214</v>
      </c>
      <c r="E25" s="14">
        <f>$B$6*E$24*Assumptions!$B$22*Assumptions!$B$19*Assumptions!$B$24*365*Assumptions!$B$23</f>
        <v>5323.138304</v>
      </c>
      <c r="F25" s="14">
        <f>$B$6*F$24*Assumptions!$B$22*Assumptions!$B$19*Assumptions!$B$24*365*Assumptions!$B$23</f>
        <v>5248.125395</v>
      </c>
      <c r="G25" s="14">
        <f>$B$6*G$24*Assumptions!$B$22*Assumptions!$B$19*Assumptions!$B$24*365*Assumptions!$B$23</f>
        <v>5173.112486</v>
      </c>
      <c r="H25" s="14">
        <f>$B$6*H$24*Assumptions!$B$22*Assumptions!$B$19*Assumptions!$B$24*365*Assumptions!$B$23</f>
        <v>5098.099577</v>
      </c>
      <c r="I25" s="14">
        <f>$B$6*I$24*Assumptions!$B$22*Assumptions!$B$19*Assumptions!$B$24*365*Assumptions!$B$23</f>
        <v>5023.086667</v>
      </c>
      <c r="J25" s="14">
        <f>$B$6*J$24*Assumptions!$B$22*Assumptions!$B$19*Assumptions!$B$24*365*Assumptions!$B$23</f>
        <v>4948.073758</v>
      </c>
      <c r="K25" s="14">
        <f>$B$6*K$24*Assumptions!$B$22*Assumptions!$B$19*Assumptions!$B$24*365*Assumptions!$B$23</f>
        <v>4873.060849</v>
      </c>
      <c r="L25" s="14">
        <f>$B$6*L$24*Assumptions!$B$22*Assumptions!$B$19*Assumptions!$B$24*365*Assumptions!$B$23</f>
        <v>4798.047939</v>
      </c>
      <c r="M25" s="14">
        <f>$B$6*M$24*Assumptions!$B$22*Assumptions!$B$19*Assumptions!$B$24*365*Assumptions!$B$23</f>
        <v>4723.03503</v>
      </c>
      <c r="N25" s="14">
        <f>$B$6*N$24*Assumptions!$B$22*Assumptions!$B$19*Assumptions!$B$24*365*Assumptions!$B$23</f>
        <v>4648.022121</v>
      </c>
      <c r="O25" s="14">
        <f>$B$6*O$24*Assumptions!$B$22*Assumptions!$B$19*Assumptions!$B$24*365*Assumptions!$B$23</f>
        <v>4573.009211</v>
      </c>
      <c r="P25" s="14">
        <f>$B$6*P$24*Assumptions!$B$22*Assumptions!$B$19*Assumptions!$B$24*365*Assumptions!$B$23</f>
        <v>4497.996302</v>
      </c>
      <c r="Q25" s="14">
        <f>$B$6*Q$24*Assumptions!$B$22*Assumptions!$B$19*Assumptions!$B$24*365*Assumptions!$B$23</f>
        <v>4422.983393</v>
      </c>
      <c r="R25" s="14">
        <f>$B$6*R$24*Assumptions!$B$22*Assumptions!$B$19*Assumptions!$B$24*365*Assumptions!$B$23</f>
        <v>4347.970484</v>
      </c>
      <c r="S25" s="14">
        <f>$B$6*S$24*Assumptions!$B$22*Assumptions!$B$19*Assumptions!$B$24*365*Assumptions!$B$23</f>
        <v>4272.957574</v>
      </c>
      <c r="T25" s="14">
        <f>$B$6*T$24*Assumptions!$B$22*Assumptions!$B$19*Assumptions!$B$24*365*Assumptions!$B$23</f>
        <v>4197.944665</v>
      </c>
      <c r="U25" s="14">
        <f>$B$6*U$24*Assumptions!$B$22*Assumptions!$B$19*Assumptions!$B$24*365*Assumptions!$B$23</f>
        <v>4122.931756</v>
      </c>
      <c r="V25" s="14">
        <f>$B$6*V$24*Assumptions!$B$22*Assumptions!$B$19*Assumptions!$B$24*365*Assumptions!$B$23</f>
        <v>4047.918846</v>
      </c>
      <c r="W25" s="14">
        <f>SUM(C$25:V$25)</f>
        <v>95210.82969</v>
      </c>
    </row>
    <row r="26" ht="15.75" customHeight="1">
      <c r="A26" s="6" t="s">
        <v>133</v>
      </c>
      <c r="C26" s="14">
        <f>$B$6*C$24*Assumptions!$B$22*Assumptions!$B$24*365*Assumptions!$B$23</f>
        <v>6342.021</v>
      </c>
      <c r="D26" s="14">
        <f>$B$6*D$24*Assumptions!$B$22*Assumptions!$B$24*365*Assumptions!$B$23</f>
        <v>6255.0999</v>
      </c>
      <c r="E26" s="14">
        <f>$B$6*E$24*Assumptions!$B$22*Assumptions!$B$24*365*Assumptions!$B$23</f>
        <v>6168.1788</v>
      </c>
      <c r="F26" s="14">
        <f>$B$6*F$24*Assumptions!$B$22*Assumptions!$B$24*365*Assumptions!$B$23</f>
        <v>6081.2577</v>
      </c>
      <c r="G26" s="14">
        <f>$B$6*G$24*Assumptions!$B$22*Assumptions!$B$24*365*Assumptions!$B$23</f>
        <v>5994.3366</v>
      </c>
      <c r="H26" s="14">
        <f>$B$6*H$24*Assumptions!$B$22*Assumptions!$B$24*365*Assumptions!$B$23</f>
        <v>5907.4155</v>
      </c>
      <c r="I26" s="14">
        <f>$B$6*I$24*Assumptions!$B$22*Assumptions!$B$24*365*Assumptions!$B$23</f>
        <v>5820.4944</v>
      </c>
      <c r="J26" s="14">
        <f>$B$6*J$24*Assumptions!$B$22*Assumptions!$B$24*365*Assumptions!$B$23</f>
        <v>5733.5733</v>
      </c>
      <c r="K26" s="14">
        <f>$B$6*K$24*Assumptions!$B$22*Assumptions!$B$24*365*Assumptions!$B$23</f>
        <v>5646.6522</v>
      </c>
      <c r="L26" s="14">
        <f>$B$6*L$24*Assumptions!$B$22*Assumptions!$B$24*365*Assumptions!$B$23</f>
        <v>5559.7311</v>
      </c>
      <c r="M26" s="14">
        <f>$B$6*M$24*Assumptions!$B$22*Assumptions!$B$24*365*Assumptions!$B$23</f>
        <v>5472.81</v>
      </c>
      <c r="N26" s="14">
        <f>$B$6*N$24*Assumptions!$B$22*Assumptions!$B$24*365*Assumptions!$B$23</f>
        <v>5385.8889</v>
      </c>
      <c r="O26" s="14">
        <f>$B$6*O$24*Assumptions!$B$22*Assumptions!$B$24*365*Assumptions!$B$23</f>
        <v>5298.9678</v>
      </c>
      <c r="P26" s="14">
        <f>$B$6*P$24*Assumptions!$B$22*Assumptions!$B$24*365*Assumptions!$B$23</f>
        <v>5212.0467</v>
      </c>
      <c r="Q26" s="14">
        <f>$B$6*Q$24*Assumptions!$B$22*Assumptions!$B$24*365*Assumptions!$B$23</f>
        <v>5125.1256</v>
      </c>
      <c r="R26" s="14">
        <f>$B$6*R$24*Assumptions!$B$22*Assumptions!$B$24*365*Assumptions!$B$23</f>
        <v>5038.2045</v>
      </c>
      <c r="S26" s="14">
        <f>$B$6*S$24*Assumptions!$B$22*Assumptions!$B$24*365*Assumptions!$B$23</f>
        <v>4951.2834</v>
      </c>
      <c r="T26" s="14">
        <f>$B$6*T$24*Assumptions!$B$22*Assumptions!$B$24*365*Assumptions!$B$23</f>
        <v>4864.3623</v>
      </c>
      <c r="U26" s="14">
        <f>$B$6*U$24*Assumptions!$B$22*Assumptions!$B$24*365*Assumptions!$B$23</f>
        <v>4777.4412</v>
      </c>
      <c r="V26" s="14">
        <f>$B$6*V$24*Assumptions!$B$22*Assumptions!$B$24*365*Assumptions!$B$23</f>
        <v>4690.5201</v>
      </c>
      <c r="W26" s="14">
        <f>SUM(C$26:V$26)</f>
        <v>110325.411</v>
      </c>
    </row>
    <row r="27" ht="15.75" customHeight="1">
      <c r="A27" s="6" t="s">
        <v>134</v>
      </c>
      <c r="C27" s="14">
        <f t="shared" ref="C27:V27" si="1">MAX(0,C$26-C$23)</f>
        <v>2076.396</v>
      </c>
      <c r="D27" s="14">
        <f t="shared" si="1"/>
        <v>2010.803025</v>
      </c>
      <c r="E27" s="14">
        <f t="shared" si="1"/>
        <v>1945.103409</v>
      </c>
      <c r="F27" s="14">
        <f t="shared" si="1"/>
        <v>1879.297686</v>
      </c>
      <c r="G27" s="14">
        <f t="shared" si="1"/>
        <v>1813.386386</v>
      </c>
      <c r="H27" s="14">
        <f t="shared" si="1"/>
        <v>1747.370037</v>
      </c>
      <c r="I27" s="14">
        <f t="shared" si="1"/>
        <v>1681.249165</v>
      </c>
      <c r="J27" s="14">
        <f t="shared" si="1"/>
        <v>1615.024291</v>
      </c>
      <c r="K27" s="14">
        <f t="shared" si="1"/>
        <v>1548.695936</v>
      </c>
      <c r="L27" s="14">
        <f t="shared" si="1"/>
        <v>1482.264617</v>
      </c>
      <c r="M27" s="14">
        <f t="shared" si="1"/>
        <v>1415.73085</v>
      </c>
      <c r="N27" s="14">
        <f t="shared" si="1"/>
        <v>1349.095145</v>
      </c>
      <c r="O27" s="14">
        <f t="shared" si="1"/>
        <v>1282.358014</v>
      </c>
      <c r="P27" s="14">
        <f t="shared" si="1"/>
        <v>1215.519963</v>
      </c>
      <c r="Q27" s="14">
        <f t="shared" si="1"/>
        <v>1148.581497</v>
      </c>
      <c r="R27" s="14">
        <f t="shared" si="1"/>
        <v>1081.543117</v>
      </c>
      <c r="S27" s="14">
        <f t="shared" si="1"/>
        <v>1014.405324</v>
      </c>
      <c r="T27" s="14">
        <f t="shared" si="1"/>
        <v>947.1686147</v>
      </c>
      <c r="U27" s="14">
        <f t="shared" si="1"/>
        <v>879.8334831</v>
      </c>
      <c r="V27" s="14">
        <f t="shared" si="1"/>
        <v>812.4004217</v>
      </c>
      <c r="W27" s="14">
        <f>SUM(C$27:V$27)</f>
        <v>28946.22698</v>
      </c>
    </row>
    <row r="28" ht="15.75" customHeight="1"/>
    <row r="29" ht="15.75" customHeight="1">
      <c r="A29" s="31" t="s">
        <v>135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</row>
    <row r="30" ht="15.75" customHeight="1">
      <c r="A30" s="6" t="s">
        <v>136</v>
      </c>
      <c r="C30" s="14">
        <f>C$22*Assumptions!$B$14</f>
        <v>682500</v>
      </c>
      <c r="D30" s="14">
        <f>D$22*Assumptions!$B$14</f>
        <v>679087.5</v>
      </c>
      <c r="E30" s="14">
        <f>E$22*Assumptions!$B$14</f>
        <v>675692.0625</v>
      </c>
      <c r="F30" s="14">
        <f>F$22*Assumptions!$B$14</f>
        <v>672313.6022</v>
      </c>
      <c r="G30" s="14">
        <f>G$22*Assumptions!$B$14</f>
        <v>668952.0342</v>
      </c>
      <c r="H30" s="14">
        <f>H$22*Assumptions!$B$14</f>
        <v>665607.274</v>
      </c>
      <c r="I30" s="14">
        <f>I$22*Assumptions!$B$14</f>
        <v>662279.2376</v>
      </c>
      <c r="J30" s="14">
        <f>J$22*Assumptions!$B$14</f>
        <v>658967.8414</v>
      </c>
      <c r="K30" s="14">
        <f>K$22*Assumptions!$B$14</f>
        <v>655673.0022</v>
      </c>
      <c r="L30" s="14">
        <f>L$22*Assumptions!$B$14</f>
        <v>652394.6372</v>
      </c>
      <c r="M30" s="14">
        <f>M$22*Assumptions!$B$14</f>
        <v>649132.664</v>
      </c>
      <c r="N30" s="14">
        <f>N$22*Assumptions!$B$14</f>
        <v>645887.0007</v>
      </c>
      <c r="O30" s="14">
        <f>O$22*Assumptions!$B$14</f>
        <v>642657.5657</v>
      </c>
      <c r="P30" s="14">
        <f>P$22*Assumptions!$B$14</f>
        <v>639444.2779</v>
      </c>
      <c r="Q30" s="14">
        <f>Q$22*Assumptions!$B$14</f>
        <v>636247.0565</v>
      </c>
      <c r="R30" s="14">
        <f>R$22*Assumptions!$B$14</f>
        <v>633065.8212</v>
      </c>
      <c r="S30" s="14">
        <f>S$22*Assumptions!$B$14</f>
        <v>629900.4921</v>
      </c>
      <c r="T30" s="14">
        <f>T$22*Assumptions!$B$14</f>
        <v>626750.9897</v>
      </c>
      <c r="U30" s="14">
        <f>U$22*Assumptions!$B$14</f>
        <v>623617.2347</v>
      </c>
      <c r="V30" s="14">
        <f>V$22*Assumptions!$B$14</f>
        <v>620499.1485</v>
      </c>
      <c r="W30" s="14">
        <f>SUM(C$30:V$30)</f>
        <v>13020669.44</v>
      </c>
    </row>
    <row r="31" ht="15.75" customHeight="1">
      <c r="A31" s="6" t="s">
        <v>137</v>
      </c>
      <c r="C31" s="14">
        <f>C$21*Assumptions!$B$15</f>
        <v>8531.25</v>
      </c>
      <c r="D31" s="14">
        <f>D$21*Assumptions!$B$15</f>
        <v>8488.59375</v>
      </c>
      <c r="E31" s="14">
        <f>E$21*Assumptions!$B$15</f>
        <v>8446.150781</v>
      </c>
      <c r="F31" s="14">
        <f>F$21*Assumptions!$B$15</f>
        <v>8403.920027</v>
      </c>
      <c r="G31" s="14">
        <f>G$21*Assumptions!$B$15</f>
        <v>8361.900427</v>
      </c>
      <c r="H31" s="14">
        <f>H$21*Assumptions!$B$15</f>
        <v>8320.090925</v>
      </c>
      <c r="I31" s="14">
        <f>I$21*Assumptions!$B$15</f>
        <v>8278.49047</v>
      </c>
      <c r="J31" s="14">
        <f>J$21*Assumptions!$B$15</f>
        <v>8237.098018</v>
      </c>
      <c r="K31" s="14">
        <f>K$21*Assumptions!$B$15</f>
        <v>8195.912528</v>
      </c>
      <c r="L31" s="14">
        <f>L$21*Assumptions!$B$15</f>
        <v>8154.932965</v>
      </c>
      <c r="M31" s="14">
        <f>M$21*Assumptions!$B$15</f>
        <v>8114.158301</v>
      </c>
      <c r="N31" s="14">
        <f>N$21*Assumptions!$B$15</f>
        <v>8073.587509</v>
      </c>
      <c r="O31" s="14">
        <f>O$21*Assumptions!$B$15</f>
        <v>8033.219571</v>
      </c>
      <c r="P31" s="14">
        <f>P$21*Assumptions!$B$15</f>
        <v>7993.053474</v>
      </c>
      <c r="Q31" s="14">
        <f>Q$21*Assumptions!$B$15</f>
        <v>7953.088206</v>
      </c>
      <c r="R31" s="14">
        <f>R$21*Assumptions!$B$15</f>
        <v>7913.322765</v>
      </c>
      <c r="S31" s="14">
        <f>S$21*Assumptions!$B$15</f>
        <v>7873.756151</v>
      </c>
      <c r="T31" s="14">
        <f>T$21*Assumptions!$B$15</f>
        <v>7834.387371</v>
      </c>
      <c r="U31" s="14">
        <f>U$21*Assumptions!$B$15</f>
        <v>7795.215434</v>
      </c>
      <c r="V31" s="14">
        <f>V$21*Assumptions!$B$15</f>
        <v>7756.239357</v>
      </c>
      <c r="W31" s="14">
        <f>SUM(C$31:V$31)</f>
        <v>162758.368</v>
      </c>
    </row>
    <row r="32" ht="15.75" customHeight="1">
      <c r="A32" s="6" t="s">
        <v>138</v>
      </c>
      <c r="C32" s="14">
        <f>C$25*Assumptions!$B$42</f>
        <v>602048.0535</v>
      </c>
      <c r="D32" s="14">
        <f>D$25*Assumptions!$B$42</f>
        <v>593796.6335</v>
      </c>
      <c r="E32" s="14">
        <f>E$25*Assumptions!$B$42</f>
        <v>585545.2135</v>
      </c>
      <c r="F32" s="14">
        <f>F$25*Assumptions!$B$42</f>
        <v>577293.7935</v>
      </c>
      <c r="G32" s="14">
        <f>G$25*Assumptions!$B$42</f>
        <v>569042.3734</v>
      </c>
      <c r="H32" s="14">
        <f>H$25*Assumptions!$B$42</f>
        <v>560790.9534</v>
      </c>
      <c r="I32" s="14">
        <f>I$25*Assumptions!$B$42</f>
        <v>552539.5334</v>
      </c>
      <c r="J32" s="14">
        <f>J$25*Assumptions!$B$42</f>
        <v>544288.1134</v>
      </c>
      <c r="K32" s="14">
        <f>K$25*Assumptions!$B$42</f>
        <v>536036.6933</v>
      </c>
      <c r="L32" s="14">
        <f>L$25*Assumptions!$B$42</f>
        <v>527785.2733</v>
      </c>
      <c r="M32" s="14">
        <f>M$25*Assumptions!$B$42</f>
        <v>519533.8533</v>
      </c>
      <c r="N32" s="14">
        <f>N$25*Assumptions!$B$42</f>
        <v>511282.4333</v>
      </c>
      <c r="O32" s="14">
        <f>O$25*Assumptions!$B$42</f>
        <v>503031.0133</v>
      </c>
      <c r="P32" s="14">
        <f>P$25*Assumptions!$B$42</f>
        <v>494779.5932</v>
      </c>
      <c r="Q32" s="14">
        <f>Q$25*Assumptions!$B$42</f>
        <v>486528.1732</v>
      </c>
      <c r="R32" s="14">
        <f>R$25*Assumptions!$B$42</f>
        <v>478276.7532</v>
      </c>
      <c r="S32" s="14">
        <f>S$25*Assumptions!$B$42</f>
        <v>470025.3332</v>
      </c>
      <c r="T32" s="14">
        <f>T$25*Assumptions!$B$42</f>
        <v>461773.9131</v>
      </c>
      <c r="U32" s="14">
        <f>U$25*Assumptions!$B$42</f>
        <v>453522.4931</v>
      </c>
      <c r="V32" s="14">
        <f>V$25*Assumptions!$B$42</f>
        <v>445271.0731</v>
      </c>
      <c r="W32" s="14">
        <f>SUM(C$32:V$32)</f>
        <v>10473191.27</v>
      </c>
    </row>
    <row r="33" ht="15.75" customHeight="1">
      <c r="A33" s="33" t="s">
        <v>139</v>
      </c>
      <c r="B33" s="33"/>
      <c r="C33" s="34">
        <f t="shared" ref="C33:V33" si="2">C$30+C$31+C$32</f>
        <v>1293079.304</v>
      </c>
      <c r="D33" s="34">
        <f t="shared" si="2"/>
        <v>1281372.727</v>
      </c>
      <c r="E33" s="34">
        <f t="shared" si="2"/>
        <v>1269683.427</v>
      </c>
      <c r="F33" s="34">
        <f t="shared" si="2"/>
        <v>1258011.316</v>
      </c>
      <c r="G33" s="34">
        <f t="shared" si="2"/>
        <v>1246356.308</v>
      </c>
      <c r="H33" s="34">
        <f t="shared" si="2"/>
        <v>1234718.318</v>
      </c>
      <c r="I33" s="34">
        <f t="shared" si="2"/>
        <v>1223097.261</v>
      </c>
      <c r="J33" s="34">
        <f t="shared" si="2"/>
        <v>1211493.053</v>
      </c>
      <c r="K33" s="34">
        <f t="shared" si="2"/>
        <v>1199905.608</v>
      </c>
      <c r="L33" s="34">
        <f t="shared" si="2"/>
        <v>1188334.844</v>
      </c>
      <c r="M33" s="34">
        <f t="shared" si="2"/>
        <v>1176780.676</v>
      </c>
      <c r="N33" s="34">
        <f t="shared" si="2"/>
        <v>1165243.022</v>
      </c>
      <c r="O33" s="34">
        <f t="shared" si="2"/>
        <v>1153721.799</v>
      </c>
      <c r="P33" s="34">
        <f t="shared" si="2"/>
        <v>1142216.925</v>
      </c>
      <c r="Q33" s="34">
        <f t="shared" si="2"/>
        <v>1130728.318</v>
      </c>
      <c r="R33" s="34">
        <f t="shared" si="2"/>
        <v>1119255.897</v>
      </c>
      <c r="S33" s="34">
        <f t="shared" si="2"/>
        <v>1107799.581</v>
      </c>
      <c r="T33" s="34">
        <f t="shared" si="2"/>
        <v>1096359.29</v>
      </c>
      <c r="U33" s="34">
        <f t="shared" si="2"/>
        <v>1084934.943</v>
      </c>
      <c r="V33" s="34">
        <f t="shared" si="2"/>
        <v>1073526.461</v>
      </c>
      <c r="W33" s="34">
        <f>SUM(C$33:V$33)</f>
        <v>23656619.08</v>
      </c>
    </row>
    <row r="34" ht="15.75" customHeight="1">
      <c r="A34" s="6" t="s">
        <v>140</v>
      </c>
      <c r="C34" s="14">
        <f>C$27*Assumptions!$B$25*(1+Assumptions!$B$36)^(C$19-1)</f>
        <v>103819.8</v>
      </c>
      <c r="D34" s="14">
        <f>D$27*Assumptions!$B$25*(1+Assumptions!$B$36)^(D$19-1)</f>
        <v>101545.5528</v>
      </c>
      <c r="E34" s="14">
        <f>E$27*Assumptions!$B$25*(1+Assumptions!$B$36)^(E$19-1)</f>
        <v>99209.9994</v>
      </c>
      <c r="F34" s="14">
        <f>F$27*Assumptions!$B$25*(1+Assumptions!$B$36)^(F$19-1)</f>
        <v>96812.11428</v>
      </c>
      <c r="G34" s="14">
        <f>G$27*Assumptions!$B$25*(1+Assumptions!$B$36)^(G$19-1)</f>
        <v>94350.85727</v>
      </c>
      <c r="H34" s="14">
        <f>H$27*Assumptions!$B$25*(1+Assumptions!$B$36)^(H$19-1)</f>
        <v>91825.17353</v>
      </c>
      <c r="I34" s="14">
        <f>I$27*Assumptions!$B$25*(1+Assumptions!$B$36)^(I$19-1)</f>
        <v>89233.99333</v>
      </c>
      <c r="J34" s="14">
        <f>J$27*Assumptions!$B$25*(1+Assumptions!$B$36)^(J$19-1)</f>
        <v>86576.23184</v>
      </c>
      <c r="K34" s="14">
        <f>K$27*Assumptions!$B$25*(1+Assumptions!$B$36)^(K$19-1)</f>
        <v>83850.78896</v>
      </c>
      <c r="L34" s="14">
        <f>L$27*Assumptions!$B$25*(1+Assumptions!$B$36)^(L$19-1)</f>
        <v>81056.54911</v>
      </c>
      <c r="M34" s="14">
        <f>M$27*Assumptions!$B$25*(1+Assumptions!$B$36)^(M$19-1)</f>
        <v>78192.38101</v>
      </c>
      <c r="N34" s="14">
        <f>N$27*Assumptions!$B$25*(1+Assumptions!$B$36)^(N$19-1)</f>
        <v>75257.13752</v>
      </c>
      <c r="O34" s="14">
        <f>O$27*Assumptions!$B$25*(1+Assumptions!$B$36)^(O$19-1)</f>
        <v>72249.6554</v>
      </c>
      <c r="P34" s="14">
        <f>P$27*Assumptions!$B$25*(1+Assumptions!$B$36)^(P$19-1)</f>
        <v>69168.75512</v>
      </c>
      <c r="Q34" s="14">
        <f>Q$27*Assumptions!$B$25*(1+Assumptions!$B$36)^(Q$19-1)</f>
        <v>66013.24062</v>
      </c>
      <c r="R34" s="14">
        <f>R$27*Assumptions!$B$25*(1+Assumptions!$B$36)^(R$19-1)</f>
        <v>62781.89916</v>
      </c>
      <c r="S34" s="14">
        <f>S$27*Assumptions!$B$25*(1+Assumptions!$B$36)^(S$19-1)</f>
        <v>59473.50103</v>
      </c>
      <c r="T34" s="14">
        <f>T$27*Assumptions!$B$25*(1+Assumptions!$B$36)^(T$19-1)</f>
        <v>56086.79938</v>
      </c>
      <c r="U34" s="14">
        <f>U$27*Assumptions!$B$25*(1+Assumptions!$B$36)^(U$19-1)</f>
        <v>52620.52999</v>
      </c>
      <c r="V34" s="14">
        <f>V$27*Assumptions!$B$25*(1+Assumptions!$B$36)^(V$19-1)</f>
        <v>49073.41104</v>
      </c>
      <c r="W34" s="14">
        <f>SUM(C$34:V$34)</f>
        <v>1569198.371</v>
      </c>
    </row>
    <row r="35" ht="15.75" customHeight="1">
      <c r="A35" s="6" t="s">
        <v>141</v>
      </c>
      <c r="C35" s="14">
        <f>$B$5*Assumptions!$B$16*(1+Assumptions!$B$36)^(C$19-1)</f>
        <v>75000</v>
      </c>
      <c r="D35" s="14">
        <f>$B$5*Assumptions!$B$16*(1+Assumptions!$B$36)^(D$19-1)</f>
        <v>75750</v>
      </c>
      <c r="E35" s="14">
        <f>$B$5*Assumptions!$B$16*(1+Assumptions!$B$36)^(E$19-1)</f>
        <v>76507.5</v>
      </c>
      <c r="F35" s="14">
        <f>$B$5*Assumptions!$B$16*(1+Assumptions!$B$36)^(F$19-1)</f>
        <v>77272.575</v>
      </c>
      <c r="G35" s="14">
        <f>$B$5*Assumptions!$B$16*(1+Assumptions!$B$36)^(G$19-1)</f>
        <v>78045.30075</v>
      </c>
      <c r="H35" s="14">
        <f>$B$5*Assumptions!$B$16*(1+Assumptions!$B$36)^(H$19-1)</f>
        <v>78825.75376</v>
      </c>
      <c r="I35" s="14">
        <f>$B$5*Assumptions!$B$16*(1+Assumptions!$B$36)^(I$19-1)</f>
        <v>79614.0113</v>
      </c>
      <c r="J35" s="14">
        <f>$B$5*Assumptions!$B$16*(1+Assumptions!$B$36)^(J$19-1)</f>
        <v>80410.15141</v>
      </c>
      <c r="K35" s="14">
        <f>$B$5*Assumptions!$B$16*(1+Assumptions!$B$36)^(K$19-1)</f>
        <v>81214.25292</v>
      </c>
      <c r="L35" s="14">
        <f>$B$5*Assumptions!$B$16*(1+Assumptions!$B$36)^(L$19-1)</f>
        <v>82026.39545</v>
      </c>
      <c r="M35" s="14">
        <f>$B$5*Assumptions!$B$16*(1+Assumptions!$B$36)^(M$19-1)</f>
        <v>82846.65941</v>
      </c>
      <c r="N35" s="14">
        <f>$B$5*Assumptions!$B$16*(1+Assumptions!$B$36)^(N$19-1)</f>
        <v>83675.126</v>
      </c>
      <c r="O35" s="14">
        <f>$B$5*Assumptions!$B$16*(1+Assumptions!$B$36)^(O$19-1)</f>
        <v>84511.87726</v>
      </c>
      <c r="P35" s="14">
        <f>$B$5*Assumptions!$B$16*(1+Assumptions!$B$36)^(P$19-1)</f>
        <v>85356.99603</v>
      </c>
      <c r="Q35" s="14">
        <f>$B$5*Assumptions!$B$16*(1+Assumptions!$B$36)^(Q$19-1)</f>
        <v>86210.56599</v>
      </c>
      <c r="R35" s="14">
        <f>$B$5*Assumptions!$B$16*(1+Assumptions!$B$36)^(R$19-1)</f>
        <v>87072.67165</v>
      </c>
      <c r="S35" s="14">
        <f>$B$5*Assumptions!$B$16*(1+Assumptions!$B$36)^(S$19-1)</f>
        <v>87943.39837</v>
      </c>
      <c r="T35" s="14">
        <f>$B$5*Assumptions!$B$16*(1+Assumptions!$B$36)^(T$19-1)</f>
        <v>88822.83235</v>
      </c>
      <c r="U35" s="14">
        <f>$B$5*Assumptions!$B$16*(1+Assumptions!$B$36)^(U$19-1)</f>
        <v>89711.06068</v>
      </c>
      <c r="V35" s="14">
        <f>$B$5*Assumptions!$B$16*(1+Assumptions!$B$36)^(V$19-1)</f>
        <v>90608.17128</v>
      </c>
      <c r="W35" s="14">
        <f>SUM(C$35:V$35)</f>
        <v>1651425.3</v>
      </c>
    </row>
    <row r="36" ht="15.75" customHeight="1">
      <c r="A36" s="6" t="s">
        <v>142</v>
      </c>
      <c r="C36" s="14">
        <f>($B$6*Assumptions!$B$26+$B$6*Assumptions!$B$27+$B$7*Assumptions!$B$28+Assumptions!$B$29)*(1+Assumptions!$B$36)^(C$19-1)</f>
        <v>72500</v>
      </c>
      <c r="D36" s="14">
        <f>($B$6*Assumptions!$B$26+$B$6*Assumptions!$B$27+$B$7*Assumptions!$B$28+Assumptions!$B$29)*(1+Assumptions!$B$36)^(D$19-1)</f>
        <v>73225</v>
      </c>
      <c r="E36" s="14">
        <f>($B$6*Assumptions!$B$26+$B$6*Assumptions!$B$27+$B$7*Assumptions!$B$28+Assumptions!$B$29)*(1+Assumptions!$B$36)^(E$19-1)</f>
        <v>73957.25</v>
      </c>
      <c r="F36" s="14">
        <f>($B$6*Assumptions!$B$26+$B$6*Assumptions!$B$27+$B$7*Assumptions!$B$28+Assumptions!$B$29)*(1+Assumptions!$B$36)^(F$19-1)</f>
        <v>74696.8225</v>
      </c>
      <c r="G36" s="14">
        <f>($B$6*Assumptions!$B$26+$B$6*Assumptions!$B$27+$B$7*Assumptions!$B$28+Assumptions!$B$29)*(1+Assumptions!$B$36)^(G$19-1)</f>
        <v>75443.79073</v>
      </c>
      <c r="H36" s="14">
        <f>($B$6*Assumptions!$B$26+$B$6*Assumptions!$B$27+$B$7*Assumptions!$B$28+Assumptions!$B$29)*(1+Assumptions!$B$36)^(H$19-1)</f>
        <v>76198.22863</v>
      </c>
      <c r="I36" s="14">
        <f>($B$6*Assumptions!$B$26+$B$6*Assumptions!$B$27+$B$7*Assumptions!$B$28+Assumptions!$B$29)*(1+Assumptions!$B$36)^(I$19-1)</f>
        <v>76960.21092</v>
      </c>
      <c r="J36" s="14">
        <f>($B$6*Assumptions!$B$26+$B$6*Assumptions!$B$27+$B$7*Assumptions!$B$28+Assumptions!$B$29)*(1+Assumptions!$B$36)^(J$19-1)</f>
        <v>77729.81303</v>
      </c>
      <c r="K36" s="14">
        <f>($B$6*Assumptions!$B$26+$B$6*Assumptions!$B$27+$B$7*Assumptions!$B$28+Assumptions!$B$29)*(1+Assumptions!$B$36)^(K$19-1)</f>
        <v>78507.11116</v>
      </c>
      <c r="L36" s="14">
        <f>($B$6*Assumptions!$B$26+$B$6*Assumptions!$B$27+$B$7*Assumptions!$B$28+Assumptions!$B$29)*(1+Assumptions!$B$36)^(L$19-1)</f>
        <v>79292.18227</v>
      </c>
      <c r="M36" s="14">
        <f>($B$6*Assumptions!$B$26+$B$6*Assumptions!$B$27+$B$7*Assumptions!$B$28+Assumptions!$B$29)*(1+Assumptions!$B$36)^(M$19-1)</f>
        <v>80085.10409</v>
      </c>
      <c r="N36" s="14">
        <f>($B$6*Assumptions!$B$26+$B$6*Assumptions!$B$27+$B$7*Assumptions!$B$28+Assumptions!$B$29)*(1+Assumptions!$B$36)^(N$19-1)</f>
        <v>80885.95513</v>
      </c>
      <c r="O36" s="14">
        <f>($B$6*Assumptions!$B$26+$B$6*Assumptions!$B$27+$B$7*Assumptions!$B$28+Assumptions!$B$29)*(1+Assumptions!$B$36)^(O$19-1)</f>
        <v>81694.81468</v>
      </c>
      <c r="P36" s="14">
        <f>($B$6*Assumptions!$B$26+$B$6*Assumptions!$B$27+$B$7*Assumptions!$B$28+Assumptions!$B$29)*(1+Assumptions!$B$36)^(P$19-1)</f>
        <v>82511.76283</v>
      </c>
      <c r="Q36" s="14">
        <f>($B$6*Assumptions!$B$26+$B$6*Assumptions!$B$27+$B$7*Assumptions!$B$28+Assumptions!$B$29)*(1+Assumptions!$B$36)^(Q$19-1)</f>
        <v>83336.88046</v>
      </c>
      <c r="R36" s="14">
        <f>($B$6*Assumptions!$B$26+$B$6*Assumptions!$B$27+$B$7*Assumptions!$B$28+Assumptions!$B$29)*(1+Assumptions!$B$36)^(R$19-1)</f>
        <v>84170.24926</v>
      </c>
      <c r="S36" s="14">
        <f>($B$6*Assumptions!$B$26+$B$6*Assumptions!$B$27+$B$7*Assumptions!$B$28+Assumptions!$B$29)*(1+Assumptions!$B$36)^(S$19-1)</f>
        <v>85011.95176</v>
      </c>
      <c r="T36" s="14">
        <f>($B$6*Assumptions!$B$26+$B$6*Assumptions!$B$27+$B$7*Assumptions!$B$28+Assumptions!$B$29)*(1+Assumptions!$B$36)^(T$19-1)</f>
        <v>85862.07127</v>
      </c>
      <c r="U36" s="14">
        <f>($B$6*Assumptions!$B$26+$B$6*Assumptions!$B$27+$B$7*Assumptions!$B$28+Assumptions!$B$29)*(1+Assumptions!$B$36)^(U$19-1)</f>
        <v>86720.69199</v>
      </c>
      <c r="V36" s="14">
        <f>($B$6*Assumptions!$B$26+$B$6*Assumptions!$B$27+$B$7*Assumptions!$B$28+Assumptions!$B$29)*(1+Assumptions!$B$36)^(V$19-1)</f>
        <v>87587.89891</v>
      </c>
      <c r="W36" s="14">
        <f>SUM(C$36:V$36)</f>
        <v>1596377.79</v>
      </c>
    </row>
    <row r="37" ht="15.75" customHeight="1">
      <c r="A37" s="6" t="s">
        <v>143</v>
      </c>
      <c r="C37" s="14">
        <f>IF(C$19&lt;=5,0,IF(C$19&lt;=10,Assumptions!$B$30,IF(C$19&lt;=15,Assumptions!$B$31,Assumptions!$B$32)))*$B$6*(1+Assumptions!$B$36)^(C$19-1)</f>
        <v>0</v>
      </c>
      <c r="D37" s="14">
        <f>IF(D$19&lt;=5,0,IF(D$19&lt;=10,Assumptions!$B$30,IF(D$19&lt;=15,Assumptions!$B$31,Assumptions!$B$32)))*$B$6*(1+Assumptions!$B$36)^(D$19-1)</f>
        <v>0</v>
      </c>
      <c r="E37" s="14">
        <f>IF(E$19&lt;=5,0,IF(E$19&lt;=10,Assumptions!$B$30,IF(E$19&lt;=15,Assumptions!$B$31,Assumptions!$B$32)))*$B$6*(1+Assumptions!$B$36)^(E$19-1)</f>
        <v>0</v>
      </c>
      <c r="F37" s="14">
        <f>IF(F$19&lt;=5,0,IF(F$19&lt;=10,Assumptions!$B$30,IF(F$19&lt;=15,Assumptions!$B$31,Assumptions!$B$32)))*$B$6*(1+Assumptions!$B$36)^(F$19-1)</f>
        <v>0</v>
      </c>
      <c r="G37" s="14">
        <f>IF(G$19&lt;=5,0,IF(G$19&lt;=10,Assumptions!$B$30,IF(G$19&lt;=15,Assumptions!$B$31,Assumptions!$B$32)))*$B$6*(1+Assumptions!$B$36)^(G$19-1)</f>
        <v>0</v>
      </c>
      <c r="H37" s="14">
        <f>IF(H$19&lt;=5,0,IF(H$19&lt;=10,Assumptions!$B$30,IF(H$19&lt;=15,Assumptions!$B$31,Assumptions!$B$32)))*$B$6*(1+Assumptions!$B$36)^(H$19-1)</f>
        <v>37836.3618</v>
      </c>
      <c r="I37" s="14">
        <f>IF(I$19&lt;=5,0,IF(I$19&lt;=10,Assumptions!$B$30,IF(I$19&lt;=15,Assumptions!$B$31,Assumptions!$B$32)))*$B$6*(1+Assumptions!$B$36)^(I$19-1)</f>
        <v>38214.72542</v>
      </c>
      <c r="J37" s="14">
        <f>IF(J$19&lt;=5,0,IF(J$19&lt;=10,Assumptions!$B$30,IF(J$19&lt;=15,Assumptions!$B$31,Assumptions!$B$32)))*$B$6*(1+Assumptions!$B$36)^(J$19-1)</f>
        <v>38596.87268</v>
      </c>
      <c r="K37" s="14">
        <f>IF(K$19&lt;=5,0,IF(K$19&lt;=10,Assumptions!$B$30,IF(K$19&lt;=15,Assumptions!$B$31,Assumptions!$B$32)))*$B$6*(1+Assumptions!$B$36)^(K$19-1)</f>
        <v>38982.8414</v>
      </c>
      <c r="L37" s="14">
        <f>IF(L$19&lt;=5,0,IF(L$19&lt;=10,Assumptions!$B$30,IF(L$19&lt;=15,Assumptions!$B$31,Assumptions!$B$32)))*$B$6*(1+Assumptions!$B$36)^(L$19-1)</f>
        <v>39372.66982</v>
      </c>
      <c r="M37" s="14">
        <f>IF(M$19&lt;=5,0,IF(M$19&lt;=10,Assumptions!$B$30,IF(M$19&lt;=15,Assumptions!$B$31,Assumptions!$B$32)))*$B$6*(1+Assumptions!$B$36)^(M$19-1)</f>
        <v>46394.12927</v>
      </c>
      <c r="N37" s="14">
        <f>IF(N$19&lt;=5,0,IF(N$19&lt;=10,Assumptions!$B$30,IF(N$19&lt;=15,Assumptions!$B$31,Assumptions!$B$32)))*$B$6*(1+Assumptions!$B$36)^(N$19-1)</f>
        <v>46858.07056</v>
      </c>
      <c r="O37" s="14">
        <f>IF(O$19&lt;=5,0,IF(O$19&lt;=10,Assumptions!$B$30,IF(O$19&lt;=15,Assumptions!$B$31,Assumptions!$B$32)))*$B$6*(1+Assumptions!$B$36)^(O$19-1)</f>
        <v>47326.65127</v>
      </c>
      <c r="P37" s="14">
        <f>IF(P$19&lt;=5,0,IF(P$19&lt;=10,Assumptions!$B$30,IF(P$19&lt;=15,Assumptions!$B$31,Assumptions!$B$32)))*$B$6*(1+Assumptions!$B$36)^(P$19-1)</f>
        <v>47799.91778</v>
      </c>
      <c r="Q37" s="14">
        <f>IF(Q$19&lt;=5,0,IF(Q$19&lt;=10,Assumptions!$B$30,IF(Q$19&lt;=15,Assumptions!$B$31,Assumptions!$B$32)))*$B$6*(1+Assumptions!$B$36)^(Q$19-1)</f>
        <v>48277.91696</v>
      </c>
      <c r="R37" s="14">
        <f>IF(R$19&lt;=5,0,IF(R$19&lt;=10,Assumptions!$B$30,IF(R$19&lt;=15,Assumptions!$B$31,Assumptions!$B$32)))*$B$6*(1+Assumptions!$B$36)^(R$19-1)</f>
        <v>56887.47881</v>
      </c>
      <c r="S37" s="14">
        <f>IF(S$19&lt;=5,0,IF(S$19&lt;=10,Assumptions!$B$30,IF(S$19&lt;=15,Assumptions!$B$31,Assumptions!$B$32)))*$B$6*(1+Assumptions!$B$36)^(S$19-1)</f>
        <v>57456.3536</v>
      </c>
      <c r="T37" s="14">
        <f>IF(T$19&lt;=5,0,IF(T$19&lt;=10,Assumptions!$B$30,IF(T$19&lt;=15,Assumptions!$B$31,Assumptions!$B$32)))*$B$6*(1+Assumptions!$B$36)^(T$19-1)</f>
        <v>58030.91714</v>
      </c>
      <c r="U37" s="14">
        <f>IF(U$19&lt;=5,0,IF(U$19&lt;=10,Assumptions!$B$30,IF(U$19&lt;=15,Assumptions!$B$31,Assumptions!$B$32)))*$B$6*(1+Assumptions!$B$36)^(U$19-1)</f>
        <v>58611.22631</v>
      </c>
      <c r="V37" s="14">
        <f>IF(V$19&lt;=5,0,IF(V$19&lt;=10,Assumptions!$B$30,IF(V$19&lt;=15,Assumptions!$B$31,Assumptions!$B$32)))*$B$6*(1+Assumptions!$B$36)^(V$19-1)</f>
        <v>59197.33857</v>
      </c>
      <c r="W37" s="14">
        <f>SUM(C$37:V$37)</f>
        <v>719843.4714</v>
      </c>
    </row>
    <row r="38" ht="15.75" customHeight="1">
      <c r="A38" s="33" t="s">
        <v>144</v>
      </c>
      <c r="B38" s="33"/>
      <c r="C38" s="34">
        <f t="shared" ref="C38:V38" si="3">C$34+C$35+C$36+C$37</f>
        <v>251319.8</v>
      </c>
      <c r="D38" s="34">
        <f t="shared" si="3"/>
        <v>250520.5528</v>
      </c>
      <c r="E38" s="34">
        <f t="shared" si="3"/>
        <v>249674.7494</v>
      </c>
      <c r="F38" s="34">
        <f t="shared" si="3"/>
        <v>248781.5118</v>
      </c>
      <c r="G38" s="34">
        <f t="shared" si="3"/>
        <v>247839.9487</v>
      </c>
      <c r="H38" s="34">
        <f t="shared" si="3"/>
        <v>284685.5177</v>
      </c>
      <c r="I38" s="34">
        <f t="shared" si="3"/>
        <v>284022.941</v>
      </c>
      <c r="J38" s="34">
        <f t="shared" si="3"/>
        <v>283313.069</v>
      </c>
      <c r="K38" s="34">
        <f t="shared" si="3"/>
        <v>282554.9944</v>
      </c>
      <c r="L38" s="34">
        <f t="shared" si="3"/>
        <v>281747.7966</v>
      </c>
      <c r="M38" s="34">
        <f t="shared" si="3"/>
        <v>287518.2738</v>
      </c>
      <c r="N38" s="34">
        <f t="shared" si="3"/>
        <v>286676.2892</v>
      </c>
      <c r="O38" s="34">
        <f t="shared" si="3"/>
        <v>285782.9986</v>
      </c>
      <c r="P38" s="34">
        <f t="shared" si="3"/>
        <v>284837.4318</v>
      </c>
      <c r="Q38" s="34">
        <f t="shared" si="3"/>
        <v>283838.604</v>
      </c>
      <c r="R38" s="34">
        <f t="shared" si="3"/>
        <v>290912.2989</v>
      </c>
      <c r="S38" s="34">
        <f t="shared" si="3"/>
        <v>289885.2048</v>
      </c>
      <c r="T38" s="34">
        <f t="shared" si="3"/>
        <v>288802.6201</v>
      </c>
      <c r="U38" s="34">
        <f t="shared" si="3"/>
        <v>287663.509</v>
      </c>
      <c r="V38" s="34">
        <f t="shared" si="3"/>
        <v>286466.8198</v>
      </c>
      <c r="W38" s="34">
        <f>SUM(C$38:V$38)</f>
        <v>5536844.931</v>
      </c>
    </row>
    <row r="39" ht="15.75" customHeight="1">
      <c r="A39" s="33" t="s">
        <v>145</v>
      </c>
      <c r="B39" s="33"/>
      <c r="C39" s="34">
        <f t="shared" ref="C39:V39" si="4">C$33-C$38</f>
        <v>1041759.504</v>
      </c>
      <c r="D39" s="34">
        <f t="shared" si="4"/>
        <v>1030852.174</v>
      </c>
      <c r="E39" s="34">
        <f t="shared" si="4"/>
        <v>1020008.677</v>
      </c>
      <c r="F39" s="34">
        <f t="shared" si="4"/>
        <v>1009229.804</v>
      </c>
      <c r="G39" s="34">
        <f t="shared" si="4"/>
        <v>998516.3593</v>
      </c>
      <c r="H39" s="34">
        <f t="shared" si="4"/>
        <v>950032.8006</v>
      </c>
      <c r="I39" s="34">
        <f t="shared" si="4"/>
        <v>939074.3205</v>
      </c>
      <c r="J39" s="34">
        <f t="shared" si="4"/>
        <v>928179.9839</v>
      </c>
      <c r="K39" s="34">
        <f t="shared" si="4"/>
        <v>917350.6137</v>
      </c>
      <c r="L39" s="34">
        <f t="shared" si="4"/>
        <v>906587.0469</v>
      </c>
      <c r="M39" s="34">
        <f t="shared" si="4"/>
        <v>889262.4019</v>
      </c>
      <c r="N39" s="34">
        <f t="shared" si="4"/>
        <v>878566.7323</v>
      </c>
      <c r="O39" s="34">
        <f t="shared" si="4"/>
        <v>867938.7999</v>
      </c>
      <c r="P39" s="34">
        <f t="shared" si="4"/>
        <v>857379.4928</v>
      </c>
      <c r="Q39" s="34">
        <f t="shared" si="4"/>
        <v>846889.7139</v>
      </c>
      <c r="R39" s="34">
        <f t="shared" si="4"/>
        <v>828343.5983</v>
      </c>
      <c r="S39" s="34">
        <f t="shared" si="4"/>
        <v>817914.3767</v>
      </c>
      <c r="T39" s="34">
        <f t="shared" si="4"/>
        <v>807556.67</v>
      </c>
      <c r="U39" s="34">
        <f t="shared" si="4"/>
        <v>797271.4343</v>
      </c>
      <c r="V39" s="34">
        <f t="shared" si="4"/>
        <v>787059.6412</v>
      </c>
      <c r="W39" s="34">
        <f>SUM(C$39:V$39)</f>
        <v>18119774.15</v>
      </c>
    </row>
    <row r="40" ht="15.75" customHeight="1">
      <c r="A40" s="6" t="s">
        <v>146</v>
      </c>
      <c r="C40" s="14">
        <f t="shared" ref="C40:V40" si="5">$B$15</f>
        <v>318478.2</v>
      </c>
      <c r="D40" s="14">
        <f t="shared" si="5"/>
        <v>318478.2</v>
      </c>
      <c r="E40" s="14">
        <f t="shared" si="5"/>
        <v>318478.2</v>
      </c>
      <c r="F40" s="14">
        <f t="shared" si="5"/>
        <v>318478.2</v>
      </c>
      <c r="G40" s="14">
        <f t="shared" si="5"/>
        <v>318478.2</v>
      </c>
      <c r="H40" s="14">
        <f t="shared" si="5"/>
        <v>318478.2</v>
      </c>
      <c r="I40" s="14">
        <f t="shared" si="5"/>
        <v>318478.2</v>
      </c>
      <c r="J40" s="14">
        <f t="shared" si="5"/>
        <v>318478.2</v>
      </c>
      <c r="K40" s="14">
        <f t="shared" si="5"/>
        <v>318478.2</v>
      </c>
      <c r="L40" s="14">
        <f t="shared" si="5"/>
        <v>318478.2</v>
      </c>
      <c r="M40" s="14">
        <f t="shared" si="5"/>
        <v>318478.2</v>
      </c>
      <c r="N40" s="14">
        <f t="shared" si="5"/>
        <v>318478.2</v>
      </c>
      <c r="O40" s="14">
        <f t="shared" si="5"/>
        <v>318478.2</v>
      </c>
      <c r="P40" s="14">
        <f t="shared" si="5"/>
        <v>318478.2</v>
      </c>
      <c r="Q40" s="14">
        <f t="shared" si="5"/>
        <v>318478.2</v>
      </c>
      <c r="R40" s="14">
        <f t="shared" si="5"/>
        <v>318478.2</v>
      </c>
      <c r="S40" s="14">
        <f t="shared" si="5"/>
        <v>318478.2</v>
      </c>
      <c r="T40" s="14">
        <f t="shared" si="5"/>
        <v>318478.2</v>
      </c>
      <c r="U40" s="14">
        <f t="shared" si="5"/>
        <v>318478.2</v>
      </c>
      <c r="V40" s="14">
        <f t="shared" si="5"/>
        <v>318478.2</v>
      </c>
      <c r="W40" s="14">
        <f>SUM(C$40:V$40)</f>
        <v>6369564</v>
      </c>
    </row>
    <row r="41" ht="15.75" customHeight="1">
      <c r="A41" s="6" t="s">
        <v>147</v>
      </c>
      <c r="C41" s="14">
        <f>IF(C$19&lt;=Assumptions!$B$39,-IPMT(Assumptions!$B$38,C$19,Assumptions!$B$39,$B$13),0)</f>
        <v>95958.95</v>
      </c>
      <c r="D41" s="14">
        <f>IF(D$19&lt;=Assumptions!$B$39,-IPMT(Assumptions!$B$38,D$19,Assumptions!$B$39,$B$13),0)</f>
        <v>91511.99274</v>
      </c>
      <c r="E41" s="14">
        <f>IF(E$19&lt;=Assumptions!$B$39,-IPMT(Assumptions!$B$38,E$19,Assumptions!$B$39,$B$13),0)</f>
        <v>86842.68762</v>
      </c>
      <c r="F41" s="14">
        <f>IF(F$19&lt;=Assumptions!$B$39,-IPMT(Assumptions!$B$38,F$19,Assumptions!$B$39,$B$13),0)</f>
        <v>81939.91724</v>
      </c>
      <c r="G41" s="14">
        <f>IF(G$19&lt;=Assumptions!$B$39,-IPMT(Assumptions!$B$38,G$19,Assumptions!$B$39,$B$13),0)</f>
        <v>76792.00834</v>
      </c>
      <c r="H41" s="14">
        <f>IF(H$19&lt;=Assumptions!$B$39,-IPMT(Assumptions!$B$38,H$19,Assumptions!$B$39,$B$13),0)</f>
        <v>71386.704</v>
      </c>
      <c r="I41" s="14">
        <f>IF(I$19&lt;=Assumptions!$B$39,-IPMT(Assumptions!$B$38,I$19,Assumptions!$B$39,$B$13),0)</f>
        <v>65711.13444</v>
      </c>
      <c r="J41" s="14">
        <f>IF(J$19&lt;=Assumptions!$B$39,-IPMT(Assumptions!$B$38,J$19,Assumptions!$B$39,$B$13),0)</f>
        <v>59751.7864</v>
      </c>
      <c r="K41" s="14">
        <f>IF(K$19&lt;=Assumptions!$B$39,-IPMT(Assumptions!$B$38,K$19,Assumptions!$B$39,$B$13),0)</f>
        <v>53494.47096</v>
      </c>
      <c r="L41" s="14">
        <f>IF(L$19&lt;=Assumptions!$B$39,-IPMT(Assumptions!$B$38,L$19,Assumptions!$B$39,$B$13),0)</f>
        <v>46924.28975</v>
      </c>
      <c r="M41" s="14">
        <f>IF(M$19&lt;=Assumptions!$B$39,-IPMT(Assumptions!$B$38,M$19,Assumptions!$B$39,$B$13),0)</f>
        <v>40025.59948</v>
      </c>
      <c r="N41" s="14">
        <f>IF(N$19&lt;=Assumptions!$B$39,-IPMT(Assumptions!$B$38,N$19,Assumptions!$B$39,$B$13),0)</f>
        <v>32781.97469</v>
      </c>
      <c r="O41" s="14">
        <f>IF(O$19&lt;=Assumptions!$B$39,-IPMT(Assumptions!$B$38,O$19,Assumptions!$B$39,$B$13),0)</f>
        <v>25176.16867</v>
      </c>
      <c r="P41" s="14">
        <f>IF(P$19&lt;=Assumptions!$B$39,-IPMT(Assumptions!$B$38,P$19,Assumptions!$B$39,$B$13),0)</f>
        <v>17190.07234</v>
      </c>
      <c r="Q41" s="14">
        <f>IF(Q$19&lt;=Assumptions!$B$39,-IPMT(Assumptions!$B$38,Q$19,Assumptions!$B$39,$B$13),0)</f>
        <v>8804.6712</v>
      </c>
      <c r="R41" s="14">
        <f>IF(R$19&lt;=Assumptions!$B$39,-IPMT(Assumptions!$B$38,R$19,Assumptions!$B$39,$B$13),0)</f>
        <v>0</v>
      </c>
      <c r="S41" s="14">
        <f>IF(S$19&lt;=Assumptions!$B$39,-IPMT(Assumptions!$B$38,S$19,Assumptions!$B$39,$B$13),0)</f>
        <v>0</v>
      </c>
      <c r="T41" s="14">
        <f>IF(T$19&lt;=Assumptions!$B$39,-IPMT(Assumptions!$B$38,T$19,Assumptions!$B$39,$B$13),0)</f>
        <v>0</v>
      </c>
      <c r="U41" s="14">
        <f>IF(U$19&lt;=Assumptions!$B$39,-IPMT(Assumptions!$B$38,U$19,Assumptions!$B$39,$B$13),0)</f>
        <v>0</v>
      </c>
      <c r="V41" s="14">
        <f>IF(V$19&lt;=Assumptions!$B$39,-IPMT(Assumptions!$B$38,V$19,Assumptions!$B$39,$B$13),0)</f>
        <v>0</v>
      </c>
      <c r="W41" s="14">
        <f>SUM(C$41:V$41)</f>
        <v>854292.4279</v>
      </c>
    </row>
    <row r="42" ht="15.75" customHeight="1">
      <c r="A42" s="6" t="s">
        <v>148</v>
      </c>
      <c r="C42" s="14">
        <f t="shared" ref="C42:V42" si="6">C$39-C$40-C$41</f>
        <v>627322.3535</v>
      </c>
      <c r="D42" s="14">
        <f t="shared" si="6"/>
        <v>620861.9818</v>
      </c>
      <c r="E42" s="14">
        <f t="shared" si="6"/>
        <v>614687.7898</v>
      </c>
      <c r="F42" s="14">
        <f t="shared" si="6"/>
        <v>608811.6867</v>
      </c>
      <c r="G42" s="14">
        <f t="shared" si="6"/>
        <v>603246.151</v>
      </c>
      <c r="H42" s="14">
        <f t="shared" si="6"/>
        <v>560167.8966</v>
      </c>
      <c r="I42" s="14">
        <f t="shared" si="6"/>
        <v>554884.9861</v>
      </c>
      <c r="J42" s="14">
        <f t="shared" si="6"/>
        <v>549949.9975</v>
      </c>
      <c r="K42" s="14">
        <f t="shared" si="6"/>
        <v>545377.9427</v>
      </c>
      <c r="L42" s="14">
        <f t="shared" si="6"/>
        <v>541184.5571</v>
      </c>
      <c r="M42" s="14">
        <f t="shared" si="6"/>
        <v>530758.6024</v>
      </c>
      <c r="N42" s="14">
        <f t="shared" si="6"/>
        <v>527306.5576</v>
      </c>
      <c r="O42" s="14">
        <f t="shared" si="6"/>
        <v>524284.4313</v>
      </c>
      <c r="P42" s="14">
        <f t="shared" si="6"/>
        <v>521711.2205</v>
      </c>
      <c r="Q42" s="14">
        <f t="shared" si="6"/>
        <v>519606.8427</v>
      </c>
      <c r="R42" s="14">
        <f t="shared" si="6"/>
        <v>509865.3983</v>
      </c>
      <c r="S42" s="14">
        <f t="shared" si="6"/>
        <v>499436.1767</v>
      </c>
      <c r="T42" s="14">
        <f t="shared" si="6"/>
        <v>489078.47</v>
      </c>
      <c r="U42" s="14">
        <f t="shared" si="6"/>
        <v>478793.2343</v>
      </c>
      <c r="V42" s="14">
        <f t="shared" si="6"/>
        <v>468581.4412</v>
      </c>
      <c r="W42" s="14">
        <f>SUM(C$42:V$42)</f>
        <v>10895917.72</v>
      </c>
    </row>
    <row r="43" ht="15.75" customHeight="1">
      <c r="A43" s="6" t="s">
        <v>149</v>
      </c>
      <c r="C43" s="14">
        <f>MAX(0,C$42*Assumptions!$B$35)</f>
        <v>78415.29419</v>
      </c>
      <c r="D43" s="14">
        <f>MAX(0,D$42*Assumptions!$B$35)</f>
        <v>77607.74772</v>
      </c>
      <c r="E43" s="14">
        <f>MAX(0,E$42*Assumptions!$B$35)</f>
        <v>76835.97372</v>
      </c>
      <c r="F43" s="14">
        <f>MAX(0,F$42*Assumptions!$B$35)</f>
        <v>76101.46083</v>
      </c>
      <c r="G43" s="14">
        <f>MAX(0,G$42*Assumptions!$B$35)</f>
        <v>75405.76887</v>
      </c>
      <c r="H43" s="14">
        <f>MAX(0,H$42*Assumptions!$B$35)</f>
        <v>70020.98708</v>
      </c>
      <c r="I43" s="14">
        <f>MAX(0,I$42*Assumptions!$B$35)</f>
        <v>69360.62326</v>
      </c>
      <c r="J43" s="14">
        <f>MAX(0,J$42*Assumptions!$B$35)</f>
        <v>68743.74968</v>
      </c>
      <c r="K43" s="14">
        <f>MAX(0,K$42*Assumptions!$B$35)</f>
        <v>68172.24284</v>
      </c>
      <c r="L43" s="14">
        <f>MAX(0,L$42*Assumptions!$B$35)</f>
        <v>67648.06964</v>
      </c>
      <c r="M43" s="14">
        <f>MAX(0,M$42*Assumptions!$B$35)</f>
        <v>66344.8253</v>
      </c>
      <c r="N43" s="14">
        <f>MAX(0,N$42*Assumptions!$B$35)</f>
        <v>65913.3197</v>
      </c>
      <c r="O43" s="14">
        <f>MAX(0,O$42*Assumptions!$B$35)</f>
        <v>65535.55391</v>
      </c>
      <c r="P43" s="14">
        <f>MAX(0,P$42*Assumptions!$B$35)</f>
        <v>65213.90256</v>
      </c>
      <c r="Q43" s="14">
        <f>MAX(0,Q$42*Assumptions!$B$35)</f>
        <v>64950.85534</v>
      </c>
      <c r="R43" s="14">
        <f>MAX(0,R$42*Assumptions!$B$35)</f>
        <v>63733.17478</v>
      </c>
      <c r="S43" s="14">
        <f>MAX(0,S$42*Assumptions!$B$35)</f>
        <v>62429.52208</v>
      </c>
      <c r="T43" s="14">
        <f>MAX(0,T$42*Assumptions!$B$35)</f>
        <v>61134.80875</v>
      </c>
      <c r="U43" s="14">
        <f>MAX(0,U$42*Assumptions!$B$35)</f>
        <v>59849.15429</v>
      </c>
      <c r="V43" s="14">
        <f>MAX(0,V$42*Assumptions!$B$35)</f>
        <v>58572.68015</v>
      </c>
      <c r="W43" s="14">
        <f>SUM(C$43:V$43)</f>
        <v>1361989.715</v>
      </c>
    </row>
    <row r="44" ht="15.75" customHeight="1">
      <c r="A44" s="33" t="s">
        <v>150</v>
      </c>
      <c r="B44" s="33"/>
      <c r="C44" s="34">
        <f t="shared" ref="C44:V44" si="7">C$42-C$43</f>
        <v>548907.0593</v>
      </c>
      <c r="D44" s="34">
        <f t="shared" si="7"/>
        <v>543254.234</v>
      </c>
      <c r="E44" s="34">
        <f t="shared" si="7"/>
        <v>537851.816</v>
      </c>
      <c r="F44" s="34">
        <f t="shared" si="7"/>
        <v>532710.2258</v>
      </c>
      <c r="G44" s="34">
        <f t="shared" si="7"/>
        <v>527840.3821</v>
      </c>
      <c r="H44" s="34">
        <f t="shared" si="7"/>
        <v>490146.9095</v>
      </c>
      <c r="I44" s="34">
        <f t="shared" si="7"/>
        <v>485524.3628</v>
      </c>
      <c r="J44" s="34">
        <f t="shared" si="7"/>
        <v>481206.2478</v>
      </c>
      <c r="K44" s="34">
        <f t="shared" si="7"/>
        <v>477205.6999</v>
      </c>
      <c r="L44" s="34">
        <f t="shared" si="7"/>
        <v>473536.4875</v>
      </c>
      <c r="M44" s="34">
        <f t="shared" si="7"/>
        <v>464413.7771</v>
      </c>
      <c r="N44" s="34">
        <f t="shared" si="7"/>
        <v>461393.2379</v>
      </c>
      <c r="O44" s="34">
        <f t="shared" si="7"/>
        <v>458748.8774</v>
      </c>
      <c r="P44" s="34">
        <f t="shared" si="7"/>
        <v>456497.3179</v>
      </c>
      <c r="Q44" s="34">
        <f t="shared" si="7"/>
        <v>454655.9873</v>
      </c>
      <c r="R44" s="34">
        <f t="shared" si="7"/>
        <v>446132.2235</v>
      </c>
      <c r="S44" s="34">
        <f t="shared" si="7"/>
        <v>437006.6546</v>
      </c>
      <c r="T44" s="34">
        <f t="shared" si="7"/>
        <v>427943.6613</v>
      </c>
      <c r="U44" s="34">
        <f t="shared" si="7"/>
        <v>418944.08</v>
      </c>
      <c r="V44" s="34">
        <f t="shared" si="7"/>
        <v>410008.761</v>
      </c>
      <c r="W44" s="34">
        <f>SUM(C$44:V$44)</f>
        <v>9533928.003</v>
      </c>
    </row>
    <row r="45" ht="15.75" customHeight="1">
      <c r="A45" s="6" t="s">
        <v>151</v>
      </c>
      <c r="C45" s="14">
        <f>IF(C$19&lt;=Assumptions!$B$39,$B$14,0)</f>
        <v>184898.0952</v>
      </c>
      <c r="D45" s="14">
        <f>IF(D$19&lt;=Assumptions!$B$39,$B$14,0)</f>
        <v>184898.0952</v>
      </c>
      <c r="E45" s="14">
        <f>IF(E$19&lt;=Assumptions!$B$39,$B$14,0)</f>
        <v>184898.0952</v>
      </c>
      <c r="F45" s="14">
        <f>IF(F$19&lt;=Assumptions!$B$39,$B$14,0)</f>
        <v>184898.0952</v>
      </c>
      <c r="G45" s="14">
        <f>IF(G$19&lt;=Assumptions!$B$39,$B$14,0)</f>
        <v>184898.0952</v>
      </c>
      <c r="H45" s="14">
        <f>IF(H$19&lt;=Assumptions!$B$39,$B$14,0)</f>
        <v>184898.0952</v>
      </c>
      <c r="I45" s="14">
        <f>IF(I$19&lt;=Assumptions!$B$39,$B$14,0)</f>
        <v>184898.0952</v>
      </c>
      <c r="J45" s="14">
        <f>IF(J$19&lt;=Assumptions!$B$39,$B$14,0)</f>
        <v>184898.0952</v>
      </c>
      <c r="K45" s="14">
        <f>IF(K$19&lt;=Assumptions!$B$39,$B$14,0)</f>
        <v>184898.0952</v>
      </c>
      <c r="L45" s="14">
        <f>IF(L$19&lt;=Assumptions!$B$39,$B$14,0)</f>
        <v>184898.0952</v>
      </c>
      <c r="M45" s="14">
        <f>IF(M$19&lt;=Assumptions!$B$39,$B$14,0)</f>
        <v>184898.0952</v>
      </c>
      <c r="N45" s="14">
        <f>IF(N$19&lt;=Assumptions!$B$39,$B$14,0)</f>
        <v>184898.0952</v>
      </c>
      <c r="O45" s="14">
        <f>IF(O$19&lt;=Assumptions!$B$39,$B$14,0)</f>
        <v>184898.0952</v>
      </c>
      <c r="P45" s="14">
        <f>IF(P$19&lt;=Assumptions!$B$39,$B$14,0)</f>
        <v>184898.0952</v>
      </c>
      <c r="Q45" s="14">
        <f>IF(Q$19&lt;=Assumptions!$B$39,$B$14,0)</f>
        <v>184898.0952</v>
      </c>
      <c r="R45" s="14">
        <f>IF(R$19&lt;=Assumptions!$B$39,$B$14,0)</f>
        <v>0</v>
      </c>
      <c r="S45" s="14">
        <f>IF(S$19&lt;=Assumptions!$B$39,$B$14,0)</f>
        <v>0</v>
      </c>
      <c r="T45" s="14">
        <f>IF(T$19&lt;=Assumptions!$B$39,$B$14,0)</f>
        <v>0</v>
      </c>
      <c r="U45" s="14">
        <f>IF(U$19&lt;=Assumptions!$B$39,$B$14,0)</f>
        <v>0</v>
      </c>
      <c r="V45" s="14">
        <f>IF(V$19&lt;=Assumptions!$B$39,$B$14,0)</f>
        <v>0</v>
      </c>
      <c r="W45" s="14">
        <f>SUM(C$45:V$45)</f>
        <v>2773471.428</v>
      </c>
    </row>
    <row r="46" ht="15.75" customHeight="1">
      <c r="A46" s="33" t="s">
        <v>152</v>
      </c>
      <c r="B46" s="33"/>
      <c r="C46" s="34">
        <f t="shared" ref="C46:V46" si="8">C$39-C$45-C$43</f>
        <v>778446.1141</v>
      </c>
      <c r="D46" s="34">
        <f t="shared" si="8"/>
        <v>768346.3316</v>
      </c>
      <c r="E46" s="34">
        <f t="shared" si="8"/>
        <v>758274.6085</v>
      </c>
      <c r="F46" s="34">
        <f t="shared" si="8"/>
        <v>748230.2479</v>
      </c>
      <c r="G46" s="34">
        <f t="shared" si="8"/>
        <v>738212.4952</v>
      </c>
      <c r="H46" s="34">
        <f t="shared" si="8"/>
        <v>695113.7184</v>
      </c>
      <c r="I46" s="34">
        <f t="shared" si="8"/>
        <v>684815.6021</v>
      </c>
      <c r="J46" s="34">
        <f t="shared" si="8"/>
        <v>674538.139</v>
      </c>
      <c r="K46" s="34">
        <f t="shared" si="8"/>
        <v>664280.2756</v>
      </c>
      <c r="L46" s="34">
        <f t="shared" si="8"/>
        <v>654040.882</v>
      </c>
      <c r="M46" s="34">
        <f t="shared" si="8"/>
        <v>638019.4814</v>
      </c>
      <c r="N46" s="34">
        <f t="shared" si="8"/>
        <v>627755.3174</v>
      </c>
      <c r="O46" s="34">
        <f t="shared" si="8"/>
        <v>617505.1508</v>
      </c>
      <c r="P46" s="34">
        <f t="shared" si="8"/>
        <v>607267.4951</v>
      </c>
      <c r="Q46" s="34">
        <f t="shared" si="8"/>
        <v>597040.7634</v>
      </c>
      <c r="R46" s="34">
        <f t="shared" si="8"/>
        <v>764610.4235</v>
      </c>
      <c r="S46" s="34">
        <f t="shared" si="8"/>
        <v>755484.8546</v>
      </c>
      <c r="T46" s="34">
        <f t="shared" si="8"/>
        <v>746421.8613</v>
      </c>
      <c r="U46" s="34">
        <f t="shared" si="8"/>
        <v>737422.28</v>
      </c>
      <c r="V46" s="34">
        <f t="shared" si="8"/>
        <v>728486.961</v>
      </c>
      <c r="W46" s="34">
        <f>SUM(C$46:V$46)</f>
        <v>13984313</v>
      </c>
    </row>
    <row r="47" ht="15.75" customHeight="1">
      <c r="A47" s="6" t="s">
        <v>153</v>
      </c>
      <c r="C47" s="14">
        <f>C$46</f>
        <v>778446.1141</v>
      </c>
      <c r="D47" s="14">
        <f t="shared" ref="D47:V47" si="9">C$47+D$46</f>
        <v>1546792.446</v>
      </c>
      <c r="E47" s="14">
        <f t="shared" si="9"/>
        <v>2305067.054</v>
      </c>
      <c r="F47" s="14">
        <f t="shared" si="9"/>
        <v>3053297.302</v>
      </c>
      <c r="G47" s="14">
        <f t="shared" si="9"/>
        <v>3791509.797</v>
      </c>
      <c r="H47" s="14">
        <f t="shared" si="9"/>
        <v>4486623.516</v>
      </c>
      <c r="I47" s="14">
        <f t="shared" si="9"/>
        <v>5171439.118</v>
      </c>
      <c r="J47" s="14">
        <f t="shared" si="9"/>
        <v>5845977.257</v>
      </c>
      <c r="K47" s="14">
        <f t="shared" si="9"/>
        <v>6510257.532</v>
      </c>
      <c r="L47" s="14">
        <f t="shared" si="9"/>
        <v>7164298.414</v>
      </c>
      <c r="M47" s="14">
        <f t="shared" si="9"/>
        <v>7802317.896</v>
      </c>
      <c r="N47" s="14">
        <f t="shared" si="9"/>
        <v>8430073.213</v>
      </c>
      <c r="O47" s="14">
        <f t="shared" si="9"/>
        <v>9047578.364</v>
      </c>
      <c r="P47" s="14">
        <f t="shared" si="9"/>
        <v>9654845.859</v>
      </c>
      <c r="Q47" s="14">
        <f t="shared" si="9"/>
        <v>10251886.62</v>
      </c>
      <c r="R47" s="14">
        <f t="shared" si="9"/>
        <v>11016497.05</v>
      </c>
      <c r="S47" s="14">
        <f t="shared" si="9"/>
        <v>11771981.9</v>
      </c>
      <c r="T47" s="14">
        <f t="shared" si="9"/>
        <v>12518403.76</v>
      </c>
      <c r="U47" s="14">
        <f t="shared" si="9"/>
        <v>13255826.04</v>
      </c>
      <c r="V47" s="14">
        <f t="shared" si="9"/>
        <v>13984313</v>
      </c>
      <c r="W47" s="14">
        <f>V$47</f>
        <v>13984313</v>
      </c>
    </row>
    <row r="48" ht="15.75" customHeight="1">
      <c r="A48" s="6" t="s">
        <v>154</v>
      </c>
      <c r="C48" s="35">
        <f t="shared" ref="C48:V48" si="10">IF(C$45&gt;0,C$39/C$45,"N/A")</f>
        <v>5.634235996</v>
      </c>
      <c r="D48" s="35">
        <f t="shared" si="10"/>
        <v>5.575244966</v>
      </c>
      <c r="E48" s="35">
        <f t="shared" si="10"/>
        <v>5.516599164</v>
      </c>
      <c r="F48" s="35">
        <f t="shared" si="10"/>
        <v>5.458302871</v>
      </c>
      <c r="G48" s="35">
        <f t="shared" si="10"/>
        <v>5.400360443</v>
      </c>
      <c r="H48" s="35">
        <f t="shared" si="10"/>
        <v>5.138142714</v>
      </c>
      <c r="I48" s="35">
        <f t="shared" si="10"/>
        <v>5.07887504</v>
      </c>
      <c r="J48" s="35">
        <f t="shared" si="10"/>
        <v>5.019954278</v>
      </c>
      <c r="K48" s="35">
        <f t="shared" si="10"/>
        <v>4.961384879</v>
      </c>
      <c r="L48" s="35">
        <f t="shared" si="10"/>
        <v>4.903171371</v>
      </c>
      <c r="M48" s="35">
        <f t="shared" si="10"/>
        <v>4.809473029</v>
      </c>
      <c r="N48" s="35">
        <f t="shared" si="10"/>
        <v>4.751626735</v>
      </c>
      <c r="O48" s="35">
        <f t="shared" si="10"/>
        <v>4.69414679</v>
      </c>
      <c r="P48" s="35">
        <f t="shared" si="10"/>
        <v>4.637037996</v>
      </c>
      <c r="Q48" s="35">
        <f t="shared" si="10"/>
        <v>4.580305238</v>
      </c>
      <c r="R48" s="35" t="str">
        <f t="shared" si="10"/>
        <v>N/A</v>
      </c>
      <c r="S48" s="35" t="str">
        <f t="shared" si="10"/>
        <v>N/A</v>
      </c>
      <c r="T48" s="35" t="str">
        <f t="shared" si="10"/>
        <v>N/A</v>
      </c>
      <c r="U48" s="35" t="str">
        <f t="shared" si="10"/>
        <v>N/A</v>
      </c>
      <c r="V48" s="35" t="str">
        <f t="shared" si="10"/>
        <v>N/A</v>
      </c>
      <c r="W48" s="35">
        <f>AVERAGE(C$48:Q$48)</f>
        <v>5.077257434</v>
      </c>
    </row>
    <row r="49" ht="15.75" customHeight="1"/>
    <row r="50" ht="15.75" customHeight="1">
      <c r="A50" s="31" t="s">
        <v>155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</row>
    <row r="51" ht="15.75" customHeight="1">
      <c r="A51" s="6" t="s">
        <v>136</v>
      </c>
      <c r="C51" s="14">
        <f>C$22*Assumptions!$B$14</f>
        <v>682500</v>
      </c>
      <c r="D51" s="14">
        <f>D$22*Assumptions!$B$14</f>
        <v>679087.5</v>
      </c>
      <c r="E51" s="14">
        <f>E$22*Assumptions!$B$14</f>
        <v>675692.0625</v>
      </c>
      <c r="F51" s="14">
        <f>F$22*Assumptions!$B$14</f>
        <v>672313.6022</v>
      </c>
      <c r="G51" s="14">
        <f>G$22*Assumptions!$B$14</f>
        <v>668952.0342</v>
      </c>
      <c r="H51" s="14">
        <f>H$22*Assumptions!$B$14</f>
        <v>665607.274</v>
      </c>
      <c r="I51" s="14">
        <f>I$22*Assumptions!$B$14</f>
        <v>662279.2376</v>
      </c>
      <c r="J51" s="14">
        <f>J$22*Assumptions!$B$14</f>
        <v>658967.8414</v>
      </c>
      <c r="K51" s="14">
        <f>K$22*Assumptions!$B$14</f>
        <v>655673.0022</v>
      </c>
      <c r="L51" s="14">
        <f>L$22*Assumptions!$B$14</f>
        <v>652394.6372</v>
      </c>
      <c r="M51" s="14">
        <f>M$22*Assumptions!$B$14</f>
        <v>649132.664</v>
      </c>
      <c r="N51" s="14">
        <f>N$22*Assumptions!$B$14</f>
        <v>645887.0007</v>
      </c>
      <c r="O51" s="14">
        <f>O$22*Assumptions!$B$14</f>
        <v>642657.5657</v>
      </c>
      <c r="P51" s="14">
        <f>P$22*Assumptions!$B$14</f>
        <v>639444.2779</v>
      </c>
      <c r="Q51" s="14">
        <f>Q$22*Assumptions!$B$14</f>
        <v>636247.0565</v>
      </c>
      <c r="R51" s="14">
        <f>R$22*Assumptions!$B$14</f>
        <v>633065.8212</v>
      </c>
      <c r="S51" s="14">
        <f>S$22*Assumptions!$B$14</f>
        <v>629900.4921</v>
      </c>
      <c r="T51" s="14">
        <f>T$22*Assumptions!$B$14</f>
        <v>626750.9897</v>
      </c>
      <c r="U51" s="14">
        <f>U$22*Assumptions!$B$14</f>
        <v>623617.2347</v>
      </c>
      <c r="V51" s="14">
        <f>V$22*Assumptions!$B$14</f>
        <v>620499.1485</v>
      </c>
      <c r="W51" s="14">
        <f>SUM(C$51:V$51)</f>
        <v>13020669.44</v>
      </c>
    </row>
    <row r="52" ht="15.75" customHeight="1">
      <c r="A52" s="6" t="s">
        <v>137</v>
      </c>
      <c r="C52" s="14">
        <f>C$21*Assumptions!$B$15</f>
        <v>8531.25</v>
      </c>
      <c r="D52" s="14">
        <f>D$21*Assumptions!$B$15</f>
        <v>8488.59375</v>
      </c>
      <c r="E52" s="14">
        <f>E$21*Assumptions!$B$15</f>
        <v>8446.150781</v>
      </c>
      <c r="F52" s="14">
        <f>F$21*Assumptions!$B$15</f>
        <v>8403.920027</v>
      </c>
      <c r="G52" s="14">
        <f>G$21*Assumptions!$B$15</f>
        <v>8361.900427</v>
      </c>
      <c r="H52" s="14">
        <f>H$21*Assumptions!$B$15</f>
        <v>8320.090925</v>
      </c>
      <c r="I52" s="14">
        <f>I$21*Assumptions!$B$15</f>
        <v>8278.49047</v>
      </c>
      <c r="J52" s="14">
        <f>J$21*Assumptions!$B$15</f>
        <v>8237.098018</v>
      </c>
      <c r="K52" s="14">
        <f>K$21*Assumptions!$B$15</f>
        <v>8195.912528</v>
      </c>
      <c r="L52" s="14">
        <f>L$21*Assumptions!$B$15</f>
        <v>8154.932965</v>
      </c>
      <c r="M52" s="14">
        <f>M$21*Assumptions!$B$15</f>
        <v>8114.158301</v>
      </c>
      <c r="N52" s="14">
        <f>N$21*Assumptions!$B$15</f>
        <v>8073.587509</v>
      </c>
      <c r="O52" s="14">
        <f>O$21*Assumptions!$B$15</f>
        <v>8033.219571</v>
      </c>
      <c r="P52" s="14">
        <f>P$21*Assumptions!$B$15</f>
        <v>7993.053474</v>
      </c>
      <c r="Q52" s="14">
        <f>Q$21*Assumptions!$B$15</f>
        <v>7953.088206</v>
      </c>
      <c r="R52" s="14">
        <f>R$21*Assumptions!$B$15</f>
        <v>7913.322765</v>
      </c>
      <c r="S52" s="14">
        <f>S$21*Assumptions!$B$15</f>
        <v>7873.756151</v>
      </c>
      <c r="T52" s="14">
        <f>T$21*Assumptions!$B$15</f>
        <v>7834.387371</v>
      </c>
      <c r="U52" s="14">
        <f>U$21*Assumptions!$B$15</f>
        <v>7795.215434</v>
      </c>
      <c r="V52" s="14">
        <f>V$21*Assumptions!$B$15</f>
        <v>7756.239357</v>
      </c>
      <c r="W52" s="14">
        <f>SUM(C$52:V$52)</f>
        <v>162758.368</v>
      </c>
    </row>
    <row r="53" ht="15.75" customHeight="1">
      <c r="A53" s="6" t="s">
        <v>138</v>
      </c>
      <c r="C53" s="14">
        <f>C$25*Assumptions!$B$43</f>
        <v>820974.6185</v>
      </c>
      <c r="D53" s="14">
        <f>D$25*Assumptions!$B$43</f>
        <v>809722.6821</v>
      </c>
      <c r="E53" s="14">
        <f>E$25*Assumptions!$B$43</f>
        <v>798470.7457</v>
      </c>
      <c r="F53" s="14">
        <f>F$25*Assumptions!$B$43</f>
        <v>787218.8093</v>
      </c>
      <c r="G53" s="14">
        <f>G$25*Assumptions!$B$43</f>
        <v>775966.8729</v>
      </c>
      <c r="H53" s="14">
        <f>H$25*Assumptions!$B$43</f>
        <v>764714.9365</v>
      </c>
      <c r="I53" s="14">
        <f>I$25*Assumptions!$B$43</f>
        <v>753463.0001</v>
      </c>
      <c r="J53" s="14">
        <f>J$25*Assumptions!$B$43</f>
        <v>742211.0637</v>
      </c>
      <c r="K53" s="14">
        <f>K$25*Assumptions!$B$43</f>
        <v>730959.1273</v>
      </c>
      <c r="L53" s="14">
        <f>L$25*Assumptions!$B$43</f>
        <v>719707.1909</v>
      </c>
      <c r="M53" s="14">
        <f>M$25*Assumptions!$B$43</f>
        <v>708455.2545</v>
      </c>
      <c r="N53" s="14">
        <f>N$25*Assumptions!$B$43</f>
        <v>697203.3181</v>
      </c>
      <c r="O53" s="14">
        <f>O$25*Assumptions!$B$43</f>
        <v>685951.3817</v>
      </c>
      <c r="P53" s="14">
        <f>P$25*Assumptions!$B$43</f>
        <v>674699.4453</v>
      </c>
      <c r="Q53" s="14">
        <f>Q$25*Assumptions!$B$43</f>
        <v>663447.5089</v>
      </c>
      <c r="R53" s="14">
        <f>R$25*Assumptions!$B$43</f>
        <v>652195.5725</v>
      </c>
      <c r="S53" s="14">
        <f>S$25*Assumptions!$B$43</f>
        <v>640943.6361</v>
      </c>
      <c r="T53" s="14">
        <f>T$25*Assumptions!$B$43</f>
        <v>629691.6997</v>
      </c>
      <c r="U53" s="14">
        <f>U$25*Assumptions!$B$43</f>
        <v>618439.7633</v>
      </c>
      <c r="V53" s="14">
        <f>V$25*Assumptions!$B$43</f>
        <v>607187.8269</v>
      </c>
      <c r="W53" s="14">
        <f>SUM(C$53:V$53)</f>
        <v>14281624.45</v>
      </c>
    </row>
    <row r="54" ht="15.75" customHeight="1">
      <c r="A54" s="36" t="s">
        <v>139</v>
      </c>
      <c r="B54" s="36"/>
      <c r="C54" s="37">
        <f t="shared" ref="C54:V54" si="11">C$51+C$52+C$53</f>
        <v>1512005.868</v>
      </c>
      <c r="D54" s="37">
        <f t="shared" si="11"/>
        <v>1497298.776</v>
      </c>
      <c r="E54" s="37">
        <f t="shared" si="11"/>
        <v>1482608.959</v>
      </c>
      <c r="F54" s="37">
        <f t="shared" si="11"/>
        <v>1467936.331</v>
      </c>
      <c r="G54" s="37">
        <f t="shared" si="11"/>
        <v>1453280.807</v>
      </c>
      <c r="H54" s="37">
        <f t="shared" si="11"/>
        <v>1438642.301</v>
      </c>
      <c r="I54" s="37">
        <f t="shared" si="11"/>
        <v>1424020.728</v>
      </c>
      <c r="J54" s="37">
        <f t="shared" si="11"/>
        <v>1409416.003</v>
      </c>
      <c r="K54" s="37">
        <f t="shared" si="11"/>
        <v>1394828.042</v>
      </c>
      <c r="L54" s="37">
        <f t="shared" si="11"/>
        <v>1380256.761</v>
      </c>
      <c r="M54" s="37">
        <f t="shared" si="11"/>
        <v>1365702.077</v>
      </c>
      <c r="N54" s="37">
        <f t="shared" si="11"/>
        <v>1351163.906</v>
      </c>
      <c r="O54" s="37">
        <f t="shared" si="11"/>
        <v>1336642.167</v>
      </c>
      <c r="P54" s="37">
        <f t="shared" si="11"/>
        <v>1322136.777</v>
      </c>
      <c r="Q54" s="37">
        <f t="shared" si="11"/>
        <v>1307647.654</v>
      </c>
      <c r="R54" s="37">
        <f t="shared" si="11"/>
        <v>1293174.717</v>
      </c>
      <c r="S54" s="37">
        <f t="shared" si="11"/>
        <v>1278717.884</v>
      </c>
      <c r="T54" s="37">
        <f t="shared" si="11"/>
        <v>1264277.077</v>
      </c>
      <c r="U54" s="37">
        <f t="shared" si="11"/>
        <v>1249852.213</v>
      </c>
      <c r="V54" s="37">
        <f t="shared" si="11"/>
        <v>1235443.215</v>
      </c>
      <c r="W54" s="37">
        <f>SUM(C$54:V$54)</f>
        <v>27465052.26</v>
      </c>
    </row>
    <row r="55" ht="15.75" customHeight="1">
      <c r="A55" s="6" t="s">
        <v>140</v>
      </c>
      <c r="C55" s="14">
        <f>C$27*Assumptions!$B$25*(1+Assumptions!$B$36)^(C$19-1)</f>
        <v>103819.8</v>
      </c>
      <c r="D55" s="14">
        <f>D$27*Assumptions!$B$25*(1+Assumptions!$B$36)^(D$19-1)</f>
        <v>101545.5528</v>
      </c>
      <c r="E55" s="14">
        <f>E$27*Assumptions!$B$25*(1+Assumptions!$B$36)^(E$19-1)</f>
        <v>99209.9994</v>
      </c>
      <c r="F55" s="14">
        <f>F$27*Assumptions!$B$25*(1+Assumptions!$B$36)^(F$19-1)</f>
        <v>96812.11428</v>
      </c>
      <c r="G55" s="14">
        <f>G$27*Assumptions!$B$25*(1+Assumptions!$B$36)^(G$19-1)</f>
        <v>94350.85727</v>
      </c>
      <c r="H55" s="14">
        <f>H$27*Assumptions!$B$25*(1+Assumptions!$B$36)^(H$19-1)</f>
        <v>91825.17353</v>
      </c>
      <c r="I55" s="14">
        <f>I$27*Assumptions!$B$25*(1+Assumptions!$B$36)^(I$19-1)</f>
        <v>89233.99333</v>
      </c>
      <c r="J55" s="14">
        <f>J$27*Assumptions!$B$25*(1+Assumptions!$B$36)^(J$19-1)</f>
        <v>86576.23184</v>
      </c>
      <c r="K55" s="14">
        <f>K$27*Assumptions!$B$25*(1+Assumptions!$B$36)^(K$19-1)</f>
        <v>83850.78896</v>
      </c>
      <c r="L55" s="14">
        <f>L$27*Assumptions!$B$25*(1+Assumptions!$B$36)^(L$19-1)</f>
        <v>81056.54911</v>
      </c>
      <c r="M55" s="14">
        <f>M$27*Assumptions!$B$25*(1+Assumptions!$B$36)^(M$19-1)</f>
        <v>78192.38101</v>
      </c>
      <c r="N55" s="14">
        <f>N$27*Assumptions!$B$25*(1+Assumptions!$B$36)^(N$19-1)</f>
        <v>75257.13752</v>
      </c>
      <c r="O55" s="14">
        <f>O$27*Assumptions!$B$25*(1+Assumptions!$B$36)^(O$19-1)</f>
        <v>72249.6554</v>
      </c>
      <c r="P55" s="14">
        <f>P$27*Assumptions!$B$25*(1+Assumptions!$B$36)^(P$19-1)</f>
        <v>69168.75512</v>
      </c>
      <c r="Q55" s="14">
        <f>Q$27*Assumptions!$B$25*(1+Assumptions!$B$36)^(Q$19-1)</f>
        <v>66013.24062</v>
      </c>
      <c r="R55" s="14">
        <f>R$27*Assumptions!$B$25*(1+Assumptions!$B$36)^(R$19-1)</f>
        <v>62781.89916</v>
      </c>
      <c r="S55" s="14">
        <f>S$27*Assumptions!$B$25*(1+Assumptions!$B$36)^(S$19-1)</f>
        <v>59473.50103</v>
      </c>
      <c r="T55" s="14">
        <f>T$27*Assumptions!$B$25*(1+Assumptions!$B$36)^(T$19-1)</f>
        <v>56086.79938</v>
      </c>
      <c r="U55" s="14">
        <f>U$27*Assumptions!$B$25*(1+Assumptions!$B$36)^(U$19-1)</f>
        <v>52620.52999</v>
      </c>
      <c r="V55" s="14">
        <f>V$27*Assumptions!$B$25*(1+Assumptions!$B$36)^(V$19-1)</f>
        <v>49073.41104</v>
      </c>
      <c r="W55" s="14">
        <f>SUM(C$55:V$55)</f>
        <v>1569198.371</v>
      </c>
    </row>
    <row r="56" ht="15.75" customHeight="1">
      <c r="A56" s="6" t="s">
        <v>141</v>
      </c>
      <c r="C56" s="14">
        <f>$B$5*Assumptions!$B$16*(1+Assumptions!$B$36)^(C$19-1)</f>
        <v>75000</v>
      </c>
      <c r="D56" s="14">
        <f>$B$5*Assumptions!$B$16*(1+Assumptions!$B$36)^(D$19-1)</f>
        <v>75750</v>
      </c>
      <c r="E56" s="14">
        <f>$B$5*Assumptions!$B$16*(1+Assumptions!$B$36)^(E$19-1)</f>
        <v>76507.5</v>
      </c>
      <c r="F56" s="14">
        <f>$B$5*Assumptions!$B$16*(1+Assumptions!$B$36)^(F$19-1)</f>
        <v>77272.575</v>
      </c>
      <c r="G56" s="14">
        <f>$B$5*Assumptions!$B$16*(1+Assumptions!$B$36)^(G$19-1)</f>
        <v>78045.30075</v>
      </c>
      <c r="H56" s="14">
        <f>$B$5*Assumptions!$B$16*(1+Assumptions!$B$36)^(H$19-1)</f>
        <v>78825.75376</v>
      </c>
      <c r="I56" s="14">
        <f>$B$5*Assumptions!$B$16*(1+Assumptions!$B$36)^(I$19-1)</f>
        <v>79614.0113</v>
      </c>
      <c r="J56" s="14">
        <f>$B$5*Assumptions!$B$16*(1+Assumptions!$B$36)^(J$19-1)</f>
        <v>80410.15141</v>
      </c>
      <c r="K56" s="14">
        <f>$B$5*Assumptions!$B$16*(1+Assumptions!$B$36)^(K$19-1)</f>
        <v>81214.25292</v>
      </c>
      <c r="L56" s="14">
        <f>$B$5*Assumptions!$B$16*(1+Assumptions!$B$36)^(L$19-1)</f>
        <v>82026.39545</v>
      </c>
      <c r="M56" s="14">
        <f>$B$5*Assumptions!$B$16*(1+Assumptions!$B$36)^(M$19-1)</f>
        <v>82846.65941</v>
      </c>
      <c r="N56" s="14">
        <f>$B$5*Assumptions!$B$16*(1+Assumptions!$B$36)^(N$19-1)</f>
        <v>83675.126</v>
      </c>
      <c r="O56" s="14">
        <f>$B$5*Assumptions!$B$16*(1+Assumptions!$B$36)^(O$19-1)</f>
        <v>84511.87726</v>
      </c>
      <c r="P56" s="14">
        <f>$B$5*Assumptions!$B$16*(1+Assumptions!$B$36)^(P$19-1)</f>
        <v>85356.99603</v>
      </c>
      <c r="Q56" s="14">
        <f>$B$5*Assumptions!$B$16*(1+Assumptions!$B$36)^(Q$19-1)</f>
        <v>86210.56599</v>
      </c>
      <c r="R56" s="14">
        <f>$B$5*Assumptions!$B$16*(1+Assumptions!$B$36)^(R$19-1)</f>
        <v>87072.67165</v>
      </c>
      <c r="S56" s="14">
        <f>$B$5*Assumptions!$B$16*(1+Assumptions!$B$36)^(S$19-1)</f>
        <v>87943.39837</v>
      </c>
      <c r="T56" s="14">
        <f>$B$5*Assumptions!$B$16*(1+Assumptions!$B$36)^(T$19-1)</f>
        <v>88822.83235</v>
      </c>
      <c r="U56" s="14">
        <f>$B$5*Assumptions!$B$16*(1+Assumptions!$B$36)^(U$19-1)</f>
        <v>89711.06068</v>
      </c>
      <c r="V56" s="14">
        <f>$B$5*Assumptions!$B$16*(1+Assumptions!$B$36)^(V$19-1)</f>
        <v>90608.17128</v>
      </c>
      <c r="W56" s="14">
        <f>SUM(C$56:V$56)</f>
        <v>1651425.3</v>
      </c>
    </row>
    <row r="57" ht="15.75" customHeight="1">
      <c r="A57" s="6" t="s">
        <v>142</v>
      </c>
      <c r="C57" s="14">
        <f>($B$6*Assumptions!$B$26+$B$6*Assumptions!$B$27+$B$7*Assumptions!$B$28+Assumptions!$B$29)*(1+Assumptions!$B$36)^(C$19-1)</f>
        <v>72500</v>
      </c>
      <c r="D57" s="14">
        <f>($B$6*Assumptions!$B$26+$B$6*Assumptions!$B$27+$B$7*Assumptions!$B$28+Assumptions!$B$29)*(1+Assumptions!$B$36)^(D$19-1)</f>
        <v>73225</v>
      </c>
      <c r="E57" s="14">
        <f>($B$6*Assumptions!$B$26+$B$6*Assumptions!$B$27+$B$7*Assumptions!$B$28+Assumptions!$B$29)*(1+Assumptions!$B$36)^(E$19-1)</f>
        <v>73957.25</v>
      </c>
      <c r="F57" s="14">
        <f>($B$6*Assumptions!$B$26+$B$6*Assumptions!$B$27+$B$7*Assumptions!$B$28+Assumptions!$B$29)*(1+Assumptions!$B$36)^(F$19-1)</f>
        <v>74696.8225</v>
      </c>
      <c r="G57" s="14">
        <f>($B$6*Assumptions!$B$26+$B$6*Assumptions!$B$27+$B$7*Assumptions!$B$28+Assumptions!$B$29)*(1+Assumptions!$B$36)^(G$19-1)</f>
        <v>75443.79073</v>
      </c>
      <c r="H57" s="14">
        <f>($B$6*Assumptions!$B$26+$B$6*Assumptions!$B$27+$B$7*Assumptions!$B$28+Assumptions!$B$29)*(1+Assumptions!$B$36)^(H$19-1)</f>
        <v>76198.22863</v>
      </c>
      <c r="I57" s="14">
        <f>($B$6*Assumptions!$B$26+$B$6*Assumptions!$B$27+$B$7*Assumptions!$B$28+Assumptions!$B$29)*(1+Assumptions!$B$36)^(I$19-1)</f>
        <v>76960.21092</v>
      </c>
      <c r="J57" s="14">
        <f>($B$6*Assumptions!$B$26+$B$6*Assumptions!$B$27+$B$7*Assumptions!$B$28+Assumptions!$B$29)*(1+Assumptions!$B$36)^(J$19-1)</f>
        <v>77729.81303</v>
      </c>
      <c r="K57" s="14">
        <f>($B$6*Assumptions!$B$26+$B$6*Assumptions!$B$27+$B$7*Assumptions!$B$28+Assumptions!$B$29)*(1+Assumptions!$B$36)^(K$19-1)</f>
        <v>78507.11116</v>
      </c>
      <c r="L57" s="14">
        <f>($B$6*Assumptions!$B$26+$B$6*Assumptions!$B$27+$B$7*Assumptions!$B$28+Assumptions!$B$29)*(1+Assumptions!$B$36)^(L$19-1)</f>
        <v>79292.18227</v>
      </c>
      <c r="M57" s="14">
        <f>($B$6*Assumptions!$B$26+$B$6*Assumptions!$B$27+$B$7*Assumptions!$B$28+Assumptions!$B$29)*(1+Assumptions!$B$36)^(M$19-1)</f>
        <v>80085.10409</v>
      </c>
      <c r="N57" s="14">
        <f>($B$6*Assumptions!$B$26+$B$6*Assumptions!$B$27+$B$7*Assumptions!$B$28+Assumptions!$B$29)*(1+Assumptions!$B$36)^(N$19-1)</f>
        <v>80885.95513</v>
      </c>
      <c r="O57" s="14">
        <f>($B$6*Assumptions!$B$26+$B$6*Assumptions!$B$27+$B$7*Assumptions!$B$28+Assumptions!$B$29)*(1+Assumptions!$B$36)^(O$19-1)</f>
        <v>81694.81468</v>
      </c>
      <c r="P57" s="14">
        <f>($B$6*Assumptions!$B$26+$B$6*Assumptions!$B$27+$B$7*Assumptions!$B$28+Assumptions!$B$29)*(1+Assumptions!$B$36)^(P$19-1)</f>
        <v>82511.76283</v>
      </c>
      <c r="Q57" s="14">
        <f>($B$6*Assumptions!$B$26+$B$6*Assumptions!$B$27+$B$7*Assumptions!$B$28+Assumptions!$B$29)*(1+Assumptions!$B$36)^(Q$19-1)</f>
        <v>83336.88046</v>
      </c>
      <c r="R57" s="14">
        <f>($B$6*Assumptions!$B$26+$B$6*Assumptions!$B$27+$B$7*Assumptions!$B$28+Assumptions!$B$29)*(1+Assumptions!$B$36)^(R$19-1)</f>
        <v>84170.24926</v>
      </c>
      <c r="S57" s="14">
        <f>($B$6*Assumptions!$B$26+$B$6*Assumptions!$B$27+$B$7*Assumptions!$B$28+Assumptions!$B$29)*(1+Assumptions!$B$36)^(S$19-1)</f>
        <v>85011.95176</v>
      </c>
      <c r="T57" s="14">
        <f>($B$6*Assumptions!$B$26+$B$6*Assumptions!$B$27+$B$7*Assumptions!$B$28+Assumptions!$B$29)*(1+Assumptions!$B$36)^(T$19-1)</f>
        <v>85862.07127</v>
      </c>
      <c r="U57" s="14">
        <f>($B$6*Assumptions!$B$26+$B$6*Assumptions!$B$27+$B$7*Assumptions!$B$28+Assumptions!$B$29)*(1+Assumptions!$B$36)^(U$19-1)</f>
        <v>86720.69199</v>
      </c>
      <c r="V57" s="14">
        <f>($B$6*Assumptions!$B$26+$B$6*Assumptions!$B$27+$B$7*Assumptions!$B$28+Assumptions!$B$29)*(1+Assumptions!$B$36)^(V$19-1)</f>
        <v>87587.89891</v>
      </c>
      <c r="W57" s="14">
        <f>SUM(C$57:V$57)</f>
        <v>1596377.79</v>
      </c>
    </row>
    <row r="58" ht="15.75" customHeight="1">
      <c r="A58" s="6" t="s">
        <v>143</v>
      </c>
      <c r="C58" s="14">
        <f>IF(C$19&lt;=5,0,IF(C$19&lt;=10,Assumptions!$B$30,IF(C$19&lt;=15,Assumptions!$B$31,Assumptions!$B$32)))*$B$6*(1+Assumptions!$B$36)^(C$19-1)</f>
        <v>0</v>
      </c>
      <c r="D58" s="14">
        <f>IF(D$19&lt;=5,0,IF(D$19&lt;=10,Assumptions!$B$30,IF(D$19&lt;=15,Assumptions!$B$31,Assumptions!$B$32)))*$B$6*(1+Assumptions!$B$36)^(D$19-1)</f>
        <v>0</v>
      </c>
      <c r="E58" s="14">
        <f>IF(E$19&lt;=5,0,IF(E$19&lt;=10,Assumptions!$B$30,IF(E$19&lt;=15,Assumptions!$B$31,Assumptions!$B$32)))*$B$6*(1+Assumptions!$B$36)^(E$19-1)</f>
        <v>0</v>
      </c>
      <c r="F58" s="14">
        <f>IF(F$19&lt;=5,0,IF(F$19&lt;=10,Assumptions!$B$30,IF(F$19&lt;=15,Assumptions!$B$31,Assumptions!$B$32)))*$B$6*(1+Assumptions!$B$36)^(F$19-1)</f>
        <v>0</v>
      </c>
      <c r="G58" s="14">
        <f>IF(G$19&lt;=5,0,IF(G$19&lt;=10,Assumptions!$B$30,IF(G$19&lt;=15,Assumptions!$B$31,Assumptions!$B$32)))*$B$6*(1+Assumptions!$B$36)^(G$19-1)</f>
        <v>0</v>
      </c>
      <c r="H58" s="14">
        <f>IF(H$19&lt;=5,0,IF(H$19&lt;=10,Assumptions!$B$30,IF(H$19&lt;=15,Assumptions!$B$31,Assumptions!$B$32)))*$B$6*(1+Assumptions!$B$36)^(H$19-1)</f>
        <v>37836.3618</v>
      </c>
      <c r="I58" s="14">
        <f>IF(I$19&lt;=5,0,IF(I$19&lt;=10,Assumptions!$B$30,IF(I$19&lt;=15,Assumptions!$B$31,Assumptions!$B$32)))*$B$6*(1+Assumptions!$B$36)^(I$19-1)</f>
        <v>38214.72542</v>
      </c>
      <c r="J58" s="14">
        <f>IF(J$19&lt;=5,0,IF(J$19&lt;=10,Assumptions!$B$30,IF(J$19&lt;=15,Assumptions!$B$31,Assumptions!$B$32)))*$B$6*(1+Assumptions!$B$36)^(J$19-1)</f>
        <v>38596.87268</v>
      </c>
      <c r="K58" s="14">
        <f>IF(K$19&lt;=5,0,IF(K$19&lt;=10,Assumptions!$B$30,IF(K$19&lt;=15,Assumptions!$B$31,Assumptions!$B$32)))*$B$6*(1+Assumptions!$B$36)^(K$19-1)</f>
        <v>38982.8414</v>
      </c>
      <c r="L58" s="14">
        <f>IF(L$19&lt;=5,0,IF(L$19&lt;=10,Assumptions!$B$30,IF(L$19&lt;=15,Assumptions!$B$31,Assumptions!$B$32)))*$B$6*(1+Assumptions!$B$36)^(L$19-1)</f>
        <v>39372.66982</v>
      </c>
      <c r="M58" s="14">
        <f>IF(M$19&lt;=5,0,IF(M$19&lt;=10,Assumptions!$B$30,IF(M$19&lt;=15,Assumptions!$B$31,Assumptions!$B$32)))*$B$6*(1+Assumptions!$B$36)^(M$19-1)</f>
        <v>46394.12927</v>
      </c>
      <c r="N58" s="14">
        <f>IF(N$19&lt;=5,0,IF(N$19&lt;=10,Assumptions!$B$30,IF(N$19&lt;=15,Assumptions!$B$31,Assumptions!$B$32)))*$B$6*(1+Assumptions!$B$36)^(N$19-1)</f>
        <v>46858.07056</v>
      </c>
      <c r="O58" s="14">
        <f>IF(O$19&lt;=5,0,IF(O$19&lt;=10,Assumptions!$B$30,IF(O$19&lt;=15,Assumptions!$B$31,Assumptions!$B$32)))*$B$6*(1+Assumptions!$B$36)^(O$19-1)</f>
        <v>47326.65127</v>
      </c>
      <c r="P58" s="14">
        <f>IF(P$19&lt;=5,0,IF(P$19&lt;=10,Assumptions!$B$30,IF(P$19&lt;=15,Assumptions!$B$31,Assumptions!$B$32)))*$B$6*(1+Assumptions!$B$36)^(P$19-1)</f>
        <v>47799.91778</v>
      </c>
      <c r="Q58" s="14">
        <f>IF(Q$19&lt;=5,0,IF(Q$19&lt;=10,Assumptions!$B$30,IF(Q$19&lt;=15,Assumptions!$B$31,Assumptions!$B$32)))*$B$6*(1+Assumptions!$B$36)^(Q$19-1)</f>
        <v>48277.91696</v>
      </c>
      <c r="R58" s="14">
        <f>IF(R$19&lt;=5,0,IF(R$19&lt;=10,Assumptions!$B$30,IF(R$19&lt;=15,Assumptions!$B$31,Assumptions!$B$32)))*$B$6*(1+Assumptions!$B$36)^(R$19-1)</f>
        <v>56887.47881</v>
      </c>
      <c r="S58" s="14">
        <f>IF(S$19&lt;=5,0,IF(S$19&lt;=10,Assumptions!$B$30,IF(S$19&lt;=15,Assumptions!$B$31,Assumptions!$B$32)))*$B$6*(1+Assumptions!$B$36)^(S$19-1)</f>
        <v>57456.3536</v>
      </c>
      <c r="T58" s="14">
        <f>IF(T$19&lt;=5,0,IF(T$19&lt;=10,Assumptions!$B$30,IF(T$19&lt;=15,Assumptions!$B$31,Assumptions!$B$32)))*$B$6*(1+Assumptions!$B$36)^(T$19-1)</f>
        <v>58030.91714</v>
      </c>
      <c r="U58" s="14">
        <f>IF(U$19&lt;=5,0,IF(U$19&lt;=10,Assumptions!$B$30,IF(U$19&lt;=15,Assumptions!$B$31,Assumptions!$B$32)))*$B$6*(1+Assumptions!$B$36)^(U$19-1)</f>
        <v>58611.22631</v>
      </c>
      <c r="V58" s="14">
        <f>IF(V$19&lt;=5,0,IF(V$19&lt;=10,Assumptions!$B$30,IF(V$19&lt;=15,Assumptions!$B$31,Assumptions!$B$32)))*$B$6*(1+Assumptions!$B$36)^(V$19-1)</f>
        <v>59197.33857</v>
      </c>
      <c r="W58" s="14">
        <f>SUM(C$58:V$58)</f>
        <v>719843.4714</v>
      </c>
    </row>
    <row r="59" ht="15.75" customHeight="1">
      <c r="A59" s="36" t="s">
        <v>144</v>
      </c>
      <c r="B59" s="36"/>
      <c r="C59" s="37">
        <f t="shared" ref="C59:V59" si="12">C$55+C$56+C$57+C$58</f>
        <v>251319.8</v>
      </c>
      <c r="D59" s="37">
        <f t="shared" si="12"/>
        <v>250520.5528</v>
      </c>
      <c r="E59" s="37">
        <f t="shared" si="12"/>
        <v>249674.7494</v>
      </c>
      <c r="F59" s="37">
        <f t="shared" si="12"/>
        <v>248781.5118</v>
      </c>
      <c r="G59" s="37">
        <f t="shared" si="12"/>
        <v>247839.9487</v>
      </c>
      <c r="H59" s="37">
        <f t="shared" si="12"/>
        <v>284685.5177</v>
      </c>
      <c r="I59" s="37">
        <f t="shared" si="12"/>
        <v>284022.941</v>
      </c>
      <c r="J59" s="37">
        <f t="shared" si="12"/>
        <v>283313.069</v>
      </c>
      <c r="K59" s="37">
        <f t="shared" si="12"/>
        <v>282554.9944</v>
      </c>
      <c r="L59" s="37">
        <f t="shared" si="12"/>
        <v>281747.7966</v>
      </c>
      <c r="M59" s="37">
        <f t="shared" si="12"/>
        <v>287518.2738</v>
      </c>
      <c r="N59" s="37">
        <f t="shared" si="12"/>
        <v>286676.2892</v>
      </c>
      <c r="O59" s="37">
        <f t="shared" si="12"/>
        <v>285782.9986</v>
      </c>
      <c r="P59" s="37">
        <f t="shared" si="12"/>
        <v>284837.4318</v>
      </c>
      <c r="Q59" s="37">
        <f t="shared" si="12"/>
        <v>283838.604</v>
      </c>
      <c r="R59" s="37">
        <f t="shared" si="12"/>
        <v>290912.2989</v>
      </c>
      <c r="S59" s="37">
        <f t="shared" si="12"/>
        <v>289885.2048</v>
      </c>
      <c r="T59" s="37">
        <f t="shared" si="12"/>
        <v>288802.6201</v>
      </c>
      <c r="U59" s="37">
        <f t="shared" si="12"/>
        <v>287663.509</v>
      </c>
      <c r="V59" s="37">
        <f t="shared" si="12"/>
        <v>286466.8198</v>
      </c>
      <c r="W59" s="37">
        <f>SUM(C$59:V$59)</f>
        <v>5536844.931</v>
      </c>
    </row>
    <row r="60" ht="15.75" customHeight="1">
      <c r="A60" s="36" t="s">
        <v>145</v>
      </c>
      <c r="B60" s="36"/>
      <c r="C60" s="37">
        <f t="shared" ref="C60:V60" si="13">C$54-C$59</f>
        <v>1260686.068</v>
      </c>
      <c r="D60" s="37">
        <f t="shared" si="13"/>
        <v>1246778.223</v>
      </c>
      <c r="E60" s="37">
        <f t="shared" si="13"/>
        <v>1232934.21</v>
      </c>
      <c r="F60" s="37">
        <f t="shared" si="13"/>
        <v>1219154.82</v>
      </c>
      <c r="G60" s="37">
        <f t="shared" si="13"/>
        <v>1205440.859</v>
      </c>
      <c r="H60" s="37">
        <f t="shared" si="13"/>
        <v>1153956.784</v>
      </c>
      <c r="I60" s="37">
        <f t="shared" si="13"/>
        <v>1139997.787</v>
      </c>
      <c r="J60" s="37">
        <f t="shared" si="13"/>
        <v>1126102.934</v>
      </c>
      <c r="K60" s="37">
        <f t="shared" si="13"/>
        <v>1112273.048</v>
      </c>
      <c r="L60" s="37">
        <f t="shared" si="13"/>
        <v>1098508.964</v>
      </c>
      <c r="M60" s="37">
        <f t="shared" si="13"/>
        <v>1078183.803</v>
      </c>
      <c r="N60" s="37">
        <f t="shared" si="13"/>
        <v>1064487.617</v>
      </c>
      <c r="O60" s="37">
        <f t="shared" si="13"/>
        <v>1050859.168</v>
      </c>
      <c r="P60" s="37">
        <f t="shared" si="13"/>
        <v>1037299.345</v>
      </c>
      <c r="Q60" s="37">
        <f t="shared" si="13"/>
        <v>1023809.05</v>
      </c>
      <c r="R60" s="37">
        <f t="shared" si="13"/>
        <v>1002262.418</v>
      </c>
      <c r="S60" s="37">
        <f t="shared" si="13"/>
        <v>988832.6796</v>
      </c>
      <c r="T60" s="37">
        <f t="shared" si="13"/>
        <v>975474.4566</v>
      </c>
      <c r="U60" s="37">
        <f t="shared" si="13"/>
        <v>962188.7045</v>
      </c>
      <c r="V60" s="37">
        <f t="shared" si="13"/>
        <v>948976.395</v>
      </c>
      <c r="W60" s="37">
        <f>SUM(C$60:V$60)</f>
        <v>21928207.33</v>
      </c>
    </row>
    <row r="61" ht="15.75" customHeight="1">
      <c r="A61" s="6" t="s">
        <v>146</v>
      </c>
      <c r="C61" s="14">
        <f t="shared" ref="C61:V61" si="14">$B$15</f>
        <v>318478.2</v>
      </c>
      <c r="D61" s="14">
        <f t="shared" si="14"/>
        <v>318478.2</v>
      </c>
      <c r="E61" s="14">
        <f t="shared" si="14"/>
        <v>318478.2</v>
      </c>
      <c r="F61" s="14">
        <f t="shared" si="14"/>
        <v>318478.2</v>
      </c>
      <c r="G61" s="14">
        <f t="shared" si="14"/>
        <v>318478.2</v>
      </c>
      <c r="H61" s="14">
        <f t="shared" si="14"/>
        <v>318478.2</v>
      </c>
      <c r="I61" s="14">
        <f t="shared" si="14"/>
        <v>318478.2</v>
      </c>
      <c r="J61" s="14">
        <f t="shared" si="14"/>
        <v>318478.2</v>
      </c>
      <c r="K61" s="14">
        <f t="shared" si="14"/>
        <v>318478.2</v>
      </c>
      <c r="L61" s="14">
        <f t="shared" si="14"/>
        <v>318478.2</v>
      </c>
      <c r="M61" s="14">
        <f t="shared" si="14"/>
        <v>318478.2</v>
      </c>
      <c r="N61" s="14">
        <f t="shared" si="14"/>
        <v>318478.2</v>
      </c>
      <c r="O61" s="14">
        <f t="shared" si="14"/>
        <v>318478.2</v>
      </c>
      <c r="P61" s="14">
        <f t="shared" si="14"/>
        <v>318478.2</v>
      </c>
      <c r="Q61" s="14">
        <f t="shared" si="14"/>
        <v>318478.2</v>
      </c>
      <c r="R61" s="14">
        <f t="shared" si="14"/>
        <v>318478.2</v>
      </c>
      <c r="S61" s="14">
        <f t="shared" si="14"/>
        <v>318478.2</v>
      </c>
      <c r="T61" s="14">
        <f t="shared" si="14"/>
        <v>318478.2</v>
      </c>
      <c r="U61" s="14">
        <f t="shared" si="14"/>
        <v>318478.2</v>
      </c>
      <c r="V61" s="14">
        <f t="shared" si="14"/>
        <v>318478.2</v>
      </c>
      <c r="W61" s="14">
        <f>SUM(C$61:V$61)</f>
        <v>6369564</v>
      </c>
    </row>
    <row r="62" ht="15.75" customHeight="1">
      <c r="A62" s="6" t="s">
        <v>147</v>
      </c>
      <c r="C62" s="14">
        <f>IF(C$19&lt;=Assumptions!$B$39,-IPMT(Assumptions!$B$38,C$19,Assumptions!$B$39,$B$13),0)</f>
        <v>95958.95</v>
      </c>
      <c r="D62" s="14">
        <f>IF(D$19&lt;=Assumptions!$B$39,-IPMT(Assumptions!$B$38,D$19,Assumptions!$B$39,$B$13),0)</f>
        <v>91511.99274</v>
      </c>
      <c r="E62" s="14">
        <f>IF(E$19&lt;=Assumptions!$B$39,-IPMT(Assumptions!$B$38,E$19,Assumptions!$B$39,$B$13),0)</f>
        <v>86842.68762</v>
      </c>
      <c r="F62" s="14">
        <f>IF(F$19&lt;=Assumptions!$B$39,-IPMT(Assumptions!$B$38,F$19,Assumptions!$B$39,$B$13),0)</f>
        <v>81939.91724</v>
      </c>
      <c r="G62" s="14">
        <f>IF(G$19&lt;=Assumptions!$B$39,-IPMT(Assumptions!$B$38,G$19,Assumptions!$B$39,$B$13),0)</f>
        <v>76792.00834</v>
      </c>
      <c r="H62" s="14">
        <f>IF(H$19&lt;=Assumptions!$B$39,-IPMT(Assumptions!$B$38,H$19,Assumptions!$B$39,$B$13),0)</f>
        <v>71386.704</v>
      </c>
      <c r="I62" s="14">
        <f>IF(I$19&lt;=Assumptions!$B$39,-IPMT(Assumptions!$B$38,I$19,Assumptions!$B$39,$B$13),0)</f>
        <v>65711.13444</v>
      </c>
      <c r="J62" s="14">
        <f>IF(J$19&lt;=Assumptions!$B$39,-IPMT(Assumptions!$B$38,J$19,Assumptions!$B$39,$B$13),0)</f>
        <v>59751.7864</v>
      </c>
      <c r="K62" s="14">
        <f>IF(K$19&lt;=Assumptions!$B$39,-IPMT(Assumptions!$B$38,K$19,Assumptions!$B$39,$B$13),0)</f>
        <v>53494.47096</v>
      </c>
      <c r="L62" s="14">
        <f>IF(L$19&lt;=Assumptions!$B$39,-IPMT(Assumptions!$B$38,L$19,Assumptions!$B$39,$B$13),0)</f>
        <v>46924.28975</v>
      </c>
      <c r="M62" s="14">
        <f>IF(M$19&lt;=Assumptions!$B$39,-IPMT(Assumptions!$B$38,M$19,Assumptions!$B$39,$B$13),0)</f>
        <v>40025.59948</v>
      </c>
      <c r="N62" s="14">
        <f>IF(N$19&lt;=Assumptions!$B$39,-IPMT(Assumptions!$B$38,N$19,Assumptions!$B$39,$B$13),0)</f>
        <v>32781.97469</v>
      </c>
      <c r="O62" s="14">
        <f>IF(O$19&lt;=Assumptions!$B$39,-IPMT(Assumptions!$B$38,O$19,Assumptions!$B$39,$B$13),0)</f>
        <v>25176.16867</v>
      </c>
      <c r="P62" s="14">
        <f>IF(P$19&lt;=Assumptions!$B$39,-IPMT(Assumptions!$B$38,P$19,Assumptions!$B$39,$B$13),0)</f>
        <v>17190.07234</v>
      </c>
      <c r="Q62" s="14">
        <f>IF(Q$19&lt;=Assumptions!$B$39,-IPMT(Assumptions!$B$38,Q$19,Assumptions!$B$39,$B$13),0)</f>
        <v>8804.6712</v>
      </c>
      <c r="R62" s="14">
        <f>IF(R$19&lt;=Assumptions!$B$39,-IPMT(Assumptions!$B$38,R$19,Assumptions!$B$39,$B$13),0)</f>
        <v>0</v>
      </c>
      <c r="S62" s="14">
        <f>IF(S$19&lt;=Assumptions!$B$39,-IPMT(Assumptions!$B$38,S$19,Assumptions!$B$39,$B$13),0)</f>
        <v>0</v>
      </c>
      <c r="T62" s="14">
        <f>IF(T$19&lt;=Assumptions!$B$39,-IPMT(Assumptions!$B$38,T$19,Assumptions!$B$39,$B$13),0)</f>
        <v>0</v>
      </c>
      <c r="U62" s="14">
        <f>IF(U$19&lt;=Assumptions!$B$39,-IPMT(Assumptions!$B$38,U$19,Assumptions!$B$39,$B$13),0)</f>
        <v>0</v>
      </c>
      <c r="V62" s="14">
        <f>IF(V$19&lt;=Assumptions!$B$39,-IPMT(Assumptions!$B$38,V$19,Assumptions!$B$39,$B$13),0)</f>
        <v>0</v>
      </c>
      <c r="W62" s="14">
        <f>SUM(C$62:V$62)</f>
        <v>854292.4279</v>
      </c>
    </row>
    <row r="63" ht="15.75" customHeight="1">
      <c r="A63" s="6" t="s">
        <v>148</v>
      </c>
      <c r="C63" s="14">
        <f t="shared" ref="C63:V63" si="15">C$60-C$61-C$62</f>
        <v>846248.9185</v>
      </c>
      <c r="D63" s="14">
        <f t="shared" si="15"/>
        <v>836788.0303</v>
      </c>
      <c r="E63" s="14">
        <f t="shared" si="15"/>
        <v>827613.3219</v>
      </c>
      <c r="F63" s="14">
        <f t="shared" si="15"/>
        <v>818736.7025</v>
      </c>
      <c r="G63" s="14">
        <f t="shared" si="15"/>
        <v>810170.6504</v>
      </c>
      <c r="H63" s="14">
        <f t="shared" si="15"/>
        <v>764091.8797</v>
      </c>
      <c r="I63" s="14">
        <f t="shared" si="15"/>
        <v>755808.4528</v>
      </c>
      <c r="J63" s="14">
        <f t="shared" si="15"/>
        <v>747872.9478</v>
      </c>
      <c r="K63" s="14">
        <f t="shared" si="15"/>
        <v>740300.3766</v>
      </c>
      <c r="L63" s="14">
        <f t="shared" si="15"/>
        <v>733106.4747</v>
      </c>
      <c r="M63" s="14">
        <f t="shared" si="15"/>
        <v>719680.0036</v>
      </c>
      <c r="N63" s="14">
        <f t="shared" si="15"/>
        <v>713227.4424</v>
      </c>
      <c r="O63" s="14">
        <f t="shared" si="15"/>
        <v>707204.7997</v>
      </c>
      <c r="P63" s="14">
        <f t="shared" si="15"/>
        <v>701631.0726</v>
      </c>
      <c r="Q63" s="14">
        <f t="shared" si="15"/>
        <v>696526.1784</v>
      </c>
      <c r="R63" s="14">
        <f t="shared" si="15"/>
        <v>683784.2176</v>
      </c>
      <c r="S63" s="14">
        <f t="shared" si="15"/>
        <v>670354.4796</v>
      </c>
      <c r="T63" s="14">
        <f t="shared" si="15"/>
        <v>656996.2566</v>
      </c>
      <c r="U63" s="14">
        <f t="shared" si="15"/>
        <v>643710.5045</v>
      </c>
      <c r="V63" s="14">
        <f t="shared" si="15"/>
        <v>630498.195</v>
      </c>
      <c r="W63" s="14">
        <f>SUM(C$63:V$63)</f>
        <v>14704350.91</v>
      </c>
    </row>
    <row r="64" ht="15.75" customHeight="1">
      <c r="A64" s="6" t="s">
        <v>149</v>
      </c>
      <c r="C64" s="14">
        <f>MAX(0,C$63*Assumptions!$B$35)</f>
        <v>105781.1148</v>
      </c>
      <c r="D64" s="14">
        <f>MAX(0,D$63*Assumptions!$B$35)</f>
        <v>104598.5038</v>
      </c>
      <c r="E64" s="14">
        <f>MAX(0,E$63*Assumptions!$B$35)</f>
        <v>103451.6652</v>
      </c>
      <c r="F64" s="14">
        <f>MAX(0,F$63*Assumptions!$B$35)</f>
        <v>102342.0878</v>
      </c>
      <c r="G64" s="14">
        <f>MAX(0,G$63*Assumptions!$B$35)</f>
        <v>101271.3313</v>
      </c>
      <c r="H64" s="14">
        <f>MAX(0,H$63*Assumptions!$B$35)</f>
        <v>95511.48496</v>
      </c>
      <c r="I64" s="14">
        <f>MAX(0,I$63*Assumptions!$B$35)</f>
        <v>94476.0566</v>
      </c>
      <c r="J64" s="14">
        <f>MAX(0,J$63*Assumptions!$B$35)</f>
        <v>93484.11847</v>
      </c>
      <c r="K64" s="14">
        <f>MAX(0,K$63*Assumptions!$B$35)</f>
        <v>92537.54708</v>
      </c>
      <c r="L64" s="14">
        <f>MAX(0,L$63*Assumptions!$B$35)</f>
        <v>91638.30934</v>
      </c>
      <c r="M64" s="14">
        <f>MAX(0,M$63*Assumptions!$B$35)</f>
        <v>89960.00045</v>
      </c>
      <c r="N64" s="14">
        <f>MAX(0,N$63*Assumptions!$B$35)</f>
        <v>89153.4303</v>
      </c>
      <c r="O64" s="14">
        <f>MAX(0,O$63*Assumptions!$B$35)</f>
        <v>88400.59996</v>
      </c>
      <c r="P64" s="14">
        <f>MAX(0,P$63*Assumptions!$B$35)</f>
        <v>87703.88407</v>
      </c>
      <c r="Q64" s="14">
        <f>MAX(0,Q$63*Assumptions!$B$35)</f>
        <v>87065.7723</v>
      </c>
      <c r="R64" s="14">
        <f>MAX(0,R$63*Assumptions!$B$35)</f>
        <v>85473.0272</v>
      </c>
      <c r="S64" s="14">
        <f>MAX(0,S$63*Assumptions!$B$35)</f>
        <v>83794.30995</v>
      </c>
      <c r="T64" s="14">
        <f>MAX(0,T$63*Assumptions!$B$35)</f>
        <v>82124.53208</v>
      </c>
      <c r="U64" s="14">
        <f>MAX(0,U$63*Assumptions!$B$35)</f>
        <v>80463.81306</v>
      </c>
      <c r="V64" s="14">
        <f>MAX(0,V$63*Assumptions!$B$35)</f>
        <v>78812.27438</v>
      </c>
      <c r="W64" s="14">
        <f>SUM(C$64:V$64)</f>
        <v>1838043.863</v>
      </c>
    </row>
    <row r="65" ht="15.75" customHeight="1">
      <c r="A65" s="36" t="s">
        <v>150</v>
      </c>
      <c r="B65" s="36"/>
      <c r="C65" s="37">
        <f t="shared" ref="C65:V65" si="16">C$63-C$64</f>
        <v>740467.8036</v>
      </c>
      <c r="D65" s="37">
        <f t="shared" si="16"/>
        <v>732189.5265</v>
      </c>
      <c r="E65" s="37">
        <f t="shared" si="16"/>
        <v>724161.6567</v>
      </c>
      <c r="F65" s="37">
        <f t="shared" si="16"/>
        <v>716394.6147</v>
      </c>
      <c r="G65" s="37">
        <f t="shared" si="16"/>
        <v>708899.3191</v>
      </c>
      <c r="H65" s="37">
        <f t="shared" si="16"/>
        <v>668580.3947</v>
      </c>
      <c r="I65" s="37">
        <f t="shared" si="16"/>
        <v>661332.3962</v>
      </c>
      <c r="J65" s="37">
        <f t="shared" si="16"/>
        <v>654388.8293</v>
      </c>
      <c r="K65" s="37">
        <f t="shared" si="16"/>
        <v>647762.8296</v>
      </c>
      <c r="L65" s="37">
        <f t="shared" si="16"/>
        <v>641468.1654</v>
      </c>
      <c r="M65" s="37">
        <f t="shared" si="16"/>
        <v>629720.0031</v>
      </c>
      <c r="N65" s="37">
        <f t="shared" si="16"/>
        <v>624074.0121</v>
      </c>
      <c r="O65" s="37">
        <f t="shared" si="16"/>
        <v>618804.1998</v>
      </c>
      <c r="P65" s="37">
        <f t="shared" si="16"/>
        <v>613927.1885</v>
      </c>
      <c r="Q65" s="37">
        <f t="shared" si="16"/>
        <v>609460.4061</v>
      </c>
      <c r="R65" s="37">
        <f t="shared" si="16"/>
        <v>598311.1904</v>
      </c>
      <c r="S65" s="37">
        <f t="shared" si="16"/>
        <v>586560.1697</v>
      </c>
      <c r="T65" s="37">
        <f t="shared" si="16"/>
        <v>574871.7245</v>
      </c>
      <c r="U65" s="37">
        <f t="shared" si="16"/>
        <v>563246.6914</v>
      </c>
      <c r="V65" s="37">
        <f t="shared" si="16"/>
        <v>551685.9207</v>
      </c>
      <c r="W65" s="37">
        <f>SUM(C$65:V$65)</f>
        <v>12866307.04</v>
      </c>
    </row>
    <row r="66" ht="15.75" customHeight="1">
      <c r="A66" s="6" t="s">
        <v>151</v>
      </c>
      <c r="C66" s="14">
        <f>IF(C$19&lt;=Assumptions!$B$39,$B$14,0)</f>
        <v>184898.0952</v>
      </c>
      <c r="D66" s="14">
        <f>IF(D$19&lt;=Assumptions!$B$39,$B$14,0)</f>
        <v>184898.0952</v>
      </c>
      <c r="E66" s="14">
        <f>IF(E$19&lt;=Assumptions!$B$39,$B$14,0)</f>
        <v>184898.0952</v>
      </c>
      <c r="F66" s="14">
        <f>IF(F$19&lt;=Assumptions!$B$39,$B$14,0)</f>
        <v>184898.0952</v>
      </c>
      <c r="G66" s="14">
        <f>IF(G$19&lt;=Assumptions!$B$39,$B$14,0)</f>
        <v>184898.0952</v>
      </c>
      <c r="H66" s="14">
        <f>IF(H$19&lt;=Assumptions!$B$39,$B$14,0)</f>
        <v>184898.0952</v>
      </c>
      <c r="I66" s="14">
        <f>IF(I$19&lt;=Assumptions!$B$39,$B$14,0)</f>
        <v>184898.0952</v>
      </c>
      <c r="J66" s="14">
        <f>IF(J$19&lt;=Assumptions!$B$39,$B$14,0)</f>
        <v>184898.0952</v>
      </c>
      <c r="K66" s="14">
        <f>IF(K$19&lt;=Assumptions!$B$39,$B$14,0)</f>
        <v>184898.0952</v>
      </c>
      <c r="L66" s="14">
        <f>IF(L$19&lt;=Assumptions!$B$39,$B$14,0)</f>
        <v>184898.0952</v>
      </c>
      <c r="M66" s="14">
        <f>IF(M$19&lt;=Assumptions!$B$39,$B$14,0)</f>
        <v>184898.0952</v>
      </c>
      <c r="N66" s="14">
        <f>IF(N$19&lt;=Assumptions!$B$39,$B$14,0)</f>
        <v>184898.0952</v>
      </c>
      <c r="O66" s="14">
        <f>IF(O$19&lt;=Assumptions!$B$39,$B$14,0)</f>
        <v>184898.0952</v>
      </c>
      <c r="P66" s="14">
        <f>IF(P$19&lt;=Assumptions!$B$39,$B$14,0)</f>
        <v>184898.0952</v>
      </c>
      <c r="Q66" s="14">
        <f>IF(Q$19&lt;=Assumptions!$B$39,$B$14,0)</f>
        <v>184898.0952</v>
      </c>
      <c r="R66" s="14">
        <f>IF(R$19&lt;=Assumptions!$B$39,$B$14,0)</f>
        <v>0</v>
      </c>
      <c r="S66" s="14">
        <f>IF(S$19&lt;=Assumptions!$B$39,$B$14,0)</f>
        <v>0</v>
      </c>
      <c r="T66" s="14">
        <f>IF(T$19&lt;=Assumptions!$B$39,$B$14,0)</f>
        <v>0</v>
      </c>
      <c r="U66" s="14">
        <f>IF(U$19&lt;=Assumptions!$B$39,$B$14,0)</f>
        <v>0</v>
      </c>
      <c r="V66" s="14">
        <f>IF(V$19&lt;=Assumptions!$B$39,$B$14,0)</f>
        <v>0</v>
      </c>
      <c r="W66" s="14">
        <f>SUM(C$66:V$66)</f>
        <v>2773471.428</v>
      </c>
    </row>
    <row r="67" ht="15.75" customHeight="1">
      <c r="A67" s="36" t="s">
        <v>152</v>
      </c>
      <c r="B67" s="36"/>
      <c r="C67" s="37">
        <f t="shared" ref="C67:V67" si="17">C$60-C$66-C$64</f>
        <v>970006.8585</v>
      </c>
      <c r="D67" s="37">
        <f t="shared" si="17"/>
        <v>957281.6241</v>
      </c>
      <c r="E67" s="37">
        <f t="shared" si="17"/>
        <v>944584.4491</v>
      </c>
      <c r="F67" s="37">
        <f t="shared" si="17"/>
        <v>931914.6367</v>
      </c>
      <c r="G67" s="37">
        <f t="shared" si="17"/>
        <v>919271.4322</v>
      </c>
      <c r="H67" s="37">
        <f t="shared" si="17"/>
        <v>873547.2035</v>
      </c>
      <c r="I67" s="37">
        <f t="shared" si="17"/>
        <v>860623.6354</v>
      </c>
      <c r="J67" s="37">
        <f t="shared" si="17"/>
        <v>847720.7205</v>
      </c>
      <c r="K67" s="37">
        <f t="shared" si="17"/>
        <v>834837.4053</v>
      </c>
      <c r="L67" s="37">
        <f t="shared" si="17"/>
        <v>821972.5599</v>
      </c>
      <c r="M67" s="37">
        <f t="shared" si="17"/>
        <v>803325.7074</v>
      </c>
      <c r="N67" s="37">
        <f t="shared" si="17"/>
        <v>790436.0916</v>
      </c>
      <c r="O67" s="37">
        <f t="shared" si="17"/>
        <v>777560.4732</v>
      </c>
      <c r="P67" s="37">
        <f t="shared" si="17"/>
        <v>764697.3657</v>
      </c>
      <c r="Q67" s="37">
        <f t="shared" si="17"/>
        <v>751845.1821</v>
      </c>
      <c r="R67" s="37">
        <f t="shared" si="17"/>
        <v>916789.3904</v>
      </c>
      <c r="S67" s="37">
        <f t="shared" si="17"/>
        <v>905038.3697</v>
      </c>
      <c r="T67" s="37">
        <f t="shared" si="17"/>
        <v>893349.9245</v>
      </c>
      <c r="U67" s="37">
        <f t="shared" si="17"/>
        <v>881724.8914</v>
      </c>
      <c r="V67" s="37">
        <f t="shared" si="17"/>
        <v>870164.1207</v>
      </c>
      <c r="W67" s="37">
        <f>SUM(C$67:V$67)</f>
        <v>17316692.04</v>
      </c>
    </row>
    <row r="68" ht="15.75" customHeight="1">
      <c r="A68" s="6" t="s">
        <v>153</v>
      </c>
      <c r="C68" s="14">
        <f>C$67</f>
        <v>970006.8585</v>
      </c>
      <c r="D68" s="14">
        <f t="shared" ref="D68:V68" si="18">C$68+D$67</f>
        <v>1927288.483</v>
      </c>
      <c r="E68" s="14">
        <f t="shared" si="18"/>
        <v>2871872.932</v>
      </c>
      <c r="F68" s="14">
        <f t="shared" si="18"/>
        <v>3803787.568</v>
      </c>
      <c r="G68" s="14">
        <f t="shared" si="18"/>
        <v>4723059.001</v>
      </c>
      <c r="H68" s="14">
        <f t="shared" si="18"/>
        <v>5596606.204</v>
      </c>
      <c r="I68" s="14">
        <f t="shared" si="18"/>
        <v>6457229.84</v>
      </c>
      <c r="J68" s="14">
        <f t="shared" si="18"/>
        <v>7304950.56</v>
      </c>
      <c r="K68" s="14">
        <f t="shared" si="18"/>
        <v>8139787.965</v>
      </c>
      <c r="L68" s="14">
        <f t="shared" si="18"/>
        <v>8961760.525</v>
      </c>
      <c r="M68" s="14">
        <f t="shared" si="18"/>
        <v>9765086.233</v>
      </c>
      <c r="N68" s="14">
        <f t="shared" si="18"/>
        <v>10555522.32</v>
      </c>
      <c r="O68" s="14">
        <f t="shared" si="18"/>
        <v>11333082.8</v>
      </c>
      <c r="P68" s="14">
        <f t="shared" si="18"/>
        <v>12097780.16</v>
      </c>
      <c r="Q68" s="14">
        <f t="shared" si="18"/>
        <v>12849625.35</v>
      </c>
      <c r="R68" s="14">
        <f t="shared" si="18"/>
        <v>13766414.74</v>
      </c>
      <c r="S68" s="14">
        <f t="shared" si="18"/>
        <v>14671453.11</v>
      </c>
      <c r="T68" s="14">
        <f t="shared" si="18"/>
        <v>15564803.03</v>
      </c>
      <c r="U68" s="14">
        <f t="shared" si="18"/>
        <v>16446527.92</v>
      </c>
      <c r="V68" s="14">
        <f t="shared" si="18"/>
        <v>17316692.04</v>
      </c>
      <c r="W68" s="14">
        <f>V$68</f>
        <v>17316692.04</v>
      </c>
    </row>
    <row r="69" ht="15.75" customHeight="1">
      <c r="A69" s="6" t="s">
        <v>154</v>
      </c>
      <c r="C69" s="35">
        <f t="shared" ref="C69:V69" si="19">IF(C$66&gt;0,C$60/C$66,"N/A")</f>
        <v>6.818275046</v>
      </c>
      <c r="D69" s="35">
        <f t="shared" si="19"/>
        <v>6.74305607</v>
      </c>
      <c r="E69" s="35">
        <f t="shared" si="19"/>
        <v>6.668182321</v>
      </c>
      <c r="F69" s="35">
        <f t="shared" si="19"/>
        <v>6.593658082</v>
      </c>
      <c r="G69" s="35">
        <f t="shared" si="19"/>
        <v>6.519487707</v>
      </c>
      <c r="H69" s="35">
        <f t="shared" si="19"/>
        <v>6.241042032</v>
      </c>
      <c r="I69" s="35">
        <f t="shared" si="19"/>
        <v>6.165546411</v>
      </c>
      <c r="J69" s="35">
        <f t="shared" si="19"/>
        <v>6.090397703</v>
      </c>
      <c r="K69" s="35">
        <f t="shared" si="19"/>
        <v>6.015600358</v>
      </c>
      <c r="L69" s="35">
        <f t="shared" si="19"/>
        <v>5.941158903</v>
      </c>
      <c r="M69" s="35">
        <f t="shared" si="19"/>
        <v>5.831232615</v>
      </c>
      <c r="N69" s="35">
        <f t="shared" si="19"/>
        <v>5.757158374</v>
      </c>
      <c r="O69" s="35">
        <f t="shared" si="19"/>
        <v>5.683450483</v>
      </c>
      <c r="P69" s="35">
        <f t="shared" si="19"/>
        <v>5.610113743</v>
      </c>
      <c r="Q69" s="35">
        <f t="shared" si="19"/>
        <v>5.537153038</v>
      </c>
      <c r="R69" s="35" t="str">
        <f t="shared" si="19"/>
        <v>N/A</v>
      </c>
      <c r="S69" s="35" t="str">
        <f t="shared" si="19"/>
        <v>N/A</v>
      </c>
      <c r="T69" s="35" t="str">
        <f t="shared" si="19"/>
        <v>N/A</v>
      </c>
      <c r="U69" s="35" t="str">
        <f t="shared" si="19"/>
        <v>N/A</v>
      </c>
      <c r="V69" s="35" t="str">
        <f t="shared" si="19"/>
        <v>N/A</v>
      </c>
      <c r="W69" s="35">
        <f>AVERAGE(C$69:Q$69)</f>
        <v>6.147700859</v>
      </c>
    </row>
    <row r="70" ht="15.75" customHeight="1"/>
    <row r="71" ht="15.75" customHeight="1">
      <c r="A71" s="31" t="s">
        <v>156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</row>
    <row r="72" ht="15.75" customHeight="1">
      <c r="A72" s="6" t="s">
        <v>136</v>
      </c>
      <c r="C72" s="14">
        <f>C$22*Assumptions!$B$14</f>
        <v>682500</v>
      </c>
      <c r="D72" s="14">
        <f>D$22*Assumptions!$B$14</f>
        <v>679087.5</v>
      </c>
      <c r="E72" s="14">
        <f>E$22*Assumptions!$B$14</f>
        <v>675692.0625</v>
      </c>
      <c r="F72" s="14">
        <f>F$22*Assumptions!$B$14</f>
        <v>672313.6022</v>
      </c>
      <c r="G72" s="14">
        <f>G$22*Assumptions!$B$14</f>
        <v>668952.0342</v>
      </c>
      <c r="H72" s="14">
        <f>H$22*Assumptions!$B$14</f>
        <v>665607.274</v>
      </c>
      <c r="I72" s="14">
        <f>I$22*Assumptions!$B$14</f>
        <v>662279.2376</v>
      </c>
      <c r="J72" s="14">
        <f>J$22*Assumptions!$B$14</f>
        <v>658967.8414</v>
      </c>
      <c r="K72" s="14">
        <f>K$22*Assumptions!$B$14</f>
        <v>655673.0022</v>
      </c>
      <c r="L72" s="14">
        <f>L$22*Assumptions!$B$14</f>
        <v>652394.6372</v>
      </c>
      <c r="M72" s="14">
        <f>M$22*Assumptions!$B$14</f>
        <v>649132.664</v>
      </c>
      <c r="N72" s="14">
        <f>N$22*Assumptions!$B$14</f>
        <v>645887.0007</v>
      </c>
      <c r="O72" s="14">
        <f>O$22*Assumptions!$B$14</f>
        <v>642657.5657</v>
      </c>
      <c r="P72" s="14">
        <f>P$22*Assumptions!$B$14</f>
        <v>639444.2779</v>
      </c>
      <c r="Q72" s="14">
        <f>Q$22*Assumptions!$B$14</f>
        <v>636247.0565</v>
      </c>
      <c r="R72" s="14">
        <f>R$22*Assumptions!$B$14</f>
        <v>633065.8212</v>
      </c>
      <c r="S72" s="14">
        <f>S$22*Assumptions!$B$14</f>
        <v>629900.4921</v>
      </c>
      <c r="T72" s="14">
        <f>T$22*Assumptions!$B$14</f>
        <v>626750.9897</v>
      </c>
      <c r="U72" s="14">
        <f>U$22*Assumptions!$B$14</f>
        <v>623617.2347</v>
      </c>
      <c r="V72" s="14">
        <f>V$22*Assumptions!$B$14</f>
        <v>620499.1485</v>
      </c>
      <c r="W72" s="14">
        <f>SUM(C$72:V$72)</f>
        <v>13020669.44</v>
      </c>
    </row>
    <row r="73" ht="15.75" customHeight="1">
      <c r="A73" s="6" t="s">
        <v>137</v>
      </c>
      <c r="C73" s="14">
        <f>C$21*Assumptions!$B$15</f>
        <v>8531.25</v>
      </c>
      <c r="D73" s="14">
        <f>D$21*Assumptions!$B$15</f>
        <v>8488.59375</v>
      </c>
      <c r="E73" s="14">
        <f>E$21*Assumptions!$B$15</f>
        <v>8446.150781</v>
      </c>
      <c r="F73" s="14">
        <f>F$21*Assumptions!$B$15</f>
        <v>8403.920027</v>
      </c>
      <c r="G73" s="14">
        <f>G$21*Assumptions!$B$15</f>
        <v>8361.900427</v>
      </c>
      <c r="H73" s="14">
        <f>H$21*Assumptions!$B$15</f>
        <v>8320.090925</v>
      </c>
      <c r="I73" s="14">
        <f>I$21*Assumptions!$B$15</f>
        <v>8278.49047</v>
      </c>
      <c r="J73" s="14">
        <f>J$21*Assumptions!$B$15</f>
        <v>8237.098018</v>
      </c>
      <c r="K73" s="14">
        <f>K$21*Assumptions!$B$15</f>
        <v>8195.912528</v>
      </c>
      <c r="L73" s="14">
        <f>L$21*Assumptions!$B$15</f>
        <v>8154.932965</v>
      </c>
      <c r="M73" s="14">
        <f>M$21*Assumptions!$B$15</f>
        <v>8114.158301</v>
      </c>
      <c r="N73" s="14">
        <f>N$21*Assumptions!$B$15</f>
        <v>8073.587509</v>
      </c>
      <c r="O73" s="14">
        <f>O$21*Assumptions!$B$15</f>
        <v>8033.219571</v>
      </c>
      <c r="P73" s="14">
        <f>P$21*Assumptions!$B$15</f>
        <v>7993.053474</v>
      </c>
      <c r="Q73" s="14">
        <f>Q$21*Assumptions!$B$15</f>
        <v>7953.088206</v>
      </c>
      <c r="R73" s="14">
        <f>R$21*Assumptions!$B$15</f>
        <v>7913.322765</v>
      </c>
      <c r="S73" s="14">
        <f>S$21*Assumptions!$B$15</f>
        <v>7873.756151</v>
      </c>
      <c r="T73" s="14">
        <f>T$21*Assumptions!$B$15</f>
        <v>7834.387371</v>
      </c>
      <c r="U73" s="14">
        <f>U$21*Assumptions!$B$15</f>
        <v>7795.215434</v>
      </c>
      <c r="V73" s="14">
        <f>V$21*Assumptions!$B$15</f>
        <v>7756.239357</v>
      </c>
      <c r="W73" s="14">
        <f>SUM(C$73:V$73)</f>
        <v>162758.368</v>
      </c>
    </row>
    <row r="74" ht="15.75" customHeight="1">
      <c r="A74" s="6" t="s">
        <v>138</v>
      </c>
      <c r="C74" s="14">
        <f>C$25*Assumptions!$B$44</f>
        <v>957803.7215</v>
      </c>
      <c r="D74" s="14">
        <f>D$25*Assumptions!$B$44</f>
        <v>944676.4624</v>
      </c>
      <c r="E74" s="14">
        <f>E$25*Assumptions!$B$44</f>
        <v>931549.2033</v>
      </c>
      <c r="F74" s="14">
        <f>F$25*Assumptions!$B$44</f>
        <v>918421.9441</v>
      </c>
      <c r="G74" s="14">
        <f>G$25*Assumptions!$B$44</f>
        <v>905294.685</v>
      </c>
      <c r="H74" s="14">
        <f>H$25*Assumptions!$B$44</f>
        <v>892167.4259</v>
      </c>
      <c r="I74" s="14">
        <f>I$25*Assumptions!$B$44</f>
        <v>879040.1668</v>
      </c>
      <c r="J74" s="14">
        <f>J$25*Assumptions!$B$44</f>
        <v>865912.9076</v>
      </c>
      <c r="K74" s="14">
        <f>K$25*Assumptions!$B$44</f>
        <v>852785.6485</v>
      </c>
      <c r="L74" s="14">
        <f>L$25*Assumptions!$B$44</f>
        <v>839658.3894</v>
      </c>
      <c r="M74" s="14">
        <f>M$25*Assumptions!$B$44</f>
        <v>826531.1303</v>
      </c>
      <c r="N74" s="14">
        <f>N$25*Assumptions!$B$44</f>
        <v>813403.8711</v>
      </c>
      <c r="O74" s="14">
        <f>O$25*Assumptions!$B$44</f>
        <v>800276.612</v>
      </c>
      <c r="P74" s="14">
        <f>P$25*Assumptions!$B$44</f>
        <v>787149.3529</v>
      </c>
      <c r="Q74" s="14">
        <f>Q$25*Assumptions!$B$44</f>
        <v>774022.0937</v>
      </c>
      <c r="R74" s="14">
        <f>R$25*Assumptions!$B$44</f>
        <v>760894.8346</v>
      </c>
      <c r="S74" s="14">
        <f>S$25*Assumptions!$B$44</f>
        <v>747767.5755</v>
      </c>
      <c r="T74" s="14">
        <f>T$25*Assumptions!$B$44</f>
        <v>734640.3164</v>
      </c>
      <c r="U74" s="14">
        <f>U$25*Assumptions!$B$44</f>
        <v>721513.0572</v>
      </c>
      <c r="V74" s="14">
        <f>V$25*Assumptions!$B$44</f>
        <v>708385.7981</v>
      </c>
      <c r="W74" s="14">
        <f>SUM(C$74:V$74)</f>
        <v>16661895.2</v>
      </c>
    </row>
    <row r="75" ht="15.75" customHeight="1">
      <c r="A75" s="15" t="s">
        <v>139</v>
      </c>
      <c r="B75" s="15"/>
      <c r="C75" s="17">
        <f t="shared" ref="C75:V75" si="20">C$72+C$73+C$74</f>
        <v>1648834.972</v>
      </c>
      <c r="D75" s="17">
        <f t="shared" si="20"/>
        <v>1632252.556</v>
      </c>
      <c r="E75" s="17">
        <f t="shared" si="20"/>
        <v>1615687.417</v>
      </c>
      <c r="F75" s="17">
        <f t="shared" si="20"/>
        <v>1599139.466</v>
      </c>
      <c r="G75" s="17">
        <f t="shared" si="20"/>
        <v>1582608.62</v>
      </c>
      <c r="H75" s="17">
        <f t="shared" si="20"/>
        <v>1566094.791</v>
      </c>
      <c r="I75" s="17">
        <f t="shared" si="20"/>
        <v>1549597.895</v>
      </c>
      <c r="J75" s="17">
        <f t="shared" si="20"/>
        <v>1533117.847</v>
      </c>
      <c r="K75" s="17">
        <f t="shared" si="20"/>
        <v>1516654.563</v>
      </c>
      <c r="L75" s="17">
        <f t="shared" si="20"/>
        <v>1500207.96</v>
      </c>
      <c r="M75" s="17">
        <f t="shared" si="20"/>
        <v>1483777.953</v>
      </c>
      <c r="N75" s="17">
        <f t="shared" si="20"/>
        <v>1467364.459</v>
      </c>
      <c r="O75" s="17">
        <f t="shared" si="20"/>
        <v>1450967.397</v>
      </c>
      <c r="P75" s="17">
        <f t="shared" si="20"/>
        <v>1434586.684</v>
      </c>
      <c r="Q75" s="17">
        <f t="shared" si="20"/>
        <v>1418222.238</v>
      </c>
      <c r="R75" s="17">
        <f t="shared" si="20"/>
        <v>1401873.979</v>
      </c>
      <c r="S75" s="17">
        <f t="shared" si="20"/>
        <v>1385541.824</v>
      </c>
      <c r="T75" s="17">
        <f t="shared" si="20"/>
        <v>1369225.693</v>
      </c>
      <c r="U75" s="17">
        <f t="shared" si="20"/>
        <v>1352925.507</v>
      </c>
      <c r="V75" s="17">
        <f t="shared" si="20"/>
        <v>1336641.186</v>
      </c>
      <c r="W75" s="17">
        <f>SUM(C$75:V$75)</f>
        <v>29845323.01</v>
      </c>
    </row>
    <row r="76" ht="15.75" customHeight="1">
      <c r="A76" s="6" t="s">
        <v>140</v>
      </c>
      <c r="C76" s="14">
        <f>C$27*Assumptions!$B$25*(1+Assumptions!$B$36)^(C$19-1)</f>
        <v>103819.8</v>
      </c>
      <c r="D76" s="14">
        <f>D$27*Assumptions!$B$25*(1+Assumptions!$B$36)^(D$19-1)</f>
        <v>101545.5528</v>
      </c>
      <c r="E76" s="14">
        <f>E$27*Assumptions!$B$25*(1+Assumptions!$B$36)^(E$19-1)</f>
        <v>99209.9994</v>
      </c>
      <c r="F76" s="14">
        <f>F$27*Assumptions!$B$25*(1+Assumptions!$B$36)^(F$19-1)</f>
        <v>96812.11428</v>
      </c>
      <c r="G76" s="14">
        <f>G$27*Assumptions!$B$25*(1+Assumptions!$B$36)^(G$19-1)</f>
        <v>94350.85727</v>
      </c>
      <c r="H76" s="14">
        <f>H$27*Assumptions!$B$25*(1+Assumptions!$B$36)^(H$19-1)</f>
        <v>91825.17353</v>
      </c>
      <c r="I76" s="14">
        <f>I$27*Assumptions!$B$25*(1+Assumptions!$B$36)^(I$19-1)</f>
        <v>89233.99333</v>
      </c>
      <c r="J76" s="14">
        <f>J$27*Assumptions!$B$25*(1+Assumptions!$B$36)^(J$19-1)</f>
        <v>86576.23184</v>
      </c>
      <c r="K76" s="14">
        <f>K$27*Assumptions!$B$25*(1+Assumptions!$B$36)^(K$19-1)</f>
        <v>83850.78896</v>
      </c>
      <c r="L76" s="14">
        <f>L$27*Assumptions!$B$25*(1+Assumptions!$B$36)^(L$19-1)</f>
        <v>81056.54911</v>
      </c>
      <c r="M76" s="14">
        <f>M$27*Assumptions!$B$25*(1+Assumptions!$B$36)^(M$19-1)</f>
        <v>78192.38101</v>
      </c>
      <c r="N76" s="14">
        <f>N$27*Assumptions!$B$25*(1+Assumptions!$B$36)^(N$19-1)</f>
        <v>75257.13752</v>
      </c>
      <c r="O76" s="14">
        <f>O$27*Assumptions!$B$25*(1+Assumptions!$B$36)^(O$19-1)</f>
        <v>72249.6554</v>
      </c>
      <c r="P76" s="14">
        <f>P$27*Assumptions!$B$25*(1+Assumptions!$B$36)^(P$19-1)</f>
        <v>69168.75512</v>
      </c>
      <c r="Q76" s="14">
        <f>Q$27*Assumptions!$B$25*(1+Assumptions!$B$36)^(Q$19-1)</f>
        <v>66013.24062</v>
      </c>
      <c r="R76" s="14">
        <f>R$27*Assumptions!$B$25*(1+Assumptions!$B$36)^(R$19-1)</f>
        <v>62781.89916</v>
      </c>
      <c r="S76" s="14">
        <f>S$27*Assumptions!$B$25*(1+Assumptions!$B$36)^(S$19-1)</f>
        <v>59473.50103</v>
      </c>
      <c r="T76" s="14">
        <f>T$27*Assumptions!$B$25*(1+Assumptions!$B$36)^(T$19-1)</f>
        <v>56086.79938</v>
      </c>
      <c r="U76" s="14">
        <f>U$27*Assumptions!$B$25*(1+Assumptions!$B$36)^(U$19-1)</f>
        <v>52620.52999</v>
      </c>
      <c r="V76" s="14">
        <f>V$27*Assumptions!$B$25*(1+Assumptions!$B$36)^(V$19-1)</f>
        <v>49073.41104</v>
      </c>
      <c r="W76" s="14">
        <f>SUM(C$76:V$76)</f>
        <v>1569198.371</v>
      </c>
    </row>
    <row r="77" ht="15.75" customHeight="1">
      <c r="A77" s="6" t="s">
        <v>141</v>
      </c>
      <c r="C77" s="14">
        <f>$B$5*Assumptions!$B$16*(1+Assumptions!$B$36)^(C$19-1)</f>
        <v>75000</v>
      </c>
      <c r="D77" s="14">
        <f>$B$5*Assumptions!$B$16*(1+Assumptions!$B$36)^(D$19-1)</f>
        <v>75750</v>
      </c>
      <c r="E77" s="14">
        <f>$B$5*Assumptions!$B$16*(1+Assumptions!$B$36)^(E$19-1)</f>
        <v>76507.5</v>
      </c>
      <c r="F77" s="14">
        <f>$B$5*Assumptions!$B$16*(1+Assumptions!$B$36)^(F$19-1)</f>
        <v>77272.575</v>
      </c>
      <c r="G77" s="14">
        <f>$B$5*Assumptions!$B$16*(1+Assumptions!$B$36)^(G$19-1)</f>
        <v>78045.30075</v>
      </c>
      <c r="H77" s="14">
        <f>$B$5*Assumptions!$B$16*(1+Assumptions!$B$36)^(H$19-1)</f>
        <v>78825.75376</v>
      </c>
      <c r="I77" s="14">
        <f>$B$5*Assumptions!$B$16*(1+Assumptions!$B$36)^(I$19-1)</f>
        <v>79614.0113</v>
      </c>
      <c r="J77" s="14">
        <f>$B$5*Assumptions!$B$16*(1+Assumptions!$B$36)^(J$19-1)</f>
        <v>80410.15141</v>
      </c>
      <c r="K77" s="14">
        <f>$B$5*Assumptions!$B$16*(1+Assumptions!$B$36)^(K$19-1)</f>
        <v>81214.25292</v>
      </c>
      <c r="L77" s="14">
        <f>$B$5*Assumptions!$B$16*(1+Assumptions!$B$36)^(L$19-1)</f>
        <v>82026.39545</v>
      </c>
      <c r="M77" s="14">
        <f>$B$5*Assumptions!$B$16*(1+Assumptions!$B$36)^(M$19-1)</f>
        <v>82846.65941</v>
      </c>
      <c r="N77" s="14">
        <f>$B$5*Assumptions!$B$16*(1+Assumptions!$B$36)^(N$19-1)</f>
        <v>83675.126</v>
      </c>
      <c r="O77" s="14">
        <f>$B$5*Assumptions!$B$16*(1+Assumptions!$B$36)^(O$19-1)</f>
        <v>84511.87726</v>
      </c>
      <c r="P77" s="14">
        <f>$B$5*Assumptions!$B$16*(1+Assumptions!$B$36)^(P$19-1)</f>
        <v>85356.99603</v>
      </c>
      <c r="Q77" s="14">
        <f>$B$5*Assumptions!$B$16*(1+Assumptions!$B$36)^(Q$19-1)</f>
        <v>86210.56599</v>
      </c>
      <c r="R77" s="14">
        <f>$B$5*Assumptions!$B$16*(1+Assumptions!$B$36)^(R$19-1)</f>
        <v>87072.67165</v>
      </c>
      <c r="S77" s="14">
        <f>$B$5*Assumptions!$B$16*(1+Assumptions!$B$36)^(S$19-1)</f>
        <v>87943.39837</v>
      </c>
      <c r="T77" s="14">
        <f>$B$5*Assumptions!$B$16*(1+Assumptions!$B$36)^(T$19-1)</f>
        <v>88822.83235</v>
      </c>
      <c r="U77" s="14">
        <f>$B$5*Assumptions!$B$16*(1+Assumptions!$B$36)^(U$19-1)</f>
        <v>89711.06068</v>
      </c>
      <c r="V77" s="14">
        <f>$B$5*Assumptions!$B$16*(1+Assumptions!$B$36)^(V$19-1)</f>
        <v>90608.17128</v>
      </c>
      <c r="W77" s="14">
        <f>SUM(C$77:V$77)</f>
        <v>1651425.3</v>
      </c>
    </row>
    <row r="78" ht="15.75" customHeight="1">
      <c r="A78" s="6" t="s">
        <v>142</v>
      </c>
      <c r="C78" s="14">
        <f>($B$6*Assumptions!$B$26+$B$6*Assumptions!$B$27+$B$7*Assumptions!$B$28+Assumptions!$B$29)*(1+Assumptions!$B$36)^(C$19-1)</f>
        <v>72500</v>
      </c>
      <c r="D78" s="14">
        <f>($B$6*Assumptions!$B$26+$B$6*Assumptions!$B$27+$B$7*Assumptions!$B$28+Assumptions!$B$29)*(1+Assumptions!$B$36)^(D$19-1)</f>
        <v>73225</v>
      </c>
      <c r="E78" s="14">
        <f>($B$6*Assumptions!$B$26+$B$6*Assumptions!$B$27+$B$7*Assumptions!$B$28+Assumptions!$B$29)*(1+Assumptions!$B$36)^(E$19-1)</f>
        <v>73957.25</v>
      </c>
      <c r="F78" s="14">
        <f>($B$6*Assumptions!$B$26+$B$6*Assumptions!$B$27+$B$7*Assumptions!$B$28+Assumptions!$B$29)*(1+Assumptions!$B$36)^(F$19-1)</f>
        <v>74696.8225</v>
      </c>
      <c r="G78" s="14">
        <f>($B$6*Assumptions!$B$26+$B$6*Assumptions!$B$27+$B$7*Assumptions!$B$28+Assumptions!$B$29)*(1+Assumptions!$B$36)^(G$19-1)</f>
        <v>75443.79073</v>
      </c>
      <c r="H78" s="14">
        <f>($B$6*Assumptions!$B$26+$B$6*Assumptions!$B$27+$B$7*Assumptions!$B$28+Assumptions!$B$29)*(1+Assumptions!$B$36)^(H$19-1)</f>
        <v>76198.22863</v>
      </c>
      <c r="I78" s="14">
        <f>($B$6*Assumptions!$B$26+$B$6*Assumptions!$B$27+$B$7*Assumptions!$B$28+Assumptions!$B$29)*(1+Assumptions!$B$36)^(I$19-1)</f>
        <v>76960.21092</v>
      </c>
      <c r="J78" s="14">
        <f>($B$6*Assumptions!$B$26+$B$6*Assumptions!$B$27+$B$7*Assumptions!$B$28+Assumptions!$B$29)*(1+Assumptions!$B$36)^(J$19-1)</f>
        <v>77729.81303</v>
      </c>
      <c r="K78" s="14">
        <f>($B$6*Assumptions!$B$26+$B$6*Assumptions!$B$27+$B$7*Assumptions!$B$28+Assumptions!$B$29)*(1+Assumptions!$B$36)^(K$19-1)</f>
        <v>78507.11116</v>
      </c>
      <c r="L78" s="14">
        <f>($B$6*Assumptions!$B$26+$B$6*Assumptions!$B$27+$B$7*Assumptions!$B$28+Assumptions!$B$29)*(1+Assumptions!$B$36)^(L$19-1)</f>
        <v>79292.18227</v>
      </c>
      <c r="M78" s="14">
        <f>($B$6*Assumptions!$B$26+$B$6*Assumptions!$B$27+$B$7*Assumptions!$B$28+Assumptions!$B$29)*(1+Assumptions!$B$36)^(M$19-1)</f>
        <v>80085.10409</v>
      </c>
      <c r="N78" s="14">
        <f>($B$6*Assumptions!$B$26+$B$6*Assumptions!$B$27+$B$7*Assumptions!$B$28+Assumptions!$B$29)*(1+Assumptions!$B$36)^(N$19-1)</f>
        <v>80885.95513</v>
      </c>
      <c r="O78" s="14">
        <f>($B$6*Assumptions!$B$26+$B$6*Assumptions!$B$27+$B$7*Assumptions!$B$28+Assumptions!$B$29)*(1+Assumptions!$B$36)^(O$19-1)</f>
        <v>81694.81468</v>
      </c>
      <c r="P78" s="14">
        <f>($B$6*Assumptions!$B$26+$B$6*Assumptions!$B$27+$B$7*Assumptions!$B$28+Assumptions!$B$29)*(1+Assumptions!$B$36)^(P$19-1)</f>
        <v>82511.76283</v>
      </c>
      <c r="Q78" s="14">
        <f>($B$6*Assumptions!$B$26+$B$6*Assumptions!$B$27+$B$7*Assumptions!$B$28+Assumptions!$B$29)*(1+Assumptions!$B$36)^(Q$19-1)</f>
        <v>83336.88046</v>
      </c>
      <c r="R78" s="14">
        <f>($B$6*Assumptions!$B$26+$B$6*Assumptions!$B$27+$B$7*Assumptions!$B$28+Assumptions!$B$29)*(1+Assumptions!$B$36)^(R$19-1)</f>
        <v>84170.24926</v>
      </c>
      <c r="S78" s="14">
        <f>($B$6*Assumptions!$B$26+$B$6*Assumptions!$B$27+$B$7*Assumptions!$B$28+Assumptions!$B$29)*(1+Assumptions!$B$36)^(S$19-1)</f>
        <v>85011.95176</v>
      </c>
      <c r="T78" s="14">
        <f>($B$6*Assumptions!$B$26+$B$6*Assumptions!$B$27+$B$7*Assumptions!$B$28+Assumptions!$B$29)*(1+Assumptions!$B$36)^(T$19-1)</f>
        <v>85862.07127</v>
      </c>
      <c r="U78" s="14">
        <f>($B$6*Assumptions!$B$26+$B$6*Assumptions!$B$27+$B$7*Assumptions!$B$28+Assumptions!$B$29)*(1+Assumptions!$B$36)^(U$19-1)</f>
        <v>86720.69199</v>
      </c>
      <c r="V78" s="14">
        <f>($B$6*Assumptions!$B$26+$B$6*Assumptions!$B$27+$B$7*Assumptions!$B$28+Assumptions!$B$29)*(1+Assumptions!$B$36)^(V$19-1)</f>
        <v>87587.89891</v>
      </c>
      <c r="W78" s="14">
        <f>SUM(C$78:V$78)</f>
        <v>1596377.79</v>
      </c>
    </row>
    <row r="79" ht="15.75" customHeight="1">
      <c r="A79" s="6" t="s">
        <v>143</v>
      </c>
      <c r="C79" s="14">
        <f>IF(C$19&lt;=5,0,IF(C$19&lt;=10,Assumptions!$B$30,IF(C$19&lt;=15,Assumptions!$B$31,Assumptions!$B$32)))*$B$6*(1+Assumptions!$B$36)^(C$19-1)</f>
        <v>0</v>
      </c>
      <c r="D79" s="14">
        <f>IF(D$19&lt;=5,0,IF(D$19&lt;=10,Assumptions!$B$30,IF(D$19&lt;=15,Assumptions!$B$31,Assumptions!$B$32)))*$B$6*(1+Assumptions!$B$36)^(D$19-1)</f>
        <v>0</v>
      </c>
      <c r="E79" s="14">
        <f>IF(E$19&lt;=5,0,IF(E$19&lt;=10,Assumptions!$B$30,IF(E$19&lt;=15,Assumptions!$B$31,Assumptions!$B$32)))*$B$6*(1+Assumptions!$B$36)^(E$19-1)</f>
        <v>0</v>
      </c>
      <c r="F79" s="14">
        <f>IF(F$19&lt;=5,0,IF(F$19&lt;=10,Assumptions!$B$30,IF(F$19&lt;=15,Assumptions!$B$31,Assumptions!$B$32)))*$B$6*(1+Assumptions!$B$36)^(F$19-1)</f>
        <v>0</v>
      </c>
      <c r="G79" s="14">
        <f>IF(G$19&lt;=5,0,IF(G$19&lt;=10,Assumptions!$B$30,IF(G$19&lt;=15,Assumptions!$B$31,Assumptions!$B$32)))*$B$6*(1+Assumptions!$B$36)^(G$19-1)</f>
        <v>0</v>
      </c>
      <c r="H79" s="14">
        <f>IF(H$19&lt;=5,0,IF(H$19&lt;=10,Assumptions!$B$30,IF(H$19&lt;=15,Assumptions!$B$31,Assumptions!$B$32)))*$B$6*(1+Assumptions!$B$36)^(H$19-1)</f>
        <v>37836.3618</v>
      </c>
      <c r="I79" s="14">
        <f>IF(I$19&lt;=5,0,IF(I$19&lt;=10,Assumptions!$B$30,IF(I$19&lt;=15,Assumptions!$B$31,Assumptions!$B$32)))*$B$6*(1+Assumptions!$B$36)^(I$19-1)</f>
        <v>38214.72542</v>
      </c>
      <c r="J79" s="14">
        <f>IF(J$19&lt;=5,0,IF(J$19&lt;=10,Assumptions!$B$30,IF(J$19&lt;=15,Assumptions!$B$31,Assumptions!$B$32)))*$B$6*(1+Assumptions!$B$36)^(J$19-1)</f>
        <v>38596.87268</v>
      </c>
      <c r="K79" s="14">
        <f>IF(K$19&lt;=5,0,IF(K$19&lt;=10,Assumptions!$B$30,IF(K$19&lt;=15,Assumptions!$B$31,Assumptions!$B$32)))*$B$6*(1+Assumptions!$B$36)^(K$19-1)</f>
        <v>38982.8414</v>
      </c>
      <c r="L79" s="14">
        <f>IF(L$19&lt;=5,0,IF(L$19&lt;=10,Assumptions!$B$30,IF(L$19&lt;=15,Assumptions!$B$31,Assumptions!$B$32)))*$B$6*(1+Assumptions!$B$36)^(L$19-1)</f>
        <v>39372.66982</v>
      </c>
      <c r="M79" s="14">
        <f>IF(M$19&lt;=5,0,IF(M$19&lt;=10,Assumptions!$B$30,IF(M$19&lt;=15,Assumptions!$B$31,Assumptions!$B$32)))*$B$6*(1+Assumptions!$B$36)^(M$19-1)</f>
        <v>46394.12927</v>
      </c>
      <c r="N79" s="14">
        <f>IF(N$19&lt;=5,0,IF(N$19&lt;=10,Assumptions!$B$30,IF(N$19&lt;=15,Assumptions!$B$31,Assumptions!$B$32)))*$B$6*(1+Assumptions!$B$36)^(N$19-1)</f>
        <v>46858.07056</v>
      </c>
      <c r="O79" s="14">
        <f>IF(O$19&lt;=5,0,IF(O$19&lt;=10,Assumptions!$B$30,IF(O$19&lt;=15,Assumptions!$B$31,Assumptions!$B$32)))*$B$6*(1+Assumptions!$B$36)^(O$19-1)</f>
        <v>47326.65127</v>
      </c>
      <c r="P79" s="14">
        <f>IF(P$19&lt;=5,0,IF(P$19&lt;=10,Assumptions!$B$30,IF(P$19&lt;=15,Assumptions!$B$31,Assumptions!$B$32)))*$B$6*(1+Assumptions!$B$36)^(P$19-1)</f>
        <v>47799.91778</v>
      </c>
      <c r="Q79" s="14">
        <f>IF(Q$19&lt;=5,0,IF(Q$19&lt;=10,Assumptions!$B$30,IF(Q$19&lt;=15,Assumptions!$B$31,Assumptions!$B$32)))*$B$6*(1+Assumptions!$B$36)^(Q$19-1)</f>
        <v>48277.91696</v>
      </c>
      <c r="R79" s="14">
        <f>IF(R$19&lt;=5,0,IF(R$19&lt;=10,Assumptions!$B$30,IF(R$19&lt;=15,Assumptions!$B$31,Assumptions!$B$32)))*$B$6*(1+Assumptions!$B$36)^(R$19-1)</f>
        <v>56887.47881</v>
      </c>
      <c r="S79" s="14">
        <f>IF(S$19&lt;=5,0,IF(S$19&lt;=10,Assumptions!$B$30,IF(S$19&lt;=15,Assumptions!$B$31,Assumptions!$B$32)))*$B$6*(1+Assumptions!$B$36)^(S$19-1)</f>
        <v>57456.3536</v>
      </c>
      <c r="T79" s="14">
        <f>IF(T$19&lt;=5,0,IF(T$19&lt;=10,Assumptions!$B$30,IF(T$19&lt;=15,Assumptions!$B$31,Assumptions!$B$32)))*$B$6*(1+Assumptions!$B$36)^(T$19-1)</f>
        <v>58030.91714</v>
      </c>
      <c r="U79" s="14">
        <f>IF(U$19&lt;=5,0,IF(U$19&lt;=10,Assumptions!$B$30,IF(U$19&lt;=15,Assumptions!$B$31,Assumptions!$B$32)))*$B$6*(1+Assumptions!$B$36)^(U$19-1)</f>
        <v>58611.22631</v>
      </c>
      <c r="V79" s="14">
        <f>IF(V$19&lt;=5,0,IF(V$19&lt;=10,Assumptions!$B$30,IF(V$19&lt;=15,Assumptions!$B$31,Assumptions!$B$32)))*$B$6*(1+Assumptions!$B$36)^(V$19-1)</f>
        <v>59197.33857</v>
      </c>
      <c r="W79" s="14">
        <f>SUM(C$79:V$79)</f>
        <v>719843.4714</v>
      </c>
    </row>
    <row r="80" ht="15.75" customHeight="1">
      <c r="A80" s="15" t="s">
        <v>144</v>
      </c>
      <c r="B80" s="15"/>
      <c r="C80" s="17">
        <f t="shared" ref="C80:V80" si="21">C$76+C$77+C$78+C$79</f>
        <v>251319.8</v>
      </c>
      <c r="D80" s="17">
        <f t="shared" si="21"/>
        <v>250520.5528</v>
      </c>
      <c r="E80" s="17">
        <f t="shared" si="21"/>
        <v>249674.7494</v>
      </c>
      <c r="F80" s="17">
        <f t="shared" si="21"/>
        <v>248781.5118</v>
      </c>
      <c r="G80" s="17">
        <f t="shared" si="21"/>
        <v>247839.9487</v>
      </c>
      <c r="H80" s="17">
        <f t="shared" si="21"/>
        <v>284685.5177</v>
      </c>
      <c r="I80" s="17">
        <f t="shared" si="21"/>
        <v>284022.941</v>
      </c>
      <c r="J80" s="17">
        <f t="shared" si="21"/>
        <v>283313.069</v>
      </c>
      <c r="K80" s="17">
        <f t="shared" si="21"/>
        <v>282554.9944</v>
      </c>
      <c r="L80" s="17">
        <f t="shared" si="21"/>
        <v>281747.7966</v>
      </c>
      <c r="M80" s="17">
        <f t="shared" si="21"/>
        <v>287518.2738</v>
      </c>
      <c r="N80" s="17">
        <f t="shared" si="21"/>
        <v>286676.2892</v>
      </c>
      <c r="O80" s="17">
        <f t="shared" si="21"/>
        <v>285782.9986</v>
      </c>
      <c r="P80" s="17">
        <f t="shared" si="21"/>
        <v>284837.4318</v>
      </c>
      <c r="Q80" s="17">
        <f t="shared" si="21"/>
        <v>283838.604</v>
      </c>
      <c r="R80" s="17">
        <f t="shared" si="21"/>
        <v>290912.2989</v>
      </c>
      <c r="S80" s="17">
        <f t="shared" si="21"/>
        <v>289885.2048</v>
      </c>
      <c r="T80" s="17">
        <f t="shared" si="21"/>
        <v>288802.6201</v>
      </c>
      <c r="U80" s="17">
        <f t="shared" si="21"/>
        <v>287663.509</v>
      </c>
      <c r="V80" s="17">
        <f t="shared" si="21"/>
        <v>286466.8198</v>
      </c>
      <c r="W80" s="17">
        <f>SUM(C$80:V$80)</f>
        <v>5536844.931</v>
      </c>
    </row>
    <row r="81" ht="15.75" customHeight="1">
      <c r="A81" s="15" t="s">
        <v>145</v>
      </c>
      <c r="B81" s="15"/>
      <c r="C81" s="17">
        <f t="shared" ref="C81:V81" si="22">C$75-C$80</f>
        <v>1397515.172</v>
      </c>
      <c r="D81" s="17">
        <f t="shared" si="22"/>
        <v>1381732.003</v>
      </c>
      <c r="E81" s="17">
        <f t="shared" si="22"/>
        <v>1366012.667</v>
      </c>
      <c r="F81" s="17">
        <f t="shared" si="22"/>
        <v>1350357.955</v>
      </c>
      <c r="G81" s="17">
        <f t="shared" si="22"/>
        <v>1334768.671</v>
      </c>
      <c r="H81" s="17">
        <f t="shared" si="22"/>
        <v>1281409.273</v>
      </c>
      <c r="I81" s="17">
        <f t="shared" si="22"/>
        <v>1265574.954</v>
      </c>
      <c r="J81" s="17">
        <f t="shared" si="22"/>
        <v>1249804.778</v>
      </c>
      <c r="K81" s="17">
        <f t="shared" si="22"/>
        <v>1234099.569</v>
      </c>
      <c r="L81" s="17">
        <f t="shared" si="22"/>
        <v>1218460.163</v>
      </c>
      <c r="M81" s="17">
        <f t="shared" si="22"/>
        <v>1196259.679</v>
      </c>
      <c r="N81" s="17">
        <f t="shared" si="22"/>
        <v>1180688.17</v>
      </c>
      <c r="O81" s="17">
        <f t="shared" si="22"/>
        <v>1165184.399</v>
      </c>
      <c r="P81" s="17">
        <f t="shared" si="22"/>
        <v>1149749.252</v>
      </c>
      <c r="Q81" s="17">
        <f t="shared" si="22"/>
        <v>1134383.634</v>
      </c>
      <c r="R81" s="17">
        <f t="shared" si="22"/>
        <v>1110961.68</v>
      </c>
      <c r="S81" s="17">
        <f t="shared" si="22"/>
        <v>1095656.619</v>
      </c>
      <c r="T81" s="17">
        <f t="shared" si="22"/>
        <v>1080423.073</v>
      </c>
      <c r="U81" s="17">
        <f t="shared" si="22"/>
        <v>1065261.998</v>
      </c>
      <c r="V81" s="17">
        <f t="shared" si="22"/>
        <v>1050174.366</v>
      </c>
      <c r="W81" s="17">
        <f>SUM(C$81:V$81)</f>
        <v>24308478.08</v>
      </c>
    </row>
    <row r="82" ht="15.75" customHeight="1">
      <c r="A82" s="6" t="s">
        <v>146</v>
      </c>
      <c r="C82" s="14">
        <f t="shared" ref="C82:V82" si="23">$B$15</f>
        <v>318478.2</v>
      </c>
      <c r="D82" s="14">
        <f t="shared" si="23"/>
        <v>318478.2</v>
      </c>
      <c r="E82" s="14">
        <f t="shared" si="23"/>
        <v>318478.2</v>
      </c>
      <c r="F82" s="14">
        <f t="shared" si="23"/>
        <v>318478.2</v>
      </c>
      <c r="G82" s="14">
        <f t="shared" si="23"/>
        <v>318478.2</v>
      </c>
      <c r="H82" s="14">
        <f t="shared" si="23"/>
        <v>318478.2</v>
      </c>
      <c r="I82" s="14">
        <f t="shared" si="23"/>
        <v>318478.2</v>
      </c>
      <c r="J82" s="14">
        <f t="shared" si="23"/>
        <v>318478.2</v>
      </c>
      <c r="K82" s="14">
        <f t="shared" si="23"/>
        <v>318478.2</v>
      </c>
      <c r="L82" s="14">
        <f t="shared" si="23"/>
        <v>318478.2</v>
      </c>
      <c r="M82" s="14">
        <f t="shared" si="23"/>
        <v>318478.2</v>
      </c>
      <c r="N82" s="14">
        <f t="shared" si="23"/>
        <v>318478.2</v>
      </c>
      <c r="O82" s="14">
        <f t="shared" si="23"/>
        <v>318478.2</v>
      </c>
      <c r="P82" s="14">
        <f t="shared" si="23"/>
        <v>318478.2</v>
      </c>
      <c r="Q82" s="14">
        <f t="shared" si="23"/>
        <v>318478.2</v>
      </c>
      <c r="R82" s="14">
        <f t="shared" si="23"/>
        <v>318478.2</v>
      </c>
      <c r="S82" s="14">
        <f t="shared" si="23"/>
        <v>318478.2</v>
      </c>
      <c r="T82" s="14">
        <f t="shared" si="23"/>
        <v>318478.2</v>
      </c>
      <c r="U82" s="14">
        <f t="shared" si="23"/>
        <v>318478.2</v>
      </c>
      <c r="V82" s="14">
        <f t="shared" si="23"/>
        <v>318478.2</v>
      </c>
      <c r="W82" s="14">
        <f>SUM(C$82:V$82)</f>
        <v>6369564</v>
      </c>
    </row>
    <row r="83" ht="15.75" customHeight="1">
      <c r="A83" s="6" t="s">
        <v>147</v>
      </c>
      <c r="C83" s="14">
        <f>IF(C$19&lt;=Assumptions!$B$39,-IPMT(Assumptions!$B$38,C$19,Assumptions!$B$39,$B$13),0)</f>
        <v>95958.95</v>
      </c>
      <c r="D83" s="14">
        <f>IF(D$19&lt;=Assumptions!$B$39,-IPMT(Assumptions!$B$38,D$19,Assumptions!$B$39,$B$13),0)</f>
        <v>91511.99274</v>
      </c>
      <c r="E83" s="14">
        <f>IF(E$19&lt;=Assumptions!$B$39,-IPMT(Assumptions!$B$38,E$19,Assumptions!$B$39,$B$13),0)</f>
        <v>86842.68762</v>
      </c>
      <c r="F83" s="14">
        <f>IF(F$19&lt;=Assumptions!$B$39,-IPMT(Assumptions!$B$38,F$19,Assumptions!$B$39,$B$13),0)</f>
        <v>81939.91724</v>
      </c>
      <c r="G83" s="14">
        <f>IF(G$19&lt;=Assumptions!$B$39,-IPMT(Assumptions!$B$38,G$19,Assumptions!$B$39,$B$13),0)</f>
        <v>76792.00834</v>
      </c>
      <c r="H83" s="14">
        <f>IF(H$19&lt;=Assumptions!$B$39,-IPMT(Assumptions!$B$38,H$19,Assumptions!$B$39,$B$13),0)</f>
        <v>71386.704</v>
      </c>
      <c r="I83" s="14">
        <f>IF(I$19&lt;=Assumptions!$B$39,-IPMT(Assumptions!$B$38,I$19,Assumptions!$B$39,$B$13),0)</f>
        <v>65711.13444</v>
      </c>
      <c r="J83" s="14">
        <f>IF(J$19&lt;=Assumptions!$B$39,-IPMT(Assumptions!$B$38,J$19,Assumptions!$B$39,$B$13),0)</f>
        <v>59751.7864</v>
      </c>
      <c r="K83" s="14">
        <f>IF(K$19&lt;=Assumptions!$B$39,-IPMT(Assumptions!$B$38,K$19,Assumptions!$B$39,$B$13),0)</f>
        <v>53494.47096</v>
      </c>
      <c r="L83" s="14">
        <f>IF(L$19&lt;=Assumptions!$B$39,-IPMT(Assumptions!$B$38,L$19,Assumptions!$B$39,$B$13),0)</f>
        <v>46924.28975</v>
      </c>
      <c r="M83" s="14">
        <f>IF(M$19&lt;=Assumptions!$B$39,-IPMT(Assumptions!$B$38,M$19,Assumptions!$B$39,$B$13),0)</f>
        <v>40025.59948</v>
      </c>
      <c r="N83" s="14">
        <f>IF(N$19&lt;=Assumptions!$B$39,-IPMT(Assumptions!$B$38,N$19,Assumptions!$B$39,$B$13),0)</f>
        <v>32781.97469</v>
      </c>
      <c r="O83" s="14">
        <f>IF(O$19&lt;=Assumptions!$B$39,-IPMT(Assumptions!$B$38,O$19,Assumptions!$B$39,$B$13),0)</f>
        <v>25176.16867</v>
      </c>
      <c r="P83" s="14">
        <f>IF(P$19&lt;=Assumptions!$B$39,-IPMT(Assumptions!$B$38,P$19,Assumptions!$B$39,$B$13),0)</f>
        <v>17190.07234</v>
      </c>
      <c r="Q83" s="14">
        <f>IF(Q$19&lt;=Assumptions!$B$39,-IPMT(Assumptions!$B$38,Q$19,Assumptions!$B$39,$B$13),0)</f>
        <v>8804.6712</v>
      </c>
      <c r="R83" s="14">
        <f>IF(R$19&lt;=Assumptions!$B$39,-IPMT(Assumptions!$B$38,R$19,Assumptions!$B$39,$B$13),0)</f>
        <v>0</v>
      </c>
      <c r="S83" s="14">
        <f>IF(S$19&lt;=Assumptions!$B$39,-IPMT(Assumptions!$B$38,S$19,Assumptions!$B$39,$B$13),0)</f>
        <v>0</v>
      </c>
      <c r="T83" s="14">
        <f>IF(T$19&lt;=Assumptions!$B$39,-IPMT(Assumptions!$B$38,T$19,Assumptions!$B$39,$B$13),0)</f>
        <v>0</v>
      </c>
      <c r="U83" s="14">
        <f>IF(U$19&lt;=Assumptions!$B$39,-IPMT(Assumptions!$B$38,U$19,Assumptions!$B$39,$B$13),0)</f>
        <v>0</v>
      </c>
      <c r="V83" s="14">
        <f>IF(V$19&lt;=Assumptions!$B$39,-IPMT(Assumptions!$B$38,V$19,Assumptions!$B$39,$B$13),0)</f>
        <v>0</v>
      </c>
      <c r="W83" s="14">
        <f>SUM(C$83:V$83)</f>
        <v>854292.4279</v>
      </c>
    </row>
    <row r="84" ht="15.75" customHeight="1">
      <c r="A84" s="6" t="s">
        <v>148</v>
      </c>
      <c r="C84" s="14">
        <f t="shared" ref="C84:V84" si="24">C$81-C$82-C$83</f>
        <v>983078.0215</v>
      </c>
      <c r="D84" s="14">
        <f t="shared" si="24"/>
        <v>971741.8106</v>
      </c>
      <c r="E84" s="14">
        <f t="shared" si="24"/>
        <v>960691.7795</v>
      </c>
      <c r="F84" s="14">
        <f t="shared" si="24"/>
        <v>949939.8373</v>
      </c>
      <c r="G84" s="14">
        <f t="shared" si="24"/>
        <v>939498.4625</v>
      </c>
      <c r="H84" s="14">
        <f t="shared" si="24"/>
        <v>891544.3691</v>
      </c>
      <c r="I84" s="14">
        <f t="shared" si="24"/>
        <v>881385.6195</v>
      </c>
      <c r="J84" s="14">
        <f t="shared" si="24"/>
        <v>871574.7917</v>
      </c>
      <c r="K84" s="14">
        <f t="shared" si="24"/>
        <v>862126.8979</v>
      </c>
      <c r="L84" s="14">
        <f t="shared" si="24"/>
        <v>853057.6732</v>
      </c>
      <c r="M84" s="14">
        <f t="shared" si="24"/>
        <v>837755.8793</v>
      </c>
      <c r="N84" s="14">
        <f t="shared" si="24"/>
        <v>829427.9954</v>
      </c>
      <c r="O84" s="14">
        <f t="shared" si="24"/>
        <v>821530.03</v>
      </c>
      <c r="P84" s="14">
        <f t="shared" si="24"/>
        <v>814080.9801</v>
      </c>
      <c r="Q84" s="14">
        <f t="shared" si="24"/>
        <v>807100.7632</v>
      </c>
      <c r="R84" s="14">
        <f t="shared" si="24"/>
        <v>792483.4797</v>
      </c>
      <c r="S84" s="14">
        <f t="shared" si="24"/>
        <v>777178.419</v>
      </c>
      <c r="T84" s="14">
        <f t="shared" si="24"/>
        <v>761944.8732</v>
      </c>
      <c r="U84" s="14">
        <f t="shared" si="24"/>
        <v>746783.7984</v>
      </c>
      <c r="V84" s="14">
        <f t="shared" si="24"/>
        <v>731696.1662</v>
      </c>
      <c r="W84" s="14">
        <f>SUM(C$84:V$84)</f>
        <v>17084621.65</v>
      </c>
    </row>
    <row r="85" ht="15.75" customHeight="1">
      <c r="A85" s="6" t="s">
        <v>149</v>
      </c>
      <c r="C85" s="14">
        <f>MAX(0,C$84*Assumptions!$B$35)</f>
        <v>122884.7527</v>
      </c>
      <c r="D85" s="14">
        <f>MAX(0,D$84*Assumptions!$B$35)</f>
        <v>121467.7263</v>
      </c>
      <c r="E85" s="14">
        <f>MAX(0,E$84*Assumptions!$B$35)</f>
        <v>120086.4724</v>
      </c>
      <c r="F85" s="14">
        <f>MAX(0,F$84*Assumptions!$B$35)</f>
        <v>118742.4797</v>
      </c>
      <c r="G85" s="14">
        <f>MAX(0,G$84*Assumptions!$B$35)</f>
        <v>117437.3078</v>
      </c>
      <c r="H85" s="14">
        <f>MAX(0,H$84*Assumptions!$B$35)</f>
        <v>111443.0461</v>
      </c>
      <c r="I85" s="14">
        <f>MAX(0,I$84*Assumptions!$B$35)</f>
        <v>110173.2024</v>
      </c>
      <c r="J85" s="14">
        <f>MAX(0,J$84*Assumptions!$B$35)</f>
        <v>108946.849</v>
      </c>
      <c r="K85" s="14">
        <f>MAX(0,K$84*Assumptions!$B$35)</f>
        <v>107765.8622</v>
      </c>
      <c r="L85" s="14">
        <f>MAX(0,L$84*Assumptions!$B$35)</f>
        <v>106632.2091</v>
      </c>
      <c r="M85" s="14">
        <f>MAX(0,M$84*Assumptions!$B$35)</f>
        <v>104719.4849</v>
      </c>
      <c r="N85" s="14">
        <f>MAX(0,N$84*Assumptions!$B$35)</f>
        <v>103678.4994</v>
      </c>
      <c r="O85" s="14">
        <f>MAX(0,O$84*Assumptions!$B$35)</f>
        <v>102691.2538</v>
      </c>
      <c r="P85" s="14">
        <f>MAX(0,P$84*Assumptions!$B$35)</f>
        <v>101760.1225</v>
      </c>
      <c r="Q85" s="14">
        <f>MAX(0,Q$84*Assumptions!$B$35)</f>
        <v>100887.5954</v>
      </c>
      <c r="R85" s="14">
        <f>MAX(0,R$84*Assumptions!$B$35)</f>
        <v>99060.43496</v>
      </c>
      <c r="S85" s="14">
        <f>MAX(0,S$84*Assumptions!$B$35)</f>
        <v>97147.30237</v>
      </c>
      <c r="T85" s="14">
        <f>MAX(0,T$84*Assumptions!$B$35)</f>
        <v>95243.10915</v>
      </c>
      <c r="U85" s="14">
        <f>MAX(0,U$84*Assumptions!$B$35)</f>
        <v>93347.9748</v>
      </c>
      <c r="V85" s="14">
        <f>MAX(0,V$84*Assumptions!$B$35)</f>
        <v>91462.02077</v>
      </c>
      <c r="W85" s="14">
        <f>SUM(C$85:V$85)</f>
        <v>2135577.706</v>
      </c>
    </row>
    <row r="86" ht="15.75" customHeight="1">
      <c r="A86" s="15" t="s">
        <v>150</v>
      </c>
      <c r="B86" s="15"/>
      <c r="C86" s="17">
        <f t="shared" ref="C86:V86" si="25">C$84-C$85</f>
        <v>860193.2688</v>
      </c>
      <c r="D86" s="17">
        <f t="shared" si="25"/>
        <v>850274.0843</v>
      </c>
      <c r="E86" s="17">
        <f t="shared" si="25"/>
        <v>840605.3071</v>
      </c>
      <c r="F86" s="17">
        <f t="shared" si="25"/>
        <v>831197.3577</v>
      </c>
      <c r="G86" s="17">
        <f t="shared" si="25"/>
        <v>822061.1547</v>
      </c>
      <c r="H86" s="17">
        <f t="shared" si="25"/>
        <v>780101.323</v>
      </c>
      <c r="I86" s="17">
        <f t="shared" si="25"/>
        <v>771212.417</v>
      </c>
      <c r="J86" s="17">
        <f t="shared" si="25"/>
        <v>762627.9428</v>
      </c>
      <c r="K86" s="17">
        <f t="shared" si="25"/>
        <v>754361.0356</v>
      </c>
      <c r="L86" s="17">
        <f t="shared" si="25"/>
        <v>746425.464</v>
      </c>
      <c r="M86" s="17">
        <f t="shared" si="25"/>
        <v>733036.3944</v>
      </c>
      <c r="N86" s="17">
        <f t="shared" si="25"/>
        <v>725749.496</v>
      </c>
      <c r="O86" s="17">
        <f t="shared" si="25"/>
        <v>718838.7763</v>
      </c>
      <c r="P86" s="17">
        <f t="shared" si="25"/>
        <v>712320.8576</v>
      </c>
      <c r="Q86" s="17">
        <f t="shared" si="25"/>
        <v>706213.1678</v>
      </c>
      <c r="R86" s="17">
        <f t="shared" si="25"/>
        <v>693423.0447</v>
      </c>
      <c r="S86" s="17">
        <f t="shared" si="25"/>
        <v>680031.1166</v>
      </c>
      <c r="T86" s="17">
        <f t="shared" si="25"/>
        <v>666701.7641</v>
      </c>
      <c r="U86" s="17">
        <f t="shared" si="25"/>
        <v>653435.8236</v>
      </c>
      <c r="V86" s="17">
        <f t="shared" si="25"/>
        <v>640234.1454</v>
      </c>
      <c r="W86" s="17">
        <f>SUM(C$86:V$86)</f>
        <v>14949043.94</v>
      </c>
    </row>
    <row r="87" ht="15.75" customHeight="1">
      <c r="A87" s="6" t="s">
        <v>151</v>
      </c>
      <c r="C87" s="14">
        <f>IF(C$19&lt;=Assumptions!$B$39,$B$14,0)</f>
        <v>184898.0952</v>
      </c>
      <c r="D87" s="14">
        <f>IF(D$19&lt;=Assumptions!$B$39,$B$14,0)</f>
        <v>184898.0952</v>
      </c>
      <c r="E87" s="14">
        <f>IF(E$19&lt;=Assumptions!$B$39,$B$14,0)</f>
        <v>184898.0952</v>
      </c>
      <c r="F87" s="14">
        <f>IF(F$19&lt;=Assumptions!$B$39,$B$14,0)</f>
        <v>184898.0952</v>
      </c>
      <c r="G87" s="14">
        <f>IF(G$19&lt;=Assumptions!$B$39,$B$14,0)</f>
        <v>184898.0952</v>
      </c>
      <c r="H87" s="14">
        <f>IF(H$19&lt;=Assumptions!$B$39,$B$14,0)</f>
        <v>184898.0952</v>
      </c>
      <c r="I87" s="14">
        <f>IF(I$19&lt;=Assumptions!$B$39,$B$14,0)</f>
        <v>184898.0952</v>
      </c>
      <c r="J87" s="14">
        <f>IF(J$19&lt;=Assumptions!$B$39,$B$14,0)</f>
        <v>184898.0952</v>
      </c>
      <c r="K87" s="14">
        <f>IF(K$19&lt;=Assumptions!$B$39,$B$14,0)</f>
        <v>184898.0952</v>
      </c>
      <c r="L87" s="14">
        <f>IF(L$19&lt;=Assumptions!$B$39,$B$14,0)</f>
        <v>184898.0952</v>
      </c>
      <c r="M87" s="14">
        <f>IF(M$19&lt;=Assumptions!$B$39,$B$14,0)</f>
        <v>184898.0952</v>
      </c>
      <c r="N87" s="14">
        <f>IF(N$19&lt;=Assumptions!$B$39,$B$14,0)</f>
        <v>184898.0952</v>
      </c>
      <c r="O87" s="14">
        <f>IF(O$19&lt;=Assumptions!$B$39,$B$14,0)</f>
        <v>184898.0952</v>
      </c>
      <c r="P87" s="14">
        <f>IF(P$19&lt;=Assumptions!$B$39,$B$14,0)</f>
        <v>184898.0952</v>
      </c>
      <c r="Q87" s="14">
        <f>IF(Q$19&lt;=Assumptions!$B$39,$B$14,0)</f>
        <v>184898.0952</v>
      </c>
      <c r="R87" s="14">
        <f>IF(R$19&lt;=Assumptions!$B$39,$B$14,0)</f>
        <v>0</v>
      </c>
      <c r="S87" s="14">
        <f>IF(S$19&lt;=Assumptions!$B$39,$B$14,0)</f>
        <v>0</v>
      </c>
      <c r="T87" s="14">
        <f>IF(T$19&lt;=Assumptions!$B$39,$B$14,0)</f>
        <v>0</v>
      </c>
      <c r="U87" s="14">
        <f>IF(U$19&lt;=Assumptions!$B$39,$B$14,0)</f>
        <v>0</v>
      </c>
      <c r="V87" s="14">
        <f>IF(V$19&lt;=Assumptions!$B$39,$B$14,0)</f>
        <v>0</v>
      </c>
      <c r="W87" s="14">
        <f>SUM(C$87:V$87)</f>
        <v>2773471.428</v>
      </c>
    </row>
    <row r="88" ht="15.75" customHeight="1">
      <c r="A88" s="15" t="s">
        <v>152</v>
      </c>
      <c r="B88" s="15"/>
      <c r="C88" s="17">
        <f t="shared" ref="C88:V88" si="26">C$81-C$87-C$85</f>
        <v>1089732.324</v>
      </c>
      <c r="D88" s="17">
        <f t="shared" si="26"/>
        <v>1075366.182</v>
      </c>
      <c r="E88" s="17">
        <f t="shared" si="26"/>
        <v>1061028.1</v>
      </c>
      <c r="F88" s="17">
        <f t="shared" si="26"/>
        <v>1046717.38</v>
      </c>
      <c r="G88" s="17">
        <f t="shared" si="26"/>
        <v>1032433.268</v>
      </c>
      <c r="H88" s="17">
        <f t="shared" si="26"/>
        <v>985068.1318</v>
      </c>
      <c r="I88" s="17">
        <f t="shared" si="26"/>
        <v>970503.6563</v>
      </c>
      <c r="J88" s="17">
        <f t="shared" si="26"/>
        <v>955959.834</v>
      </c>
      <c r="K88" s="17">
        <f t="shared" si="26"/>
        <v>941435.6114</v>
      </c>
      <c r="L88" s="17">
        <f t="shared" si="26"/>
        <v>926929.8586</v>
      </c>
      <c r="M88" s="17">
        <f t="shared" si="26"/>
        <v>906642.0987</v>
      </c>
      <c r="N88" s="17">
        <f t="shared" si="26"/>
        <v>892111.5755</v>
      </c>
      <c r="O88" s="17">
        <f t="shared" si="26"/>
        <v>877595.0497</v>
      </c>
      <c r="P88" s="17">
        <f t="shared" si="26"/>
        <v>863091.0348</v>
      </c>
      <c r="Q88" s="17">
        <f t="shared" si="26"/>
        <v>848597.9438</v>
      </c>
      <c r="R88" s="17">
        <f t="shared" si="26"/>
        <v>1011901.245</v>
      </c>
      <c r="S88" s="17">
        <f t="shared" si="26"/>
        <v>998509.3166</v>
      </c>
      <c r="T88" s="17">
        <f t="shared" si="26"/>
        <v>985179.9641</v>
      </c>
      <c r="U88" s="17">
        <f t="shared" si="26"/>
        <v>971914.0236</v>
      </c>
      <c r="V88" s="17">
        <f t="shared" si="26"/>
        <v>958712.3454</v>
      </c>
      <c r="W88" s="17">
        <f>SUM(C$88:V$88)</f>
        <v>19399428.94</v>
      </c>
    </row>
    <row r="89" ht="15.75" customHeight="1">
      <c r="A89" s="6" t="s">
        <v>153</v>
      </c>
      <c r="C89" s="14">
        <f>C$88</f>
        <v>1089732.324</v>
      </c>
      <c r="D89" s="14">
        <f t="shared" ref="D89:V89" si="27">C$89+D$88</f>
        <v>2165098.506</v>
      </c>
      <c r="E89" s="14">
        <f t="shared" si="27"/>
        <v>3226126.605</v>
      </c>
      <c r="F89" s="14">
        <f t="shared" si="27"/>
        <v>4272843.985</v>
      </c>
      <c r="G89" s="14">
        <f t="shared" si="27"/>
        <v>5305277.253</v>
      </c>
      <c r="H89" s="14">
        <f t="shared" si="27"/>
        <v>6290345.384</v>
      </c>
      <c r="I89" s="14">
        <f t="shared" si="27"/>
        <v>7260849.041</v>
      </c>
      <c r="J89" s="14">
        <f t="shared" si="27"/>
        <v>8216808.875</v>
      </c>
      <c r="K89" s="14">
        <f t="shared" si="27"/>
        <v>9158244.486</v>
      </c>
      <c r="L89" s="14">
        <f t="shared" si="27"/>
        <v>10085174.34</v>
      </c>
      <c r="M89" s="14">
        <f t="shared" si="27"/>
        <v>10991816.44</v>
      </c>
      <c r="N89" s="14">
        <f t="shared" si="27"/>
        <v>11883928.02</v>
      </c>
      <c r="O89" s="14">
        <f t="shared" si="27"/>
        <v>12761523.07</v>
      </c>
      <c r="P89" s="14">
        <f t="shared" si="27"/>
        <v>13624614.1</v>
      </c>
      <c r="Q89" s="14">
        <f t="shared" si="27"/>
        <v>14473212.05</v>
      </c>
      <c r="R89" s="14">
        <f t="shared" si="27"/>
        <v>15485113.29</v>
      </c>
      <c r="S89" s="14">
        <f t="shared" si="27"/>
        <v>16483622.61</v>
      </c>
      <c r="T89" s="14">
        <f t="shared" si="27"/>
        <v>17468802.57</v>
      </c>
      <c r="U89" s="14">
        <f t="shared" si="27"/>
        <v>18440716.6</v>
      </c>
      <c r="V89" s="14">
        <f t="shared" si="27"/>
        <v>19399428.94</v>
      </c>
      <c r="W89" s="14">
        <f>V$89</f>
        <v>19399428.94</v>
      </c>
    </row>
    <row r="90" ht="15.75" customHeight="1">
      <c r="A90" s="6" t="s">
        <v>154</v>
      </c>
      <c r="C90" s="35">
        <f t="shared" ref="C90:V90" si="28">IF(C$87&gt;0,C$81/C$87,"N/A")</f>
        <v>7.558299452</v>
      </c>
      <c r="D90" s="35">
        <f t="shared" si="28"/>
        <v>7.472938009</v>
      </c>
      <c r="E90" s="35">
        <f t="shared" si="28"/>
        <v>7.387921794</v>
      </c>
      <c r="F90" s="35">
        <f t="shared" si="28"/>
        <v>7.303255089</v>
      </c>
      <c r="G90" s="35">
        <f t="shared" si="28"/>
        <v>7.218942248</v>
      </c>
      <c r="H90" s="35">
        <f t="shared" si="28"/>
        <v>6.930354105</v>
      </c>
      <c r="I90" s="35">
        <f t="shared" si="28"/>
        <v>6.844716018</v>
      </c>
      <c r="J90" s="35">
        <f t="shared" si="28"/>
        <v>6.759424843</v>
      </c>
      <c r="K90" s="35">
        <f t="shared" si="28"/>
        <v>6.674485032</v>
      </c>
      <c r="L90" s="35">
        <f t="shared" si="28"/>
        <v>6.589901111</v>
      </c>
      <c r="M90" s="35">
        <f t="shared" si="28"/>
        <v>6.469832356</v>
      </c>
      <c r="N90" s="35">
        <f t="shared" si="28"/>
        <v>6.385615649</v>
      </c>
      <c r="O90" s="35">
        <f t="shared" si="28"/>
        <v>6.301765291</v>
      </c>
      <c r="P90" s="35">
        <f t="shared" si="28"/>
        <v>6.218286085</v>
      </c>
      <c r="Q90" s="35">
        <f t="shared" si="28"/>
        <v>6.135182914</v>
      </c>
      <c r="R90" s="35" t="str">
        <f t="shared" si="28"/>
        <v>N/A</v>
      </c>
      <c r="S90" s="35" t="str">
        <f t="shared" si="28"/>
        <v>N/A</v>
      </c>
      <c r="T90" s="35" t="str">
        <f t="shared" si="28"/>
        <v>N/A</v>
      </c>
      <c r="U90" s="35" t="str">
        <f t="shared" si="28"/>
        <v>N/A</v>
      </c>
      <c r="V90" s="35" t="str">
        <f t="shared" si="28"/>
        <v>N/A</v>
      </c>
      <c r="W90" s="35">
        <f>AVERAGE(C$90:Q$90)</f>
        <v>6.816728</v>
      </c>
    </row>
    <row r="91" ht="15.75" customHeight="1"/>
    <row r="92" ht="15.75" customHeight="1">
      <c r="A92" s="4" t="s">
        <v>157</v>
      </c>
      <c r="B92" s="5"/>
      <c r="C92" s="5"/>
      <c r="D92" s="5"/>
      <c r="E92" s="5"/>
    </row>
    <row r="93" ht="15.75" customHeight="1">
      <c r="A93" s="11" t="s">
        <v>32</v>
      </c>
      <c r="B93" s="11" t="s">
        <v>158</v>
      </c>
      <c r="C93" s="11" t="s">
        <v>159</v>
      </c>
      <c r="D93" s="11" t="s">
        <v>160</v>
      </c>
    </row>
    <row r="94" ht="15.75" customHeight="1">
      <c r="A94" s="9" t="s">
        <v>161</v>
      </c>
      <c r="B94" s="10">
        <f>IRR(B$101:V$101)</f>
        <v>0.1522128902</v>
      </c>
      <c r="C94" s="10">
        <f>IRR(B$102:V$102)</f>
        <v>0.1981756564</v>
      </c>
      <c r="D94" s="10">
        <f>IRR(B$103:V$103)</f>
        <v>0.2262751328</v>
      </c>
    </row>
    <row r="95" ht="15.75" customHeight="1">
      <c r="A95" s="9" t="s">
        <v>162</v>
      </c>
      <c r="B95" s="10">
        <f>IRR(B$104:V$104)</f>
        <v>0.124466723</v>
      </c>
      <c r="C95" s="10">
        <f>IRR(B$105:V$105)</f>
        <v>0.158138659</v>
      </c>
      <c r="D95" s="10">
        <f>IRR(B$106:V$106)</f>
        <v>0.1785333576</v>
      </c>
    </row>
    <row r="96" ht="15.75" customHeight="1">
      <c r="A96" s="9" t="s">
        <v>163</v>
      </c>
      <c r="B96" s="7">
        <f t="array" ref="B96">NPV(Assumptions!$B$37,C$101:V$101)+B$101</f>
        <v>2507036.321</v>
      </c>
      <c r="C96" s="7">
        <f t="array" ref="C96">NPV(Assumptions!$B$37,C$102:V$102)+B$102</f>
        <v>4206416.028</v>
      </c>
      <c r="D96" s="7">
        <f t="array" ref="D96">NPV(Assumptions!$B$37,C$103:V$103)+B$103</f>
        <v>5268528.346</v>
      </c>
    </row>
    <row r="97" ht="15.75" customHeight="1">
      <c r="A97" s="9" t="s">
        <v>164</v>
      </c>
      <c r="B97" s="18">
        <f>SUM(C$101:V$101)/(-B$101)</f>
        <v>3.142270388</v>
      </c>
      <c r="C97" s="18">
        <f>SUM(C$102:V$102)/(-B$102)</f>
        <v>3.891054828</v>
      </c>
      <c r="D97" s="18">
        <f>SUM(C$103:V$103)/(-B$103)</f>
        <v>4.359045103</v>
      </c>
    </row>
    <row r="98" ht="15.75" customHeight="1">
      <c r="A98" s="9" t="s">
        <v>165</v>
      </c>
      <c r="B98" s="18">
        <f>AVERAGE(C$48:Q$48)</f>
        <v>5.077257434</v>
      </c>
      <c r="C98" s="18">
        <f>AVERAGE(C$69:Q$69)</f>
        <v>6.147700859</v>
      </c>
      <c r="D98" s="18">
        <f>AVERAGE(C$90:Q$90)</f>
        <v>6.816728</v>
      </c>
    </row>
    <row r="99" ht="15.75" customHeight="1">
      <c r="A99" s="9" t="s">
        <v>166</v>
      </c>
      <c r="B99" s="7">
        <f>SUM(C$101:V$101)</f>
        <v>13984313</v>
      </c>
      <c r="C99" s="7">
        <f>SUM(C$102:V$102)</f>
        <v>17316692.04</v>
      </c>
      <c r="D99" s="7">
        <f>SUM(C$103:V$103)</f>
        <v>19399428.94</v>
      </c>
    </row>
    <row r="100" ht="15.75" customHeight="1"/>
    <row r="101" ht="15.75" customHeight="1">
      <c r="A101" s="38" t="s">
        <v>167</v>
      </c>
      <c r="B101" s="39">
        <f t="shared" ref="B101:B103" si="30">-$B$12</f>
        <v>-4450385</v>
      </c>
      <c r="C101" s="39">
        <f t="shared" ref="C101:V101" si="29">C$46</f>
        <v>778446.1141</v>
      </c>
      <c r="D101" s="39">
        <f t="shared" si="29"/>
        <v>768346.3316</v>
      </c>
      <c r="E101" s="39">
        <f t="shared" si="29"/>
        <v>758274.6085</v>
      </c>
      <c r="F101" s="39">
        <f t="shared" si="29"/>
        <v>748230.2479</v>
      </c>
      <c r="G101" s="39">
        <f t="shared" si="29"/>
        <v>738212.4952</v>
      </c>
      <c r="H101" s="39">
        <f t="shared" si="29"/>
        <v>695113.7184</v>
      </c>
      <c r="I101" s="39">
        <f t="shared" si="29"/>
        <v>684815.6021</v>
      </c>
      <c r="J101" s="39">
        <f t="shared" si="29"/>
        <v>674538.139</v>
      </c>
      <c r="K101" s="39">
        <f t="shared" si="29"/>
        <v>664280.2756</v>
      </c>
      <c r="L101" s="39">
        <f t="shared" si="29"/>
        <v>654040.882</v>
      </c>
      <c r="M101" s="39">
        <f t="shared" si="29"/>
        <v>638019.4814</v>
      </c>
      <c r="N101" s="39">
        <f t="shared" si="29"/>
        <v>627755.3174</v>
      </c>
      <c r="O101" s="39">
        <f t="shared" si="29"/>
        <v>617505.1508</v>
      </c>
      <c r="P101" s="39">
        <f t="shared" si="29"/>
        <v>607267.4951</v>
      </c>
      <c r="Q101" s="39">
        <f t="shared" si="29"/>
        <v>597040.7634</v>
      </c>
      <c r="R101" s="39">
        <f t="shared" si="29"/>
        <v>764610.4235</v>
      </c>
      <c r="S101" s="39">
        <f t="shared" si="29"/>
        <v>755484.8546</v>
      </c>
      <c r="T101" s="39">
        <f t="shared" si="29"/>
        <v>746421.8613</v>
      </c>
      <c r="U101" s="39">
        <f t="shared" si="29"/>
        <v>737422.28</v>
      </c>
      <c r="V101" s="39">
        <f t="shared" si="29"/>
        <v>728486.961</v>
      </c>
    </row>
    <row r="102" ht="15.75" customHeight="1">
      <c r="A102" s="38" t="s">
        <v>168</v>
      </c>
      <c r="B102" s="39">
        <f t="shared" si="30"/>
        <v>-4450385</v>
      </c>
      <c r="C102" s="39">
        <f t="shared" ref="C102:V102" si="31">C$67</f>
        <v>970006.8585</v>
      </c>
      <c r="D102" s="39">
        <f t="shared" si="31"/>
        <v>957281.6241</v>
      </c>
      <c r="E102" s="39">
        <f t="shared" si="31"/>
        <v>944584.4491</v>
      </c>
      <c r="F102" s="39">
        <f t="shared" si="31"/>
        <v>931914.6367</v>
      </c>
      <c r="G102" s="39">
        <f t="shared" si="31"/>
        <v>919271.4322</v>
      </c>
      <c r="H102" s="39">
        <f t="shared" si="31"/>
        <v>873547.2035</v>
      </c>
      <c r="I102" s="39">
        <f t="shared" si="31"/>
        <v>860623.6354</v>
      </c>
      <c r="J102" s="39">
        <f t="shared" si="31"/>
        <v>847720.7205</v>
      </c>
      <c r="K102" s="39">
        <f t="shared" si="31"/>
        <v>834837.4053</v>
      </c>
      <c r="L102" s="39">
        <f t="shared" si="31"/>
        <v>821972.5599</v>
      </c>
      <c r="M102" s="39">
        <f t="shared" si="31"/>
        <v>803325.7074</v>
      </c>
      <c r="N102" s="39">
        <f t="shared" si="31"/>
        <v>790436.0916</v>
      </c>
      <c r="O102" s="39">
        <f t="shared" si="31"/>
        <v>777560.4732</v>
      </c>
      <c r="P102" s="39">
        <f t="shared" si="31"/>
        <v>764697.3657</v>
      </c>
      <c r="Q102" s="39">
        <f t="shared" si="31"/>
        <v>751845.1821</v>
      </c>
      <c r="R102" s="39">
        <f t="shared" si="31"/>
        <v>916789.3904</v>
      </c>
      <c r="S102" s="39">
        <f t="shared" si="31"/>
        <v>905038.3697</v>
      </c>
      <c r="T102" s="39">
        <f t="shared" si="31"/>
        <v>893349.9245</v>
      </c>
      <c r="U102" s="39">
        <f t="shared" si="31"/>
        <v>881724.8914</v>
      </c>
      <c r="V102" s="39">
        <f t="shared" si="31"/>
        <v>870164.1207</v>
      </c>
    </row>
    <row r="103" ht="15.75" customHeight="1">
      <c r="A103" s="38" t="s">
        <v>169</v>
      </c>
      <c r="B103" s="39">
        <f t="shared" si="30"/>
        <v>-4450385</v>
      </c>
      <c r="C103" s="39">
        <f t="shared" ref="C103:V103" si="32">C$88</f>
        <v>1089732.324</v>
      </c>
      <c r="D103" s="39">
        <f t="shared" si="32"/>
        <v>1075366.182</v>
      </c>
      <c r="E103" s="39">
        <f t="shared" si="32"/>
        <v>1061028.1</v>
      </c>
      <c r="F103" s="39">
        <f t="shared" si="32"/>
        <v>1046717.38</v>
      </c>
      <c r="G103" s="39">
        <f t="shared" si="32"/>
        <v>1032433.268</v>
      </c>
      <c r="H103" s="39">
        <f t="shared" si="32"/>
        <v>985068.1318</v>
      </c>
      <c r="I103" s="39">
        <f t="shared" si="32"/>
        <v>970503.6563</v>
      </c>
      <c r="J103" s="39">
        <f t="shared" si="32"/>
        <v>955959.834</v>
      </c>
      <c r="K103" s="39">
        <f t="shared" si="32"/>
        <v>941435.6114</v>
      </c>
      <c r="L103" s="39">
        <f t="shared" si="32"/>
        <v>926929.8586</v>
      </c>
      <c r="M103" s="39">
        <f t="shared" si="32"/>
        <v>906642.0987</v>
      </c>
      <c r="N103" s="39">
        <f t="shared" si="32"/>
        <v>892111.5755</v>
      </c>
      <c r="O103" s="39">
        <f t="shared" si="32"/>
        <v>877595.0497</v>
      </c>
      <c r="P103" s="39">
        <f t="shared" si="32"/>
        <v>863091.0348</v>
      </c>
      <c r="Q103" s="39">
        <f t="shared" si="32"/>
        <v>848597.9438</v>
      </c>
      <c r="R103" s="39">
        <f t="shared" si="32"/>
        <v>1011901.245</v>
      </c>
      <c r="S103" s="39">
        <f t="shared" si="32"/>
        <v>998509.3166</v>
      </c>
      <c r="T103" s="39">
        <f t="shared" si="32"/>
        <v>985179.9641</v>
      </c>
      <c r="U103" s="39">
        <f t="shared" si="32"/>
        <v>971914.0236</v>
      </c>
      <c r="V103" s="39">
        <f t="shared" si="32"/>
        <v>958712.3454</v>
      </c>
    </row>
    <row r="104" ht="15.75" customHeight="1">
      <c r="A104" s="38" t="s">
        <v>170</v>
      </c>
      <c r="B104" s="39">
        <f t="shared" ref="B104:B106" si="33">-$B$11</f>
        <v>-6369564</v>
      </c>
      <c r="C104" s="39">
        <f>C$39-MAX(0,(C$39-C$40)*Assumptions!$B$35)</f>
        <v>951349.3406</v>
      </c>
      <c r="D104" s="39">
        <f>D$39-MAX(0,(D$39-D$40)*Assumptions!$B$35)</f>
        <v>941805.4277</v>
      </c>
      <c r="E104" s="39">
        <f>E$39-MAX(0,(E$39-E$40)*Assumptions!$B$35)</f>
        <v>932317.3677</v>
      </c>
      <c r="F104" s="39">
        <f>F$39-MAX(0,(F$39-F$40)*Assumptions!$B$35)</f>
        <v>922885.8534</v>
      </c>
      <c r="G104" s="39">
        <f>G$39-MAX(0,(G$39-G$40)*Assumptions!$B$35)</f>
        <v>913511.5894</v>
      </c>
      <c r="H104" s="39">
        <f>H$39-MAX(0,(H$39-H$40)*Assumptions!$B$35)</f>
        <v>871088.4755</v>
      </c>
      <c r="I104" s="39">
        <f>I$39-MAX(0,(I$39-I$40)*Assumptions!$B$35)</f>
        <v>861499.8055</v>
      </c>
      <c r="J104" s="39">
        <f>J$39-MAX(0,(J$39-J$40)*Assumptions!$B$35)</f>
        <v>851967.2609</v>
      </c>
      <c r="K104" s="39">
        <f>K$39-MAX(0,(K$39-K$40)*Assumptions!$B$35)</f>
        <v>842491.562</v>
      </c>
      <c r="L104" s="39">
        <f>L$39-MAX(0,(L$39-L$40)*Assumptions!$B$35)</f>
        <v>833073.441</v>
      </c>
      <c r="M104" s="39">
        <f>M$39-MAX(0,(M$39-M$40)*Assumptions!$B$35)</f>
        <v>817914.3766</v>
      </c>
      <c r="N104" s="39">
        <f>N$39-MAX(0,(N$39-N$40)*Assumptions!$B$35)</f>
        <v>808555.6658</v>
      </c>
      <c r="O104" s="39">
        <f>O$39-MAX(0,(O$39-O$40)*Assumptions!$B$35)</f>
        <v>799256.2249</v>
      </c>
      <c r="P104" s="39">
        <f>P$39-MAX(0,(P$39-P$40)*Assumptions!$B$35)</f>
        <v>790016.8312</v>
      </c>
      <c r="Q104" s="39">
        <f>Q$39-MAX(0,(Q$39-Q$40)*Assumptions!$B$35)</f>
        <v>780838.2746</v>
      </c>
      <c r="R104" s="39">
        <f>R$39-MAX(0,(R$39-R$40)*Assumptions!$B$35)</f>
        <v>764610.4235</v>
      </c>
      <c r="S104" s="39">
        <f>S$39-MAX(0,(S$39-S$40)*Assumptions!$B$35)</f>
        <v>755484.8546</v>
      </c>
      <c r="T104" s="39">
        <f>T$39-MAX(0,(T$39-T$40)*Assumptions!$B$35)</f>
        <v>746421.8613</v>
      </c>
      <c r="U104" s="39">
        <f>U$39-MAX(0,(U$39-U$40)*Assumptions!$B$35)</f>
        <v>737422.28</v>
      </c>
      <c r="V104" s="39">
        <f>V$39-MAX(0,(V$39-V$40)*Assumptions!$B$35)</f>
        <v>728486.961</v>
      </c>
    </row>
    <row r="105" ht="15.75" customHeight="1">
      <c r="A105" s="38" t="s">
        <v>171</v>
      </c>
      <c r="B105" s="39">
        <f t="shared" si="33"/>
        <v>-6369564</v>
      </c>
      <c r="C105" s="39">
        <f>C$60-MAX(0,(C$60-C$61)*Assumptions!$B$35)</f>
        <v>1142910.085</v>
      </c>
      <c r="D105" s="39">
        <f>D$60-MAX(0,(D$60-D$61)*Assumptions!$B$35)</f>
        <v>1130740.72</v>
      </c>
      <c r="E105" s="39">
        <f>E$60-MAX(0,(E$60-E$61)*Assumptions!$B$35)</f>
        <v>1118627.208</v>
      </c>
      <c r="F105" s="39">
        <f>F$60-MAX(0,(F$60-F$61)*Assumptions!$B$35)</f>
        <v>1106570.242</v>
      </c>
      <c r="G105" s="39">
        <f>G$60-MAX(0,(G$60-G$61)*Assumptions!$B$35)</f>
        <v>1094570.526</v>
      </c>
      <c r="H105" s="39">
        <f>H$60-MAX(0,(H$60-H$61)*Assumptions!$B$35)</f>
        <v>1049521.961</v>
      </c>
      <c r="I105" s="39">
        <f>I$60-MAX(0,(I$60-I$61)*Assumptions!$B$35)</f>
        <v>1037307.839</v>
      </c>
      <c r="J105" s="39">
        <f>J$60-MAX(0,(J$60-J$61)*Assumptions!$B$35)</f>
        <v>1025149.842</v>
      </c>
      <c r="K105" s="39">
        <f>K$60-MAX(0,(K$60-K$61)*Assumptions!$B$35)</f>
        <v>1013048.692</v>
      </c>
      <c r="L105" s="39">
        <f>L$60-MAX(0,(L$60-L$61)*Assumptions!$B$35)</f>
        <v>1001005.119</v>
      </c>
      <c r="M105" s="39">
        <f>M$60-MAX(0,(M$60-M$61)*Assumptions!$B$35)</f>
        <v>983220.6027</v>
      </c>
      <c r="N105" s="39">
        <f>N$60-MAX(0,(N$60-N$61)*Assumptions!$B$35)</f>
        <v>971236.44</v>
      </c>
      <c r="O105" s="39">
        <f>O$60-MAX(0,(O$60-O$61)*Assumptions!$B$35)</f>
        <v>959311.5473</v>
      </c>
      <c r="P105" s="39">
        <f>P$60-MAX(0,(P$60-P$61)*Assumptions!$B$35)</f>
        <v>947446.7018</v>
      </c>
      <c r="Q105" s="39">
        <f>Q$60-MAX(0,(Q$60-Q$61)*Assumptions!$B$35)</f>
        <v>935642.6934</v>
      </c>
      <c r="R105" s="39">
        <f>R$60-MAX(0,(R$60-R$61)*Assumptions!$B$35)</f>
        <v>916789.3904</v>
      </c>
      <c r="S105" s="39">
        <f>S$60-MAX(0,(S$60-S$61)*Assumptions!$B$35)</f>
        <v>905038.3697</v>
      </c>
      <c r="T105" s="39">
        <f>T$60-MAX(0,(T$60-T$61)*Assumptions!$B$35)</f>
        <v>893349.9245</v>
      </c>
      <c r="U105" s="39">
        <f>U$60-MAX(0,(U$60-U$61)*Assumptions!$B$35)</f>
        <v>881724.8914</v>
      </c>
      <c r="V105" s="39">
        <f>V$60-MAX(0,(V$60-V$61)*Assumptions!$B$35)</f>
        <v>870164.1207</v>
      </c>
    </row>
    <row r="106" ht="15.75" customHeight="1">
      <c r="A106" s="38" t="s">
        <v>172</v>
      </c>
      <c r="B106" s="39">
        <f t="shared" si="33"/>
        <v>-6369564</v>
      </c>
      <c r="C106" s="39">
        <f>C$81-MAX(0,(C$81-C$82)*Assumptions!$B$35)</f>
        <v>1262635.55</v>
      </c>
      <c r="D106" s="39">
        <f>D$81-MAX(0,(D$81-D$82)*Assumptions!$B$35)</f>
        <v>1248825.278</v>
      </c>
      <c r="E106" s="39">
        <f>E$81-MAX(0,(E$81-E$82)*Assumptions!$B$35)</f>
        <v>1235070.859</v>
      </c>
      <c r="F106" s="39">
        <f>F$81-MAX(0,(F$81-F$82)*Assumptions!$B$35)</f>
        <v>1221372.985</v>
      </c>
      <c r="G106" s="39">
        <f>G$81-MAX(0,(G$81-G$82)*Assumptions!$B$35)</f>
        <v>1207732.362</v>
      </c>
      <c r="H106" s="39">
        <f>H$81-MAX(0,(H$81-H$82)*Assumptions!$B$35)</f>
        <v>1161042.889</v>
      </c>
      <c r="I106" s="39">
        <f>I$81-MAX(0,(I$81-I$82)*Assumptions!$B$35)</f>
        <v>1147187.86</v>
      </c>
      <c r="J106" s="39">
        <f>J$81-MAX(0,(J$81-J$82)*Assumptions!$B$35)</f>
        <v>1133388.956</v>
      </c>
      <c r="K106" s="39">
        <f>K$81-MAX(0,(K$81-K$82)*Assumptions!$B$35)</f>
        <v>1119646.898</v>
      </c>
      <c r="L106" s="39">
        <f>L$81-MAX(0,(L$81-L$82)*Assumptions!$B$35)</f>
        <v>1105962.418</v>
      </c>
      <c r="M106" s="39">
        <f>M$81-MAX(0,(M$81-M$82)*Assumptions!$B$35)</f>
        <v>1086536.994</v>
      </c>
      <c r="N106" s="39">
        <f>N$81-MAX(0,(N$81-N$82)*Assumptions!$B$35)</f>
        <v>1072911.924</v>
      </c>
      <c r="O106" s="39">
        <f>O$81-MAX(0,(O$81-O$82)*Assumptions!$B$35)</f>
        <v>1059346.124</v>
      </c>
      <c r="P106" s="39">
        <f>P$81-MAX(0,(P$81-P$82)*Assumptions!$B$35)</f>
        <v>1045840.371</v>
      </c>
      <c r="Q106" s="39">
        <f>Q$81-MAX(0,(Q$81-Q$82)*Assumptions!$B$35)</f>
        <v>1032395.455</v>
      </c>
      <c r="R106" s="39">
        <f>R$81-MAX(0,(R$81-R$82)*Assumptions!$B$35)</f>
        <v>1011901.245</v>
      </c>
      <c r="S106" s="39">
        <f>S$81-MAX(0,(S$81-S$82)*Assumptions!$B$35)</f>
        <v>998509.3166</v>
      </c>
      <c r="T106" s="39">
        <f>T$81-MAX(0,(T$81-T$82)*Assumptions!$B$35)</f>
        <v>985179.9641</v>
      </c>
      <c r="U106" s="39">
        <f>U$81-MAX(0,(U$81-U$82)*Assumptions!$B$35)</f>
        <v>971914.0236</v>
      </c>
      <c r="V106" s="39">
        <f>V$81-MAX(0,(V$81-V$82)*Assumptions!$B$35)</f>
        <v>958712.3454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0.0"/>
    <col customWidth="1" min="2" max="23" width="14.0"/>
    <col customWidth="1" min="24" max="26" width="8.71"/>
  </cols>
  <sheetData>
    <row r="1">
      <c r="A1" s="19" t="s">
        <v>175</v>
      </c>
    </row>
    <row r="2">
      <c r="A2" s="2" t="s">
        <v>176</v>
      </c>
    </row>
    <row r="4">
      <c r="A4" s="4" t="s">
        <v>112</v>
      </c>
      <c r="B4" s="5"/>
      <c r="C4" s="5"/>
    </row>
    <row r="5">
      <c r="A5" s="6" t="s">
        <v>113</v>
      </c>
      <c r="B5" s="26">
        <v>3.0</v>
      </c>
    </row>
    <row r="6">
      <c r="A6" s="6" t="s">
        <v>114</v>
      </c>
      <c r="B6" s="26">
        <v>12.0</v>
      </c>
    </row>
    <row r="7">
      <c r="A7" s="6" t="s">
        <v>115</v>
      </c>
      <c r="B7" s="27">
        <f>B6/Assumptions!$B$6</f>
        <v>3</v>
      </c>
    </row>
    <row r="8">
      <c r="A8" s="6" t="s">
        <v>116</v>
      </c>
      <c r="B8" s="26">
        <v>1680231.0</v>
      </c>
    </row>
    <row r="9">
      <c r="A9" s="6" t="s">
        <v>117</v>
      </c>
      <c r="B9" s="27">
        <f>B5*Assumptions!$B$5</f>
        <v>1050000</v>
      </c>
    </row>
    <row r="10">
      <c r="A10" s="6" t="s">
        <v>118</v>
      </c>
      <c r="B10" s="26">
        <v>1399524.0</v>
      </c>
    </row>
    <row r="11">
      <c r="A11" s="15" t="s">
        <v>6</v>
      </c>
      <c r="B11" s="17">
        <f>B8+B9+B10</f>
        <v>4129755</v>
      </c>
      <c r="C11" s="15"/>
    </row>
    <row r="12">
      <c r="A12" s="15" t="s">
        <v>119</v>
      </c>
      <c r="B12" s="17">
        <f>B8+B9</f>
        <v>2730231</v>
      </c>
      <c r="C12" s="15"/>
    </row>
    <row r="13">
      <c r="A13" s="6" t="s">
        <v>120</v>
      </c>
      <c r="B13" s="27">
        <f>B10</f>
        <v>1399524</v>
      </c>
    </row>
    <row r="14">
      <c r="A14" s="15" t="s">
        <v>121</v>
      </c>
      <c r="B14" s="17">
        <f>-PMT(Assumptions!$B$38,Assumptions!$B$39,B13)</f>
        <v>134833.3437</v>
      </c>
      <c r="C14" s="15"/>
    </row>
    <row r="15">
      <c r="A15" s="6" t="s">
        <v>122</v>
      </c>
      <c r="B15" s="27">
        <f>B11/Assumptions!$B$7</f>
        <v>206487.75</v>
      </c>
    </row>
    <row r="16">
      <c r="A16" s="6" t="s">
        <v>123</v>
      </c>
      <c r="B16" s="28">
        <v>4.0</v>
      </c>
    </row>
    <row r="18">
      <c r="A18" s="4" t="s">
        <v>124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11" t="s">
        <v>125</v>
      </c>
      <c r="C19" s="11">
        <v>1.0</v>
      </c>
      <c r="D19" s="11">
        <v>2.0</v>
      </c>
      <c r="E19" s="11">
        <v>3.0</v>
      </c>
      <c r="F19" s="11">
        <v>4.0</v>
      </c>
      <c r="G19" s="11">
        <v>5.0</v>
      </c>
      <c r="H19" s="11">
        <v>6.0</v>
      </c>
      <c r="I19" s="11">
        <v>7.0</v>
      </c>
      <c r="J19" s="11">
        <v>8.0</v>
      </c>
      <c r="K19" s="11">
        <v>9.0</v>
      </c>
      <c r="L19" s="11">
        <v>10.0</v>
      </c>
      <c r="M19" s="11">
        <v>11.0</v>
      </c>
      <c r="N19" s="11">
        <v>12.0</v>
      </c>
      <c r="O19" s="11">
        <v>13.0</v>
      </c>
      <c r="P19" s="11">
        <v>14.0</v>
      </c>
      <c r="Q19" s="11">
        <v>15.0</v>
      </c>
      <c r="R19" s="11">
        <v>16.0</v>
      </c>
      <c r="S19" s="11">
        <v>17.0</v>
      </c>
      <c r="T19" s="11">
        <v>18.0</v>
      </c>
      <c r="U19" s="11">
        <v>19.0</v>
      </c>
      <c r="V19" s="11">
        <v>20.0</v>
      </c>
      <c r="W19" s="11" t="s">
        <v>126</v>
      </c>
    </row>
    <row r="20">
      <c r="A20" s="11" t="s">
        <v>127</v>
      </c>
      <c r="C20" s="11">
        <v>2026.0</v>
      </c>
      <c r="D20" s="11">
        <v>2027.0</v>
      </c>
      <c r="E20" s="11">
        <v>2028.0</v>
      </c>
      <c r="F20" s="11">
        <v>2029.0</v>
      </c>
      <c r="G20" s="11">
        <v>2030.0</v>
      </c>
      <c r="H20" s="11">
        <v>2031.0</v>
      </c>
      <c r="I20" s="11">
        <v>2032.0</v>
      </c>
      <c r="J20" s="11">
        <v>2033.0</v>
      </c>
      <c r="K20" s="11">
        <v>2034.0</v>
      </c>
      <c r="L20" s="11">
        <v>2035.0</v>
      </c>
      <c r="M20" s="11">
        <v>2036.0</v>
      </c>
      <c r="N20" s="11">
        <v>2037.0</v>
      </c>
      <c r="O20" s="11">
        <v>2038.0</v>
      </c>
      <c r="P20" s="11">
        <v>2039.0</v>
      </c>
      <c r="Q20" s="11">
        <v>2040.0</v>
      </c>
      <c r="R20" s="11">
        <v>2041.0</v>
      </c>
      <c r="S20" s="11">
        <v>2042.0</v>
      </c>
      <c r="T20" s="11">
        <v>2043.0</v>
      </c>
      <c r="U20" s="11">
        <v>2044.0</v>
      </c>
      <c r="V20" s="11">
        <v>2045.0</v>
      </c>
      <c r="W20" s="29"/>
    </row>
    <row r="21" ht="15.75" customHeight="1">
      <c r="A21" s="6" t="s">
        <v>128</v>
      </c>
      <c r="C21" s="14">
        <f>IF(C$19=1,$B$5*Assumptions!$B$10*(1-Assumptions!$B$11),$B$5*Assumptions!$B$10*(1-Assumptions!$B$11)*(1-Assumptions!$B$12)^(C$19-1))</f>
        <v>5118.75</v>
      </c>
      <c r="D21" s="14">
        <f>IF(D$19=1,$B$5*Assumptions!$B$10*(1-Assumptions!$B$11),$B$5*Assumptions!$B$10*(1-Assumptions!$B$11)*(1-Assumptions!$B$12)^(D$19-1))</f>
        <v>5093.15625</v>
      </c>
      <c r="E21" s="14">
        <f>IF(E$19=1,$B$5*Assumptions!$B$10*(1-Assumptions!$B$11),$B$5*Assumptions!$B$10*(1-Assumptions!$B$11)*(1-Assumptions!$B$12)^(E$19-1))</f>
        <v>5067.690469</v>
      </c>
      <c r="F21" s="14">
        <f>IF(F$19=1,$B$5*Assumptions!$B$10*(1-Assumptions!$B$11),$B$5*Assumptions!$B$10*(1-Assumptions!$B$11)*(1-Assumptions!$B$12)^(F$19-1))</f>
        <v>5042.352016</v>
      </c>
      <c r="G21" s="14">
        <f>IF(G$19=1,$B$5*Assumptions!$B$10*(1-Assumptions!$B$11),$B$5*Assumptions!$B$10*(1-Assumptions!$B$11)*(1-Assumptions!$B$12)^(G$19-1))</f>
        <v>5017.140256</v>
      </c>
      <c r="H21" s="14">
        <f>IF(H$19=1,$B$5*Assumptions!$B$10*(1-Assumptions!$B$11),$B$5*Assumptions!$B$10*(1-Assumptions!$B$11)*(1-Assumptions!$B$12)^(H$19-1))</f>
        <v>4992.054555</v>
      </c>
      <c r="I21" s="14">
        <f>IF(I$19=1,$B$5*Assumptions!$B$10*(1-Assumptions!$B$11),$B$5*Assumptions!$B$10*(1-Assumptions!$B$11)*(1-Assumptions!$B$12)^(I$19-1))</f>
        <v>4967.094282</v>
      </c>
      <c r="J21" s="14">
        <f>IF(J$19=1,$B$5*Assumptions!$B$10*(1-Assumptions!$B$11),$B$5*Assumptions!$B$10*(1-Assumptions!$B$11)*(1-Assumptions!$B$12)^(J$19-1))</f>
        <v>4942.258811</v>
      </c>
      <c r="K21" s="14">
        <f>IF(K$19=1,$B$5*Assumptions!$B$10*(1-Assumptions!$B$11),$B$5*Assumptions!$B$10*(1-Assumptions!$B$11)*(1-Assumptions!$B$12)^(K$19-1))</f>
        <v>4917.547517</v>
      </c>
      <c r="L21" s="14">
        <f>IF(L$19=1,$B$5*Assumptions!$B$10*(1-Assumptions!$B$11),$B$5*Assumptions!$B$10*(1-Assumptions!$B$11)*(1-Assumptions!$B$12)^(L$19-1))</f>
        <v>4892.959779</v>
      </c>
      <c r="M21" s="14">
        <f>IF(M$19=1,$B$5*Assumptions!$B$10*(1-Assumptions!$B$11),$B$5*Assumptions!$B$10*(1-Assumptions!$B$11)*(1-Assumptions!$B$12)^(M$19-1))</f>
        <v>4868.49498</v>
      </c>
      <c r="N21" s="14">
        <f>IF(N$19=1,$B$5*Assumptions!$B$10*(1-Assumptions!$B$11),$B$5*Assumptions!$B$10*(1-Assumptions!$B$11)*(1-Assumptions!$B$12)^(N$19-1))</f>
        <v>4844.152505</v>
      </c>
      <c r="O21" s="14">
        <f>IF(O$19=1,$B$5*Assumptions!$B$10*(1-Assumptions!$B$11),$B$5*Assumptions!$B$10*(1-Assumptions!$B$11)*(1-Assumptions!$B$12)^(O$19-1))</f>
        <v>4819.931743</v>
      </c>
      <c r="P21" s="14">
        <f>IF(P$19=1,$B$5*Assumptions!$B$10*(1-Assumptions!$B$11),$B$5*Assumptions!$B$10*(1-Assumptions!$B$11)*(1-Assumptions!$B$12)^(P$19-1))</f>
        <v>4795.832084</v>
      </c>
      <c r="Q21" s="14">
        <f>IF(Q$19=1,$B$5*Assumptions!$B$10*(1-Assumptions!$B$11),$B$5*Assumptions!$B$10*(1-Assumptions!$B$11)*(1-Assumptions!$B$12)^(Q$19-1))</f>
        <v>4771.852924</v>
      </c>
      <c r="R21" s="14">
        <f>IF(R$19=1,$B$5*Assumptions!$B$10*(1-Assumptions!$B$11),$B$5*Assumptions!$B$10*(1-Assumptions!$B$11)*(1-Assumptions!$B$12)^(R$19-1))</f>
        <v>4747.993659</v>
      </c>
      <c r="S21" s="14">
        <f>IF(S$19=1,$B$5*Assumptions!$B$10*(1-Assumptions!$B$11),$B$5*Assumptions!$B$10*(1-Assumptions!$B$11)*(1-Assumptions!$B$12)^(S$19-1))</f>
        <v>4724.253691</v>
      </c>
      <c r="T21" s="14">
        <f>IF(T$19=1,$B$5*Assumptions!$B$10*(1-Assumptions!$B$11),$B$5*Assumptions!$B$10*(1-Assumptions!$B$11)*(1-Assumptions!$B$12)^(T$19-1))</f>
        <v>4700.632422</v>
      </c>
      <c r="U21" s="14">
        <f>IF(U$19=1,$B$5*Assumptions!$B$10*(1-Assumptions!$B$11),$B$5*Assumptions!$B$10*(1-Assumptions!$B$11)*(1-Assumptions!$B$12)^(U$19-1))</f>
        <v>4677.12926</v>
      </c>
      <c r="V21" s="14">
        <f>IF(V$19=1,$B$5*Assumptions!$B$10*(1-Assumptions!$B$11),$B$5*Assumptions!$B$10*(1-Assumptions!$B$11)*(1-Assumptions!$B$12)^(V$19-1))</f>
        <v>4653.743614</v>
      </c>
      <c r="W21" s="14">
        <f>SUM(C$21:V$21)</f>
        <v>97655.02082</v>
      </c>
    </row>
    <row r="22" ht="15.75" customHeight="1">
      <c r="A22" s="6" t="s">
        <v>129</v>
      </c>
      <c r="C22" s="14">
        <f>C$21*(1-Assumptions!$B$13)</f>
        <v>2559.375</v>
      </c>
      <c r="D22" s="14">
        <f>D$21*(1-Assumptions!$B$13)</f>
        <v>2546.578125</v>
      </c>
      <c r="E22" s="14">
        <f>E$21*(1-Assumptions!$B$13)</f>
        <v>2533.845234</v>
      </c>
      <c r="F22" s="14">
        <f>F$21*(1-Assumptions!$B$13)</f>
        <v>2521.176008</v>
      </c>
      <c r="G22" s="14">
        <f>G$21*(1-Assumptions!$B$13)</f>
        <v>2508.570128</v>
      </c>
      <c r="H22" s="14">
        <f>H$21*(1-Assumptions!$B$13)</f>
        <v>2496.027278</v>
      </c>
      <c r="I22" s="14">
        <f>I$21*(1-Assumptions!$B$13)</f>
        <v>2483.547141</v>
      </c>
      <c r="J22" s="14">
        <f>J$21*(1-Assumptions!$B$13)</f>
        <v>2471.129405</v>
      </c>
      <c r="K22" s="14">
        <f>K$21*(1-Assumptions!$B$13)</f>
        <v>2458.773758</v>
      </c>
      <c r="L22" s="14">
        <f>L$21*(1-Assumptions!$B$13)</f>
        <v>2446.47989</v>
      </c>
      <c r="M22" s="14">
        <f>M$21*(1-Assumptions!$B$13)</f>
        <v>2434.24749</v>
      </c>
      <c r="N22" s="14">
        <f>N$21*(1-Assumptions!$B$13)</f>
        <v>2422.076253</v>
      </c>
      <c r="O22" s="14">
        <f>O$21*(1-Assumptions!$B$13)</f>
        <v>2409.965871</v>
      </c>
      <c r="P22" s="14">
        <f>P$21*(1-Assumptions!$B$13)</f>
        <v>2397.916042</v>
      </c>
      <c r="Q22" s="14">
        <f>Q$21*(1-Assumptions!$B$13)</f>
        <v>2385.926462</v>
      </c>
      <c r="R22" s="14">
        <f>R$21*(1-Assumptions!$B$13)</f>
        <v>2373.99683</v>
      </c>
      <c r="S22" s="14">
        <f>S$21*(1-Assumptions!$B$13)</f>
        <v>2362.126845</v>
      </c>
      <c r="T22" s="14">
        <f>T$21*(1-Assumptions!$B$13)</f>
        <v>2350.316211</v>
      </c>
      <c r="U22" s="14">
        <f>U$21*(1-Assumptions!$B$13)</f>
        <v>2338.56463</v>
      </c>
      <c r="V22" s="14">
        <f>V$21*(1-Assumptions!$B$13)</f>
        <v>2326.871807</v>
      </c>
      <c r="W22" s="14">
        <f>SUM(C$22:V$22)</f>
        <v>48827.51041</v>
      </c>
    </row>
    <row r="23" ht="15.75" customHeight="1">
      <c r="A23" s="6" t="s">
        <v>130</v>
      </c>
      <c r="C23" s="14">
        <f>C$21*Assumptions!$B$13</f>
        <v>2559.375</v>
      </c>
      <c r="D23" s="14">
        <f>D$21*Assumptions!$B$13</f>
        <v>2546.578125</v>
      </c>
      <c r="E23" s="14">
        <f>E$21*Assumptions!$B$13</f>
        <v>2533.845234</v>
      </c>
      <c r="F23" s="14">
        <f>F$21*Assumptions!$B$13</f>
        <v>2521.176008</v>
      </c>
      <c r="G23" s="14">
        <f>G$21*Assumptions!$B$13</f>
        <v>2508.570128</v>
      </c>
      <c r="H23" s="14">
        <f>H$21*Assumptions!$B$13</f>
        <v>2496.027278</v>
      </c>
      <c r="I23" s="14">
        <f>I$21*Assumptions!$B$13</f>
        <v>2483.547141</v>
      </c>
      <c r="J23" s="14">
        <f>J$21*Assumptions!$B$13</f>
        <v>2471.129405</v>
      </c>
      <c r="K23" s="14">
        <f>K$21*Assumptions!$B$13</f>
        <v>2458.773758</v>
      </c>
      <c r="L23" s="14">
        <f>L$21*Assumptions!$B$13</f>
        <v>2446.47989</v>
      </c>
      <c r="M23" s="14">
        <f>M$21*Assumptions!$B$13</f>
        <v>2434.24749</v>
      </c>
      <c r="N23" s="14">
        <f>N$21*Assumptions!$B$13</f>
        <v>2422.076253</v>
      </c>
      <c r="O23" s="14">
        <f>O$21*Assumptions!$B$13</f>
        <v>2409.965871</v>
      </c>
      <c r="P23" s="14">
        <f>P$21*Assumptions!$B$13</f>
        <v>2397.916042</v>
      </c>
      <c r="Q23" s="14">
        <f>Q$21*Assumptions!$B$13</f>
        <v>2385.926462</v>
      </c>
      <c r="R23" s="14">
        <f>R$21*Assumptions!$B$13</f>
        <v>2373.99683</v>
      </c>
      <c r="S23" s="14">
        <f>S$21*Assumptions!$B$13</f>
        <v>2362.126845</v>
      </c>
      <c r="T23" s="14">
        <f>T$21*Assumptions!$B$13</f>
        <v>2350.316211</v>
      </c>
      <c r="U23" s="14">
        <f>U$21*Assumptions!$B$13</f>
        <v>2338.56463</v>
      </c>
      <c r="V23" s="14">
        <f>V$21*Assumptions!$B$13</f>
        <v>2326.871807</v>
      </c>
      <c r="W23" s="14">
        <f>SUM(C$23:V$23)</f>
        <v>48827.51041</v>
      </c>
    </row>
    <row r="24" ht="15.75" customHeight="1">
      <c r="A24" s="6" t="s">
        <v>131</v>
      </c>
      <c r="C24" s="30">
        <f>MAX(0.6,Assumptions!$B$20-Assumptions!$B$21*(C$19-1))</f>
        <v>0.985</v>
      </c>
      <c r="D24" s="30">
        <f>MAX(0.6,Assumptions!$B$20-Assumptions!$B$21*(D$19-1))</f>
        <v>0.9715</v>
      </c>
      <c r="E24" s="30">
        <f>MAX(0.6,Assumptions!$B$20-Assumptions!$B$21*(E$19-1))</f>
        <v>0.958</v>
      </c>
      <c r="F24" s="30">
        <f>MAX(0.6,Assumptions!$B$20-Assumptions!$B$21*(F$19-1))</f>
        <v>0.9445</v>
      </c>
      <c r="G24" s="30">
        <f>MAX(0.6,Assumptions!$B$20-Assumptions!$B$21*(G$19-1))</f>
        <v>0.931</v>
      </c>
      <c r="H24" s="30">
        <f>MAX(0.6,Assumptions!$B$20-Assumptions!$B$21*(H$19-1))</f>
        <v>0.9175</v>
      </c>
      <c r="I24" s="30">
        <f>MAX(0.6,Assumptions!$B$20-Assumptions!$B$21*(I$19-1))</f>
        <v>0.904</v>
      </c>
      <c r="J24" s="30">
        <f>MAX(0.6,Assumptions!$B$20-Assumptions!$B$21*(J$19-1))</f>
        <v>0.8905</v>
      </c>
      <c r="K24" s="30">
        <f>MAX(0.6,Assumptions!$B$20-Assumptions!$B$21*(K$19-1))</f>
        <v>0.877</v>
      </c>
      <c r="L24" s="30">
        <f>MAX(0.6,Assumptions!$B$20-Assumptions!$B$21*(L$19-1))</f>
        <v>0.8635</v>
      </c>
      <c r="M24" s="30">
        <f>MAX(0.6,Assumptions!$B$20-Assumptions!$B$21*(M$19-1))</f>
        <v>0.85</v>
      </c>
      <c r="N24" s="30">
        <f>MAX(0.6,Assumptions!$B$20-Assumptions!$B$21*(N$19-1))</f>
        <v>0.8365</v>
      </c>
      <c r="O24" s="30">
        <f>MAX(0.6,Assumptions!$B$20-Assumptions!$B$21*(O$19-1))</f>
        <v>0.823</v>
      </c>
      <c r="P24" s="30">
        <f>MAX(0.6,Assumptions!$B$20-Assumptions!$B$21*(P$19-1))</f>
        <v>0.8095</v>
      </c>
      <c r="Q24" s="30">
        <f>MAX(0.6,Assumptions!$B$20-Assumptions!$B$21*(Q$19-1))</f>
        <v>0.796</v>
      </c>
      <c r="R24" s="30">
        <f>MAX(0.6,Assumptions!$B$20-Assumptions!$B$21*(R$19-1))</f>
        <v>0.7825</v>
      </c>
      <c r="S24" s="30">
        <f>MAX(0.6,Assumptions!$B$20-Assumptions!$B$21*(S$19-1))</f>
        <v>0.769</v>
      </c>
      <c r="T24" s="30">
        <f>MAX(0.6,Assumptions!$B$20-Assumptions!$B$21*(T$19-1))</f>
        <v>0.7555</v>
      </c>
      <c r="U24" s="30">
        <f>MAX(0.6,Assumptions!$B$20-Assumptions!$B$21*(U$19-1))</f>
        <v>0.742</v>
      </c>
      <c r="V24" s="30">
        <f>MAX(0.6,Assumptions!$B$20-Assumptions!$B$21*(V$19-1))</f>
        <v>0.7285</v>
      </c>
      <c r="W24" s="30">
        <f>AVERAGE(C$24:V$24)</f>
        <v>0.85675</v>
      </c>
    </row>
    <row r="25" ht="15.75" customHeight="1">
      <c r="A25" s="6" t="s">
        <v>132</v>
      </c>
      <c r="C25" s="14">
        <f>$B$6*C$24*Assumptions!$B$22*Assumptions!$B$19*Assumptions!$B$24*365*Assumptions!$B$23</f>
        <v>3283.898474</v>
      </c>
      <c r="D25" s="14">
        <f>$B$6*D$24*Assumptions!$B$22*Assumptions!$B$19*Assumptions!$B$24*365*Assumptions!$B$23</f>
        <v>3238.890728</v>
      </c>
      <c r="E25" s="14">
        <f>$B$6*E$24*Assumptions!$B$22*Assumptions!$B$19*Assumptions!$B$24*365*Assumptions!$B$23</f>
        <v>3193.882983</v>
      </c>
      <c r="F25" s="14">
        <f>$B$6*F$24*Assumptions!$B$22*Assumptions!$B$19*Assumptions!$B$24*365*Assumptions!$B$23</f>
        <v>3148.875237</v>
      </c>
      <c r="G25" s="14">
        <f>$B$6*G$24*Assumptions!$B$22*Assumptions!$B$19*Assumptions!$B$24*365*Assumptions!$B$23</f>
        <v>3103.867491</v>
      </c>
      <c r="H25" s="14">
        <f>$B$6*H$24*Assumptions!$B$22*Assumptions!$B$19*Assumptions!$B$24*365*Assumptions!$B$23</f>
        <v>3058.859746</v>
      </c>
      <c r="I25" s="14">
        <f>$B$6*I$24*Assumptions!$B$22*Assumptions!$B$19*Assumptions!$B$24*365*Assumptions!$B$23</f>
        <v>3013.852</v>
      </c>
      <c r="J25" s="14">
        <f>$B$6*J$24*Assumptions!$B$22*Assumptions!$B$19*Assumptions!$B$24*365*Assumptions!$B$23</f>
        <v>2968.844255</v>
      </c>
      <c r="K25" s="14">
        <f>$B$6*K$24*Assumptions!$B$22*Assumptions!$B$19*Assumptions!$B$24*365*Assumptions!$B$23</f>
        <v>2923.836509</v>
      </c>
      <c r="L25" s="14">
        <f>$B$6*L$24*Assumptions!$B$22*Assumptions!$B$19*Assumptions!$B$24*365*Assumptions!$B$23</f>
        <v>2878.828764</v>
      </c>
      <c r="M25" s="14">
        <f>$B$6*M$24*Assumptions!$B$22*Assumptions!$B$19*Assumptions!$B$24*365*Assumptions!$B$23</f>
        <v>2833.821018</v>
      </c>
      <c r="N25" s="14">
        <f>$B$6*N$24*Assumptions!$B$22*Assumptions!$B$19*Assumptions!$B$24*365*Assumptions!$B$23</f>
        <v>2788.813272</v>
      </c>
      <c r="O25" s="14">
        <f>$B$6*O$24*Assumptions!$B$22*Assumptions!$B$19*Assumptions!$B$24*365*Assumptions!$B$23</f>
        <v>2743.805527</v>
      </c>
      <c r="P25" s="14">
        <f>$B$6*P$24*Assumptions!$B$22*Assumptions!$B$19*Assumptions!$B$24*365*Assumptions!$B$23</f>
        <v>2698.797781</v>
      </c>
      <c r="Q25" s="14">
        <f>$B$6*Q$24*Assumptions!$B$22*Assumptions!$B$19*Assumptions!$B$24*365*Assumptions!$B$23</f>
        <v>2653.790036</v>
      </c>
      <c r="R25" s="14">
        <f>$B$6*R$24*Assumptions!$B$22*Assumptions!$B$19*Assumptions!$B$24*365*Assumptions!$B$23</f>
        <v>2608.78229</v>
      </c>
      <c r="S25" s="14">
        <f>$B$6*S$24*Assumptions!$B$22*Assumptions!$B$19*Assumptions!$B$24*365*Assumptions!$B$23</f>
        <v>2563.774545</v>
      </c>
      <c r="T25" s="14">
        <f>$B$6*T$24*Assumptions!$B$22*Assumptions!$B$19*Assumptions!$B$24*365*Assumptions!$B$23</f>
        <v>2518.766799</v>
      </c>
      <c r="U25" s="14">
        <f>$B$6*U$24*Assumptions!$B$22*Assumptions!$B$19*Assumptions!$B$24*365*Assumptions!$B$23</f>
        <v>2473.759053</v>
      </c>
      <c r="V25" s="14">
        <f>$B$6*V$24*Assumptions!$B$22*Assumptions!$B$19*Assumptions!$B$24*365*Assumptions!$B$23</f>
        <v>2428.751308</v>
      </c>
      <c r="W25" s="14">
        <f>SUM(C$25:V$25)</f>
        <v>57126.49782</v>
      </c>
    </row>
    <row r="26" ht="15.75" customHeight="1">
      <c r="A26" s="6" t="s">
        <v>133</v>
      </c>
      <c r="C26" s="14">
        <f>$B$6*C$24*Assumptions!$B$22*Assumptions!$B$24*365*Assumptions!$B$23</f>
        <v>3805.2126</v>
      </c>
      <c r="D26" s="14">
        <f>$B$6*D$24*Assumptions!$B$22*Assumptions!$B$24*365*Assumptions!$B$23</f>
        <v>3753.05994</v>
      </c>
      <c r="E26" s="14">
        <f>$B$6*E$24*Assumptions!$B$22*Assumptions!$B$24*365*Assumptions!$B$23</f>
        <v>3700.90728</v>
      </c>
      <c r="F26" s="14">
        <f>$B$6*F$24*Assumptions!$B$22*Assumptions!$B$24*365*Assumptions!$B$23</f>
        <v>3648.75462</v>
      </c>
      <c r="G26" s="14">
        <f>$B$6*G$24*Assumptions!$B$22*Assumptions!$B$24*365*Assumptions!$B$23</f>
        <v>3596.60196</v>
      </c>
      <c r="H26" s="14">
        <f>$B$6*H$24*Assumptions!$B$22*Assumptions!$B$24*365*Assumptions!$B$23</f>
        <v>3544.4493</v>
      </c>
      <c r="I26" s="14">
        <f>$B$6*I$24*Assumptions!$B$22*Assumptions!$B$24*365*Assumptions!$B$23</f>
        <v>3492.29664</v>
      </c>
      <c r="J26" s="14">
        <f>$B$6*J$24*Assumptions!$B$22*Assumptions!$B$24*365*Assumptions!$B$23</f>
        <v>3440.14398</v>
      </c>
      <c r="K26" s="14">
        <f>$B$6*K$24*Assumptions!$B$22*Assumptions!$B$24*365*Assumptions!$B$23</f>
        <v>3387.99132</v>
      </c>
      <c r="L26" s="14">
        <f>$B$6*L$24*Assumptions!$B$22*Assumptions!$B$24*365*Assumptions!$B$23</f>
        <v>3335.83866</v>
      </c>
      <c r="M26" s="14">
        <f>$B$6*M$24*Assumptions!$B$22*Assumptions!$B$24*365*Assumptions!$B$23</f>
        <v>3283.686</v>
      </c>
      <c r="N26" s="14">
        <f>$B$6*N$24*Assumptions!$B$22*Assumptions!$B$24*365*Assumptions!$B$23</f>
        <v>3231.53334</v>
      </c>
      <c r="O26" s="14">
        <f>$B$6*O$24*Assumptions!$B$22*Assumptions!$B$24*365*Assumptions!$B$23</f>
        <v>3179.38068</v>
      </c>
      <c r="P26" s="14">
        <f>$B$6*P$24*Assumptions!$B$22*Assumptions!$B$24*365*Assumptions!$B$23</f>
        <v>3127.22802</v>
      </c>
      <c r="Q26" s="14">
        <f>$B$6*Q$24*Assumptions!$B$22*Assumptions!$B$24*365*Assumptions!$B$23</f>
        <v>3075.07536</v>
      </c>
      <c r="R26" s="14">
        <f>$B$6*R$24*Assumptions!$B$22*Assumptions!$B$24*365*Assumptions!$B$23</f>
        <v>3022.9227</v>
      </c>
      <c r="S26" s="14">
        <f>$B$6*S$24*Assumptions!$B$22*Assumptions!$B$24*365*Assumptions!$B$23</f>
        <v>2970.77004</v>
      </c>
      <c r="T26" s="14">
        <f>$B$6*T$24*Assumptions!$B$22*Assumptions!$B$24*365*Assumptions!$B$23</f>
        <v>2918.61738</v>
      </c>
      <c r="U26" s="14">
        <f>$B$6*U$24*Assumptions!$B$22*Assumptions!$B$24*365*Assumptions!$B$23</f>
        <v>2866.46472</v>
      </c>
      <c r="V26" s="14">
        <f>$B$6*V$24*Assumptions!$B$22*Assumptions!$B$24*365*Assumptions!$B$23</f>
        <v>2814.31206</v>
      </c>
      <c r="W26" s="14">
        <f>SUM(C$26:V$26)</f>
        <v>66195.2466</v>
      </c>
    </row>
    <row r="27" ht="15.75" customHeight="1">
      <c r="A27" s="6" t="s">
        <v>134</v>
      </c>
      <c r="C27" s="14">
        <f t="shared" ref="C27:V27" si="1">MAX(0,C$26-C$23)</f>
        <v>1245.8376</v>
      </c>
      <c r="D27" s="14">
        <f t="shared" si="1"/>
        <v>1206.481815</v>
      </c>
      <c r="E27" s="14">
        <f t="shared" si="1"/>
        <v>1167.062046</v>
      </c>
      <c r="F27" s="14">
        <f t="shared" si="1"/>
        <v>1127.578612</v>
      </c>
      <c r="G27" s="14">
        <f t="shared" si="1"/>
        <v>1088.031832</v>
      </c>
      <c r="H27" s="14">
        <f t="shared" si="1"/>
        <v>1048.422022</v>
      </c>
      <c r="I27" s="14">
        <f t="shared" si="1"/>
        <v>1008.749499</v>
      </c>
      <c r="J27" s="14">
        <f t="shared" si="1"/>
        <v>969.0145746</v>
      </c>
      <c r="K27" s="14">
        <f t="shared" si="1"/>
        <v>929.2175616</v>
      </c>
      <c r="L27" s="14">
        <f t="shared" si="1"/>
        <v>889.3587704</v>
      </c>
      <c r="M27" s="14">
        <f t="shared" si="1"/>
        <v>849.4385098</v>
      </c>
      <c r="N27" s="14">
        <f t="shared" si="1"/>
        <v>809.4570873</v>
      </c>
      <c r="O27" s="14">
        <f t="shared" si="1"/>
        <v>769.4148086</v>
      </c>
      <c r="P27" s="14">
        <f t="shared" si="1"/>
        <v>729.3119779</v>
      </c>
      <c r="Q27" s="14">
        <f t="shared" si="1"/>
        <v>689.1488981</v>
      </c>
      <c r="R27" s="14">
        <f t="shared" si="1"/>
        <v>648.9258704</v>
      </c>
      <c r="S27" s="14">
        <f t="shared" si="1"/>
        <v>608.6431946</v>
      </c>
      <c r="T27" s="14">
        <f t="shared" si="1"/>
        <v>568.3011688</v>
      </c>
      <c r="U27" s="14">
        <f t="shared" si="1"/>
        <v>527.9000899</v>
      </c>
      <c r="V27" s="14">
        <f t="shared" si="1"/>
        <v>487.440253</v>
      </c>
      <c r="W27" s="14">
        <f>SUM(C$27:V$27)</f>
        <v>17367.73619</v>
      </c>
    </row>
    <row r="28" ht="15.75" customHeight="1"/>
    <row r="29" ht="15.75" customHeight="1">
      <c r="A29" s="31" t="s">
        <v>135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</row>
    <row r="30" ht="15.75" customHeight="1">
      <c r="A30" s="6" t="s">
        <v>136</v>
      </c>
      <c r="C30" s="14">
        <f>C$22*Assumptions!$B$14</f>
        <v>409500</v>
      </c>
      <c r="D30" s="14">
        <f>D$22*Assumptions!$B$14</f>
        <v>407452.5</v>
      </c>
      <c r="E30" s="14">
        <f>E$22*Assumptions!$B$14</f>
        <v>405415.2375</v>
      </c>
      <c r="F30" s="14">
        <f>F$22*Assumptions!$B$14</f>
        <v>403388.1613</v>
      </c>
      <c r="G30" s="14">
        <f>G$22*Assumptions!$B$14</f>
        <v>401371.2205</v>
      </c>
      <c r="H30" s="14">
        <f>H$22*Assumptions!$B$14</f>
        <v>399364.3644</v>
      </c>
      <c r="I30" s="14">
        <f>I$22*Assumptions!$B$14</f>
        <v>397367.5426</v>
      </c>
      <c r="J30" s="14">
        <f>J$22*Assumptions!$B$14</f>
        <v>395380.7049</v>
      </c>
      <c r="K30" s="14">
        <f>K$22*Assumptions!$B$14</f>
        <v>393403.8013</v>
      </c>
      <c r="L30" s="14">
        <f>L$22*Assumptions!$B$14</f>
        <v>391436.7823</v>
      </c>
      <c r="M30" s="14">
        <f>M$22*Assumptions!$B$14</f>
        <v>389479.5984</v>
      </c>
      <c r="N30" s="14">
        <f>N$22*Assumptions!$B$14</f>
        <v>387532.2004</v>
      </c>
      <c r="O30" s="14">
        <f>O$22*Assumptions!$B$14</f>
        <v>385594.5394</v>
      </c>
      <c r="P30" s="14">
        <f>P$22*Assumptions!$B$14</f>
        <v>383666.5667</v>
      </c>
      <c r="Q30" s="14">
        <f>Q$22*Assumptions!$B$14</f>
        <v>381748.2339</v>
      </c>
      <c r="R30" s="14">
        <f>R$22*Assumptions!$B$14</f>
        <v>379839.4927</v>
      </c>
      <c r="S30" s="14">
        <f>S$22*Assumptions!$B$14</f>
        <v>377940.2953</v>
      </c>
      <c r="T30" s="14">
        <f>T$22*Assumptions!$B$14</f>
        <v>376050.5938</v>
      </c>
      <c r="U30" s="14">
        <f>U$22*Assumptions!$B$14</f>
        <v>374170.3408</v>
      </c>
      <c r="V30" s="14">
        <f>V$22*Assumptions!$B$14</f>
        <v>372299.4891</v>
      </c>
      <c r="W30" s="14">
        <f>SUM(C$30:V$30)</f>
        <v>7812401.666</v>
      </c>
    </row>
    <row r="31" ht="15.75" customHeight="1">
      <c r="A31" s="6" t="s">
        <v>137</v>
      </c>
      <c r="C31" s="14">
        <f>C$21*Assumptions!$B$15</f>
        <v>5118.75</v>
      </c>
      <c r="D31" s="14">
        <f>D$21*Assumptions!$B$15</f>
        <v>5093.15625</v>
      </c>
      <c r="E31" s="14">
        <f>E$21*Assumptions!$B$15</f>
        <v>5067.690469</v>
      </c>
      <c r="F31" s="14">
        <f>F$21*Assumptions!$B$15</f>
        <v>5042.352016</v>
      </c>
      <c r="G31" s="14">
        <f>G$21*Assumptions!$B$15</f>
        <v>5017.140256</v>
      </c>
      <c r="H31" s="14">
        <f>H$21*Assumptions!$B$15</f>
        <v>4992.054555</v>
      </c>
      <c r="I31" s="14">
        <f>I$21*Assumptions!$B$15</f>
        <v>4967.094282</v>
      </c>
      <c r="J31" s="14">
        <f>J$21*Assumptions!$B$15</f>
        <v>4942.258811</v>
      </c>
      <c r="K31" s="14">
        <f>K$21*Assumptions!$B$15</f>
        <v>4917.547517</v>
      </c>
      <c r="L31" s="14">
        <f>L$21*Assumptions!$B$15</f>
        <v>4892.959779</v>
      </c>
      <c r="M31" s="14">
        <f>M$21*Assumptions!$B$15</f>
        <v>4868.49498</v>
      </c>
      <c r="N31" s="14">
        <f>N$21*Assumptions!$B$15</f>
        <v>4844.152505</v>
      </c>
      <c r="O31" s="14">
        <f>O$21*Assumptions!$B$15</f>
        <v>4819.931743</v>
      </c>
      <c r="P31" s="14">
        <f>P$21*Assumptions!$B$15</f>
        <v>4795.832084</v>
      </c>
      <c r="Q31" s="14">
        <f>Q$21*Assumptions!$B$15</f>
        <v>4771.852924</v>
      </c>
      <c r="R31" s="14">
        <f>R$21*Assumptions!$B$15</f>
        <v>4747.993659</v>
      </c>
      <c r="S31" s="14">
        <f>S$21*Assumptions!$B$15</f>
        <v>4724.253691</v>
      </c>
      <c r="T31" s="14">
        <f>T$21*Assumptions!$B$15</f>
        <v>4700.632422</v>
      </c>
      <c r="U31" s="14">
        <f>U$21*Assumptions!$B$15</f>
        <v>4677.12926</v>
      </c>
      <c r="V31" s="14">
        <f>V$21*Assumptions!$B$15</f>
        <v>4653.743614</v>
      </c>
      <c r="W31" s="14">
        <f>SUM(C$31:V$31)</f>
        <v>97655.02082</v>
      </c>
    </row>
    <row r="32" ht="15.75" customHeight="1">
      <c r="A32" s="6" t="s">
        <v>138</v>
      </c>
      <c r="C32" s="14">
        <f>C$25*Assumptions!$B$42</f>
        <v>361228.8321</v>
      </c>
      <c r="D32" s="14">
        <f>D$25*Assumptions!$B$42</f>
        <v>356277.9801</v>
      </c>
      <c r="E32" s="14">
        <f>E$25*Assumptions!$B$42</f>
        <v>351327.1281</v>
      </c>
      <c r="F32" s="14">
        <f>F$25*Assumptions!$B$42</f>
        <v>346376.2761</v>
      </c>
      <c r="G32" s="14">
        <f>G$25*Assumptions!$B$42</f>
        <v>341425.4241</v>
      </c>
      <c r="H32" s="14">
        <f>H$25*Assumptions!$B$42</f>
        <v>336474.572</v>
      </c>
      <c r="I32" s="14">
        <f>I$25*Assumptions!$B$42</f>
        <v>331523.72</v>
      </c>
      <c r="J32" s="14">
        <f>J$25*Assumptions!$B$42</f>
        <v>326572.868</v>
      </c>
      <c r="K32" s="14">
        <f>K$25*Assumptions!$B$42</f>
        <v>321622.016</v>
      </c>
      <c r="L32" s="14">
        <f>L$25*Assumptions!$B$42</f>
        <v>316671.164</v>
      </c>
      <c r="M32" s="14">
        <f>M$25*Assumptions!$B$42</f>
        <v>311720.312</v>
      </c>
      <c r="N32" s="14">
        <f>N$25*Assumptions!$B$42</f>
        <v>306769.46</v>
      </c>
      <c r="O32" s="14">
        <f>O$25*Assumptions!$B$42</f>
        <v>301818.608</v>
      </c>
      <c r="P32" s="14">
        <f>P$25*Assumptions!$B$42</f>
        <v>296867.7559</v>
      </c>
      <c r="Q32" s="14">
        <f>Q$25*Assumptions!$B$42</f>
        <v>291916.9039</v>
      </c>
      <c r="R32" s="14">
        <f>R$25*Assumptions!$B$42</f>
        <v>286966.0519</v>
      </c>
      <c r="S32" s="14">
        <f>S$25*Assumptions!$B$42</f>
        <v>282015.1999</v>
      </c>
      <c r="T32" s="14">
        <f>T$25*Assumptions!$B$42</f>
        <v>277064.3479</v>
      </c>
      <c r="U32" s="14">
        <f>U$25*Assumptions!$B$42</f>
        <v>272113.4959</v>
      </c>
      <c r="V32" s="14">
        <f>V$25*Assumptions!$B$42</f>
        <v>267162.6439</v>
      </c>
      <c r="W32" s="14">
        <f>SUM(C$32:V$32)</f>
        <v>6283914.76</v>
      </c>
    </row>
    <row r="33" ht="15.75" customHeight="1">
      <c r="A33" s="33" t="s">
        <v>139</v>
      </c>
      <c r="B33" s="33"/>
      <c r="C33" s="34">
        <f t="shared" ref="C33:V33" si="2">C$30+C$31+C$32</f>
        <v>775847.5821</v>
      </c>
      <c r="D33" s="34">
        <f t="shared" si="2"/>
        <v>768823.6364</v>
      </c>
      <c r="E33" s="34">
        <f t="shared" si="2"/>
        <v>761810.0561</v>
      </c>
      <c r="F33" s="34">
        <f t="shared" si="2"/>
        <v>754806.7894</v>
      </c>
      <c r="G33" s="34">
        <f t="shared" si="2"/>
        <v>747813.7848</v>
      </c>
      <c r="H33" s="34">
        <f t="shared" si="2"/>
        <v>740830.991</v>
      </c>
      <c r="I33" s="34">
        <f t="shared" si="2"/>
        <v>733858.3569</v>
      </c>
      <c r="J33" s="34">
        <f t="shared" si="2"/>
        <v>726895.8317</v>
      </c>
      <c r="K33" s="34">
        <f t="shared" si="2"/>
        <v>719943.3649</v>
      </c>
      <c r="L33" s="34">
        <f t="shared" si="2"/>
        <v>713000.9061</v>
      </c>
      <c r="M33" s="34">
        <f t="shared" si="2"/>
        <v>706068.4054</v>
      </c>
      <c r="N33" s="34">
        <f t="shared" si="2"/>
        <v>699145.8129</v>
      </c>
      <c r="O33" s="34">
        <f t="shared" si="2"/>
        <v>692233.0791</v>
      </c>
      <c r="P33" s="34">
        <f t="shared" si="2"/>
        <v>685330.1548</v>
      </c>
      <c r="Q33" s="34">
        <f t="shared" si="2"/>
        <v>678436.9907</v>
      </c>
      <c r="R33" s="34">
        <f t="shared" si="2"/>
        <v>671553.5383</v>
      </c>
      <c r="S33" s="34">
        <f t="shared" si="2"/>
        <v>664679.7489</v>
      </c>
      <c r="T33" s="34">
        <f t="shared" si="2"/>
        <v>657815.5741</v>
      </c>
      <c r="U33" s="34">
        <f t="shared" si="2"/>
        <v>650960.966</v>
      </c>
      <c r="V33" s="34">
        <f t="shared" si="2"/>
        <v>644115.8766</v>
      </c>
      <c r="W33" s="34">
        <f>SUM(C$33:V$33)</f>
        <v>14193971.45</v>
      </c>
    </row>
    <row r="34" ht="15.75" customHeight="1">
      <c r="A34" s="6" t="s">
        <v>140</v>
      </c>
      <c r="C34" s="14">
        <f>C$27*Assumptions!$B$25*(1+Assumptions!$B$36)^(C$19-1)</f>
        <v>62291.88</v>
      </c>
      <c r="D34" s="14">
        <f>D$27*Assumptions!$B$25*(1+Assumptions!$B$36)^(D$19-1)</f>
        <v>60927.33166</v>
      </c>
      <c r="E34" s="14">
        <f>E$27*Assumptions!$B$25*(1+Assumptions!$B$36)^(E$19-1)</f>
        <v>59525.99964</v>
      </c>
      <c r="F34" s="14">
        <f>F$27*Assumptions!$B$25*(1+Assumptions!$B$36)^(F$19-1)</f>
        <v>58087.26857</v>
      </c>
      <c r="G34" s="14">
        <f>G$27*Assumptions!$B$25*(1+Assumptions!$B$36)^(G$19-1)</f>
        <v>56610.51436</v>
      </c>
      <c r="H34" s="14">
        <f>H$27*Assumptions!$B$25*(1+Assumptions!$B$36)^(H$19-1)</f>
        <v>55095.10412</v>
      </c>
      <c r="I34" s="14">
        <f>I$27*Assumptions!$B$25*(1+Assumptions!$B$36)^(I$19-1)</f>
        <v>53540.396</v>
      </c>
      <c r="J34" s="14">
        <f>J$27*Assumptions!$B$25*(1+Assumptions!$B$36)^(J$19-1)</f>
        <v>51945.73911</v>
      </c>
      <c r="K34" s="14">
        <f>K$27*Assumptions!$B$25*(1+Assumptions!$B$36)^(K$19-1)</f>
        <v>50310.47338</v>
      </c>
      <c r="L34" s="14">
        <f>L$27*Assumptions!$B$25*(1+Assumptions!$B$36)^(L$19-1)</f>
        <v>48633.92947</v>
      </c>
      <c r="M34" s="14">
        <f>M$27*Assumptions!$B$25*(1+Assumptions!$B$36)^(M$19-1)</f>
        <v>46915.42861</v>
      </c>
      <c r="N34" s="14">
        <f>N$27*Assumptions!$B$25*(1+Assumptions!$B$36)^(N$19-1)</f>
        <v>45154.28251</v>
      </c>
      <c r="O34" s="14">
        <f>O$27*Assumptions!$B$25*(1+Assumptions!$B$36)^(O$19-1)</f>
        <v>43349.79324</v>
      </c>
      <c r="P34" s="14">
        <f>P$27*Assumptions!$B$25*(1+Assumptions!$B$36)^(P$19-1)</f>
        <v>41501.25307</v>
      </c>
      <c r="Q34" s="14">
        <f>Q$27*Assumptions!$B$25*(1+Assumptions!$B$36)^(Q$19-1)</f>
        <v>39607.94437</v>
      </c>
      <c r="R34" s="14">
        <f>R$27*Assumptions!$B$25*(1+Assumptions!$B$36)^(R$19-1)</f>
        <v>37669.1395</v>
      </c>
      <c r="S34" s="14">
        <f>S$27*Assumptions!$B$25*(1+Assumptions!$B$36)^(S$19-1)</f>
        <v>35684.10062</v>
      </c>
      <c r="T34" s="14">
        <f>T$27*Assumptions!$B$25*(1+Assumptions!$B$36)^(T$19-1)</f>
        <v>33652.07963</v>
      </c>
      <c r="U34" s="14">
        <f>U$27*Assumptions!$B$25*(1+Assumptions!$B$36)^(U$19-1)</f>
        <v>31572.318</v>
      </c>
      <c r="V34" s="14">
        <f>V$27*Assumptions!$B$25*(1+Assumptions!$B$36)^(V$19-1)</f>
        <v>29444.04662</v>
      </c>
      <c r="W34" s="14">
        <f>SUM(C$34:V$34)</f>
        <v>941519.0225</v>
      </c>
    </row>
    <row r="35" ht="15.75" customHeight="1">
      <c r="A35" s="6" t="s">
        <v>141</v>
      </c>
      <c r="C35" s="14">
        <f>$B$5*Assumptions!$B$16*(1+Assumptions!$B$36)^(C$19-1)</f>
        <v>45000</v>
      </c>
      <c r="D35" s="14">
        <f>$B$5*Assumptions!$B$16*(1+Assumptions!$B$36)^(D$19-1)</f>
        <v>45450</v>
      </c>
      <c r="E35" s="14">
        <f>$B$5*Assumptions!$B$16*(1+Assumptions!$B$36)^(E$19-1)</f>
        <v>45904.5</v>
      </c>
      <c r="F35" s="14">
        <f>$B$5*Assumptions!$B$16*(1+Assumptions!$B$36)^(F$19-1)</f>
        <v>46363.545</v>
      </c>
      <c r="G35" s="14">
        <f>$B$5*Assumptions!$B$16*(1+Assumptions!$B$36)^(G$19-1)</f>
        <v>46827.18045</v>
      </c>
      <c r="H35" s="14">
        <f>$B$5*Assumptions!$B$16*(1+Assumptions!$B$36)^(H$19-1)</f>
        <v>47295.45225</v>
      </c>
      <c r="I35" s="14">
        <f>$B$5*Assumptions!$B$16*(1+Assumptions!$B$36)^(I$19-1)</f>
        <v>47768.40678</v>
      </c>
      <c r="J35" s="14">
        <f>$B$5*Assumptions!$B$16*(1+Assumptions!$B$36)^(J$19-1)</f>
        <v>48246.09084</v>
      </c>
      <c r="K35" s="14">
        <f>$B$5*Assumptions!$B$16*(1+Assumptions!$B$36)^(K$19-1)</f>
        <v>48728.55175</v>
      </c>
      <c r="L35" s="14">
        <f>$B$5*Assumptions!$B$16*(1+Assumptions!$B$36)^(L$19-1)</f>
        <v>49215.83727</v>
      </c>
      <c r="M35" s="14">
        <f>$B$5*Assumptions!$B$16*(1+Assumptions!$B$36)^(M$19-1)</f>
        <v>49707.99564</v>
      </c>
      <c r="N35" s="14">
        <f>$B$5*Assumptions!$B$16*(1+Assumptions!$B$36)^(N$19-1)</f>
        <v>50205.0756</v>
      </c>
      <c r="O35" s="14">
        <f>$B$5*Assumptions!$B$16*(1+Assumptions!$B$36)^(O$19-1)</f>
        <v>50707.12636</v>
      </c>
      <c r="P35" s="14">
        <f>$B$5*Assumptions!$B$16*(1+Assumptions!$B$36)^(P$19-1)</f>
        <v>51214.19762</v>
      </c>
      <c r="Q35" s="14">
        <f>$B$5*Assumptions!$B$16*(1+Assumptions!$B$36)^(Q$19-1)</f>
        <v>51726.3396</v>
      </c>
      <c r="R35" s="14">
        <f>$B$5*Assumptions!$B$16*(1+Assumptions!$B$36)^(R$19-1)</f>
        <v>52243.60299</v>
      </c>
      <c r="S35" s="14">
        <f>$B$5*Assumptions!$B$16*(1+Assumptions!$B$36)^(S$19-1)</f>
        <v>52766.03902</v>
      </c>
      <c r="T35" s="14">
        <f>$B$5*Assumptions!$B$16*(1+Assumptions!$B$36)^(T$19-1)</f>
        <v>53293.69941</v>
      </c>
      <c r="U35" s="14">
        <f>$B$5*Assumptions!$B$16*(1+Assumptions!$B$36)^(U$19-1)</f>
        <v>53826.63641</v>
      </c>
      <c r="V35" s="14">
        <f>$B$5*Assumptions!$B$16*(1+Assumptions!$B$36)^(V$19-1)</f>
        <v>54364.90277</v>
      </c>
      <c r="W35" s="14">
        <f>SUM(C$35:V$35)</f>
        <v>990855.1798</v>
      </c>
    </row>
    <row r="36" ht="15.75" customHeight="1">
      <c r="A36" s="6" t="s">
        <v>142</v>
      </c>
      <c r="C36" s="14">
        <f>($B$6*Assumptions!$B$26+$B$6*Assumptions!$B$27+$B$7*Assumptions!$B$28+Assumptions!$B$29)*(1+Assumptions!$B$36)^(C$19-1)</f>
        <v>45100</v>
      </c>
      <c r="D36" s="14">
        <f>($B$6*Assumptions!$B$26+$B$6*Assumptions!$B$27+$B$7*Assumptions!$B$28+Assumptions!$B$29)*(1+Assumptions!$B$36)^(D$19-1)</f>
        <v>45551</v>
      </c>
      <c r="E36" s="14">
        <f>($B$6*Assumptions!$B$26+$B$6*Assumptions!$B$27+$B$7*Assumptions!$B$28+Assumptions!$B$29)*(1+Assumptions!$B$36)^(E$19-1)</f>
        <v>46006.51</v>
      </c>
      <c r="F36" s="14">
        <f>($B$6*Assumptions!$B$26+$B$6*Assumptions!$B$27+$B$7*Assumptions!$B$28+Assumptions!$B$29)*(1+Assumptions!$B$36)^(F$19-1)</f>
        <v>46466.5751</v>
      </c>
      <c r="G36" s="14">
        <f>($B$6*Assumptions!$B$26+$B$6*Assumptions!$B$27+$B$7*Assumptions!$B$28+Assumptions!$B$29)*(1+Assumptions!$B$36)^(G$19-1)</f>
        <v>46931.24085</v>
      </c>
      <c r="H36" s="14">
        <f>($B$6*Assumptions!$B$26+$B$6*Assumptions!$B$27+$B$7*Assumptions!$B$28+Assumptions!$B$29)*(1+Assumptions!$B$36)^(H$19-1)</f>
        <v>47400.55326</v>
      </c>
      <c r="I36" s="14">
        <f>($B$6*Assumptions!$B$26+$B$6*Assumptions!$B$27+$B$7*Assumptions!$B$28+Assumptions!$B$29)*(1+Assumptions!$B$36)^(I$19-1)</f>
        <v>47874.55879</v>
      </c>
      <c r="J36" s="14">
        <f>($B$6*Assumptions!$B$26+$B$6*Assumptions!$B$27+$B$7*Assumptions!$B$28+Assumptions!$B$29)*(1+Assumptions!$B$36)^(J$19-1)</f>
        <v>48353.30438</v>
      </c>
      <c r="K36" s="14">
        <f>($B$6*Assumptions!$B$26+$B$6*Assumptions!$B$27+$B$7*Assumptions!$B$28+Assumptions!$B$29)*(1+Assumptions!$B$36)^(K$19-1)</f>
        <v>48836.83742</v>
      </c>
      <c r="L36" s="14">
        <f>($B$6*Assumptions!$B$26+$B$6*Assumptions!$B$27+$B$7*Assumptions!$B$28+Assumptions!$B$29)*(1+Assumptions!$B$36)^(L$19-1)</f>
        <v>49325.2058</v>
      </c>
      <c r="M36" s="14">
        <f>($B$6*Assumptions!$B$26+$B$6*Assumptions!$B$27+$B$7*Assumptions!$B$28+Assumptions!$B$29)*(1+Assumptions!$B$36)^(M$19-1)</f>
        <v>49818.45786</v>
      </c>
      <c r="N36" s="14">
        <f>($B$6*Assumptions!$B$26+$B$6*Assumptions!$B$27+$B$7*Assumptions!$B$28+Assumptions!$B$29)*(1+Assumptions!$B$36)^(N$19-1)</f>
        <v>50316.64243</v>
      </c>
      <c r="O36" s="14">
        <f>($B$6*Assumptions!$B$26+$B$6*Assumptions!$B$27+$B$7*Assumptions!$B$28+Assumptions!$B$29)*(1+Assumptions!$B$36)^(O$19-1)</f>
        <v>50819.80886</v>
      </c>
      <c r="P36" s="14">
        <f>($B$6*Assumptions!$B$26+$B$6*Assumptions!$B$27+$B$7*Assumptions!$B$28+Assumptions!$B$29)*(1+Assumptions!$B$36)^(P$19-1)</f>
        <v>51328.00695</v>
      </c>
      <c r="Q36" s="14">
        <f>($B$6*Assumptions!$B$26+$B$6*Assumptions!$B$27+$B$7*Assumptions!$B$28+Assumptions!$B$29)*(1+Assumptions!$B$36)^(Q$19-1)</f>
        <v>51841.28702</v>
      </c>
      <c r="R36" s="14">
        <f>($B$6*Assumptions!$B$26+$B$6*Assumptions!$B$27+$B$7*Assumptions!$B$28+Assumptions!$B$29)*(1+Assumptions!$B$36)^(R$19-1)</f>
        <v>52359.69989</v>
      </c>
      <c r="S36" s="14">
        <f>($B$6*Assumptions!$B$26+$B$6*Assumptions!$B$27+$B$7*Assumptions!$B$28+Assumptions!$B$29)*(1+Assumptions!$B$36)^(S$19-1)</f>
        <v>52883.29689</v>
      </c>
      <c r="T36" s="14">
        <f>($B$6*Assumptions!$B$26+$B$6*Assumptions!$B$27+$B$7*Assumptions!$B$28+Assumptions!$B$29)*(1+Assumptions!$B$36)^(T$19-1)</f>
        <v>53412.12985</v>
      </c>
      <c r="U36" s="14">
        <f>($B$6*Assumptions!$B$26+$B$6*Assumptions!$B$27+$B$7*Assumptions!$B$28+Assumptions!$B$29)*(1+Assumptions!$B$36)^(U$19-1)</f>
        <v>53946.25115</v>
      </c>
      <c r="V36" s="14">
        <f>($B$6*Assumptions!$B$26+$B$6*Assumptions!$B$27+$B$7*Assumptions!$B$28+Assumptions!$B$29)*(1+Assumptions!$B$36)^(V$19-1)</f>
        <v>54485.71367</v>
      </c>
      <c r="W36" s="14">
        <f>SUM(C$36:V$36)</f>
        <v>993057.0802</v>
      </c>
    </row>
    <row r="37" ht="15.75" customHeight="1">
      <c r="A37" s="6" t="s">
        <v>143</v>
      </c>
      <c r="C37" s="14">
        <f>IF(C$19&lt;=5,0,IF(C$19&lt;=10,Assumptions!$B$30,IF(C$19&lt;=15,Assumptions!$B$31,Assumptions!$B$32)))*$B$6*(1+Assumptions!$B$36)^(C$19-1)</f>
        <v>0</v>
      </c>
      <c r="D37" s="14">
        <f>IF(D$19&lt;=5,0,IF(D$19&lt;=10,Assumptions!$B$30,IF(D$19&lt;=15,Assumptions!$B$31,Assumptions!$B$32)))*$B$6*(1+Assumptions!$B$36)^(D$19-1)</f>
        <v>0</v>
      </c>
      <c r="E37" s="14">
        <f>IF(E$19&lt;=5,0,IF(E$19&lt;=10,Assumptions!$B$30,IF(E$19&lt;=15,Assumptions!$B$31,Assumptions!$B$32)))*$B$6*(1+Assumptions!$B$36)^(E$19-1)</f>
        <v>0</v>
      </c>
      <c r="F37" s="14">
        <f>IF(F$19&lt;=5,0,IF(F$19&lt;=10,Assumptions!$B$30,IF(F$19&lt;=15,Assumptions!$B$31,Assumptions!$B$32)))*$B$6*(1+Assumptions!$B$36)^(F$19-1)</f>
        <v>0</v>
      </c>
      <c r="G37" s="14">
        <f>IF(G$19&lt;=5,0,IF(G$19&lt;=10,Assumptions!$B$30,IF(G$19&lt;=15,Assumptions!$B$31,Assumptions!$B$32)))*$B$6*(1+Assumptions!$B$36)^(G$19-1)</f>
        <v>0</v>
      </c>
      <c r="H37" s="14">
        <f>IF(H$19&lt;=5,0,IF(H$19&lt;=10,Assumptions!$B$30,IF(H$19&lt;=15,Assumptions!$B$31,Assumptions!$B$32)))*$B$6*(1+Assumptions!$B$36)^(H$19-1)</f>
        <v>22701.81708</v>
      </c>
      <c r="I37" s="14">
        <f>IF(I$19&lt;=5,0,IF(I$19&lt;=10,Assumptions!$B$30,IF(I$19&lt;=15,Assumptions!$B$31,Assumptions!$B$32)))*$B$6*(1+Assumptions!$B$36)^(I$19-1)</f>
        <v>22928.83525</v>
      </c>
      <c r="J37" s="14">
        <f>IF(J$19&lt;=5,0,IF(J$19&lt;=10,Assumptions!$B$30,IF(J$19&lt;=15,Assumptions!$B$31,Assumptions!$B$32)))*$B$6*(1+Assumptions!$B$36)^(J$19-1)</f>
        <v>23158.12361</v>
      </c>
      <c r="K37" s="14">
        <f>IF(K$19&lt;=5,0,IF(K$19&lt;=10,Assumptions!$B$30,IF(K$19&lt;=15,Assumptions!$B$31,Assumptions!$B$32)))*$B$6*(1+Assumptions!$B$36)^(K$19-1)</f>
        <v>23389.70484</v>
      </c>
      <c r="L37" s="14">
        <f>IF(L$19&lt;=5,0,IF(L$19&lt;=10,Assumptions!$B$30,IF(L$19&lt;=15,Assumptions!$B$31,Assumptions!$B$32)))*$B$6*(1+Assumptions!$B$36)^(L$19-1)</f>
        <v>23623.60189</v>
      </c>
      <c r="M37" s="14">
        <f>IF(M$19&lt;=5,0,IF(M$19&lt;=10,Assumptions!$B$30,IF(M$19&lt;=15,Assumptions!$B$31,Assumptions!$B$32)))*$B$6*(1+Assumptions!$B$36)^(M$19-1)</f>
        <v>27836.47756</v>
      </c>
      <c r="N37" s="14">
        <f>IF(N$19&lt;=5,0,IF(N$19&lt;=10,Assumptions!$B$30,IF(N$19&lt;=15,Assumptions!$B$31,Assumptions!$B$32)))*$B$6*(1+Assumptions!$B$36)^(N$19-1)</f>
        <v>28114.84234</v>
      </c>
      <c r="O37" s="14">
        <f>IF(O$19&lt;=5,0,IF(O$19&lt;=10,Assumptions!$B$30,IF(O$19&lt;=15,Assumptions!$B$31,Assumptions!$B$32)))*$B$6*(1+Assumptions!$B$36)^(O$19-1)</f>
        <v>28395.99076</v>
      </c>
      <c r="P37" s="14">
        <f>IF(P$19&lt;=5,0,IF(P$19&lt;=10,Assumptions!$B$30,IF(P$19&lt;=15,Assumptions!$B$31,Assumptions!$B$32)))*$B$6*(1+Assumptions!$B$36)^(P$19-1)</f>
        <v>28679.95067</v>
      </c>
      <c r="Q37" s="14">
        <f>IF(Q$19&lt;=5,0,IF(Q$19&lt;=10,Assumptions!$B$30,IF(Q$19&lt;=15,Assumptions!$B$31,Assumptions!$B$32)))*$B$6*(1+Assumptions!$B$36)^(Q$19-1)</f>
        <v>28966.75017</v>
      </c>
      <c r="R37" s="14">
        <f>IF(R$19&lt;=5,0,IF(R$19&lt;=10,Assumptions!$B$30,IF(R$19&lt;=15,Assumptions!$B$31,Assumptions!$B$32)))*$B$6*(1+Assumptions!$B$36)^(R$19-1)</f>
        <v>34132.48729</v>
      </c>
      <c r="S37" s="14">
        <f>IF(S$19&lt;=5,0,IF(S$19&lt;=10,Assumptions!$B$30,IF(S$19&lt;=15,Assumptions!$B$31,Assumptions!$B$32)))*$B$6*(1+Assumptions!$B$36)^(S$19-1)</f>
        <v>34473.81216</v>
      </c>
      <c r="T37" s="14">
        <f>IF(T$19&lt;=5,0,IF(T$19&lt;=10,Assumptions!$B$30,IF(T$19&lt;=15,Assumptions!$B$31,Assumptions!$B$32)))*$B$6*(1+Assumptions!$B$36)^(T$19-1)</f>
        <v>34818.55028</v>
      </c>
      <c r="U37" s="14">
        <f>IF(U$19&lt;=5,0,IF(U$19&lt;=10,Assumptions!$B$30,IF(U$19&lt;=15,Assumptions!$B$31,Assumptions!$B$32)))*$B$6*(1+Assumptions!$B$36)^(U$19-1)</f>
        <v>35166.73579</v>
      </c>
      <c r="V37" s="14">
        <f>IF(V$19&lt;=5,0,IF(V$19&lt;=10,Assumptions!$B$30,IF(V$19&lt;=15,Assumptions!$B$31,Assumptions!$B$32)))*$B$6*(1+Assumptions!$B$36)^(V$19-1)</f>
        <v>35518.40314</v>
      </c>
      <c r="W37" s="14">
        <f>SUM(C$37:V$37)</f>
        <v>431906.0828</v>
      </c>
    </row>
    <row r="38" ht="15.75" customHeight="1">
      <c r="A38" s="33" t="s">
        <v>144</v>
      </c>
      <c r="B38" s="33"/>
      <c r="C38" s="34">
        <f t="shared" ref="C38:V38" si="3">C$34+C$35+C$36+C$37</f>
        <v>152391.88</v>
      </c>
      <c r="D38" s="34">
        <f t="shared" si="3"/>
        <v>151928.3317</v>
      </c>
      <c r="E38" s="34">
        <f t="shared" si="3"/>
        <v>151437.0096</v>
      </c>
      <c r="F38" s="34">
        <f t="shared" si="3"/>
        <v>150917.3887</v>
      </c>
      <c r="G38" s="34">
        <f t="shared" si="3"/>
        <v>150368.9357</v>
      </c>
      <c r="H38" s="34">
        <f t="shared" si="3"/>
        <v>172492.9267</v>
      </c>
      <c r="I38" s="34">
        <f t="shared" si="3"/>
        <v>172112.1968</v>
      </c>
      <c r="J38" s="34">
        <f t="shared" si="3"/>
        <v>171703.2579</v>
      </c>
      <c r="K38" s="34">
        <f t="shared" si="3"/>
        <v>171265.5674</v>
      </c>
      <c r="L38" s="34">
        <f t="shared" si="3"/>
        <v>170798.5744</v>
      </c>
      <c r="M38" s="34">
        <f t="shared" si="3"/>
        <v>174278.3597</v>
      </c>
      <c r="N38" s="34">
        <f t="shared" si="3"/>
        <v>173790.8429</v>
      </c>
      <c r="O38" s="34">
        <f t="shared" si="3"/>
        <v>173272.7192</v>
      </c>
      <c r="P38" s="34">
        <f t="shared" si="3"/>
        <v>172723.4083</v>
      </c>
      <c r="Q38" s="34">
        <f t="shared" si="3"/>
        <v>172142.3212</v>
      </c>
      <c r="R38" s="34">
        <f t="shared" si="3"/>
        <v>176404.9297</v>
      </c>
      <c r="S38" s="34">
        <f t="shared" si="3"/>
        <v>175807.2487</v>
      </c>
      <c r="T38" s="34">
        <f t="shared" si="3"/>
        <v>175176.4592</v>
      </c>
      <c r="U38" s="34">
        <f t="shared" si="3"/>
        <v>174511.9413</v>
      </c>
      <c r="V38" s="34">
        <f t="shared" si="3"/>
        <v>173813.0662</v>
      </c>
      <c r="W38" s="34">
        <f>SUM(C$38:V$38)</f>
        <v>3357337.365</v>
      </c>
    </row>
    <row r="39" ht="15.75" customHeight="1">
      <c r="A39" s="33" t="s">
        <v>145</v>
      </c>
      <c r="B39" s="33"/>
      <c r="C39" s="34">
        <f t="shared" ref="C39:V39" si="4">C$33-C$38</f>
        <v>623455.7021</v>
      </c>
      <c r="D39" s="34">
        <f t="shared" si="4"/>
        <v>616895.3047</v>
      </c>
      <c r="E39" s="34">
        <f t="shared" si="4"/>
        <v>610373.0464</v>
      </c>
      <c r="F39" s="34">
        <f t="shared" si="4"/>
        <v>603889.4007</v>
      </c>
      <c r="G39" s="34">
        <f t="shared" si="4"/>
        <v>597444.8492</v>
      </c>
      <c r="H39" s="34">
        <f t="shared" si="4"/>
        <v>568338.0643</v>
      </c>
      <c r="I39" s="34">
        <f t="shared" si="4"/>
        <v>561746.1601</v>
      </c>
      <c r="J39" s="34">
        <f t="shared" si="4"/>
        <v>555192.5738</v>
      </c>
      <c r="K39" s="34">
        <f t="shared" si="4"/>
        <v>548677.7975</v>
      </c>
      <c r="L39" s="34">
        <f t="shared" si="4"/>
        <v>542202.3317</v>
      </c>
      <c r="M39" s="34">
        <f t="shared" si="4"/>
        <v>531790.0457</v>
      </c>
      <c r="N39" s="34">
        <f t="shared" si="4"/>
        <v>525354.97</v>
      </c>
      <c r="O39" s="34">
        <f t="shared" si="4"/>
        <v>518960.3599</v>
      </c>
      <c r="P39" s="34">
        <f t="shared" si="4"/>
        <v>512606.7465</v>
      </c>
      <c r="Q39" s="34">
        <f t="shared" si="4"/>
        <v>506294.6696</v>
      </c>
      <c r="R39" s="34">
        <f t="shared" si="4"/>
        <v>495148.6086</v>
      </c>
      <c r="S39" s="34">
        <f t="shared" si="4"/>
        <v>488872.5002</v>
      </c>
      <c r="T39" s="34">
        <f t="shared" si="4"/>
        <v>482639.1149</v>
      </c>
      <c r="U39" s="34">
        <f t="shared" si="4"/>
        <v>476449.0246</v>
      </c>
      <c r="V39" s="34">
        <f t="shared" si="4"/>
        <v>470302.8104</v>
      </c>
      <c r="W39" s="34">
        <f>SUM(C$39:V$39)</f>
        <v>10836634.08</v>
      </c>
    </row>
    <row r="40" ht="15.75" customHeight="1">
      <c r="A40" s="6" t="s">
        <v>146</v>
      </c>
      <c r="C40" s="14">
        <f t="shared" ref="C40:V40" si="5">$B$15</f>
        <v>206487.75</v>
      </c>
      <c r="D40" s="14">
        <f t="shared" si="5"/>
        <v>206487.75</v>
      </c>
      <c r="E40" s="14">
        <f t="shared" si="5"/>
        <v>206487.75</v>
      </c>
      <c r="F40" s="14">
        <f t="shared" si="5"/>
        <v>206487.75</v>
      </c>
      <c r="G40" s="14">
        <f t="shared" si="5"/>
        <v>206487.75</v>
      </c>
      <c r="H40" s="14">
        <f t="shared" si="5"/>
        <v>206487.75</v>
      </c>
      <c r="I40" s="14">
        <f t="shared" si="5"/>
        <v>206487.75</v>
      </c>
      <c r="J40" s="14">
        <f t="shared" si="5"/>
        <v>206487.75</v>
      </c>
      <c r="K40" s="14">
        <f t="shared" si="5"/>
        <v>206487.75</v>
      </c>
      <c r="L40" s="14">
        <f t="shared" si="5"/>
        <v>206487.75</v>
      </c>
      <c r="M40" s="14">
        <f t="shared" si="5"/>
        <v>206487.75</v>
      </c>
      <c r="N40" s="14">
        <f t="shared" si="5"/>
        <v>206487.75</v>
      </c>
      <c r="O40" s="14">
        <f t="shared" si="5"/>
        <v>206487.75</v>
      </c>
      <c r="P40" s="14">
        <f t="shared" si="5"/>
        <v>206487.75</v>
      </c>
      <c r="Q40" s="14">
        <f t="shared" si="5"/>
        <v>206487.75</v>
      </c>
      <c r="R40" s="14">
        <f t="shared" si="5"/>
        <v>206487.75</v>
      </c>
      <c r="S40" s="14">
        <f t="shared" si="5"/>
        <v>206487.75</v>
      </c>
      <c r="T40" s="14">
        <f t="shared" si="5"/>
        <v>206487.75</v>
      </c>
      <c r="U40" s="14">
        <f t="shared" si="5"/>
        <v>206487.75</v>
      </c>
      <c r="V40" s="14">
        <f t="shared" si="5"/>
        <v>206487.75</v>
      </c>
      <c r="W40" s="14">
        <f>SUM(C$40:V$40)</f>
        <v>4129755</v>
      </c>
    </row>
    <row r="41" ht="15.75" customHeight="1">
      <c r="A41" s="6" t="s">
        <v>147</v>
      </c>
      <c r="C41" s="14">
        <f>IF(C$19&lt;=Assumptions!$B$39,-IPMT(Assumptions!$B$38,C$19,Assumptions!$B$39,$B$13),0)</f>
        <v>69976.2</v>
      </c>
      <c r="D41" s="14">
        <f>IF(D$19&lt;=Assumptions!$B$39,-IPMT(Assumptions!$B$38,D$19,Assumptions!$B$39,$B$13),0)</f>
        <v>66733.34281</v>
      </c>
      <c r="E41" s="14">
        <f>IF(E$19&lt;=Assumptions!$B$39,-IPMT(Assumptions!$B$38,E$19,Assumptions!$B$39,$B$13),0)</f>
        <v>63328.34277</v>
      </c>
      <c r="F41" s="14">
        <f>IF(F$19&lt;=Assumptions!$B$39,-IPMT(Assumptions!$B$38,F$19,Assumptions!$B$39,$B$13),0)</f>
        <v>59753.09272</v>
      </c>
      <c r="G41" s="14">
        <f>IF(G$19&lt;=Assumptions!$B$39,-IPMT(Assumptions!$B$38,G$19,Assumptions!$B$39,$B$13),0)</f>
        <v>55999.08017</v>
      </c>
      <c r="H41" s="14">
        <f>IF(H$19&lt;=Assumptions!$B$39,-IPMT(Assumptions!$B$38,H$19,Assumptions!$B$39,$B$13),0)</f>
        <v>52057.36699</v>
      </c>
      <c r="I41" s="14">
        <f>IF(I$19&lt;=Assumptions!$B$39,-IPMT(Assumptions!$B$38,I$19,Assumptions!$B$39,$B$13),0)</f>
        <v>47918.56816</v>
      </c>
      <c r="J41" s="14">
        <f>IF(J$19&lt;=Assumptions!$B$39,-IPMT(Assumptions!$B$38,J$19,Assumptions!$B$39,$B$13),0)</f>
        <v>43572.82938</v>
      </c>
      <c r="K41" s="14">
        <f>IF(K$19&lt;=Assumptions!$B$39,-IPMT(Assumptions!$B$38,K$19,Assumptions!$B$39,$B$13),0)</f>
        <v>39009.80366</v>
      </c>
      <c r="L41" s="14">
        <f>IF(L$19&lt;=Assumptions!$B$39,-IPMT(Assumptions!$B$38,L$19,Assumptions!$B$39,$B$13),0)</f>
        <v>34218.62666</v>
      </c>
      <c r="M41" s="14">
        <f>IF(M$19&lt;=Assumptions!$B$39,-IPMT(Assumptions!$B$38,M$19,Assumptions!$B$39,$B$13),0)</f>
        <v>29187.8908</v>
      </c>
      <c r="N41" s="14">
        <f>IF(N$19&lt;=Assumptions!$B$39,-IPMT(Assumptions!$B$38,N$19,Assumptions!$B$39,$B$13),0)</f>
        <v>23905.61816</v>
      </c>
      <c r="O41" s="14">
        <f>IF(O$19&lt;=Assumptions!$B$39,-IPMT(Assumptions!$B$38,O$19,Assumptions!$B$39,$B$13),0)</f>
        <v>18359.23188</v>
      </c>
      <c r="P41" s="14">
        <f>IF(P$19&lt;=Assumptions!$B$39,-IPMT(Assumptions!$B$38,P$19,Assumptions!$B$39,$B$13),0)</f>
        <v>12535.52629</v>
      </c>
      <c r="Q41" s="14">
        <f>IF(Q$19&lt;=Assumptions!$B$39,-IPMT(Assumptions!$B$38,Q$19,Assumptions!$B$39,$B$13),0)</f>
        <v>6420.635415</v>
      </c>
      <c r="R41" s="14">
        <f>IF(R$19&lt;=Assumptions!$B$39,-IPMT(Assumptions!$B$38,R$19,Assumptions!$B$39,$B$13),0)</f>
        <v>0</v>
      </c>
      <c r="S41" s="14">
        <f>IF(S$19&lt;=Assumptions!$B$39,-IPMT(Assumptions!$B$38,S$19,Assumptions!$B$39,$B$13),0)</f>
        <v>0</v>
      </c>
      <c r="T41" s="14">
        <f>IF(T$19&lt;=Assumptions!$B$39,-IPMT(Assumptions!$B$38,T$19,Assumptions!$B$39,$B$13),0)</f>
        <v>0</v>
      </c>
      <c r="U41" s="14">
        <f>IF(U$19&lt;=Assumptions!$B$39,-IPMT(Assumptions!$B$38,U$19,Assumptions!$B$39,$B$13),0)</f>
        <v>0</v>
      </c>
      <c r="V41" s="14">
        <f>IF(V$19&lt;=Assumptions!$B$39,-IPMT(Assumptions!$B$38,V$19,Assumptions!$B$39,$B$13),0)</f>
        <v>0</v>
      </c>
      <c r="W41" s="14">
        <f>SUM(C$41:V$41)</f>
        <v>622976.1559</v>
      </c>
    </row>
    <row r="42" ht="15.75" customHeight="1">
      <c r="A42" s="6" t="s">
        <v>148</v>
      </c>
      <c r="C42" s="14">
        <f t="shared" ref="C42:V42" si="6">C$39-C$40-C$41</f>
        <v>346991.7521</v>
      </c>
      <c r="D42" s="14">
        <f t="shared" si="6"/>
        <v>343674.2119</v>
      </c>
      <c r="E42" s="14">
        <f t="shared" si="6"/>
        <v>340556.9537</v>
      </c>
      <c r="F42" s="14">
        <f t="shared" si="6"/>
        <v>337648.558</v>
      </c>
      <c r="G42" s="14">
        <f t="shared" si="6"/>
        <v>334958.019</v>
      </c>
      <c r="H42" s="14">
        <f t="shared" si="6"/>
        <v>309792.9473</v>
      </c>
      <c r="I42" s="14">
        <f t="shared" si="6"/>
        <v>307339.8419</v>
      </c>
      <c r="J42" s="14">
        <f t="shared" si="6"/>
        <v>305131.9944</v>
      </c>
      <c r="K42" s="14">
        <f t="shared" si="6"/>
        <v>303180.2438</v>
      </c>
      <c r="L42" s="14">
        <f t="shared" si="6"/>
        <v>301495.955</v>
      </c>
      <c r="M42" s="14">
        <f t="shared" si="6"/>
        <v>296114.4049</v>
      </c>
      <c r="N42" s="14">
        <f t="shared" si="6"/>
        <v>294961.6019</v>
      </c>
      <c r="O42" s="14">
        <f t="shared" si="6"/>
        <v>294113.378</v>
      </c>
      <c r="P42" s="14">
        <f t="shared" si="6"/>
        <v>293583.4702</v>
      </c>
      <c r="Q42" s="14">
        <f t="shared" si="6"/>
        <v>293386.2842</v>
      </c>
      <c r="R42" s="14">
        <f t="shared" si="6"/>
        <v>288660.8586</v>
      </c>
      <c r="S42" s="14">
        <f t="shared" si="6"/>
        <v>282384.7502</v>
      </c>
      <c r="T42" s="14">
        <f t="shared" si="6"/>
        <v>276151.3649</v>
      </c>
      <c r="U42" s="14">
        <f t="shared" si="6"/>
        <v>269961.2746</v>
      </c>
      <c r="V42" s="14">
        <f t="shared" si="6"/>
        <v>263815.0604</v>
      </c>
      <c r="W42" s="14">
        <f>SUM(C$42:V$42)</f>
        <v>6083902.925</v>
      </c>
    </row>
    <row r="43" ht="15.75" customHeight="1">
      <c r="A43" s="6" t="s">
        <v>149</v>
      </c>
      <c r="C43" s="14">
        <f>MAX(0,C$42*Assumptions!$B$35)</f>
        <v>43373.96901</v>
      </c>
      <c r="D43" s="14">
        <f>MAX(0,D$42*Assumptions!$B$35)</f>
        <v>42959.27649</v>
      </c>
      <c r="E43" s="14">
        <f>MAX(0,E$42*Assumptions!$B$35)</f>
        <v>42569.61921</v>
      </c>
      <c r="F43" s="14">
        <f>MAX(0,F$42*Assumptions!$B$35)</f>
        <v>42206.06975</v>
      </c>
      <c r="G43" s="14">
        <f>MAX(0,G$42*Assumptions!$B$35)</f>
        <v>41869.75237</v>
      </c>
      <c r="H43" s="14">
        <f>MAX(0,H$42*Assumptions!$B$35)</f>
        <v>38724.11841</v>
      </c>
      <c r="I43" s="14">
        <f>MAX(0,I$42*Assumptions!$B$35)</f>
        <v>38417.48024</v>
      </c>
      <c r="J43" s="14">
        <f>MAX(0,J$42*Assumptions!$B$35)</f>
        <v>38141.4993</v>
      </c>
      <c r="K43" s="14">
        <f>MAX(0,K$42*Assumptions!$B$35)</f>
        <v>37897.53048</v>
      </c>
      <c r="L43" s="14">
        <f>MAX(0,L$42*Assumptions!$B$35)</f>
        <v>37686.99438</v>
      </c>
      <c r="M43" s="14">
        <f>MAX(0,M$42*Assumptions!$B$35)</f>
        <v>37014.30061</v>
      </c>
      <c r="N43" s="14">
        <f>MAX(0,N$42*Assumptions!$B$35)</f>
        <v>36870.20023</v>
      </c>
      <c r="O43" s="14">
        <f>MAX(0,O$42*Assumptions!$B$35)</f>
        <v>36764.17225</v>
      </c>
      <c r="P43" s="14">
        <f>MAX(0,P$42*Assumptions!$B$35)</f>
        <v>36697.93377</v>
      </c>
      <c r="Q43" s="14">
        <f>MAX(0,Q$42*Assumptions!$B$35)</f>
        <v>36673.28552</v>
      </c>
      <c r="R43" s="14">
        <f>MAX(0,R$42*Assumptions!$B$35)</f>
        <v>36082.60733</v>
      </c>
      <c r="S43" s="14">
        <f>MAX(0,S$42*Assumptions!$B$35)</f>
        <v>35298.09377</v>
      </c>
      <c r="T43" s="14">
        <f>MAX(0,T$42*Assumptions!$B$35)</f>
        <v>34518.92061</v>
      </c>
      <c r="U43" s="14">
        <f>MAX(0,U$42*Assumptions!$B$35)</f>
        <v>33745.15933</v>
      </c>
      <c r="V43" s="14">
        <f>MAX(0,V$42*Assumptions!$B$35)</f>
        <v>32976.88255</v>
      </c>
      <c r="W43" s="14">
        <f>SUM(C$43:V$43)</f>
        <v>760487.8656</v>
      </c>
    </row>
    <row r="44" ht="15.75" customHeight="1">
      <c r="A44" s="33" t="s">
        <v>150</v>
      </c>
      <c r="B44" s="33"/>
      <c r="C44" s="34">
        <f t="shared" ref="C44:V44" si="7">C$42-C$43</f>
        <v>303617.7831</v>
      </c>
      <c r="D44" s="34">
        <f t="shared" si="7"/>
        <v>300714.9354</v>
      </c>
      <c r="E44" s="34">
        <f t="shared" si="7"/>
        <v>297987.3344</v>
      </c>
      <c r="F44" s="34">
        <f t="shared" si="7"/>
        <v>295442.4883</v>
      </c>
      <c r="G44" s="34">
        <f t="shared" si="7"/>
        <v>293088.2666</v>
      </c>
      <c r="H44" s="34">
        <f t="shared" si="7"/>
        <v>271068.8289</v>
      </c>
      <c r="I44" s="34">
        <f t="shared" si="7"/>
        <v>268922.3617</v>
      </c>
      <c r="J44" s="34">
        <f t="shared" si="7"/>
        <v>266990.4951</v>
      </c>
      <c r="K44" s="34">
        <f t="shared" si="7"/>
        <v>265282.7133</v>
      </c>
      <c r="L44" s="34">
        <f t="shared" si="7"/>
        <v>263808.9607</v>
      </c>
      <c r="M44" s="34">
        <f t="shared" si="7"/>
        <v>259100.1043</v>
      </c>
      <c r="N44" s="34">
        <f t="shared" si="7"/>
        <v>258091.4016</v>
      </c>
      <c r="O44" s="34">
        <f t="shared" si="7"/>
        <v>257349.2058</v>
      </c>
      <c r="P44" s="34">
        <f t="shared" si="7"/>
        <v>256885.5364</v>
      </c>
      <c r="Q44" s="34">
        <f t="shared" si="7"/>
        <v>256712.9987</v>
      </c>
      <c r="R44" s="34">
        <f t="shared" si="7"/>
        <v>252578.2513</v>
      </c>
      <c r="S44" s="34">
        <f t="shared" si="7"/>
        <v>247086.6564</v>
      </c>
      <c r="T44" s="34">
        <f t="shared" si="7"/>
        <v>241632.4443</v>
      </c>
      <c r="U44" s="34">
        <f t="shared" si="7"/>
        <v>236216.1153</v>
      </c>
      <c r="V44" s="34">
        <f t="shared" si="7"/>
        <v>230838.1778</v>
      </c>
      <c r="W44" s="34">
        <f>SUM(C$44:V$44)</f>
        <v>5323415.059</v>
      </c>
    </row>
    <row r="45" ht="15.75" customHeight="1">
      <c r="A45" s="6" t="s">
        <v>151</v>
      </c>
      <c r="C45" s="14">
        <f>IF(C$19&lt;=Assumptions!$B$39,$B$14,0)</f>
        <v>134833.3437</v>
      </c>
      <c r="D45" s="14">
        <f>IF(D$19&lt;=Assumptions!$B$39,$B$14,0)</f>
        <v>134833.3437</v>
      </c>
      <c r="E45" s="14">
        <f>IF(E$19&lt;=Assumptions!$B$39,$B$14,0)</f>
        <v>134833.3437</v>
      </c>
      <c r="F45" s="14">
        <f>IF(F$19&lt;=Assumptions!$B$39,$B$14,0)</f>
        <v>134833.3437</v>
      </c>
      <c r="G45" s="14">
        <f>IF(G$19&lt;=Assumptions!$B$39,$B$14,0)</f>
        <v>134833.3437</v>
      </c>
      <c r="H45" s="14">
        <f>IF(H$19&lt;=Assumptions!$B$39,$B$14,0)</f>
        <v>134833.3437</v>
      </c>
      <c r="I45" s="14">
        <f>IF(I$19&lt;=Assumptions!$B$39,$B$14,0)</f>
        <v>134833.3437</v>
      </c>
      <c r="J45" s="14">
        <f>IF(J$19&lt;=Assumptions!$B$39,$B$14,0)</f>
        <v>134833.3437</v>
      </c>
      <c r="K45" s="14">
        <f>IF(K$19&lt;=Assumptions!$B$39,$B$14,0)</f>
        <v>134833.3437</v>
      </c>
      <c r="L45" s="14">
        <f>IF(L$19&lt;=Assumptions!$B$39,$B$14,0)</f>
        <v>134833.3437</v>
      </c>
      <c r="M45" s="14">
        <f>IF(M$19&lt;=Assumptions!$B$39,$B$14,0)</f>
        <v>134833.3437</v>
      </c>
      <c r="N45" s="14">
        <f>IF(N$19&lt;=Assumptions!$B$39,$B$14,0)</f>
        <v>134833.3437</v>
      </c>
      <c r="O45" s="14">
        <f>IF(O$19&lt;=Assumptions!$B$39,$B$14,0)</f>
        <v>134833.3437</v>
      </c>
      <c r="P45" s="14">
        <f>IF(P$19&lt;=Assumptions!$B$39,$B$14,0)</f>
        <v>134833.3437</v>
      </c>
      <c r="Q45" s="14">
        <f>IF(Q$19&lt;=Assumptions!$B$39,$B$14,0)</f>
        <v>134833.3437</v>
      </c>
      <c r="R45" s="14">
        <f>IF(R$19&lt;=Assumptions!$B$39,$B$14,0)</f>
        <v>0</v>
      </c>
      <c r="S45" s="14">
        <f>IF(S$19&lt;=Assumptions!$B$39,$B$14,0)</f>
        <v>0</v>
      </c>
      <c r="T45" s="14">
        <f>IF(T$19&lt;=Assumptions!$B$39,$B$14,0)</f>
        <v>0</v>
      </c>
      <c r="U45" s="14">
        <f>IF(U$19&lt;=Assumptions!$B$39,$B$14,0)</f>
        <v>0</v>
      </c>
      <c r="V45" s="14">
        <f>IF(V$19&lt;=Assumptions!$B$39,$B$14,0)</f>
        <v>0</v>
      </c>
      <c r="W45" s="14">
        <f>SUM(C$45:V$45)</f>
        <v>2022500.156</v>
      </c>
    </row>
    <row r="46" ht="15.75" customHeight="1">
      <c r="A46" s="33" t="s">
        <v>152</v>
      </c>
      <c r="B46" s="33"/>
      <c r="C46" s="34">
        <f t="shared" ref="C46:V46" si="8">C$39-C$45-C$43</f>
        <v>445248.3894</v>
      </c>
      <c r="D46" s="34">
        <f t="shared" si="8"/>
        <v>439102.6845</v>
      </c>
      <c r="E46" s="34">
        <f t="shared" si="8"/>
        <v>432970.0835</v>
      </c>
      <c r="F46" s="34">
        <f t="shared" si="8"/>
        <v>426849.9873</v>
      </c>
      <c r="G46" s="34">
        <f t="shared" si="8"/>
        <v>420741.7531</v>
      </c>
      <c r="H46" s="34">
        <f t="shared" si="8"/>
        <v>394780.6022</v>
      </c>
      <c r="I46" s="34">
        <f t="shared" si="8"/>
        <v>388495.3361</v>
      </c>
      <c r="J46" s="34">
        <f t="shared" si="8"/>
        <v>382217.7307</v>
      </c>
      <c r="K46" s="34">
        <f t="shared" si="8"/>
        <v>375946.9233</v>
      </c>
      <c r="L46" s="34">
        <f t="shared" si="8"/>
        <v>369681.9936</v>
      </c>
      <c r="M46" s="34">
        <f t="shared" si="8"/>
        <v>359942.4014</v>
      </c>
      <c r="N46" s="34">
        <f t="shared" si="8"/>
        <v>353651.4261</v>
      </c>
      <c r="O46" s="34">
        <f t="shared" si="8"/>
        <v>347362.8439</v>
      </c>
      <c r="P46" s="34">
        <f t="shared" si="8"/>
        <v>341075.469</v>
      </c>
      <c r="Q46" s="34">
        <f t="shared" si="8"/>
        <v>334788.0403</v>
      </c>
      <c r="R46" s="34">
        <f t="shared" si="8"/>
        <v>459066.0013</v>
      </c>
      <c r="S46" s="34">
        <f t="shared" si="8"/>
        <v>453574.4064</v>
      </c>
      <c r="T46" s="34">
        <f t="shared" si="8"/>
        <v>448120.1943</v>
      </c>
      <c r="U46" s="34">
        <f t="shared" si="8"/>
        <v>442703.8653</v>
      </c>
      <c r="V46" s="34">
        <f t="shared" si="8"/>
        <v>437325.9278</v>
      </c>
      <c r="W46" s="34">
        <f>SUM(C$46:V$46)</f>
        <v>8053646.059</v>
      </c>
    </row>
    <row r="47" ht="15.75" customHeight="1">
      <c r="A47" s="6" t="s">
        <v>153</v>
      </c>
      <c r="C47" s="14">
        <f>C$46</f>
        <v>445248.3894</v>
      </c>
      <c r="D47" s="14">
        <f t="shared" ref="D47:V47" si="9">C$47+D$46</f>
        <v>884351.0739</v>
      </c>
      <c r="E47" s="14">
        <f t="shared" si="9"/>
        <v>1317321.157</v>
      </c>
      <c r="F47" s="14">
        <f t="shared" si="9"/>
        <v>1744171.145</v>
      </c>
      <c r="G47" s="14">
        <f t="shared" si="9"/>
        <v>2164912.898</v>
      </c>
      <c r="H47" s="14">
        <f t="shared" si="9"/>
        <v>2559693.5</v>
      </c>
      <c r="I47" s="14">
        <f t="shared" si="9"/>
        <v>2948188.836</v>
      </c>
      <c r="J47" s="14">
        <f t="shared" si="9"/>
        <v>3330406.567</v>
      </c>
      <c r="K47" s="14">
        <f t="shared" si="9"/>
        <v>3706353.49</v>
      </c>
      <c r="L47" s="14">
        <f t="shared" si="9"/>
        <v>4076035.484</v>
      </c>
      <c r="M47" s="14">
        <f t="shared" si="9"/>
        <v>4435977.885</v>
      </c>
      <c r="N47" s="14">
        <f t="shared" si="9"/>
        <v>4789629.311</v>
      </c>
      <c r="O47" s="14">
        <f t="shared" si="9"/>
        <v>5136992.155</v>
      </c>
      <c r="P47" s="14">
        <f t="shared" si="9"/>
        <v>5478067.624</v>
      </c>
      <c r="Q47" s="14">
        <f t="shared" si="9"/>
        <v>5812855.664</v>
      </c>
      <c r="R47" s="14">
        <f t="shared" si="9"/>
        <v>6271921.666</v>
      </c>
      <c r="S47" s="14">
        <f t="shared" si="9"/>
        <v>6725496.072</v>
      </c>
      <c r="T47" s="14">
        <f t="shared" si="9"/>
        <v>7173616.266</v>
      </c>
      <c r="U47" s="14">
        <f t="shared" si="9"/>
        <v>7616320.132</v>
      </c>
      <c r="V47" s="14">
        <f t="shared" si="9"/>
        <v>8053646.059</v>
      </c>
      <c r="W47" s="14">
        <f>V$47</f>
        <v>8053646.059</v>
      </c>
    </row>
    <row r="48" ht="15.75" customHeight="1">
      <c r="A48" s="6" t="s">
        <v>154</v>
      </c>
      <c r="C48" s="35">
        <f t="shared" ref="C48:V48" si="10">IF(C$45&gt;0,C$39/C$45,"N/A")</f>
        <v>4.623898547</v>
      </c>
      <c r="D48" s="35">
        <f t="shared" si="10"/>
        <v>4.575242946</v>
      </c>
      <c r="E48" s="35">
        <f t="shared" si="10"/>
        <v>4.526870206</v>
      </c>
      <c r="F48" s="35">
        <f t="shared" si="10"/>
        <v>4.478783838</v>
      </c>
      <c r="G48" s="35">
        <f t="shared" si="10"/>
        <v>4.430987415</v>
      </c>
      <c r="H48" s="35">
        <f t="shared" si="10"/>
        <v>4.215115109</v>
      </c>
      <c r="I48" s="35">
        <f t="shared" si="10"/>
        <v>4.166225835</v>
      </c>
      <c r="J48" s="35">
        <f t="shared" si="10"/>
        <v>4.117620749</v>
      </c>
      <c r="K48" s="35">
        <f t="shared" si="10"/>
        <v>4.0693035</v>
      </c>
      <c r="L48" s="35">
        <f t="shared" si="10"/>
        <v>4.021277799</v>
      </c>
      <c r="M48" s="35">
        <f t="shared" si="10"/>
        <v>3.944054423</v>
      </c>
      <c r="N48" s="35">
        <f t="shared" si="10"/>
        <v>3.896328278</v>
      </c>
      <c r="O48" s="35">
        <f t="shared" si="10"/>
        <v>3.848902249</v>
      </c>
      <c r="P48" s="35">
        <f t="shared" si="10"/>
        <v>3.801780274</v>
      </c>
      <c r="Q48" s="35">
        <f t="shared" si="10"/>
        <v>3.754966358</v>
      </c>
      <c r="R48" s="35" t="str">
        <f t="shared" si="10"/>
        <v>N/A</v>
      </c>
      <c r="S48" s="35" t="str">
        <f t="shared" si="10"/>
        <v>N/A</v>
      </c>
      <c r="T48" s="35" t="str">
        <f t="shared" si="10"/>
        <v>N/A</v>
      </c>
      <c r="U48" s="35" t="str">
        <f t="shared" si="10"/>
        <v>N/A</v>
      </c>
      <c r="V48" s="35" t="str">
        <f t="shared" si="10"/>
        <v>N/A</v>
      </c>
      <c r="W48" s="35">
        <f>AVERAGE(C$48:Q$48)</f>
        <v>4.164757168</v>
      </c>
    </row>
    <row r="49" ht="15.75" customHeight="1"/>
    <row r="50" ht="15.75" customHeight="1">
      <c r="A50" s="31" t="s">
        <v>155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</row>
    <row r="51" ht="15.75" customHeight="1">
      <c r="A51" s="6" t="s">
        <v>136</v>
      </c>
      <c r="C51" s="14">
        <f>C$22*Assumptions!$B$14</f>
        <v>409500</v>
      </c>
      <c r="D51" s="14">
        <f>D$22*Assumptions!$B$14</f>
        <v>407452.5</v>
      </c>
      <c r="E51" s="14">
        <f>E$22*Assumptions!$B$14</f>
        <v>405415.2375</v>
      </c>
      <c r="F51" s="14">
        <f>F$22*Assumptions!$B$14</f>
        <v>403388.1613</v>
      </c>
      <c r="G51" s="14">
        <f>G$22*Assumptions!$B$14</f>
        <v>401371.2205</v>
      </c>
      <c r="H51" s="14">
        <f>H$22*Assumptions!$B$14</f>
        <v>399364.3644</v>
      </c>
      <c r="I51" s="14">
        <f>I$22*Assumptions!$B$14</f>
        <v>397367.5426</v>
      </c>
      <c r="J51" s="14">
        <f>J$22*Assumptions!$B$14</f>
        <v>395380.7049</v>
      </c>
      <c r="K51" s="14">
        <f>K$22*Assumptions!$B$14</f>
        <v>393403.8013</v>
      </c>
      <c r="L51" s="14">
        <f>L$22*Assumptions!$B$14</f>
        <v>391436.7823</v>
      </c>
      <c r="M51" s="14">
        <f>M$22*Assumptions!$B$14</f>
        <v>389479.5984</v>
      </c>
      <c r="N51" s="14">
        <f>N$22*Assumptions!$B$14</f>
        <v>387532.2004</v>
      </c>
      <c r="O51" s="14">
        <f>O$22*Assumptions!$B$14</f>
        <v>385594.5394</v>
      </c>
      <c r="P51" s="14">
        <f>P$22*Assumptions!$B$14</f>
        <v>383666.5667</v>
      </c>
      <c r="Q51" s="14">
        <f>Q$22*Assumptions!$B$14</f>
        <v>381748.2339</v>
      </c>
      <c r="R51" s="14">
        <f>R$22*Assumptions!$B$14</f>
        <v>379839.4927</v>
      </c>
      <c r="S51" s="14">
        <f>S$22*Assumptions!$B$14</f>
        <v>377940.2953</v>
      </c>
      <c r="T51" s="14">
        <f>T$22*Assumptions!$B$14</f>
        <v>376050.5938</v>
      </c>
      <c r="U51" s="14">
        <f>U$22*Assumptions!$B$14</f>
        <v>374170.3408</v>
      </c>
      <c r="V51" s="14">
        <f>V$22*Assumptions!$B$14</f>
        <v>372299.4891</v>
      </c>
      <c r="W51" s="14">
        <f>SUM(C$51:V$51)</f>
        <v>7812401.666</v>
      </c>
    </row>
    <row r="52" ht="15.75" customHeight="1">
      <c r="A52" s="6" t="s">
        <v>137</v>
      </c>
      <c r="C52" s="14">
        <f>C$21*Assumptions!$B$15</f>
        <v>5118.75</v>
      </c>
      <c r="D52" s="14">
        <f>D$21*Assumptions!$B$15</f>
        <v>5093.15625</v>
      </c>
      <c r="E52" s="14">
        <f>E$21*Assumptions!$B$15</f>
        <v>5067.690469</v>
      </c>
      <c r="F52" s="14">
        <f>F$21*Assumptions!$B$15</f>
        <v>5042.352016</v>
      </c>
      <c r="G52" s="14">
        <f>G$21*Assumptions!$B$15</f>
        <v>5017.140256</v>
      </c>
      <c r="H52" s="14">
        <f>H$21*Assumptions!$B$15</f>
        <v>4992.054555</v>
      </c>
      <c r="I52" s="14">
        <f>I$21*Assumptions!$B$15</f>
        <v>4967.094282</v>
      </c>
      <c r="J52" s="14">
        <f>J$21*Assumptions!$B$15</f>
        <v>4942.258811</v>
      </c>
      <c r="K52" s="14">
        <f>K$21*Assumptions!$B$15</f>
        <v>4917.547517</v>
      </c>
      <c r="L52" s="14">
        <f>L$21*Assumptions!$B$15</f>
        <v>4892.959779</v>
      </c>
      <c r="M52" s="14">
        <f>M$21*Assumptions!$B$15</f>
        <v>4868.49498</v>
      </c>
      <c r="N52" s="14">
        <f>N$21*Assumptions!$B$15</f>
        <v>4844.152505</v>
      </c>
      <c r="O52" s="14">
        <f>O$21*Assumptions!$B$15</f>
        <v>4819.931743</v>
      </c>
      <c r="P52" s="14">
        <f>P$21*Assumptions!$B$15</f>
        <v>4795.832084</v>
      </c>
      <c r="Q52" s="14">
        <f>Q$21*Assumptions!$B$15</f>
        <v>4771.852924</v>
      </c>
      <c r="R52" s="14">
        <f>R$21*Assumptions!$B$15</f>
        <v>4747.993659</v>
      </c>
      <c r="S52" s="14">
        <f>S$21*Assumptions!$B$15</f>
        <v>4724.253691</v>
      </c>
      <c r="T52" s="14">
        <f>T$21*Assumptions!$B$15</f>
        <v>4700.632422</v>
      </c>
      <c r="U52" s="14">
        <f>U$21*Assumptions!$B$15</f>
        <v>4677.12926</v>
      </c>
      <c r="V52" s="14">
        <f>V$21*Assumptions!$B$15</f>
        <v>4653.743614</v>
      </c>
      <c r="W52" s="14">
        <f>SUM(C$52:V$52)</f>
        <v>97655.02082</v>
      </c>
    </row>
    <row r="53" ht="15.75" customHeight="1">
      <c r="A53" s="6" t="s">
        <v>138</v>
      </c>
      <c r="C53" s="14">
        <f>C$25*Assumptions!$B$43</f>
        <v>492584.7711</v>
      </c>
      <c r="D53" s="14">
        <f>D$25*Assumptions!$B$43</f>
        <v>485833.6092</v>
      </c>
      <c r="E53" s="14">
        <f>E$25*Assumptions!$B$43</f>
        <v>479082.4474</v>
      </c>
      <c r="F53" s="14">
        <f>F$25*Assumptions!$B$43</f>
        <v>472331.2856</v>
      </c>
      <c r="G53" s="14">
        <f>G$25*Assumptions!$B$43</f>
        <v>465580.1237</v>
      </c>
      <c r="H53" s="14">
        <f>H$25*Assumptions!$B$43</f>
        <v>458828.9619</v>
      </c>
      <c r="I53" s="14">
        <f>I$25*Assumptions!$B$43</f>
        <v>452077.8</v>
      </c>
      <c r="J53" s="14">
        <f>J$25*Assumptions!$B$43</f>
        <v>445326.6382</v>
      </c>
      <c r="K53" s="14">
        <f>K$25*Assumptions!$B$43</f>
        <v>438575.4764</v>
      </c>
      <c r="L53" s="14">
        <f>L$25*Assumptions!$B$43</f>
        <v>431824.3145</v>
      </c>
      <c r="M53" s="14">
        <f>M$25*Assumptions!$B$43</f>
        <v>425073.1527</v>
      </c>
      <c r="N53" s="14">
        <f>N$25*Assumptions!$B$43</f>
        <v>418321.9909</v>
      </c>
      <c r="O53" s="14">
        <f>O$25*Assumptions!$B$43</f>
        <v>411570.829</v>
      </c>
      <c r="P53" s="14">
        <f>P$25*Assumptions!$B$43</f>
        <v>404819.6672</v>
      </c>
      <c r="Q53" s="14">
        <f>Q$25*Assumptions!$B$43</f>
        <v>398068.5054</v>
      </c>
      <c r="R53" s="14">
        <f>R$25*Assumptions!$B$43</f>
        <v>391317.3435</v>
      </c>
      <c r="S53" s="14">
        <f>S$25*Assumptions!$B$43</f>
        <v>384566.1817</v>
      </c>
      <c r="T53" s="14">
        <f>T$25*Assumptions!$B$43</f>
        <v>377815.0198</v>
      </c>
      <c r="U53" s="14">
        <f>U$25*Assumptions!$B$43</f>
        <v>371063.858</v>
      </c>
      <c r="V53" s="14">
        <f>V$25*Assumptions!$B$43</f>
        <v>364312.6962</v>
      </c>
      <c r="W53" s="14">
        <f>SUM(C$53:V$53)</f>
        <v>8568974.672</v>
      </c>
    </row>
    <row r="54" ht="15.75" customHeight="1">
      <c r="A54" s="36" t="s">
        <v>139</v>
      </c>
      <c r="B54" s="36"/>
      <c r="C54" s="37">
        <f t="shared" ref="C54:V54" si="11">C$51+C$52+C$53</f>
        <v>907203.5211</v>
      </c>
      <c r="D54" s="37">
        <f t="shared" si="11"/>
        <v>898379.2655</v>
      </c>
      <c r="E54" s="37">
        <f t="shared" si="11"/>
        <v>889565.3754</v>
      </c>
      <c r="F54" s="37">
        <f t="shared" si="11"/>
        <v>880761.7989</v>
      </c>
      <c r="G54" s="37">
        <f t="shared" si="11"/>
        <v>871968.4845</v>
      </c>
      <c r="H54" s="37">
        <f t="shared" si="11"/>
        <v>863185.3808</v>
      </c>
      <c r="I54" s="37">
        <f t="shared" si="11"/>
        <v>854412.4369</v>
      </c>
      <c r="J54" s="37">
        <f t="shared" si="11"/>
        <v>845649.6019</v>
      </c>
      <c r="K54" s="37">
        <f t="shared" si="11"/>
        <v>836896.8252</v>
      </c>
      <c r="L54" s="37">
        <f t="shared" si="11"/>
        <v>828154.0567</v>
      </c>
      <c r="M54" s="37">
        <f t="shared" si="11"/>
        <v>819421.2461</v>
      </c>
      <c r="N54" s="37">
        <f t="shared" si="11"/>
        <v>810698.3438</v>
      </c>
      <c r="O54" s="37">
        <f t="shared" si="11"/>
        <v>801985.3002</v>
      </c>
      <c r="P54" s="37">
        <f t="shared" si="11"/>
        <v>793282.066</v>
      </c>
      <c r="Q54" s="37">
        <f t="shared" si="11"/>
        <v>784588.5922</v>
      </c>
      <c r="R54" s="37">
        <f t="shared" si="11"/>
        <v>775904.8299</v>
      </c>
      <c r="S54" s="37">
        <f t="shared" si="11"/>
        <v>767230.7306</v>
      </c>
      <c r="T54" s="37">
        <f t="shared" si="11"/>
        <v>758566.2461</v>
      </c>
      <c r="U54" s="37">
        <f t="shared" si="11"/>
        <v>749911.3281</v>
      </c>
      <c r="V54" s="37">
        <f t="shared" si="11"/>
        <v>741265.9289</v>
      </c>
      <c r="W54" s="37">
        <f>SUM(C$54:V$54)</f>
        <v>16479031.36</v>
      </c>
    </row>
    <row r="55" ht="15.75" customHeight="1">
      <c r="A55" s="6" t="s">
        <v>140</v>
      </c>
      <c r="C55" s="14">
        <f>C$27*Assumptions!$B$25*(1+Assumptions!$B$36)^(C$19-1)</f>
        <v>62291.88</v>
      </c>
      <c r="D55" s="14">
        <f>D$27*Assumptions!$B$25*(1+Assumptions!$B$36)^(D$19-1)</f>
        <v>60927.33166</v>
      </c>
      <c r="E55" s="14">
        <f>E$27*Assumptions!$B$25*(1+Assumptions!$B$36)^(E$19-1)</f>
        <v>59525.99964</v>
      </c>
      <c r="F55" s="14">
        <f>F$27*Assumptions!$B$25*(1+Assumptions!$B$36)^(F$19-1)</f>
        <v>58087.26857</v>
      </c>
      <c r="G55" s="14">
        <f>G$27*Assumptions!$B$25*(1+Assumptions!$B$36)^(G$19-1)</f>
        <v>56610.51436</v>
      </c>
      <c r="H55" s="14">
        <f>H$27*Assumptions!$B$25*(1+Assumptions!$B$36)^(H$19-1)</f>
        <v>55095.10412</v>
      </c>
      <c r="I55" s="14">
        <f>I$27*Assumptions!$B$25*(1+Assumptions!$B$36)^(I$19-1)</f>
        <v>53540.396</v>
      </c>
      <c r="J55" s="14">
        <f>J$27*Assumptions!$B$25*(1+Assumptions!$B$36)^(J$19-1)</f>
        <v>51945.73911</v>
      </c>
      <c r="K55" s="14">
        <f>K$27*Assumptions!$B$25*(1+Assumptions!$B$36)^(K$19-1)</f>
        <v>50310.47338</v>
      </c>
      <c r="L55" s="14">
        <f>L$27*Assumptions!$B$25*(1+Assumptions!$B$36)^(L$19-1)</f>
        <v>48633.92947</v>
      </c>
      <c r="M55" s="14">
        <f>M$27*Assumptions!$B$25*(1+Assumptions!$B$36)^(M$19-1)</f>
        <v>46915.42861</v>
      </c>
      <c r="N55" s="14">
        <f>N$27*Assumptions!$B$25*(1+Assumptions!$B$36)^(N$19-1)</f>
        <v>45154.28251</v>
      </c>
      <c r="O55" s="14">
        <f>O$27*Assumptions!$B$25*(1+Assumptions!$B$36)^(O$19-1)</f>
        <v>43349.79324</v>
      </c>
      <c r="P55" s="14">
        <f>P$27*Assumptions!$B$25*(1+Assumptions!$B$36)^(P$19-1)</f>
        <v>41501.25307</v>
      </c>
      <c r="Q55" s="14">
        <f>Q$27*Assumptions!$B$25*(1+Assumptions!$B$36)^(Q$19-1)</f>
        <v>39607.94437</v>
      </c>
      <c r="R55" s="14">
        <f>R$27*Assumptions!$B$25*(1+Assumptions!$B$36)^(R$19-1)</f>
        <v>37669.1395</v>
      </c>
      <c r="S55" s="14">
        <f>S$27*Assumptions!$B$25*(1+Assumptions!$B$36)^(S$19-1)</f>
        <v>35684.10062</v>
      </c>
      <c r="T55" s="14">
        <f>T$27*Assumptions!$B$25*(1+Assumptions!$B$36)^(T$19-1)</f>
        <v>33652.07963</v>
      </c>
      <c r="U55" s="14">
        <f>U$27*Assumptions!$B$25*(1+Assumptions!$B$36)^(U$19-1)</f>
        <v>31572.318</v>
      </c>
      <c r="V55" s="14">
        <f>V$27*Assumptions!$B$25*(1+Assumptions!$B$36)^(V$19-1)</f>
        <v>29444.04662</v>
      </c>
      <c r="W55" s="14">
        <f>SUM(C$55:V$55)</f>
        <v>941519.0225</v>
      </c>
    </row>
    <row r="56" ht="15.75" customHeight="1">
      <c r="A56" s="6" t="s">
        <v>141</v>
      </c>
      <c r="C56" s="14">
        <f>$B$5*Assumptions!$B$16*(1+Assumptions!$B$36)^(C$19-1)</f>
        <v>45000</v>
      </c>
      <c r="D56" s="14">
        <f>$B$5*Assumptions!$B$16*(1+Assumptions!$B$36)^(D$19-1)</f>
        <v>45450</v>
      </c>
      <c r="E56" s="14">
        <f>$B$5*Assumptions!$B$16*(1+Assumptions!$B$36)^(E$19-1)</f>
        <v>45904.5</v>
      </c>
      <c r="F56" s="14">
        <f>$B$5*Assumptions!$B$16*(1+Assumptions!$B$36)^(F$19-1)</f>
        <v>46363.545</v>
      </c>
      <c r="G56" s="14">
        <f>$B$5*Assumptions!$B$16*(1+Assumptions!$B$36)^(G$19-1)</f>
        <v>46827.18045</v>
      </c>
      <c r="H56" s="14">
        <f>$B$5*Assumptions!$B$16*(1+Assumptions!$B$36)^(H$19-1)</f>
        <v>47295.45225</v>
      </c>
      <c r="I56" s="14">
        <f>$B$5*Assumptions!$B$16*(1+Assumptions!$B$36)^(I$19-1)</f>
        <v>47768.40678</v>
      </c>
      <c r="J56" s="14">
        <f>$B$5*Assumptions!$B$16*(1+Assumptions!$B$36)^(J$19-1)</f>
        <v>48246.09084</v>
      </c>
      <c r="K56" s="14">
        <f>$B$5*Assumptions!$B$16*(1+Assumptions!$B$36)^(K$19-1)</f>
        <v>48728.55175</v>
      </c>
      <c r="L56" s="14">
        <f>$B$5*Assumptions!$B$16*(1+Assumptions!$B$36)^(L$19-1)</f>
        <v>49215.83727</v>
      </c>
      <c r="M56" s="14">
        <f>$B$5*Assumptions!$B$16*(1+Assumptions!$B$36)^(M$19-1)</f>
        <v>49707.99564</v>
      </c>
      <c r="N56" s="14">
        <f>$B$5*Assumptions!$B$16*(1+Assumptions!$B$36)^(N$19-1)</f>
        <v>50205.0756</v>
      </c>
      <c r="O56" s="14">
        <f>$B$5*Assumptions!$B$16*(1+Assumptions!$B$36)^(O$19-1)</f>
        <v>50707.12636</v>
      </c>
      <c r="P56" s="14">
        <f>$B$5*Assumptions!$B$16*(1+Assumptions!$B$36)^(P$19-1)</f>
        <v>51214.19762</v>
      </c>
      <c r="Q56" s="14">
        <f>$B$5*Assumptions!$B$16*(1+Assumptions!$B$36)^(Q$19-1)</f>
        <v>51726.3396</v>
      </c>
      <c r="R56" s="14">
        <f>$B$5*Assumptions!$B$16*(1+Assumptions!$B$36)^(R$19-1)</f>
        <v>52243.60299</v>
      </c>
      <c r="S56" s="14">
        <f>$B$5*Assumptions!$B$16*(1+Assumptions!$B$36)^(S$19-1)</f>
        <v>52766.03902</v>
      </c>
      <c r="T56" s="14">
        <f>$B$5*Assumptions!$B$16*(1+Assumptions!$B$36)^(T$19-1)</f>
        <v>53293.69941</v>
      </c>
      <c r="U56" s="14">
        <f>$B$5*Assumptions!$B$16*(1+Assumptions!$B$36)^(U$19-1)</f>
        <v>53826.63641</v>
      </c>
      <c r="V56" s="14">
        <f>$B$5*Assumptions!$B$16*(1+Assumptions!$B$36)^(V$19-1)</f>
        <v>54364.90277</v>
      </c>
      <c r="W56" s="14">
        <f>SUM(C$56:V$56)</f>
        <v>990855.1798</v>
      </c>
    </row>
    <row r="57" ht="15.75" customHeight="1">
      <c r="A57" s="6" t="s">
        <v>142</v>
      </c>
      <c r="C57" s="14">
        <f>($B$6*Assumptions!$B$26+$B$6*Assumptions!$B$27+$B$7*Assumptions!$B$28+Assumptions!$B$29)*(1+Assumptions!$B$36)^(C$19-1)</f>
        <v>45100</v>
      </c>
      <c r="D57" s="14">
        <f>($B$6*Assumptions!$B$26+$B$6*Assumptions!$B$27+$B$7*Assumptions!$B$28+Assumptions!$B$29)*(1+Assumptions!$B$36)^(D$19-1)</f>
        <v>45551</v>
      </c>
      <c r="E57" s="14">
        <f>($B$6*Assumptions!$B$26+$B$6*Assumptions!$B$27+$B$7*Assumptions!$B$28+Assumptions!$B$29)*(1+Assumptions!$B$36)^(E$19-1)</f>
        <v>46006.51</v>
      </c>
      <c r="F57" s="14">
        <f>($B$6*Assumptions!$B$26+$B$6*Assumptions!$B$27+$B$7*Assumptions!$B$28+Assumptions!$B$29)*(1+Assumptions!$B$36)^(F$19-1)</f>
        <v>46466.5751</v>
      </c>
      <c r="G57" s="14">
        <f>($B$6*Assumptions!$B$26+$B$6*Assumptions!$B$27+$B$7*Assumptions!$B$28+Assumptions!$B$29)*(1+Assumptions!$B$36)^(G$19-1)</f>
        <v>46931.24085</v>
      </c>
      <c r="H57" s="14">
        <f>($B$6*Assumptions!$B$26+$B$6*Assumptions!$B$27+$B$7*Assumptions!$B$28+Assumptions!$B$29)*(1+Assumptions!$B$36)^(H$19-1)</f>
        <v>47400.55326</v>
      </c>
      <c r="I57" s="14">
        <f>($B$6*Assumptions!$B$26+$B$6*Assumptions!$B$27+$B$7*Assumptions!$B$28+Assumptions!$B$29)*(1+Assumptions!$B$36)^(I$19-1)</f>
        <v>47874.55879</v>
      </c>
      <c r="J57" s="14">
        <f>($B$6*Assumptions!$B$26+$B$6*Assumptions!$B$27+$B$7*Assumptions!$B$28+Assumptions!$B$29)*(1+Assumptions!$B$36)^(J$19-1)</f>
        <v>48353.30438</v>
      </c>
      <c r="K57" s="14">
        <f>($B$6*Assumptions!$B$26+$B$6*Assumptions!$B$27+$B$7*Assumptions!$B$28+Assumptions!$B$29)*(1+Assumptions!$B$36)^(K$19-1)</f>
        <v>48836.83742</v>
      </c>
      <c r="L57" s="14">
        <f>($B$6*Assumptions!$B$26+$B$6*Assumptions!$B$27+$B$7*Assumptions!$B$28+Assumptions!$B$29)*(1+Assumptions!$B$36)^(L$19-1)</f>
        <v>49325.2058</v>
      </c>
      <c r="M57" s="14">
        <f>($B$6*Assumptions!$B$26+$B$6*Assumptions!$B$27+$B$7*Assumptions!$B$28+Assumptions!$B$29)*(1+Assumptions!$B$36)^(M$19-1)</f>
        <v>49818.45786</v>
      </c>
      <c r="N57" s="14">
        <f>($B$6*Assumptions!$B$26+$B$6*Assumptions!$B$27+$B$7*Assumptions!$B$28+Assumptions!$B$29)*(1+Assumptions!$B$36)^(N$19-1)</f>
        <v>50316.64243</v>
      </c>
      <c r="O57" s="14">
        <f>($B$6*Assumptions!$B$26+$B$6*Assumptions!$B$27+$B$7*Assumptions!$B$28+Assumptions!$B$29)*(1+Assumptions!$B$36)^(O$19-1)</f>
        <v>50819.80886</v>
      </c>
      <c r="P57" s="14">
        <f>($B$6*Assumptions!$B$26+$B$6*Assumptions!$B$27+$B$7*Assumptions!$B$28+Assumptions!$B$29)*(1+Assumptions!$B$36)^(P$19-1)</f>
        <v>51328.00695</v>
      </c>
      <c r="Q57" s="14">
        <f>($B$6*Assumptions!$B$26+$B$6*Assumptions!$B$27+$B$7*Assumptions!$B$28+Assumptions!$B$29)*(1+Assumptions!$B$36)^(Q$19-1)</f>
        <v>51841.28702</v>
      </c>
      <c r="R57" s="14">
        <f>($B$6*Assumptions!$B$26+$B$6*Assumptions!$B$27+$B$7*Assumptions!$B$28+Assumptions!$B$29)*(1+Assumptions!$B$36)^(R$19-1)</f>
        <v>52359.69989</v>
      </c>
      <c r="S57" s="14">
        <f>($B$6*Assumptions!$B$26+$B$6*Assumptions!$B$27+$B$7*Assumptions!$B$28+Assumptions!$B$29)*(1+Assumptions!$B$36)^(S$19-1)</f>
        <v>52883.29689</v>
      </c>
      <c r="T57" s="14">
        <f>($B$6*Assumptions!$B$26+$B$6*Assumptions!$B$27+$B$7*Assumptions!$B$28+Assumptions!$B$29)*(1+Assumptions!$B$36)^(T$19-1)</f>
        <v>53412.12985</v>
      </c>
      <c r="U57" s="14">
        <f>($B$6*Assumptions!$B$26+$B$6*Assumptions!$B$27+$B$7*Assumptions!$B$28+Assumptions!$B$29)*(1+Assumptions!$B$36)^(U$19-1)</f>
        <v>53946.25115</v>
      </c>
      <c r="V57" s="14">
        <f>($B$6*Assumptions!$B$26+$B$6*Assumptions!$B$27+$B$7*Assumptions!$B$28+Assumptions!$B$29)*(1+Assumptions!$B$36)^(V$19-1)</f>
        <v>54485.71367</v>
      </c>
      <c r="W57" s="14">
        <f>SUM(C$57:V$57)</f>
        <v>993057.0802</v>
      </c>
    </row>
    <row r="58" ht="15.75" customHeight="1">
      <c r="A58" s="6" t="s">
        <v>143</v>
      </c>
      <c r="C58" s="14">
        <f>IF(C$19&lt;=5,0,IF(C$19&lt;=10,Assumptions!$B$30,IF(C$19&lt;=15,Assumptions!$B$31,Assumptions!$B$32)))*$B$6*(1+Assumptions!$B$36)^(C$19-1)</f>
        <v>0</v>
      </c>
      <c r="D58" s="14">
        <f>IF(D$19&lt;=5,0,IF(D$19&lt;=10,Assumptions!$B$30,IF(D$19&lt;=15,Assumptions!$B$31,Assumptions!$B$32)))*$B$6*(1+Assumptions!$B$36)^(D$19-1)</f>
        <v>0</v>
      </c>
      <c r="E58" s="14">
        <f>IF(E$19&lt;=5,0,IF(E$19&lt;=10,Assumptions!$B$30,IF(E$19&lt;=15,Assumptions!$B$31,Assumptions!$B$32)))*$B$6*(1+Assumptions!$B$36)^(E$19-1)</f>
        <v>0</v>
      </c>
      <c r="F58" s="14">
        <f>IF(F$19&lt;=5,0,IF(F$19&lt;=10,Assumptions!$B$30,IF(F$19&lt;=15,Assumptions!$B$31,Assumptions!$B$32)))*$B$6*(1+Assumptions!$B$36)^(F$19-1)</f>
        <v>0</v>
      </c>
      <c r="G58" s="14">
        <f>IF(G$19&lt;=5,0,IF(G$19&lt;=10,Assumptions!$B$30,IF(G$19&lt;=15,Assumptions!$B$31,Assumptions!$B$32)))*$B$6*(1+Assumptions!$B$36)^(G$19-1)</f>
        <v>0</v>
      </c>
      <c r="H58" s="14">
        <f>IF(H$19&lt;=5,0,IF(H$19&lt;=10,Assumptions!$B$30,IF(H$19&lt;=15,Assumptions!$B$31,Assumptions!$B$32)))*$B$6*(1+Assumptions!$B$36)^(H$19-1)</f>
        <v>22701.81708</v>
      </c>
      <c r="I58" s="14">
        <f>IF(I$19&lt;=5,0,IF(I$19&lt;=10,Assumptions!$B$30,IF(I$19&lt;=15,Assumptions!$B$31,Assumptions!$B$32)))*$B$6*(1+Assumptions!$B$36)^(I$19-1)</f>
        <v>22928.83525</v>
      </c>
      <c r="J58" s="14">
        <f>IF(J$19&lt;=5,0,IF(J$19&lt;=10,Assumptions!$B$30,IF(J$19&lt;=15,Assumptions!$B$31,Assumptions!$B$32)))*$B$6*(1+Assumptions!$B$36)^(J$19-1)</f>
        <v>23158.12361</v>
      </c>
      <c r="K58" s="14">
        <f>IF(K$19&lt;=5,0,IF(K$19&lt;=10,Assumptions!$B$30,IF(K$19&lt;=15,Assumptions!$B$31,Assumptions!$B$32)))*$B$6*(1+Assumptions!$B$36)^(K$19-1)</f>
        <v>23389.70484</v>
      </c>
      <c r="L58" s="14">
        <f>IF(L$19&lt;=5,0,IF(L$19&lt;=10,Assumptions!$B$30,IF(L$19&lt;=15,Assumptions!$B$31,Assumptions!$B$32)))*$B$6*(1+Assumptions!$B$36)^(L$19-1)</f>
        <v>23623.60189</v>
      </c>
      <c r="M58" s="14">
        <f>IF(M$19&lt;=5,0,IF(M$19&lt;=10,Assumptions!$B$30,IF(M$19&lt;=15,Assumptions!$B$31,Assumptions!$B$32)))*$B$6*(1+Assumptions!$B$36)^(M$19-1)</f>
        <v>27836.47756</v>
      </c>
      <c r="N58" s="14">
        <f>IF(N$19&lt;=5,0,IF(N$19&lt;=10,Assumptions!$B$30,IF(N$19&lt;=15,Assumptions!$B$31,Assumptions!$B$32)))*$B$6*(1+Assumptions!$B$36)^(N$19-1)</f>
        <v>28114.84234</v>
      </c>
      <c r="O58" s="14">
        <f>IF(O$19&lt;=5,0,IF(O$19&lt;=10,Assumptions!$B$30,IF(O$19&lt;=15,Assumptions!$B$31,Assumptions!$B$32)))*$B$6*(1+Assumptions!$B$36)^(O$19-1)</f>
        <v>28395.99076</v>
      </c>
      <c r="P58" s="14">
        <f>IF(P$19&lt;=5,0,IF(P$19&lt;=10,Assumptions!$B$30,IF(P$19&lt;=15,Assumptions!$B$31,Assumptions!$B$32)))*$B$6*(1+Assumptions!$B$36)^(P$19-1)</f>
        <v>28679.95067</v>
      </c>
      <c r="Q58" s="14">
        <f>IF(Q$19&lt;=5,0,IF(Q$19&lt;=10,Assumptions!$B$30,IF(Q$19&lt;=15,Assumptions!$B$31,Assumptions!$B$32)))*$B$6*(1+Assumptions!$B$36)^(Q$19-1)</f>
        <v>28966.75017</v>
      </c>
      <c r="R58" s="14">
        <f>IF(R$19&lt;=5,0,IF(R$19&lt;=10,Assumptions!$B$30,IF(R$19&lt;=15,Assumptions!$B$31,Assumptions!$B$32)))*$B$6*(1+Assumptions!$B$36)^(R$19-1)</f>
        <v>34132.48729</v>
      </c>
      <c r="S58" s="14">
        <f>IF(S$19&lt;=5,0,IF(S$19&lt;=10,Assumptions!$B$30,IF(S$19&lt;=15,Assumptions!$B$31,Assumptions!$B$32)))*$B$6*(1+Assumptions!$B$36)^(S$19-1)</f>
        <v>34473.81216</v>
      </c>
      <c r="T58" s="14">
        <f>IF(T$19&lt;=5,0,IF(T$19&lt;=10,Assumptions!$B$30,IF(T$19&lt;=15,Assumptions!$B$31,Assumptions!$B$32)))*$B$6*(1+Assumptions!$B$36)^(T$19-1)</f>
        <v>34818.55028</v>
      </c>
      <c r="U58" s="14">
        <f>IF(U$19&lt;=5,0,IF(U$19&lt;=10,Assumptions!$B$30,IF(U$19&lt;=15,Assumptions!$B$31,Assumptions!$B$32)))*$B$6*(1+Assumptions!$B$36)^(U$19-1)</f>
        <v>35166.73579</v>
      </c>
      <c r="V58" s="14">
        <f>IF(V$19&lt;=5,0,IF(V$19&lt;=10,Assumptions!$B$30,IF(V$19&lt;=15,Assumptions!$B$31,Assumptions!$B$32)))*$B$6*(1+Assumptions!$B$36)^(V$19-1)</f>
        <v>35518.40314</v>
      </c>
      <c r="W58" s="14">
        <f>SUM(C$58:V$58)</f>
        <v>431906.0828</v>
      </c>
    </row>
    <row r="59" ht="15.75" customHeight="1">
      <c r="A59" s="36" t="s">
        <v>144</v>
      </c>
      <c r="B59" s="36"/>
      <c r="C59" s="37">
        <f t="shared" ref="C59:V59" si="12">C$55+C$56+C$57+C$58</f>
        <v>152391.88</v>
      </c>
      <c r="D59" s="37">
        <f t="shared" si="12"/>
        <v>151928.3317</v>
      </c>
      <c r="E59" s="37">
        <f t="shared" si="12"/>
        <v>151437.0096</v>
      </c>
      <c r="F59" s="37">
        <f t="shared" si="12"/>
        <v>150917.3887</v>
      </c>
      <c r="G59" s="37">
        <f t="shared" si="12"/>
        <v>150368.9357</v>
      </c>
      <c r="H59" s="37">
        <f t="shared" si="12"/>
        <v>172492.9267</v>
      </c>
      <c r="I59" s="37">
        <f t="shared" si="12"/>
        <v>172112.1968</v>
      </c>
      <c r="J59" s="37">
        <f t="shared" si="12"/>
        <v>171703.2579</v>
      </c>
      <c r="K59" s="37">
        <f t="shared" si="12"/>
        <v>171265.5674</v>
      </c>
      <c r="L59" s="37">
        <f t="shared" si="12"/>
        <v>170798.5744</v>
      </c>
      <c r="M59" s="37">
        <f t="shared" si="12"/>
        <v>174278.3597</v>
      </c>
      <c r="N59" s="37">
        <f t="shared" si="12"/>
        <v>173790.8429</v>
      </c>
      <c r="O59" s="37">
        <f t="shared" si="12"/>
        <v>173272.7192</v>
      </c>
      <c r="P59" s="37">
        <f t="shared" si="12"/>
        <v>172723.4083</v>
      </c>
      <c r="Q59" s="37">
        <f t="shared" si="12"/>
        <v>172142.3212</v>
      </c>
      <c r="R59" s="37">
        <f t="shared" si="12"/>
        <v>176404.9297</v>
      </c>
      <c r="S59" s="37">
        <f t="shared" si="12"/>
        <v>175807.2487</v>
      </c>
      <c r="T59" s="37">
        <f t="shared" si="12"/>
        <v>175176.4592</v>
      </c>
      <c r="U59" s="37">
        <f t="shared" si="12"/>
        <v>174511.9413</v>
      </c>
      <c r="V59" s="37">
        <f t="shared" si="12"/>
        <v>173813.0662</v>
      </c>
      <c r="W59" s="37">
        <f>SUM(C$59:V$59)</f>
        <v>3357337.365</v>
      </c>
    </row>
    <row r="60" ht="15.75" customHeight="1">
      <c r="A60" s="36" t="s">
        <v>145</v>
      </c>
      <c r="B60" s="36"/>
      <c r="C60" s="37">
        <f t="shared" ref="C60:V60" si="13">C$54-C$59</f>
        <v>754811.6411</v>
      </c>
      <c r="D60" s="37">
        <f t="shared" si="13"/>
        <v>746450.9338</v>
      </c>
      <c r="E60" s="37">
        <f t="shared" si="13"/>
        <v>738128.3657</v>
      </c>
      <c r="F60" s="37">
        <f t="shared" si="13"/>
        <v>729844.4102</v>
      </c>
      <c r="G60" s="37">
        <f t="shared" si="13"/>
        <v>721599.5488</v>
      </c>
      <c r="H60" s="37">
        <f t="shared" si="13"/>
        <v>690692.4541</v>
      </c>
      <c r="I60" s="37">
        <f t="shared" si="13"/>
        <v>682300.2401</v>
      </c>
      <c r="J60" s="37">
        <f t="shared" si="13"/>
        <v>673946.344</v>
      </c>
      <c r="K60" s="37">
        <f t="shared" si="13"/>
        <v>665631.2578</v>
      </c>
      <c r="L60" s="37">
        <f t="shared" si="13"/>
        <v>657355.4822</v>
      </c>
      <c r="M60" s="37">
        <f t="shared" si="13"/>
        <v>645142.8864</v>
      </c>
      <c r="N60" s="37">
        <f t="shared" si="13"/>
        <v>636907.5009</v>
      </c>
      <c r="O60" s="37">
        <f t="shared" si="13"/>
        <v>628712.581</v>
      </c>
      <c r="P60" s="37">
        <f t="shared" si="13"/>
        <v>620558.6577</v>
      </c>
      <c r="Q60" s="37">
        <f t="shared" si="13"/>
        <v>612446.271</v>
      </c>
      <c r="R60" s="37">
        <f t="shared" si="13"/>
        <v>599499.9002</v>
      </c>
      <c r="S60" s="37">
        <f t="shared" si="13"/>
        <v>591423.482</v>
      </c>
      <c r="T60" s="37">
        <f t="shared" si="13"/>
        <v>583389.7869</v>
      </c>
      <c r="U60" s="37">
        <f t="shared" si="13"/>
        <v>575399.3867</v>
      </c>
      <c r="V60" s="37">
        <f t="shared" si="13"/>
        <v>567452.8627</v>
      </c>
      <c r="W60" s="37">
        <f>SUM(C$60:V$60)</f>
        <v>13121693.99</v>
      </c>
    </row>
    <row r="61" ht="15.75" customHeight="1">
      <c r="A61" s="6" t="s">
        <v>146</v>
      </c>
      <c r="C61" s="14">
        <f t="shared" ref="C61:V61" si="14">$B$15</f>
        <v>206487.75</v>
      </c>
      <c r="D61" s="14">
        <f t="shared" si="14"/>
        <v>206487.75</v>
      </c>
      <c r="E61" s="14">
        <f t="shared" si="14"/>
        <v>206487.75</v>
      </c>
      <c r="F61" s="14">
        <f t="shared" si="14"/>
        <v>206487.75</v>
      </c>
      <c r="G61" s="14">
        <f t="shared" si="14"/>
        <v>206487.75</v>
      </c>
      <c r="H61" s="14">
        <f t="shared" si="14"/>
        <v>206487.75</v>
      </c>
      <c r="I61" s="14">
        <f t="shared" si="14"/>
        <v>206487.75</v>
      </c>
      <c r="J61" s="14">
        <f t="shared" si="14"/>
        <v>206487.75</v>
      </c>
      <c r="K61" s="14">
        <f t="shared" si="14"/>
        <v>206487.75</v>
      </c>
      <c r="L61" s="14">
        <f t="shared" si="14"/>
        <v>206487.75</v>
      </c>
      <c r="M61" s="14">
        <f t="shared" si="14"/>
        <v>206487.75</v>
      </c>
      <c r="N61" s="14">
        <f t="shared" si="14"/>
        <v>206487.75</v>
      </c>
      <c r="O61" s="14">
        <f t="shared" si="14"/>
        <v>206487.75</v>
      </c>
      <c r="P61" s="14">
        <f t="shared" si="14"/>
        <v>206487.75</v>
      </c>
      <c r="Q61" s="14">
        <f t="shared" si="14"/>
        <v>206487.75</v>
      </c>
      <c r="R61" s="14">
        <f t="shared" si="14"/>
        <v>206487.75</v>
      </c>
      <c r="S61" s="14">
        <f t="shared" si="14"/>
        <v>206487.75</v>
      </c>
      <c r="T61" s="14">
        <f t="shared" si="14"/>
        <v>206487.75</v>
      </c>
      <c r="U61" s="14">
        <f t="shared" si="14"/>
        <v>206487.75</v>
      </c>
      <c r="V61" s="14">
        <f t="shared" si="14"/>
        <v>206487.75</v>
      </c>
      <c r="W61" s="14">
        <f>SUM(C$61:V$61)</f>
        <v>4129755</v>
      </c>
    </row>
    <row r="62" ht="15.75" customHeight="1">
      <c r="A62" s="6" t="s">
        <v>147</v>
      </c>
      <c r="C62" s="14">
        <f>IF(C$19&lt;=Assumptions!$B$39,-IPMT(Assumptions!$B$38,C$19,Assumptions!$B$39,$B$13),0)</f>
        <v>69976.2</v>
      </c>
      <c r="D62" s="14">
        <f>IF(D$19&lt;=Assumptions!$B$39,-IPMT(Assumptions!$B$38,D$19,Assumptions!$B$39,$B$13),0)</f>
        <v>66733.34281</v>
      </c>
      <c r="E62" s="14">
        <f>IF(E$19&lt;=Assumptions!$B$39,-IPMT(Assumptions!$B$38,E$19,Assumptions!$B$39,$B$13),0)</f>
        <v>63328.34277</v>
      </c>
      <c r="F62" s="14">
        <f>IF(F$19&lt;=Assumptions!$B$39,-IPMT(Assumptions!$B$38,F$19,Assumptions!$B$39,$B$13),0)</f>
        <v>59753.09272</v>
      </c>
      <c r="G62" s="14">
        <f>IF(G$19&lt;=Assumptions!$B$39,-IPMT(Assumptions!$B$38,G$19,Assumptions!$B$39,$B$13),0)</f>
        <v>55999.08017</v>
      </c>
      <c r="H62" s="14">
        <f>IF(H$19&lt;=Assumptions!$B$39,-IPMT(Assumptions!$B$38,H$19,Assumptions!$B$39,$B$13),0)</f>
        <v>52057.36699</v>
      </c>
      <c r="I62" s="14">
        <f>IF(I$19&lt;=Assumptions!$B$39,-IPMT(Assumptions!$B$38,I$19,Assumptions!$B$39,$B$13),0)</f>
        <v>47918.56816</v>
      </c>
      <c r="J62" s="14">
        <f>IF(J$19&lt;=Assumptions!$B$39,-IPMT(Assumptions!$B$38,J$19,Assumptions!$B$39,$B$13),0)</f>
        <v>43572.82938</v>
      </c>
      <c r="K62" s="14">
        <f>IF(K$19&lt;=Assumptions!$B$39,-IPMT(Assumptions!$B$38,K$19,Assumptions!$B$39,$B$13),0)</f>
        <v>39009.80366</v>
      </c>
      <c r="L62" s="14">
        <f>IF(L$19&lt;=Assumptions!$B$39,-IPMT(Assumptions!$B$38,L$19,Assumptions!$B$39,$B$13),0)</f>
        <v>34218.62666</v>
      </c>
      <c r="M62" s="14">
        <f>IF(M$19&lt;=Assumptions!$B$39,-IPMT(Assumptions!$B$38,M$19,Assumptions!$B$39,$B$13),0)</f>
        <v>29187.8908</v>
      </c>
      <c r="N62" s="14">
        <f>IF(N$19&lt;=Assumptions!$B$39,-IPMT(Assumptions!$B$38,N$19,Assumptions!$B$39,$B$13),0)</f>
        <v>23905.61816</v>
      </c>
      <c r="O62" s="14">
        <f>IF(O$19&lt;=Assumptions!$B$39,-IPMT(Assumptions!$B$38,O$19,Assumptions!$B$39,$B$13),0)</f>
        <v>18359.23188</v>
      </c>
      <c r="P62" s="14">
        <f>IF(P$19&lt;=Assumptions!$B$39,-IPMT(Assumptions!$B$38,P$19,Assumptions!$B$39,$B$13),0)</f>
        <v>12535.52629</v>
      </c>
      <c r="Q62" s="14">
        <f>IF(Q$19&lt;=Assumptions!$B$39,-IPMT(Assumptions!$B$38,Q$19,Assumptions!$B$39,$B$13),0)</f>
        <v>6420.635415</v>
      </c>
      <c r="R62" s="14">
        <f>IF(R$19&lt;=Assumptions!$B$39,-IPMT(Assumptions!$B$38,R$19,Assumptions!$B$39,$B$13),0)</f>
        <v>0</v>
      </c>
      <c r="S62" s="14">
        <f>IF(S$19&lt;=Assumptions!$B$39,-IPMT(Assumptions!$B$38,S$19,Assumptions!$B$39,$B$13),0)</f>
        <v>0</v>
      </c>
      <c r="T62" s="14">
        <f>IF(T$19&lt;=Assumptions!$B$39,-IPMT(Assumptions!$B$38,T$19,Assumptions!$B$39,$B$13),0)</f>
        <v>0</v>
      </c>
      <c r="U62" s="14">
        <f>IF(U$19&lt;=Assumptions!$B$39,-IPMT(Assumptions!$B$38,U$19,Assumptions!$B$39,$B$13),0)</f>
        <v>0</v>
      </c>
      <c r="V62" s="14">
        <f>IF(V$19&lt;=Assumptions!$B$39,-IPMT(Assumptions!$B$38,V$19,Assumptions!$B$39,$B$13),0)</f>
        <v>0</v>
      </c>
      <c r="W62" s="14">
        <f>SUM(C$62:V$62)</f>
        <v>622976.1559</v>
      </c>
    </row>
    <row r="63" ht="15.75" customHeight="1">
      <c r="A63" s="6" t="s">
        <v>148</v>
      </c>
      <c r="C63" s="14">
        <f t="shared" ref="C63:V63" si="15">C$60-C$61-C$62</f>
        <v>478347.6911</v>
      </c>
      <c r="D63" s="14">
        <f t="shared" si="15"/>
        <v>473229.841</v>
      </c>
      <c r="E63" s="14">
        <f t="shared" si="15"/>
        <v>468312.273</v>
      </c>
      <c r="F63" s="14">
        <f t="shared" si="15"/>
        <v>463603.5675</v>
      </c>
      <c r="G63" s="14">
        <f t="shared" si="15"/>
        <v>459112.7187</v>
      </c>
      <c r="H63" s="14">
        <f t="shared" si="15"/>
        <v>432147.3371</v>
      </c>
      <c r="I63" s="14">
        <f t="shared" si="15"/>
        <v>427893.9219</v>
      </c>
      <c r="J63" s="14">
        <f t="shared" si="15"/>
        <v>423885.7646</v>
      </c>
      <c r="K63" s="14">
        <f t="shared" si="15"/>
        <v>420133.7042</v>
      </c>
      <c r="L63" s="14">
        <f t="shared" si="15"/>
        <v>416649.1056</v>
      </c>
      <c r="M63" s="14">
        <f t="shared" si="15"/>
        <v>409467.2456</v>
      </c>
      <c r="N63" s="14">
        <f t="shared" si="15"/>
        <v>406514.1328</v>
      </c>
      <c r="O63" s="14">
        <f t="shared" si="15"/>
        <v>403865.5991</v>
      </c>
      <c r="P63" s="14">
        <f t="shared" si="15"/>
        <v>401535.3814</v>
      </c>
      <c r="Q63" s="14">
        <f t="shared" si="15"/>
        <v>399537.8856</v>
      </c>
      <c r="R63" s="14">
        <f t="shared" si="15"/>
        <v>393012.1502</v>
      </c>
      <c r="S63" s="14">
        <f t="shared" si="15"/>
        <v>384935.732</v>
      </c>
      <c r="T63" s="14">
        <f t="shared" si="15"/>
        <v>376902.0369</v>
      </c>
      <c r="U63" s="14">
        <f t="shared" si="15"/>
        <v>368911.6367</v>
      </c>
      <c r="V63" s="14">
        <f t="shared" si="15"/>
        <v>360965.1127</v>
      </c>
      <c r="W63" s="14">
        <f>SUM(C$63:V$63)</f>
        <v>8368962.838</v>
      </c>
    </row>
    <row r="64" ht="15.75" customHeight="1">
      <c r="A64" s="6" t="s">
        <v>149</v>
      </c>
      <c r="C64" s="14">
        <f>MAX(0,C$63*Assumptions!$B$35)</f>
        <v>59793.46138</v>
      </c>
      <c r="D64" s="14">
        <f>MAX(0,D$63*Assumptions!$B$35)</f>
        <v>59153.73013</v>
      </c>
      <c r="E64" s="14">
        <f>MAX(0,E$63*Assumptions!$B$35)</f>
        <v>58539.03412</v>
      </c>
      <c r="F64" s="14">
        <f>MAX(0,F$63*Assumptions!$B$35)</f>
        <v>57950.44594</v>
      </c>
      <c r="G64" s="14">
        <f>MAX(0,G$63*Assumptions!$B$35)</f>
        <v>57389.08983</v>
      </c>
      <c r="H64" s="14">
        <f>MAX(0,H$63*Assumptions!$B$35)</f>
        <v>54018.41714</v>
      </c>
      <c r="I64" s="14">
        <f>MAX(0,I$63*Assumptions!$B$35)</f>
        <v>53486.74024</v>
      </c>
      <c r="J64" s="14">
        <f>MAX(0,J$63*Assumptions!$B$35)</f>
        <v>52985.72057</v>
      </c>
      <c r="K64" s="14">
        <f>MAX(0,K$63*Assumptions!$B$35)</f>
        <v>52516.71302</v>
      </c>
      <c r="L64" s="14">
        <f>MAX(0,L$63*Assumptions!$B$35)</f>
        <v>52081.1382</v>
      </c>
      <c r="M64" s="14">
        <f>MAX(0,M$63*Assumptions!$B$35)</f>
        <v>51183.4057</v>
      </c>
      <c r="N64" s="14">
        <f>MAX(0,N$63*Assumptions!$B$35)</f>
        <v>50814.2666</v>
      </c>
      <c r="O64" s="14">
        <f>MAX(0,O$63*Assumptions!$B$35)</f>
        <v>50483.19989</v>
      </c>
      <c r="P64" s="14">
        <f>MAX(0,P$63*Assumptions!$B$35)</f>
        <v>50191.92268</v>
      </c>
      <c r="Q64" s="14">
        <f>MAX(0,Q$63*Assumptions!$B$35)</f>
        <v>49942.2357</v>
      </c>
      <c r="R64" s="14">
        <f>MAX(0,R$63*Assumptions!$B$35)</f>
        <v>49126.51878</v>
      </c>
      <c r="S64" s="14">
        <f>MAX(0,S$63*Assumptions!$B$35)</f>
        <v>48116.96649</v>
      </c>
      <c r="T64" s="14">
        <f>MAX(0,T$63*Assumptions!$B$35)</f>
        <v>47112.75461</v>
      </c>
      <c r="U64" s="14">
        <f>MAX(0,U$63*Assumptions!$B$35)</f>
        <v>46113.95459</v>
      </c>
      <c r="V64" s="14">
        <f>MAX(0,V$63*Assumptions!$B$35)</f>
        <v>45120.63909</v>
      </c>
      <c r="W64" s="14">
        <f>SUM(C$64:V$64)</f>
        <v>1046120.355</v>
      </c>
    </row>
    <row r="65" ht="15.75" customHeight="1">
      <c r="A65" s="36" t="s">
        <v>150</v>
      </c>
      <c r="B65" s="36"/>
      <c r="C65" s="37">
        <f t="shared" ref="C65:V65" si="16">C$63-C$64</f>
        <v>418554.2297</v>
      </c>
      <c r="D65" s="37">
        <f t="shared" si="16"/>
        <v>414076.1109</v>
      </c>
      <c r="E65" s="37">
        <f t="shared" si="16"/>
        <v>409773.2388</v>
      </c>
      <c r="F65" s="37">
        <f t="shared" si="16"/>
        <v>405653.1216</v>
      </c>
      <c r="G65" s="37">
        <f t="shared" si="16"/>
        <v>401723.6288</v>
      </c>
      <c r="H65" s="37">
        <f t="shared" si="16"/>
        <v>378128.92</v>
      </c>
      <c r="I65" s="37">
        <f t="shared" si="16"/>
        <v>374407.1817</v>
      </c>
      <c r="J65" s="37">
        <f t="shared" si="16"/>
        <v>370900.044</v>
      </c>
      <c r="K65" s="37">
        <f t="shared" si="16"/>
        <v>367616.9912</v>
      </c>
      <c r="L65" s="37">
        <f t="shared" si="16"/>
        <v>364567.9674</v>
      </c>
      <c r="M65" s="37">
        <f t="shared" si="16"/>
        <v>358283.8399</v>
      </c>
      <c r="N65" s="37">
        <f t="shared" si="16"/>
        <v>355699.8662</v>
      </c>
      <c r="O65" s="37">
        <f t="shared" si="16"/>
        <v>353382.3992</v>
      </c>
      <c r="P65" s="37">
        <f t="shared" si="16"/>
        <v>351343.4587</v>
      </c>
      <c r="Q65" s="37">
        <f t="shared" si="16"/>
        <v>349595.6499</v>
      </c>
      <c r="R65" s="37">
        <f t="shared" si="16"/>
        <v>343885.6315</v>
      </c>
      <c r="S65" s="37">
        <f t="shared" si="16"/>
        <v>336818.7655</v>
      </c>
      <c r="T65" s="37">
        <f t="shared" si="16"/>
        <v>329789.2823</v>
      </c>
      <c r="U65" s="37">
        <f t="shared" si="16"/>
        <v>322797.6822</v>
      </c>
      <c r="V65" s="37">
        <f t="shared" si="16"/>
        <v>315844.4736</v>
      </c>
      <c r="W65" s="37">
        <f>SUM(C$65:V$65)</f>
        <v>7322842.483</v>
      </c>
    </row>
    <row r="66" ht="15.75" customHeight="1">
      <c r="A66" s="6" t="s">
        <v>151</v>
      </c>
      <c r="C66" s="14">
        <f>IF(C$19&lt;=Assumptions!$B$39,$B$14,0)</f>
        <v>134833.3437</v>
      </c>
      <c r="D66" s="14">
        <f>IF(D$19&lt;=Assumptions!$B$39,$B$14,0)</f>
        <v>134833.3437</v>
      </c>
      <c r="E66" s="14">
        <f>IF(E$19&lt;=Assumptions!$B$39,$B$14,0)</f>
        <v>134833.3437</v>
      </c>
      <c r="F66" s="14">
        <f>IF(F$19&lt;=Assumptions!$B$39,$B$14,0)</f>
        <v>134833.3437</v>
      </c>
      <c r="G66" s="14">
        <f>IF(G$19&lt;=Assumptions!$B$39,$B$14,0)</f>
        <v>134833.3437</v>
      </c>
      <c r="H66" s="14">
        <f>IF(H$19&lt;=Assumptions!$B$39,$B$14,0)</f>
        <v>134833.3437</v>
      </c>
      <c r="I66" s="14">
        <f>IF(I$19&lt;=Assumptions!$B$39,$B$14,0)</f>
        <v>134833.3437</v>
      </c>
      <c r="J66" s="14">
        <f>IF(J$19&lt;=Assumptions!$B$39,$B$14,0)</f>
        <v>134833.3437</v>
      </c>
      <c r="K66" s="14">
        <f>IF(K$19&lt;=Assumptions!$B$39,$B$14,0)</f>
        <v>134833.3437</v>
      </c>
      <c r="L66" s="14">
        <f>IF(L$19&lt;=Assumptions!$B$39,$B$14,0)</f>
        <v>134833.3437</v>
      </c>
      <c r="M66" s="14">
        <f>IF(M$19&lt;=Assumptions!$B$39,$B$14,0)</f>
        <v>134833.3437</v>
      </c>
      <c r="N66" s="14">
        <f>IF(N$19&lt;=Assumptions!$B$39,$B$14,0)</f>
        <v>134833.3437</v>
      </c>
      <c r="O66" s="14">
        <f>IF(O$19&lt;=Assumptions!$B$39,$B$14,0)</f>
        <v>134833.3437</v>
      </c>
      <c r="P66" s="14">
        <f>IF(P$19&lt;=Assumptions!$B$39,$B$14,0)</f>
        <v>134833.3437</v>
      </c>
      <c r="Q66" s="14">
        <f>IF(Q$19&lt;=Assumptions!$B$39,$B$14,0)</f>
        <v>134833.3437</v>
      </c>
      <c r="R66" s="14">
        <f>IF(R$19&lt;=Assumptions!$B$39,$B$14,0)</f>
        <v>0</v>
      </c>
      <c r="S66" s="14">
        <f>IF(S$19&lt;=Assumptions!$B$39,$B$14,0)</f>
        <v>0</v>
      </c>
      <c r="T66" s="14">
        <f>IF(T$19&lt;=Assumptions!$B$39,$B$14,0)</f>
        <v>0</v>
      </c>
      <c r="U66" s="14">
        <f>IF(U$19&lt;=Assumptions!$B$39,$B$14,0)</f>
        <v>0</v>
      </c>
      <c r="V66" s="14">
        <f>IF(V$19&lt;=Assumptions!$B$39,$B$14,0)</f>
        <v>0</v>
      </c>
      <c r="W66" s="14">
        <f>SUM(C$66:V$66)</f>
        <v>2022500.156</v>
      </c>
    </row>
    <row r="67" ht="15.75" customHeight="1">
      <c r="A67" s="36" t="s">
        <v>152</v>
      </c>
      <c r="B67" s="36"/>
      <c r="C67" s="37">
        <f t="shared" ref="C67:V67" si="17">C$60-C$66-C$64</f>
        <v>560184.836</v>
      </c>
      <c r="D67" s="37">
        <f t="shared" si="17"/>
        <v>552463.86</v>
      </c>
      <c r="E67" s="37">
        <f t="shared" si="17"/>
        <v>544755.9879</v>
      </c>
      <c r="F67" s="37">
        <f t="shared" si="17"/>
        <v>537060.6206</v>
      </c>
      <c r="G67" s="37">
        <f t="shared" si="17"/>
        <v>529377.1153</v>
      </c>
      <c r="H67" s="37">
        <f t="shared" si="17"/>
        <v>501840.6933</v>
      </c>
      <c r="I67" s="37">
        <f t="shared" si="17"/>
        <v>493980.1561</v>
      </c>
      <c r="J67" s="37">
        <f t="shared" si="17"/>
        <v>486127.2797</v>
      </c>
      <c r="K67" s="37">
        <f t="shared" si="17"/>
        <v>478281.2011</v>
      </c>
      <c r="L67" s="37">
        <f t="shared" si="17"/>
        <v>470441.0003</v>
      </c>
      <c r="M67" s="37">
        <f t="shared" si="17"/>
        <v>459126.137</v>
      </c>
      <c r="N67" s="37">
        <f t="shared" si="17"/>
        <v>451259.8906</v>
      </c>
      <c r="O67" s="37">
        <f t="shared" si="17"/>
        <v>443396.0374</v>
      </c>
      <c r="P67" s="37">
        <f t="shared" si="17"/>
        <v>435533.3913</v>
      </c>
      <c r="Q67" s="37">
        <f t="shared" si="17"/>
        <v>427670.6916</v>
      </c>
      <c r="R67" s="37">
        <f t="shared" si="17"/>
        <v>550373.3815</v>
      </c>
      <c r="S67" s="37">
        <f t="shared" si="17"/>
        <v>543306.5155</v>
      </c>
      <c r="T67" s="37">
        <f t="shared" si="17"/>
        <v>536277.0323</v>
      </c>
      <c r="U67" s="37">
        <f t="shared" si="17"/>
        <v>529285.4322</v>
      </c>
      <c r="V67" s="37">
        <f t="shared" si="17"/>
        <v>522332.2236</v>
      </c>
      <c r="W67" s="37">
        <f>SUM(C$67:V$67)</f>
        <v>10053073.48</v>
      </c>
    </row>
    <row r="68" ht="15.75" customHeight="1">
      <c r="A68" s="6" t="s">
        <v>153</v>
      </c>
      <c r="C68" s="14">
        <f>C$67</f>
        <v>560184.836</v>
      </c>
      <c r="D68" s="14">
        <f t="shared" ref="D68:V68" si="18">C$68+D$67</f>
        <v>1112648.696</v>
      </c>
      <c r="E68" s="14">
        <f t="shared" si="18"/>
        <v>1657404.684</v>
      </c>
      <c r="F68" s="14">
        <f t="shared" si="18"/>
        <v>2194465.304</v>
      </c>
      <c r="G68" s="14">
        <f t="shared" si="18"/>
        <v>2723842.42</v>
      </c>
      <c r="H68" s="14">
        <f t="shared" si="18"/>
        <v>3225683.113</v>
      </c>
      <c r="I68" s="14">
        <f t="shared" si="18"/>
        <v>3719663.269</v>
      </c>
      <c r="J68" s="14">
        <f t="shared" si="18"/>
        <v>4205790.549</v>
      </c>
      <c r="K68" s="14">
        <f t="shared" si="18"/>
        <v>4684071.75</v>
      </c>
      <c r="L68" s="14">
        <f t="shared" si="18"/>
        <v>5154512.75</v>
      </c>
      <c r="M68" s="14">
        <f t="shared" si="18"/>
        <v>5613638.887</v>
      </c>
      <c r="N68" s="14">
        <f t="shared" si="18"/>
        <v>6064898.778</v>
      </c>
      <c r="O68" s="14">
        <f t="shared" si="18"/>
        <v>6508294.815</v>
      </c>
      <c r="P68" s="14">
        <f t="shared" si="18"/>
        <v>6943828.206</v>
      </c>
      <c r="Q68" s="14">
        <f t="shared" si="18"/>
        <v>7371498.898</v>
      </c>
      <c r="R68" s="14">
        <f t="shared" si="18"/>
        <v>7921872.279</v>
      </c>
      <c r="S68" s="14">
        <f t="shared" si="18"/>
        <v>8465178.795</v>
      </c>
      <c r="T68" s="14">
        <f t="shared" si="18"/>
        <v>9001455.827</v>
      </c>
      <c r="U68" s="14">
        <f t="shared" si="18"/>
        <v>9530741.259</v>
      </c>
      <c r="V68" s="14">
        <f t="shared" si="18"/>
        <v>10053073.48</v>
      </c>
      <c r="W68" s="14">
        <f>V$68</f>
        <v>10053073.48</v>
      </c>
    </row>
    <row r="69" ht="15.75" customHeight="1">
      <c r="A69" s="6" t="s">
        <v>154</v>
      </c>
      <c r="C69" s="35">
        <f t="shared" ref="C69:V69" si="19">IF(C$66&gt;0,C$60/C$66,"N/A")</f>
        <v>5.598108155</v>
      </c>
      <c r="D69" s="35">
        <f t="shared" si="19"/>
        <v>5.536100442</v>
      </c>
      <c r="E69" s="35">
        <f t="shared" si="19"/>
        <v>5.474375591</v>
      </c>
      <c r="F69" s="35">
        <f t="shared" si="19"/>
        <v>5.412937112</v>
      </c>
      <c r="G69" s="35">
        <f t="shared" si="19"/>
        <v>5.351788578</v>
      </c>
      <c r="H69" s="35">
        <f t="shared" si="19"/>
        <v>5.12256416</v>
      </c>
      <c r="I69" s="35">
        <f t="shared" si="19"/>
        <v>5.060322775</v>
      </c>
      <c r="J69" s="35">
        <f t="shared" si="19"/>
        <v>4.998365577</v>
      </c>
      <c r="K69" s="35">
        <f t="shared" si="19"/>
        <v>4.936696217</v>
      </c>
      <c r="L69" s="35">
        <f t="shared" si="19"/>
        <v>4.875318405</v>
      </c>
      <c r="M69" s="35">
        <f t="shared" si="19"/>
        <v>4.784742918</v>
      </c>
      <c r="N69" s="35">
        <f t="shared" si="19"/>
        <v>4.723664661</v>
      </c>
      <c r="O69" s="35">
        <f t="shared" si="19"/>
        <v>4.662886521</v>
      </c>
      <c r="P69" s="35">
        <f t="shared" si="19"/>
        <v>4.602412434</v>
      </c>
      <c r="Q69" s="35">
        <f t="shared" si="19"/>
        <v>4.542246407</v>
      </c>
      <c r="R69" s="35" t="str">
        <f t="shared" si="19"/>
        <v>N/A</v>
      </c>
      <c r="S69" s="35" t="str">
        <f t="shared" si="19"/>
        <v>N/A</v>
      </c>
      <c r="T69" s="35" t="str">
        <f t="shared" si="19"/>
        <v>N/A</v>
      </c>
      <c r="U69" s="35" t="str">
        <f t="shared" si="19"/>
        <v>N/A</v>
      </c>
      <c r="V69" s="35" t="str">
        <f t="shared" si="19"/>
        <v>N/A</v>
      </c>
      <c r="W69" s="35">
        <f>AVERAGE(C$69:Q$69)</f>
        <v>5.045501997</v>
      </c>
    </row>
    <row r="70" ht="15.75" customHeight="1"/>
    <row r="71" ht="15.75" customHeight="1">
      <c r="A71" s="31" t="s">
        <v>156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</row>
    <row r="72" ht="15.75" customHeight="1">
      <c r="A72" s="6" t="s">
        <v>136</v>
      </c>
      <c r="C72" s="14">
        <f>C$22*Assumptions!$B$14</f>
        <v>409500</v>
      </c>
      <c r="D72" s="14">
        <f>D$22*Assumptions!$B$14</f>
        <v>407452.5</v>
      </c>
      <c r="E72" s="14">
        <f>E$22*Assumptions!$B$14</f>
        <v>405415.2375</v>
      </c>
      <c r="F72" s="14">
        <f>F$22*Assumptions!$B$14</f>
        <v>403388.1613</v>
      </c>
      <c r="G72" s="14">
        <f>G$22*Assumptions!$B$14</f>
        <v>401371.2205</v>
      </c>
      <c r="H72" s="14">
        <f>H$22*Assumptions!$B$14</f>
        <v>399364.3644</v>
      </c>
      <c r="I72" s="14">
        <f>I$22*Assumptions!$B$14</f>
        <v>397367.5426</v>
      </c>
      <c r="J72" s="14">
        <f>J$22*Assumptions!$B$14</f>
        <v>395380.7049</v>
      </c>
      <c r="K72" s="14">
        <f>K$22*Assumptions!$B$14</f>
        <v>393403.8013</v>
      </c>
      <c r="L72" s="14">
        <f>L$22*Assumptions!$B$14</f>
        <v>391436.7823</v>
      </c>
      <c r="M72" s="14">
        <f>M$22*Assumptions!$B$14</f>
        <v>389479.5984</v>
      </c>
      <c r="N72" s="14">
        <f>N$22*Assumptions!$B$14</f>
        <v>387532.2004</v>
      </c>
      <c r="O72" s="14">
        <f>O$22*Assumptions!$B$14</f>
        <v>385594.5394</v>
      </c>
      <c r="P72" s="14">
        <f>P$22*Assumptions!$B$14</f>
        <v>383666.5667</v>
      </c>
      <c r="Q72" s="14">
        <f>Q$22*Assumptions!$B$14</f>
        <v>381748.2339</v>
      </c>
      <c r="R72" s="14">
        <f>R$22*Assumptions!$B$14</f>
        <v>379839.4927</v>
      </c>
      <c r="S72" s="14">
        <f>S$22*Assumptions!$B$14</f>
        <v>377940.2953</v>
      </c>
      <c r="T72" s="14">
        <f>T$22*Assumptions!$B$14</f>
        <v>376050.5938</v>
      </c>
      <c r="U72" s="14">
        <f>U$22*Assumptions!$B$14</f>
        <v>374170.3408</v>
      </c>
      <c r="V72" s="14">
        <f>V$22*Assumptions!$B$14</f>
        <v>372299.4891</v>
      </c>
      <c r="W72" s="14">
        <f>SUM(C$72:V$72)</f>
        <v>7812401.666</v>
      </c>
    </row>
    <row r="73" ht="15.75" customHeight="1">
      <c r="A73" s="6" t="s">
        <v>137</v>
      </c>
      <c r="C73" s="14">
        <f>C$21*Assumptions!$B$15</f>
        <v>5118.75</v>
      </c>
      <c r="D73" s="14">
        <f>D$21*Assumptions!$B$15</f>
        <v>5093.15625</v>
      </c>
      <c r="E73" s="14">
        <f>E$21*Assumptions!$B$15</f>
        <v>5067.690469</v>
      </c>
      <c r="F73" s="14">
        <f>F$21*Assumptions!$B$15</f>
        <v>5042.352016</v>
      </c>
      <c r="G73" s="14">
        <f>G$21*Assumptions!$B$15</f>
        <v>5017.140256</v>
      </c>
      <c r="H73" s="14">
        <f>H$21*Assumptions!$B$15</f>
        <v>4992.054555</v>
      </c>
      <c r="I73" s="14">
        <f>I$21*Assumptions!$B$15</f>
        <v>4967.094282</v>
      </c>
      <c r="J73" s="14">
        <f>J$21*Assumptions!$B$15</f>
        <v>4942.258811</v>
      </c>
      <c r="K73" s="14">
        <f>K$21*Assumptions!$B$15</f>
        <v>4917.547517</v>
      </c>
      <c r="L73" s="14">
        <f>L$21*Assumptions!$B$15</f>
        <v>4892.959779</v>
      </c>
      <c r="M73" s="14">
        <f>M$21*Assumptions!$B$15</f>
        <v>4868.49498</v>
      </c>
      <c r="N73" s="14">
        <f>N$21*Assumptions!$B$15</f>
        <v>4844.152505</v>
      </c>
      <c r="O73" s="14">
        <f>O$21*Assumptions!$B$15</f>
        <v>4819.931743</v>
      </c>
      <c r="P73" s="14">
        <f>P$21*Assumptions!$B$15</f>
        <v>4795.832084</v>
      </c>
      <c r="Q73" s="14">
        <f>Q$21*Assumptions!$B$15</f>
        <v>4771.852924</v>
      </c>
      <c r="R73" s="14">
        <f>R$21*Assumptions!$B$15</f>
        <v>4747.993659</v>
      </c>
      <c r="S73" s="14">
        <f>S$21*Assumptions!$B$15</f>
        <v>4724.253691</v>
      </c>
      <c r="T73" s="14">
        <f>T$21*Assumptions!$B$15</f>
        <v>4700.632422</v>
      </c>
      <c r="U73" s="14">
        <f>U$21*Assumptions!$B$15</f>
        <v>4677.12926</v>
      </c>
      <c r="V73" s="14">
        <f>V$21*Assumptions!$B$15</f>
        <v>4653.743614</v>
      </c>
      <c r="W73" s="14">
        <f>SUM(C$73:V$73)</f>
        <v>97655.02082</v>
      </c>
    </row>
    <row r="74" ht="15.75" customHeight="1">
      <c r="A74" s="6" t="s">
        <v>138</v>
      </c>
      <c r="C74" s="14">
        <f>C$25*Assumptions!$B$44</f>
        <v>574682.2329</v>
      </c>
      <c r="D74" s="14">
        <f>D$25*Assumptions!$B$44</f>
        <v>566805.8774</v>
      </c>
      <c r="E74" s="14">
        <f>E$25*Assumptions!$B$44</f>
        <v>558929.522</v>
      </c>
      <c r="F74" s="14">
        <f>F$25*Assumptions!$B$44</f>
        <v>551053.1665</v>
      </c>
      <c r="G74" s="14">
        <f>G$25*Assumptions!$B$44</f>
        <v>543176.811</v>
      </c>
      <c r="H74" s="14">
        <f>H$25*Assumptions!$B$44</f>
        <v>535300.4555</v>
      </c>
      <c r="I74" s="14">
        <f>I$25*Assumptions!$B$44</f>
        <v>527424.1001</v>
      </c>
      <c r="J74" s="14">
        <f>J$25*Assumptions!$B$44</f>
        <v>519547.7446</v>
      </c>
      <c r="K74" s="14">
        <f>K$25*Assumptions!$B$44</f>
        <v>511671.3891</v>
      </c>
      <c r="L74" s="14">
        <f>L$25*Assumptions!$B$44</f>
        <v>503795.0336</v>
      </c>
      <c r="M74" s="14">
        <f>M$25*Assumptions!$B$44</f>
        <v>495918.6782</v>
      </c>
      <c r="N74" s="14">
        <f>N$25*Assumptions!$B$44</f>
        <v>488042.3227</v>
      </c>
      <c r="O74" s="14">
        <f>O$25*Assumptions!$B$44</f>
        <v>480165.9672</v>
      </c>
      <c r="P74" s="14">
        <f>P$25*Assumptions!$B$44</f>
        <v>472289.6117</v>
      </c>
      <c r="Q74" s="14">
        <f>Q$25*Assumptions!$B$44</f>
        <v>464413.2562</v>
      </c>
      <c r="R74" s="14">
        <f>R$25*Assumptions!$B$44</f>
        <v>456536.9008</v>
      </c>
      <c r="S74" s="14">
        <f>S$25*Assumptions!$B$44</f>
        <v>448660.5453</v>
      </c>
      <c r="T74" s="14">
        <f>T$25*Assumptions!$B$44</f>
        <v>440784.1898</v>
      </c>
      <c r="U74" s="14">
        <f>U$25*Assumptions!$B$44</f>
        <v>432907.8343</v>
      </c>
      <c r="V74" s="14">
        <f>V$25*Assumptions!$B$44</f>
        <v>425031.4789</v>
      </c>
      <c r="W74" s="14">
        <f>SUM(C$74:V$74)</f>
        <v>9997137.118</v>
      </c>
    </row>
    <row r="75" ht="15.75" customHeight="1">
      <c r="A75" s="15" t="s">
        <v>139</v>
      </c>
      <c r="B75" s="15"/>
      <c r="C75" s="17">
        <f t="shared" ref="C75:V75" si="20">C$72+C$73+C$74</f>
        <v>989300.9829</v>
      </c>
      <c r="D75" s="17">
        <f t="shared" si="20"/>
        <v>979351.5337</v>
      </c>
      <c r="E75" s="17">
        <f t="shared" si="20"/>
        <v>969412.4499</v>
      </c>
      <c r="F75" s="17">
        <f t="shared" si="20"/>
        <v>959483.6798</v>
      </c>
      <c r="G75" s="17">
        <f t="shared" si="20"/>
        <v>949565.1718</v>
      </c>
      <c r="H75" s="17">
        <f t="shared" si="20"/>
        <v>939656.8745</v>
      </c>
      <c r="I75" s="17">
        <f t="shared" si="20"/>
        <v>929758.7369</v>
      </c>
      <c r="J75" s="17">
        <f t="shared" si="20"/>
        <v>919870.7083</v>
      </c>
      <c r="K75" s="17">
        <f t="shared" si="20"/>
        <v>909992.738</v>
      </c>
      <c r="L75" s="17">
        <f t="shared" si="20"/>
        <v>900124.7757</v>
      </c>
      <c r="M75" s="17">
        <f t="shared" si="20"/>
        <v>890266.7716</v>
      </c>
      <c r="N75" s="17">
        <f t="shared" si="20"/>
        <v>880418.6756</v>
      </c>
      <c r="O75" s="17">
        <f t="shared" si="20"/>
        <v>870580.4384</v>
      </c>
      <c r="P75" s="17">
        <f t="shared" si="20"/>
        <v>860752.0105</v>
      </c>
      <c r="Q75" s="17">
        <f t="shared" si="20"/>
        <v>850933.3431</v>
      </c>
      <c r="R75" s="17">
        <f t="shared" si="20"/>
        <v>841124.3872</v>
      </c>
      <c r="S75" s="17">
        <f t="shared" si="20"/>
        <v>831325.0942</v>
      </c>
      <c r="T75" s="17">
        <f t="shared" si="20"/>
        <v>821535.416</v>
      </c>
      <c r="U75" s="17">
        <f t="shared" si="20"/>
        <v>811755.3044</v>
      </c>
      <c r="V75" s="17">
        <f t="shared" si="20"/>
        <v>801984.7116</v>
      </c>
      <c r="W75" s="17">
        <f>SUM(C$75:V$75)</f>
        <v>17907193.8</v>
      </c>
    </row>
    <row r="76" ht="15.75" customHeight="1">
      <c r="A76" s="6" t="s">
        <v>140</v>
      </c>
      <c r="C76" s="14">
        <f>C$27*Assumptions!$B$25*(1+Assumptions!$B$36)^(C$19-1)</f>
        <v>62291.88</v>
      </c>
      <c r="D76" s="14">
        <f>D$27*Assumptions!$B$25*(1+Assumptions!$B$36)^(D$19-1)</f>
        <v>60927.33166</v>
      </c>
      <c r="E76" s="14">
        <f>E$27*Assumptions!$B$25*(1+Assumptions!$B$36)^(E$19-1)</f>
        <v>59525.99964</v>
      </c>
      <c r="F76" s="14">
        <f>F$27*Assumptions!$B$25*(1+Assumptions!$B$36)^(F$19-1)</f>
        <v>58087.26857</v>
      </c>
      <c r="G76" s="14">
        <f>G$27*Assumptions!$B$25*(1+Assumptions!$B$36)^(G$19-1)</f>
        <v>56610.51436</v>
      </c>
      <c r="H76" s="14">
        <f>H$27*Assumptions!$B$25*(1+Assumptions!$B$36)^(H$19-1)</f>
        <v>55095.10412</v>
      </c>
      <c r="I76" s="14">
        <f>I$27*Assumptions!$B$25*(1+Assumptions!$B$36)^(I$19-1)</f>
        <v>53540.396</v>
      </c>
      <c r="J76" s="14">
        <f>J$27*Assumptions!$B$25*(1+Assumptions!$B$36)^(J$19-1)</f>
        <v>51945.73911</v>
      </c>
      <c r="K76" s="14">
        <f>K$27*Assumptions!$B$25*(1+Assumptions!$B$36)^(K$19-1)</f>
        <v>50310.47338</v>
      </c>
      <c r="L76" s="14">
        <f>L$27*Assumptions!$B$25*(1+Assumptions!$B$36)^(L$19-1)</f>
        <v>48633.92947</v>
      </c>
      <c r="M76" s="14">
        <f>M$27*Assumptions!$B$25*(1+Assumptions!$B$36)^(M$19-1)</f>
        <v>46915.42861</v>
      </c>
      <c r="N76" s="14">
        <f>N$27*Assumptions!$B$25*(1+Assumptions!$B$36)^(N$19-1)</f>
        <v>45154.28251</v>
      </c>
      <c r="O76" s="14">
        <f>O$27*Assumptions!$B$25*(1+Assumptions!$B$36)^(O$19-1)</f>
        <v>43349.79324</v>
      </c>
      <c r="P76" s="14">
        <f>P$27*Assumptions!$B$25*(1+Assumptions!$B$36)^(P$19-1)</f>
        <v>41501.25307</v>
      </c>
      <c r="Q76" s="14">
        <f>Q$27*Assumptions!$B$25*(1+Assumptions!$B$36)^(Q$19-1)</f>
        <v>39607.94437</v>
      </c>
      <c r="R76" s="14">
        <f>R$27*Assumptions!$B$25*(1+Assumptions!$B$36)^(R$19-1)</f>
        <v>37669.1395</v>
      </c>
      <c r="S76" s="14">
        <f>S$27*Assumptions!$B$25*(1+Assumptions!$B$36)^(S$19-1)</f>
        <v>35684.10062</v>
      </c>
      <c r="T76" s="14">
        <f>T$27*Assumptions!$B$25*(1+Assumptions!$B$36)^(T$19-1)</f>
        <v>33652.07963</v>
      </c>
      <c r="U76" s="14">
        <f>U$27*Assumptions!$B$25*(1+Assumptions!$B$36)^(U$19-1)</f>
        <v>31572.318</v>
      </c>
      <c r="V76" s="14">
        <f>V$27*Assumptions!$B$25*(1+Assumptions!$B$36)^(V$19-1)</f>
        <v>29444.04662</v>
      </c>
      <c r="W76" s="14">
        <f>SUM(C$76:V$76)</f>
        <v>941519.0225</v>
      </c>
    </row>
    <row r="77" ht="15.75" customHeight="1">
      <c r="A77" s="6" t="s">
        <v>141</v>
      </c>
      <c r="C77" s="14">
        <f>$B$5*Assumptions!$B$16*(1+Assumptions!$B$36)^(C$19-1)</f>
        <v>45000</v>
      </c>
      <c r="D77" s="14">
        <f>$B$5*Assumptions!$B$16*(1+Assumptions!$B$36)^(D$19-1)</f>
        <v>45450</v>
      </c>
      <c r="E77" s="14">
        <f>$B$5*Assumptions!$B$16*(1+Assumptions!$B$36)^(E$19-1)</f>
        <v>45904.5</v>
      </c>
      <c r="F77" s="14">
        <f>$B$5*Assumptions!$B$16*(1+Assumptions!$B$36)^(F$19-1)</f>
        <v>46363.545</v>
      </c>
      <c r="G77" s="14">
        <f>$B$5*Assumptions!$B$16*(1+Assumptions!$B$36)^(G$19-1)</f>
        <v>46827.18045</v>
      </c>
      <c r="H77" s="14">
        <f>$B$5*Assumptions!$B$16*(1+Assumptions!$B$36)^(H$19-1)</f>
        <v>47295.45225</v>
      </c>
      <c r="I77" s="14">
        <f>$B$5*Assumptions!$B$16*(1+Assumptions!$B$36)^(I$19-1)</f>
        <v>47768.40678</v>
      </c>
      <c r="J77" s="14">
        <f>$B$5*Assumptions!$B$16*(1+Assumptions!$B$36)^(J$19-1)</f>
        <v>48246.09084</v>
      </c>
      <c r="K77" s="14">
        <f>$B$5*Assumptions!$B$16*(1+Assumptions!$B$36)^(K$19-1)</f>
        <v>48728.55175</v>
      </c>
      <c r="L77" s="14">
        <f>$B$5*Assumptions!$B$16*(1+Assumptions!$B$36)^(L$19-1)</f>
        <v>49215.83727</v>
      </c>
      <c r="M77" s="14">
        <f>$B$5*Assumptions!$B$16*(1+Assumptions!$B$36)^(M$19-1)</f>
        <v>49707.99564</v>
      </c>
      <c r="N77" s="14">
        <f>$B$5*Assumptions!$B$16*(1+Assumptions!$B$36)^(N$19-1)</f>
        <v>50205.0756</v>
      </c>
      <c r="O77" s="14">
        <f>$B$5*Assumptions!$B$16*(1+Assumptions!$B$36)^(O$19-1)</f>
        <v>50707.12636</v>
      </c>
      <c r="P77" s="14">
        <f>$B$5*Assumptions!$B$16*(1+Assumptions!$B$36)^(P$19-1)</f>
        <v>51214.19762</v>
      </c>
      <c r="Q77" s="14">
        <f>$B$5*Assumptions!$B$16*(1+Assumptions!$B$36)^(Q$19-1)</f>
        <v>51726.3396</v>
      </c>
      <c r="R77" s="14">
        <f>$B$5*Assumptions!$B$16*(1+Assumptions!$B$36)^(R$19-1)</f>
        <v>52243.60299</v>
      </c>
      <c r="S77" s="14">
        <f>$B$5*Assumptions!$B$16*(1+Assumptions!$B$36)^(S$19-1)</f>
        <v>52766.03902</v>
      </c>
      <c r="T77" s="14">
        <f>$B$5*Assumptions!$B$16*(1+Assumptions!$B$36)^(T$19-1)</f>
        <v>53293.69941</v>
      </c>
      <c r="U77" s="14">
        <f>$B$5*Assumptions!$B$16*(1+Assumptions!$B$36)^(U$19-1)</f>
        <v>53826.63641</v>
      </c>
      <c r="V77" s="14">
        <f>$B$5*Assumptions!$B$16*(1+Assumptions!$B$36)^(V$19-1)</f>
        <v>54364.90277</v>
      </c>
      <c r="W77" s="14">
        <f>SUM(C$77:V$77)</f>
        <v>990855.1798</v>
      </c>
    </row>
    <row r="78" ht="15.75" customHeight="1">
      <c r="A78" s="6" t="s">
        <v>142</v>
      </c>
      <c r="C78" s="14">
        <f>($B$6*Assumptions!$B$26+$B$6*Assumptions!$B$27+$B$7*Assumptions!$B$28+Assumptions!$B$29)*(1+Assumptions!$B$36)^(C$19-1)</f>
        <v>45100</v>
      </c>
      <c r="D78" s="14">
        <f>($B$6*Assumptions!$B$26+$B$6*Assumptions!$B$27+$B$7*Assumptions!$B$28+Assumptions!$B$29)*(1+Assumptions!$B$36)^(D$19-1)</f>
        <v>45551</v>
      </c>
      <c r="E78" s="14">
        <f>($B$6*Assumptions!$B$26+$B$6*Assumptions!$B$27+$B$7*Assumptions!$B$28+Assumptions!$B$29)*(1+Assumptions!$B$36)^(E$19-1)</f>
        <v>46006.51</v>
      </c>
      <c r="F78" s="14">
        <f>($B$6*Assumptions!$B$26+$B$6*Assumptions!$B$27+$B$7*Assumptions!$B$28+Assumptions!$B$29)*(1+Assumptions!$B$36)^(F$19-1)</f>
        <v>46466.5751</v>
      </c>
      <c r="G78" s="14">
        <f>($B$6*Assumptions!$B$26+$B$6*Assumptions!$B$27+$B$7*Assumptions!$B$28+Assumptions!$B$29)*(1+Assumptions!$B$36)^(G$19-1)</f>
        <v>46931.24085</v>
      </c>
      <c r="H78" s="14">
        <f>($B$6*Assumptions!$B$26+$B$6*Assumptions!$B$27+$B$7*Assumptions!$B$28+Assumptions!$B$29)*(1+Assumptions!$B$36)^(H$19-1)</f>
        <v>47400.55326</v>
      </c>
      <c r="I78" s="14">
        <f>($B$6*Assumptions!$B$26+$B$6*Assumptions!$B$27+$B$7*Assumptions!$B$28+Assumptions!$B$29)*(1+Assumptions!$B$36)^(I$19-1)</f>
        <v>47874.55879</v>
      </c>
      <c r="J78" s="14">
        <f>($B$6*Assumptions!$B$26+$B$6*Assumptions!$B$27+$B$7*Assumptions!$B$28+Assumptions!$B$29)*(1+Assumptions!$B$36)^(J$19-1)</f>
        <v>48353.30438</v>
      </c>
      <c r="K78" s="14">
        <f>($B$6*Assumptions!$B$26+$B$6*Assumptions!$B$27+$B$7*Assumptions!$B$28+Assumptions!$B$29)*(1+Assumptions!$B$36)^(K$19-1)</f>
        <v>48836.83742</v>
      </c>
      <c r="L78" s="14">
        <f>($B$6*Assumptions!$B$26+$B$6*Assumptions!$B$27+$B$7*Assumptions!$B$28+Assumptions!$B$29)*(1+Assumptions!$B$36)^(L$19-1)</f>
        <v>49325.2058</v>
      </c>
      <c r="M78" s="14">
        <f>($B$6*Assumptions!$B$26+$B$6*Assumptions!$B$27+$B$7*Assumptions!$B$28+Assumptions!$B$29)*(1+Assumptions!$B$36)^(M$19-1)</f>
        <v>49818.45786</v>
      </c>
      <c r="N78" s="14">
        <f>($B$6*Assumptions!$B$26+$B$6*Assumptions!$B$27+$B$7*Assumptions!$B$28+Assumptions!$B$29)*(1+Assumptions!$B$36)^(N$19-1)</f>
        <v>50316.64243</v>
      </c>
      <c r="O78" s="14">
        <f>($B$6*Assumptions!$B$26+$B$6*Assumptions!$B$27+$B$7*Assumptions!$B$28+Assumptions!$B$29)*(1+Assumptions!$B$36)^(O$19-1)</f>
        <v>50819.80886</v>
      </c>
      <c r="P78" s="14">
        <f>($B$6*Assumptions!$B$26+$B$6*Assumptions!$B$27+$B$7*Assumptions!$B$28+Assumptions!$B$29)*(1+Assumptions!$B$36)^(P$19-1)</f>
        <v>51328.00695</v>
      </c>
      <c r="Q78" s="14">
        <f>($B$6*Assumptions!$B$26+$B$6*Assumptions!$B$27+$B$7*Assumptions!$B$28+Assumptions!$B$29)*(1+Assumptions!$B$36)^(Q$19-1)</f>
        <v>51841.28702</v>
      </c>
      <c r="R78" s="14">
        <f>($B$6*Assumptions!$B$26+$B$6*Assumptions!$B$27+$B$7*Assumptions!$B$28+Assumptions!$B$29)*(1+Assumptions!$B$36)^(R$19-1)</f>
        <v>52359.69989</v>
      </c>
      <c r="S78" s="14">
        <f>($B$6*Assumptions!$B$26+$B$6*Assumptions!$B$27+$B$7*Assumptions!$B$28+Assumptions!$B$29)*(1+Assumptions!$B$36)^(S$19-1)</f>
        <v>52883.29689</v>
      </c>
      <c r="T78" s="14">
        <f>($B$6*Assumptions!$B$26+$B$6*Assumptions!$B$27+$B$7*Assumptions!$B$28+Assumptions!$B$29)*(1+Assumptions!$B$36)^(T$19-1)</f>
        <v>53412.12985</v>
      </c>
      <c r="U78" s="14">
        <f>($B$6*Assumptions!$B$26+$B$6*Assumptions!$B$27+$B$7*Assumptions!$B$28+Assumptions!$B$29)*(1+Assumptions!$B$36)^(U$19-1)</f>
        <v>53946.25115</v>
      </c>
      <c r="V78" s="14">
        <f>($B$6*Assumptions!$B$26+$B$6*Assumptions!$B$27+$B$7*Assumptions!$B$28+Assumptions!$B$29)*(1+Assumptions!$B$36)^(V$19-1)</f>
        <v>54485.71367</v>
      </c>
      <c r="W78" s="14">
        <f>SUM(C$78:V$78)</f>
        <v>993057.0802</v>
      </c>
    </row>
    <row r="79" ht="15.75" customHeight="1">
      <c r="A79" s="6" t="s">
        <v>143</v>
      </c>
      <c r="C79" s="14">
        <f>IF(C$19&lt;=5,0,IF(C$19&lt;=10,Assumptions!$B$30,IF(C$19&lt;=15,Assumptions!$B$31,Assumptions!$B$32)))*$B$6*(1+Assumptions!$B$36)^(C$19-1)</f>
        <v>0</v>
      </c>
      <c r="D79" s="14">
        <f>IF(D$19&lt;=5,0,IF(D$19&lt;=10,Assumptions!$B$30,IF(D$19&lt;=15,Assumptions!$B$31,Assumptions!$B$32)))*$B$6*(1+Assumptions!$B$36)^(D$19-1)</f>
        <v>0</v>
      </c>
      <c r="E79" s="14">
        <f>IF(E$19&lt;=5,0,IF(E$19&lt;=10,Assumptions!$B$30,IF(E$19&lt;=15,Assumptions!$B$31,Assumptions!$B$32)))*$B$6*(1+Assumptions!$B$36)^(E$19-1)</f>
        <v>0</v>
      </c>
      <c r="F79" s="14">
        <f>IF(F$19&lt;=5,0,IF(F$19&lt;=10,Assumptions!$B$30,IF(F$19&lt;=15,Assumptions!$B$31,Assumptions!$B$32)))*$B$6*(1+Assumptions!$B$36)^(F$19-1)</f>
        <v>0</v>
      </c>
      <c r="G79" s="14">
        <f>IF(G$19&lt;=5,0,IF(G$19&lt;=10,Assumptions!$B$30,IF(G$19&lt;=15,Assumptions!$B$31,Assumptions!$B$32)))*$B$6*(1+Assumptions!$B$36)^(G$19-1)</f>
        <v>0</v>
      </c>
      <c r="H79" s="14">
        <f>IF(H$19&lt;=5,0,IF(H$19&lt;=10,Assumptions!$B$30,IF(H$19&lt;=15,Assumptions!$B$31,Assumptions!$B$32)))*$B$6*(1+Assumptions!$B$36)^(H$19-1)</f>
        <v>22701.81708</v>
      </c>
      <c r="I79" s="14">
        <f>IF(I$19&lt;=5,0,IF(I$19&lt;=10,Assumptions!$B$30,IF(I$19&lt;=15,Assumptions!$B$31,Assumptions!$B$32)))*$B$6*(1+Assumptions!$B$36)^(I$19-1)</f>
        <v>22928.83525</v>
      </c>
      <c r="J79" s="14">
        <f>IF(J$19&lt;=5,0,IF(J$19&lt;=10,Assumptions!$B$30,IF(J$19&lt;=15,Assumptions!$B$31,Assumptions!$B$32)))*$B$6*(1+Assumptions!$B$36)^(J$19-1)</f>
        <v>23158.12361</v>
      </c>
      <c r="K79" s="14">
        <f>IF(K$19&lt;=5,0,IF(K$19&lt;=10,Assumptions!$B$30,IF(K$19&lt;=15,Assumptions!$B$31,Assumptions!$B$32)))*$B$6*(1+Assumptions!$B$36)^(K$19-1)</f>
        <v>23389.70484</v>
      </c>
      <c r="L79" s="14">
        <f>IF(L$19&lt;=5,0,IF(L$19&lt;=10,Assumptions!$B$30,IF(L$19&lt;=15,Assumptions!$B$31,Assumptions!$B$32)))*$B$6*(1+Assumptions!$B$36)^(L$19-1)</f>
        <v>23623.60189</v>
      </c>
      <c r="M79" s="14">
        <f>IF(M$19&lt;=5,0,IF(M$19&lt;=10,Assumptions!$B$30,IF(M$19&lt;=15,Assumptions!$B$31,Assumptions!$B$32)))*$B$6*(1+Assumptions!$B$36)^(M$19-1)</f>
        <v>27836.47756</v>
      </c>
      <c r="N79" s="14">
        <f>IF(N$19&lt;=5,0,IF(N$19&lt;=10,Assumptions!$B$30,IF(N$19&lt;=15,Assumptions!$B$31,Assumptions!$B$32)))*$B$6*(1+Assumptions!$B$36)^(N$19-1)</f>
        <v>28114.84234</v>
      </c>
      <c r="O79" s="14">
        <f>IF(O$19&lt;=5,0,IF(O$19&lt;=10,Assumptions!$B$30,IF(O$19&lt;=15,Assumptions!$B$31,Assumptions!$B$32)))*$B$6*(1+Assumptions!$B$36)^(O$19-1)</f>
        <v>28395.99076</v>
      </c>
      <c r="P79" s="14">
        <f>IF(P$19&lt;=5,0,IF(P$19&lt;=10,Assumptions!$B$30,IF(P$19&lt;=15,Assumptions!$B$31,Assumptions!$B$32)))*$B$6*(1+Assumptions!$B$36)^(P$19-1)</f>
        <v>28679.95067</v>
      </c>
      <c r="Q79" s="14">
        <f>IF(Q$19&lt;=5,0,IF(Q$19&lt;=10,Assumptions!$B$30,IF(Q$19&lt;=15,Assumptions!$B$31,Assumptions!$B$32)))*$B$6*(1+Assumptions!$B$36)^(Q$19-1)</f>
        <v>28966.75017</v>
      </c>
      <c r="R79" s="14">
        <f>IF(R$19&lt;=5,0,IF(R$19&lt;=10,Assumptions!$B$30,IF(R$19&lt;=15,Assumptions!$B$31,Assumptions!$B$32)))*$B$6*(1+Assumptions!$B$36)^(R$19-1)</f>
        <v>34132.48729</v>
      </c>
      <c r="S79" s="14">
        <f>IF(S$19&lt;=5,0,IF(S$19&lt;=10,Assumptions!$B$30,IF(S$19&lt;=15,Assumptions!$B$31,Assumptions!$B$32)))*$B$6*(1+Assumptions!$B$36)^(S$19-1)</f>
        <v>34473.81216</v>
      </c>
      <c r="T79" s="14">
        <f>IF(T$19&lt;=5,0,IF(T$19&lt;=10,Assumptions!$B$30,IF(T$19&lt;=15,Assumptions!$B$31,Assumptions!$B$32)))*$B$6*(1+Assumptions!$B$36)^(T$19-1)</f>
        <v>34818.55028</v>
      </c>
      <c r="U79" s="14">
        <f>IF(U$19&lt;=5,0,IF(U$19&lt;=10,Assumptions!$B$30,IF(U$19&lt;=15,Assumptions!$B$31,Assumptions!$B$32)))*$B$6*(1+Assumptions!$B$36)^(U$19-1)</f>
        <v>35166.73579</v>
      </c>
      <c r="V79" s="14">
        <f>IF(V$19&lt;=5,0,IF(V$19&lt;=10,Assumptions!$B$30,IF(V$19&lt;=15,Assumptions!$B$31,Assumptions!$B$32)))*$B$6*(1+Assumptions!$B$36)^(V$19-1)</f>
        <v>35518.40314</v>
      </c>
      <c r="W79" s="14">
        <f>SUM(C$79:V$79)</f>
        <v>431906.0828</v>
      </c>
    </row>
    <row r="80" ht="15.75" customHeight="1">
      <c r="A80" s="15" t="s">
        <v>144</v>
      </c>
      <c r="B80" s="15"/>
      <c r="C80" s="17">
        <f t="shared" ref="C80:V80" si="21">C$76+C$77+C$78+C$79</f>
        <v>152391.88</v>
      </c>
      <c r="D80" s="17">
        <f t="shared" si="21"/>
        <v>151928.3317</v>
      </c>
      <c r="E80" s="17">
        <f t="shared" si="21"/>
        <v>151437.0096</v>
      </c>
      <c r="F80" s="17">
        <f t="shared" si="21"/>
        <v>150917.3887</v>
      </c>
      <c r="G80" s="17">
        <f t="shared" si="21"/>
        <v>150368.9357</v>
      </c>
      <c r="H80" s="17">
        <f t="shared" si="21"/>
        <v>172492.9267</v>
      </c>
      <c r="I80" s="17">
        <f t="shared" si="21"/>
        <v>172112.1968</v>
      </c>
      <c r="J80" s="17">
        <f t="shared" si="21"/>
        <v>171703.2579</v>
      </c>
      <c r="K80" s="17">
        <f t="shared" si="21"/>
        <v>171265.5674</v>
      </c>
      <c r="L80" s="17">
        <f t="shared" si="21"/>
        <v>170798.5744</v>
      </c>
      <c r="M80" s="17">
        <f t="shared" si="21"/>
        <v>174278.3597</v>
      </c>
      <c r="N80" s="17">
        <f t="shared" si="21"/>
        <v>173790.8429</v>
      </c>
      <c r="O80" s="17">
        <f t="shared" si="21"/>
        <v>173272.7192</v>
      </c>
      <c r="P80" s="17">
        <f t="shared" si="21"/>
        <v>172723.4083</v>
      </c>
      <c r="Q80" s="17">
        <f t="shared" si="21"/>
        <v>172142.3212</v>
      </c>
      <c r="R80" s="17">
        <f t="shared" si="21"/>
        <v>176404.9297</v>
      </c>
      <c r="S80" s="17">
        <f t="shared" si="21"/>
        <v>175807.2487</v>
      </c>
      <c r="T80" s="17">
        <f t="shared" si="21"/>
        <v>175176.4592</v>
      </c>
      <c r="U80" s="17">
        <f t="shared" si="21"/>
        <v>174511.9413</v>
      </c>
      <c r="V80" s="17">
        <f t="shared" si="21"/>
        <v>173813.0662</v>
      </c>
      <c r="W80" s="17">
        <f>SUM(C$80:V$80)</f>
        <v>3357337.365</v>
      </c>
    </row>
    <row r="81" ht="15.75" customHeight="1">
      <c r="A81" s="15" t="s">
        <v>145</v>
      </c>
      <c r="B81" s="15"/>
      <c r="C81" s="17">
        <f t="shared" ref="C81:V81" si="22">C$75-C$80</f>
        <v>836909.1029</v>
      </c>
      <c r="D81" s="17">
        <f t="shared" si="22"/>
        <v>827423.202</v>
      </c>
      <c r="E81" s="17">
        <f t="shared" si="22"/>
        <v>817975.4403</v>
      </c>
      <c r="F81" s="17">
        <f t="shared" si="22"/>
        <v>808566.2911</v>
      </c>
      <c r="G81" s="17">
        <f t="shared" si="22"/>
        <v>799196.2361</v>
      </c>
      <c r="H81" s="17">
        <f t="shared" si="22"/>
        <v>767163.9478</v>
      </c>
      <c r="I81" s="17">
        <f t="shared" si="22"/>
        <v>757646.5401</v>
      </c>
      <c r="J81" s="17">
        <f t="shared" si="22"/>
        <v>748167.4503</v>
      </c>
      <c r="K81" s="17">
        <f t="shared" si="22"/>
        <v>738727.1706</v>
      </c>
      <c r="L81" s="17">
        <f t="shared" si="22"/>
        <v>729326.2013</v>
      </c>
      <c r="M81" s="17">
        <f t="shared" si="22"/>
        <v>715988.4119</v>
      </c>
      <c r="N81" s="17">
        <f t="shared" si="22"/>
        <v>706627.8327</v>
      </c>
      <c r="O81" s="17">
        <f t="shared" si="22"/>
        <v>697307.7192</v>
      </c>
      <c r="P81" s="17">
        <f t="shared" si="22"/>
        <v>688028.6022</v>
      </c>
      <c r="Q81" s="17">
        <f t="shared" si="22"/>
        <v>678791.0219</v>
      </c>
      <c r="R81" s="17">
        <f t="shared" si="22"/>
        <v>664719.4575</v>
      </c>
      <c r="S81" s="17">
        <f t="shared" si="22"/>
        <v>655517.8456</v>
      </c>
      <c r="T81" s="17">
        <f t="shared" si="22"/>
        <v>646358.9569</v>
      </c>
      <c r="U81" s="17">
        <f t="shared" si="22"/>
        <v>637243.3631</v>
      </c>
      <c r="V81" s="17">
        <f t="shared" si="22"/>
        <v>628171.6454</v>
      </c>
      <c r="W81" s="17">
        <f>SUM(C$81:V$81)</f>
        <v>14549856.44</v>
      </c>
    </row>
    <row r="82" ht="15.75" customHeight="1">
      <c r="A82" s="6" t="s">
        <v>146</v>
      </c>
      <c r="C82" s="14">
        <f t="shared" ref="C82:V82" si="23">$B$15</f>
        <v>206487.75</v>
      </c>
      <c r="D82" s="14">
        <f t="shared" si="23"/>
        <v>206487.75</v>
      </c>
      <c r="E82" s="14">
        <f t="shared" si="23"/>
        <v>206487.75</v>
      </c>
      <c r="F82" s="14">
        <f t="shared" si="23"/>
        <v>206487.75</v>
      </c>
      <c r="G82" s="14">
        <f t="shared" si="23"/>
        <v>206487.75</v>
      </c>
      <c r="H82" s="14">
        <f t="shared" si="23"/>
        <v>206487.75</v>
      </c>
      <c r="I82" s="14">
        <f t="shared" si="23"/>
        <v>206487.75</v>
      </c>
      <c r="J82" s="14">
        <f t="shared" si="23"/>
        <v>206487.75</v>
      </c>
      <c r="K82" s="14">
        <f t="shared" si="23"/>
        <v>206487.75</v>
      </c>
      <c r="L82" s="14">
        <f t="shared" si="23"/>
        <v>206487.75</v>
      </c>
      <c r="M82" s="14">
        <f t="shared" si="23"/>
        <v>206487.75</v>
      </c>
      <c r="N82" s="14">
        <f t="shared" si="23"/>
        <v>206487.75</v>
      </c>
      <c r="O82" s="14">
        <f t="shared" si="23"/>
        <v>206487.75</v>
      </c>
      <c r="P82" s="14">
        <f t="shared" si="23"/>
        <v>206487.75</v>
      </c>
      <c r="Q82" s="14">
        <f t="shared" si="23"/>
        <v>206487.75</v>
      </c>
      <c r="R82" s="14">
        <f t="shared" si="23"/>
        <v>206487.75</v>
      </c>
      <c r="S82" s="14">
        <f t="shared" si="23"/>
        <v>206487.75</v>
      </c>
      <c r="T82" s="14">
        <f t="shared" si="23"/>
        <v>206487.75</v>
      </c>
      <c r="U82" s="14">
        <f t="shared" si="23"/>
        <v>206487.75</v>
      </c>
      <c r="V82" s="14">
        <f t="shared" si="23"/>
        <v>206487.75</v>
      </c>
      <c r="W82" s="14">
        <f>SUM(C$82:V$82)</f>
        <v>4129755</v>
      </c>
    </row>
    <row r="83" ht="15.75" customHeight="1">
      <c r="A83" s="6" t="s">
        <v>147</v>
      </c>
      <c r="C83" s="14">
        <f>IF(C$19&lt;=Assumptions!$B$39,-IPMT(Assumptions!$B$38,C$19,Assumptions!$B$39,$B$13),0)</f>
        <v>69976.2</v>
      </c>
      <c r="D83" s="14">
        <f>IF(D$19&lt;=Assumptions!$B$39,-IPMT(Assumptions!$B$38,D$19,Assumptions!$B$39,$B$13),0)</f>
        <v>66733.34281</v>
      </c>
      <c r="E83" s="14">
        <f>IF(E$19&lt;=Assumptions!$B$39,-IPMT(Assumptions!$B$38,E$19,Assumptions!$B$39,$B$13),0)</f>
        <v>63328.34277</v>
      </c>
      <c r="F83" s="14">
        <f>IF(F$19&lt;=Assumptions!$B$39,-IPMT(Assumptions!$B$38,F$19,Assumptions!$B$39,$B$13),0)</f>
        <v>59753.09272</v>
      </c>
      <c r="G83" s="14">
        <f>IF(G$19&lt;=Assumptions!$B$39,-IPMT(Assumptions!$B$38,G$19,Assumptions!$B$39,$B$13),0)</f>
        <v>55999.08017</v>
      </c>
      <c r="H83" s="14">
        <f>IF(H$19&lt;=Assumptions!$B$39,-IPMT(Assumptions!$B$38,H$19,Assumptions!$B$39,$B$13),0)</f>
        <v>52057.36699</v>
      </c>
      <c r="I83" s="14">
        <f>IF(I$19&lt;=Assumptions!$B$39,-IPMT(Assumptions!$B$38,I$19,Assumptions!$B$39,$B$13),0)</f>
        <v>47918.56816</v>
      </c>
      <c r="J83" s="14">
        <f>IF(J$19&lt;=Assumptions!$B$39,-IPMT(Assumptions!$B$38,J$19,Assumptions!$B$39,$B$13),0)</f>
        <v>43572.82938</v>
      </c>
      <c r="K83" s="14">
        <f>IF(K$19&lt;=Assumptions!$B$39,-IPMT(Assumptions!$B$38,K$19,Assumptions!$B$39,$B$13),0)</f>
        <v>39009.80366</v>
      </c>
      <c r="L83" s="14">
        <f>IF(L$19&lt;=Assumptions!$B$39,-IPMT(Assumptions!$B$38,L$19,Assumptions!$B$39,$B$13),0)</f>
        <v>34218.62666</v>
      </c>
      <c r="M83" s="14">
        <f>IF(M$19&lt;=Assumptions!$B$39,-IPMT(Assumptions!$B$38,M$19,Assumptions!$B$39,$B$13),0)</f>
        <v>29187.8908</v>
      </c>
      <c r="N83" s="14">
        <f>IF(N$19&lt;=Assumptions!$B$39,-IPMT(Assumptions!$B$38,N$19,Assumptions!$B$39,$B$13),0)</f>
        <v>23905.61816</v>
      </c>
      <c r="O83" s="14">
        <f>IF(O$19&lt;=Assumptions!$B$39,-IPMT(Assumptions!$B$38,O$19,Assumptions!$B$39,$B$13),0)</f>
        <v>18359.23188</v>
      </c>
      <c r="P83" s="14">
        <f>IF(P$19&lt;=Assumptions!$B$39,-IPMT(Assumptions!$B$38,P$19,Assumptions!$B$39,$B$13),0)</f>
        <v>12535.52629</v>
      </c>
      <c r="Q83" s="14">
        <f>IF(Q$19&lt;=Assumptions!$B$39,-IPMT(Assumptions!$B$38,Q$19,Assumptions!$B$39,$B$13),0)</f>
        <v>6420.635415</v>
      </c>
      <c r="R83" s="14">
        <f>IF(R$19&lt;=Assumptions!$B$39,-IPMT(Assumptions!$B$38,R$19,Assumptions!$B$39,$B$13),0)</f>
        <v>0</v>
      </c>
      <c r="S83" s="14">
        <f>IF(S$19&lt;=Assumptions!$B$39,-IPMT(Assumptions!$B$38,S$19,Assumptions!$B$39,$B$13),0)</f>
        <v>0</v>
      </c>
      <c r="T83" s="14">
        <f>IF(T$19&lt;=Assumptions!$B$39,-IPMT(Assumptions!$B$38,T$19,Assumptions!$B$39,$B$13),0)</f>
        <v>0</v>
      </c>
      <c r="U83" s="14">
        <f>IF(U$19&lt;=Assumptions!$B$39,-IPMT(Assumptions!$B$38,U$19,Assumptions!$B$39,$B$13),0)</f>
        <v>0</v>
      </c>
      <c r="V83" s="14">
        <f>IF(V$19&lt;=Assumptions!$B$39,-IPMT(Assumptions!$B$38,V$19,Assumptions!$B$39,$B$13),0)</f>
        <v>0</v>
      </c>
      <c r="W83" s="14">
        <f>SUM(C$83:V$83)</f>
        <v>622976.1559</v>
      </c>
    </row>
    <row r="84" ht="15.75" customHeight="1">
      <c r="A84" s="6" t="s">
        <v>148</v>
      </c>
      <c r="C84" s="14">
        <f t="shared" ref="C84:V84" si="24">C$81-C$82-C$83</f>
        <v>560445.1529</v>
      </c>
      <c r="D84" s="14">
        <f t="shared" si="24"/>
        <v>554202.1092</v>
      </c>
      <c r="E84" s="14">
        <f t="shared" si="24"/>
        <v>548159.3475</v>
      </c>
      <c r="F84" s="14">
        <f t="shared" si="24"/>
        <v>542325.4484</v>
      </c>
      <c r="G84" s="14">
        <f t="shared" si="24"/>
        <v>536709.4059</v>
      </c>
      <c r="H84" s="14">
        <f t="shared" si="24"/>
        <v>508618.8308</v>
      </c>
      <c r="I84" s="14">
        <f t="shared" si="24"/>
        <v>503240.2219</v>
      </c>
      <c r="J84" s="14">
        <f t="shared" si="24"/>
        <v>498106.8709</v>
      </c>
      <c r="K84" s="14">
        <f t="shared" si="24"/>
        <v>493229.6169</v>
      </c>
      <c r="L84" s="14">
        <f t="shared" si="24"/>
        <v>488619.8247</v>
      </c>
      <c r="M84" s="14">
        <f t="shared" si="24"/>
        <v>480312.7711</v>
      </c>
      <c r="N84" s="14">
        <f t="shared" si="24"/>
        <v>476234.4646</v>
      </c>
      <c r="O84" s="14">
        <f t="shared" si="24"/>
        <v>472460.7373</v>
      </c>
      <c r="P84" s="14">
        <f t="shared" si="24"/>
        <v>469005.3259</v>
      </c>
      <c r="Q84" s="14">
        <f t="shared" si="24"/>
        <v>465882.6365</v>
      </c>
      <c r="R84" s="14">
        <f t="shared" si="24"/>
        <v>458231.7075</v>
      </c>
      <c r="S84" s="14">
        <f t="shared" si="24"/>
        <v>449030.0956</v>
      </c>
      <c r="T84" s="14">
        <f t="shared" si="24"/>
        <v>439871.2069</v>
      </c>
      <c r="U84" s="14">
        <f t="shared" si="24"/>
        <v>430755.6131</v>
      </c>
      <c r="V84" s="14">
        <f t="shared" si="24"/>
        <v>421683.8954</v>
      </c>
      <c r="W84" s="14">
        <f>SUM(C$84:V$84)</f>
        <v>9797125.283</v>
      </c>
    </row>
    <row r="85" ht="15.75" customHeight="1">
      <c r="A85" s="6" t="s">
        <v>149</v>
      </c>
      <c r="C85" s="14">
        <f>MAX(0,C$84*Assumptions!$B$35)</f>
        <v>70055.64411</v>
      </c>
      <c r="D85" s="14">
        <f>MAX(0,D$84*Assumptions!$B$35)</f>
        <v>69275.26365</v>
      </c>
      <c r="E85" s="14">
        <f>MAX(0,E$84*Assumptions!$B$35)</f>
        <v>68519.91844</v>
      </c>
      <c r="F85" s="14">
        <f>MAX(0,F$84*Assumptions!$B$35)</f>
        <v>67790.68105</v>
      </c>
      <c r="G85" s="14">
        <f>MAX(0,G$84*Assumptions!$B$35)</f>
        <v>67088.67574</v>
      </c>
      <c r="H85" s="14">
        <f>MAX(0,H$84*Assumptions!$B$35)</f>
        <v>63577.35385</v>
      </c>
      <c r="I85" s="14">
        <f>MAX(0,I$84*Assumptions!$B$35)</f>
        <v>62905.02774</v>
      </c>
      <c r="J85" s="14">
        <f>MAX(0,J$84*Assumptions!$B$35)</f>
        <v>62263.35887</v>
      </c>
      <c r="K85" s="14">
        <f>MAX(0,K$84*Assumptions!$B$35)</f>
        <v>61653.70211</v>
      </c>
      <c r="L85" s="14">
        <f>MAX(0,L$84*Assumptions!$B$35)</f>
        <v>61077.47808</v>
      </c>
      <c r="M85" s="14">
        <f>MAX(0,M$84*Assumptions!$B$35)</f>
        <v>60039.09639</v>
      </c>
      <c r="N85" s="14">
        <f>MAX(0,N$84*Assumptions!$B$35)</f>
        <v>59529.30807</v>
      </c>
      <c r="O85" s="14">
        <f>MAX(0,O$84*Assumptions!$B$35)</f>
        <v>59057.59216</v>
      </c>
      <c r="P85" s="14">
        <f>MAX(0,P$84*Assumptions!$B$35)</f>
        <v>58625.66574</v>
      </c>
      <c r="Q85" s="14">
        <f>MAX(0,Q$84*Assumptions!$B$35)</f>
        <v>58235.32956</v>
      </c>
      <c r="R85" s="14">
        <f>MAX(0,R$84*Assumptions!$B$35)</f>
        <v>57278.96344</v>
      </c>
      <c r="S85" s="14">
        <f>MAX(0,S$84*Assumptions!$B$35)</f>
        <v>56128.76195</v>
      </c>
      <c r="T85" s="14">
        <f>MAX(0,T$84*Assumptions!$B$35)</f>
        <v>54983.90086</v>
      </c>
      <c r="U85" s="14">
        <f>MAX(0,U$84*Assumptions!$B$35)</f>
        <v>53844.45164</v>
      </c>
      <c r="V85" s="14">
        <f>MAX(0,V$84*Assumptions!$B$35)</f>
        <v>52710.48692</v>
      </c>
      <c r="W85" s="14">
        <f>SUM(C$85:V$85)</f>
        <v>1224640.66</v>
      </c>
    </row>
    <row r="86" ht="15.75" customHeight="1">
      <c r="A86" s="15" t="s">
        <v>150</v>
      </c>
      <c r="B86" s="15"/>
      <c r="C86" s="17">
        <f t="shared" ref="C86:V86" si="25">C$84-C$85</f>
        <v>490389.5088</v>
      </c>
      <c r="D86" s="17">
        <f t="shared" si="25"/>
        <v>484926.8456</v>
      </c>
      <c r="E86" s="17">
        <f t="shared" si="25"/>
        <v>479639.4291</v>
      </c>
      <c r="F86" s="17">
        <f t="shared" si="25"/>
        <v>474534.7674</v>
      </c>
      <c r="G86" s="17">
        <f t="shared" si="25"/>
        <v>469620.7302</v>
      </c>
      <c r="H86" s="17">
        <f t="shared" si="25"/>
        <v>445041.4769</v>
      </c>
      <c r="I86" s="17">
        <f t="shared" si="25"/>
        <v>440335.1942</v>
      </c>
      <c r="J86" s="17">
        <f t="shared" si="25"/>
        <v>435843.5121</v>
      </c>
      <c r="K86" s="17">
        <f t="shared" si="25"/>
        <v>431575.9148</v>
      </c>
      <c r="L86" s="17">
        <f t="shared" si="25"/>
        <v>427542.3466</v>
      </c>
      <c r="M86" s="17">
        <f t="shared" si="25"/>
        <v>420273.6747</v>
      </c>
      <c r="N86" s="17">
        <f t="shared" si="25"/>
        <v>416705.1565</v>
      </c>
      <c r="O86" s="17">
        <f t="shared" si="25"/>
        <v>413403.1451</v>
      </c>
      <c r="P86" s="17">
        <f t="shared" si="25"/>
        <v>410379.6602</v>
      </c>
      <c r="Q86" s="17">
        <f t="shared" si="25"/>
        <v>407647.3069</v>
      </c>
      <c r="R86" s="17">
        <f t="shared" si="25"/>
        <v>400952.7441</v>
      </c>
      <c r="S86" s="17">
        <f t="shared" si="25"/>
        <v>392901.3336</v>
      </c>
      <c r="T86" s="17">
        <f t="shared" si="25"/>
        <v>384887.306</v>
      </c>
      <c r="U86" s="17">
        <f t="shared" si="25"/>
        <v>376911.1614</v>
      </c>
      <c r="V86" s="17">
        <f t="shared" si="25"/>
        <v>368973.4085</v>
      </c>
      <c r="W86" s="17">
        <f>SUM(C$86:V$86)</f>
        <v>8572484.623</v>
      </c>
    </row>
    <row r="87" ht="15.75" customHeight="1">
      <c r="A87" s="6" t="s">
        <v>151</v>
      </c>
      <c r="C87" s="14">
        <f>IF(C$19&lt;=Assumptions!$B$39,$B$14,0)</f>
        <v>134833.3437</v>
      </c>
      <c r="D87" s="14">
        <f>IF(D$19&lt;=Assumptions!$B$39,$B$14,0)</f>
        <v>134833.3437</v>
      </c>
      <c r="E87" s="14">
        <f>IF(E$19&lt;=Assumptions!$B$39,$B$14,0)</f>
        <v>134833.3437</v>
      </c>
      <c r="F87" s="14">
        <f>IF(F$19&lt;=Assumptions!$B$39,$B$14,0)</f>
        <v>134833.3437</v>
      </c>
      <c r="G87" s="14">
        <f>IF(G$19&lt;=Assumptions!$B$39,$B$14,0)</f>
        <v>134833.3437</v>
      </c>
      <c r="H87" s="14">
        <f>IF(H$19&lt;=Assumptions!$B$39,$B$14,0)</f>
        <v>134833.3437</v>
      </c>
      <c r="I87" s="14">
        <f>IF(I$19&lt;=Assumptions!$B$39,$B$14,0)</f>
        <v>134833.3437</v>
      </c>
      <c r="J87" s="14">
        <f>IF(J$19&lt;=Assumptions!$B$39,$B$14,0)</f>
        <v>134833.3437</v>
      </c>
      <c r="K87" s="14">
        <f>IF(K$19&lt;=Assumptions!$B$39,$B$14,0)</f>
        <v>134833.3437</v>
      </c>
      <c r="L87" s="14">
        <f>IF(L$19&lt;=Assumptions!$B$39,$B$14,0)</f>
        <v>134833.3437</v>
      </c>
      <c r="M87" s="14">
        <f>IF(M$19&lt;=Assumptions!$B$39,$B$14,0)</f>
        <v>134833.3437</v>
      </c>
      <c r="N87" s="14">
        <f>IF(N$19&lt;=Assumptions!$B$39,$B$14,0)</f>
        <v>134833.3437</v>
      </c>
      <c r="O87" s="14">
        <f>IF(O$19&lt;=Assumptions!$B$39,$B$14,0)</f>
        <v>134833.3437</v>
      </c>
      <c r="P87" s="14">
        <f>IF(P$19&lt;=Assumptions!$B$39,$B$14,0)</f>
        <v>134833.3437</v>
      </c>
      <c r="Q87" s="14">
        <f>IF(Q$19&lt;=Assumptions!$B$39,$B$14,0)</f>
        <v>134833.3437</v>
      </c>
      <c r="R87" s="14">
        <f>IF(R$19&lt;=Assumptions!$B$39,$B$14,0)</f>
        <v>0</v>
      </c>
      <c r="S87" s="14">
        <f>IF(S$19&lt;=Assumptions!$B$39,$B$14,0)</f>
        <v>0</v>
      </c>
      <c r="T87" s="14">
        <f>IF(T$19&lt;=Assumptions!$B$39,$B$14,0)</f>
        <v>0</v>
      </c>
      <c r="U87" s="14">
        <f>IF(U$19&lt;=Assumptions!$B$39,$B$14,0)</f>
        <v>0</v>
      </c>
      <c r="V87" s="14">
        <f>IF(V$19&lt;=Assumptions!$B$39,$B$14,0)</f>
        <v>0</v>
      </c>
      <c r="W87" s="14">
        <f>SUM(C$87:V$87)</f>
        <v>2022500.156</v>
      </c>
    </row>
    <row r="88" ht="15.75" customHeight="1">
      <c r="A88" s="15" t="s">
        <v>152</v>
      </c>
      <c r="B88" s="15"/>
      <c r="C88" s="17">
        <f t="shared" ref="C88:V88" si="26">C$81-C$87-C$85</f>
        <v>632020.1151</v>
      </c>
      <c r="D88" s="17">
        <f t="shared" si="26"/>
        <v>623314.5947</v>
      </c>
      <c r="E88" s="17">
        <f t="shared" si="26"/>
        <v>614622.1781</v>
      </c>
      <c r="F88" s="17">
        <f t="shared" si="26"/>
        <v>605942.2664</v>
      </c>
      <c r="G88" s="17">
        <f t="shared" si="26"/>
        <v>597274.2166</v>
      </c>
      <c r="H88" s="17">
        <f t="shared" si="26"/>
        <v>568753.2502</v>
      </c>
      <c r="I88" s="17">
        <f t="shared" si="26"/>
        <v>559908.1686</v>
      </c>
      <c r="J88" s="17">
        <f t="shared" si="26"/>
        <v>551070.7477</v>
      </c>
      <c r="K88" s="17">
        <f t="shared" si="26"/>
        <v>542240.1247</v>
      </c>
      <c r="L88" s="17">
        <f t="shared" si="26"/>
        <v>533415.3795</v>
      </c>
      <c r="M88" s="17">
        <f t="shared" si="26"/>
        <v>521115.9718</v>
      </c>
      <c r="N88" s="17">
        <f t="shared" si="26"/>
        <v>512265.1809</v>
      </c>
      <c r="O88" s="17">
        <f t="shared" si="26"/>
        <v>503416.7833</v>
      </c>
      <c r="P88" s="17">
        <f t="shared" si="26"/>
        <v>494569.5928</v>
      </c>
      <c r="Q88" s="17">
        <f t="shared" si="26"/>
        <v>485722.3486</v>
      </c>
      <c r="R88" s="17">
        <f t="shared" si="26"/>
        <v>607440.4941</v>
      </c>
      <c r="S88" s="17">
        <f t="shared" si="26"/>
        <v>599389.0836</v>
      </c>
      <c r="T88" s="17">
        <f t="shared" si="26"/>
        <v>591375.056</v>
      </c>
      <c r="U88" s="17">
        <f t="shared" si="26"/>
        <v>583398.9114</v>
      </c>
      <c r="V88" s="17">
        <f t="shared" si="26"/>
        <v>575461.1585</v>
      </c>
      <c r="W88" s="17">
        <f>SUM(C$88:V$88)</f>
        <v>11302715.62</v>
      </c>
    </row>
    <row r="89" ht="15.75" customHeight="1">
      <c r="A89" s="6" t="s">
        <v>153</v>
      </c>
      <c r="C89" s="14">
        <f>C$88</f>
        <v>632020.1151</v>
      </c>
      <c r="D89" s="14">
        <f t="shared" ref="D89:V89" si="27">C$89+D$88</f>
        <v>1255334.71</v>
      </c>
      <c r="E89" s="14">
        <f t="shared" si="27"/>
        <v>1869956.888</v>
      </c>
      <c r="F89" s="14">
        <f t="shared" si="27"/>
        <v>2475899.154</v>
      </c>
      <c r="G89" s="14">
        <f t="shared" si="27"/>
        <v>3073173.371</v>
      </c>
      <c r="H89" s="14">
        <f t="shared" si="27"/>
        <v>3641926.621</v>
      </c>
      <c r="I89" s="14">
        <f t="shared" si="27"/>
        <v>4201834.79</v>
      </c>
      <c r="J89" s="14">
        <f t="shared" si="27"/>
        <v>4752905.537</v>
      </c>
      <c r="K89" s="14">
        <f t="shared" si="27"/>
        <v>5295145.662</v>
      </c>
      <c r="L89" s="14">
        <f t="shared" si="27"/>
        <v>5828561.042</v>
      </c>
      <c r="M89" s="14">
        <f t="shared" si="27"/>
        <v>6349677.013</v>
      </c>
      <c r="N89" s="14">
        <f t="shared" si="27"/>
        <v>6861942.194</v>
      </c>
      <c r="O89" s="14">
        <f t="shared" si="27"/>
        <v>7365358.978</v>
      </c>
      <c r="P89" s="14">
        <f t="shared" si="27"/>
        <v>7859928.57</v>
      </c>
      <c r="Q89" s="14">
        <f t="shared" si="27"/>
        <v>8345650.919</v>
      </c>
      <c r="R89" s="14">
        <f t="shared" si="27"/>
        <v>8953091.413</v>
      </c>
      <c r="S89" s="14">
        <f t="shared" si="27"/>
        <v>9552480.497</v>
      </c>
      <c r="T89" s="14">
        <f t="shared" si="27"/>
        <v>10143855.55</v>
      </c>
      <c r="U89" s="14">
        <f t="shared" si="27"/>
        <v>10727254.46</v>
      </c>
      <c r="V89" s="14">
        <f t="shared" si="27"/>
        <v>11302715.62</v>
      </c>
      <c r="W89" s="14">
        <f>V$89</f>
        <v>11302715.62</v>
      </c>
    </row>
    <row r="90" ht="15.75" customHeight="1">
      <c r="A90" s="6" t="s">
        <v>154</v>
      </c>
      <c r="C90" s="35">
        <f t="shared" ref="C90:V90" si="28">IF(C$87&gt;0,C$81/C$87,"N/A")</f>
        <v>6.20698916</v>
      </c>
      <c r="D90" s="35">
        <f t="shared" si="28"/>
        <v>6.136636378</v>
      </c>
      <c r="E90" s="35">
        <f t="shared" si="28"/>
        <v>6.066566457</v>
      </c>
      <c r="F90" s="35">
        <f t="shared" si="28"/>
        <v>5.996782909</v>
      </c>
      <c r="G90" s="35">
        <f t="shared" si="28"/>
        <v>5.927289304</v>
      </c>
      <c r="H90" s="35">
        <f t="shared" si="28"/>
        <v>5.689719817</v>
      </c>
      <c r="I90" s="35">
        <f t="shared" si="28"/>
        <v>5.619133363</v>
      </c>
      <c r="J90" s="35">
        <f t="shared" si="28"/>
        <v>5.548831095</v>
      </c>
      <c r="K90" s="35">
        <f t="shared" si="28"/>
        <v>5.478816665</v>
      </c>
      <c r="L90" s="35">
        <f t="shared" si="28"/>
        <v>5.409093783</v>
      </c>
      <c r="M90" s="35">
        <f t="shared" si="28"/>
        <v>5.310173227</v>
      </c>
      <c r="N90" s="35">
        <f t="shared" si="28"/>
        <v>5.240749901</v>
      </c>
      <c r="O90" s="35">
        <f t="shared" si="28"/>
        <v>5.17162669</v>
      </c>
      <c r="P90" s="35">
        <f t="shared" si="28"/>
        <v>5.102807534</v>
      </c>
      <c r="Q90" s="35">
        <f t="shared" si="28"/>
        <v>5.034296437</v>
      </c>
      <c r="R90" s="35" t="str">
        <f t="shared" si="28"/>
        <v>N/A</v>
      </c>
      <c r="S90" s="35" t="str">
        <f t="shared" si="28"/>
        <v>N/A</v>
      </c>
      <c r="T90" s="35" t="str">
        <f t="shared" si="28"/>
        <v>N/A</v>
      </c>
      <c r="U90" s="35" t="str">
        <f t="shared" si="28"/>
        <v>N/A</v>
      </c>
      <c r="V90" s="35" t="str">
        <f t="shared" si="28"/>
        <v>N/A</v>
      </c>
      <c r="W90" s="35">
        <f>AVERAGE(C$90:Q$90)</f>
        <v>5.595967515</v>
      </c>
    </row>
    <row r="91" ht="15.75" customHeight="1"/>
    <row r="92" ht="15.75" customHeight="1">
      <c r="A92" s="4" t="s">
        <v>157</v>
      </c>
      <c r="B92" s="5"/>
      <c r="C92" s="5"/>
      <c r="D92" s="5"/>
      <c r="E92" s="5"/>
    </row>
    <row r="93" ht="15.75" customHeight="1">
      <c r="A93" s="11" t="s">
        <v>32</v>
      </c>
      <c r="B93" s="11" t="s">
        <v>158</v>
      </c>
      <c r="C93" s="11" t="s">
        <v>159</v>
      </c>
      <c r="D93" s="11" t="s">
        <v>160</v>
      </c>
    </row>
    <row r="94" ht="15.75" customHeight="1">
      <c r="A94" s="9" t="s">
        <v>161</v>
      </c>
      <c r="B94" s="10">
        <f>IRR(B$101:V$101)</f>
        <v>0.1390503048</v>
      </c>
      <c r="C94" s="10">
        <f>IRR(B$102:V$102)</f>
        <v>0.1843784134</v>
      </c>
      <c r="D94" s="10">
        <f>IRR(B$103:V$103)</f>
        <v>0.2120246465</v>
      </c>
    </row>
    <row r="95" ht="15.75" customHeight="1">
      <c r="A95" s="9" t="s">
        <v>162</v>
      </c>
      <c r="B95" s="10">
        <f>IRR(B$104:V$104)</f>
        <v>0.1116447964</v>
      </c>
      <c r="C95" s="10">
        <f>IRR(B$105:V$105)</f>
        <v>0.1434362075</v>
      </c>
      <c r="D95" s="10">
        <f>IRR(B$106:V$106)</f>
        <v>0.162622828</v>
      </c>
    </row>
    <row r="96" ht="15.75" customHeight="1">
      <c r="A96" s="9" t="s">
        <v>163</v>
      </c>
      <c r="B96" s="7">
        <f t="array" ref="B96">NPV(Assumptions!$B$37,C$101:V$101)+B$101</f>
        <v>1252895.073</v>
      </c>
      <c r="C96" s="7">
        <f t="array" ref="C96">NPV(Assumptions!$B$37,C$102:V$102)+B$102</f>
        <v>2272522.898</v>
      </c>
      <c r="D96" s="7">
        <f t="array" ref="D96">NPV(Assumptions!$B$37,C$103:V$103)+B$103</f>
        <v>2909790.288</v>
      </c>
    </row>
    <row r="97" ht="15.75" customHeight="1">
      <c r="A97" s="9" t="s">
        <v>164</v>
      </c>
      <c r="B97" s="18">
        <f>SUM(C$101:V$101)/(-B$101)</f>
        <v>2.949803903</v>
      </c>
      <c r="C97" s="18">
        <f>SUM(C$102:V$102)/(-B$102)</f>
        <v>3.682132934</v>
      </c>
      <c r="D97" s="18">
        <f>SUM(C$103:V$103)/(-B$103)</f>
        <v>4.139838579</v>
      </c>
    </row>
    <row r="98" ht="15.75" customHeight="1">
      <c r="A98" s="9" t="s">
        <v>165</v>
      </c>
      <c r="B98" s="18">
        <f>AVERAGE(C$48:Q$48)</f>
        <v>4.164757168</v>
      </c>
      <c r="C98" s="18">
        <f>AVERAGE(C$69:Q$69)</f>
        <v>5.045501997</v>
      </c>
      <c r="D98" s="18">
        <f>AVERAGE(C$90:Q$90)</f>
        <v>5.595967515</v>
      </c>
    </row>
    <row r="99" ht="15.75" customHeight="1">
      <c r="A99" s="9" t="s">
        <v>166</v>
      </c>
      <c r="B99" s="7">
        <f>SUM(C$101:V$101)</f>
        <v>8053646.059</v>
      </c>
      <c r="C99" s="7">
        <f>SUM(C$102:V$102)</f>
        <v>10053073.48</v>
      </c>
      <c r="D99" s="7">
        <f>SUM(C$103:V$103)</f>
        <v>11302715.62</v>
      </c>
    </row>
    <row r="100" ht="15.75" customHeight="1"/>
    <row r="101" ht="15.75" customHeight="1">
      <c r="A101" s="38" t="s">
        <v>167</v>
      </c>
      <c r="B101" s="39">
        <f t="shared" ref="B101:B103" si="30">-$B$12</f>
        <v>-2730231</v>
      </c>
      <c r="C101" s="39">
        <f t="shared" ref="C101:V101" si="29">C$46</f>
        <v>445248.3894</v>
      </c>
      <c r="D101" s="39">
        <f t="shared" si="29"/>
        <v>439102.6845</v>
      </c>
      <c r="E101" s="39">
        <f t="shared" si="29"/>
        <v>432970.0835</v>
      </c>
      <c r="F101" s="39">
        <f t="shared" si="29"/>
        <v>426849.9873</v>
      </c>
      <c r="G101" s="39">
        <f t="shared" si="29"/>
        <v>420741.7531</v>
      </c>
      <c r="H101" s="39">
        <f t="shared" si="29"/>
        <v>394780.6022</v>
      </c>
      <c r="I101" s="39">
        <f t="shared" si="29"/>
        <v>388495.3361</v>
      </c>
      <c r="J101" s="39">
        <f t="shared" si="29"/>
        <v>382217.7307</v>
      </c>
      <c r="K101" s="39">
        <f t="shared" si="29"/>
        <v>375946.9233</v>
      </c>
      <c r="L101" s="39">
        <f t="shared" si="29"/>
        <v>369681.9936</v>
      </c>
      <c r="M101" s="39">
        <f t="shared" si="29"/>
        <v>359942.4014</v>
      </c>
      <c r="N101" s="39">
        <f t="shared" si="29"/>
        <v>353651.4261</v>
      </c>
      <c r="O101" s="39">
        <f t="shared" si="29"/>
        <v>347362.8439</v>
      </c>
      <c r="P101" s="39">
        <f t="shared" si="29"/>
        <v>341075.469</v>
      </c>
      <c r="Q101" s="39">
        <f t="shared" si="29"/>
        <v>334788.0403</v>
      </c>
      <c r="R101" s="39">
        <f t="shared" si="29"/>
        <v>459066.0013</v>
      </c>
      <c r="S101" s="39">
        <f t="shared" si="29"/>
        <v>453574.4064</v>
      </c>
      <c r="T101" s="39">
        <f t="shared" si="29"/>
        <v>448120.1943</v>
      </c>
      <c r="U101" s="39">
        <f t="shared" si="29"/>
        <v>442703.8653</v>
      </c>
      <c r="V101" s="39">
        <f t="shared" si="29"/>
        <v>437325.9278</v>
      </c>
    </row>
    <row r="102" ht="15.75" customHeight="1">
      <c r="A102" s="38" t="s">
        <v>168</v>
      </c>
      <c r="B102" s="39">
        <f t="shared" si="30"/>
        <v>-2730231</v>
      </c>
      <c r="C102" s="39">
        <f t="shared" ref="C102:V102" si="31">C$67</f>
        <v>560184.836</v>
      </c>
      <c r="D102" s="39">
        <f t="shared" si="31"/>
        <v>552463.86</v>
      </c>
      <c r="E102" s="39">
        <f t="shared" si="31"/>
        <v>544755.9879</v>
      </c>
      <c r="F102" s="39">
        <f t="shared" si="31"/>
        <v>537060.6206</v>
      </c>
      <c r="G102" s="39">
        <f t="shared" si="31"/>
        <v>529377.1153</v>
      </c>
      <c r="H102" s="39">
        <f t="shared" si="31"/>
        <v>501840.6933</v>
      </c>
      <c r="I102" s="39">
        <f t="shared" si="31"/>
        <v>493980.1561</v>
      </c>
      <c r="J102" s="39">
        <f t="shared" si="31"/>
        <v>486127.2797</v>
      </c>
      <c r="K102" s="39">
        <f t="shared" si="31"/>
        <v>478281.2011</v>
      </c>
      <c r="L102" s="39">
        <f t="shared" si="31"/>
        <v>470441.0003</v>
      </c>
      <c r="M102" s="39">
        <f t="shared" si="31"/>
        <v>459126.137</v>
      </c>
      <c r="N102" s="39">
        <f t="shared" si="31"/>
        <v>451259.8906</v>
      </c>
      <c r="O102" s="39">
        <f t="shared" si="31"/>
        <v>443396.0374</v>
      </c>
      <c r="P102" s="39">
        <f t="shared" si="31"/>
        <v>435533.3913</v>
      </c>
      <c r="Q102" s="39">
        <f t="shared" si="31"/>
        <v>427670.6916</v>
      </c>
      <c r="R102" s="39">
        <f t="shared" si="31"/>
        <v>550373.3815</v>
      </c>
      <c r="S102" s="39">
        <f t="shared" si="31"/>
        <v>543306.5155</v>
      </c>
      <c r="T102" s="39">
        <f t="shared" si="31"/>
        <v>536277.0323</v>
      </c>
      <c r="U102" s="39">
        <f t="shared" si="31"/>
        <v>529285.4322</v>
      </c>
      <c r="V102" s="39">
        <f t="shared" si="31"/>
        <v>522332.2236</v>
      </c>
    </row>
    <row r="103" ht="15.75" customHeight="1">
      <c r="A103" s="38" t="s">
        <v>169</v>
      </c>
      <c r="B103" s="39">
        <f t="shared" si="30"/>
        <v>-2730231</v>
      </c>
      <c r="C103" s="39">
        <f t="shared" ref="C103:V103" si="32">C$88</f>
        <v>632020.1151</v>
      </c>
      <c r="D103" s="39">
        <f t="shared" si="32"/>
        <v>623314.5947</v>
      </c>
      <c r="E103" s="39">
        <f t="shared" si="32"/>
        <v>614622.1781</v>
      </c>
      <c r="F103" s="39">
        <f t="shared" si="32"/>
        <v>605942.2664</v>
      </c>
      <c r="G103" s="39">
        <f t="shared" si="32"/>
        <v>597274.2166</v>
      </c>
      <c r="H103" s="39">
        <f t="shared" si="32"/>
        <v>568753.2502</v>
      </c>
      <c r="I103" s="39">
        <f t="shared" si="32"/>
        <v>559908.1686</v>
      </c>
      <c r="J103" s="39">
        <f t="shared" si="32"/>
        <v>551070.7477</v>
      </c>
      <c r="K103" s="39">
        <f t="shared" si="32"/>
        <v>542240.1247</v>
      </c>
      <c r="L103" s="39">
        <f t="shared" si="32"/>
        <v>533415.3795</v>
      </c>
      <c r="M103" s="39">
        <f t="shared" si="32"/>
        <v>521115.9718</v>
      </c>
      <c r="N103" s="39">
        <f t="shared" si="32"/>
        <v>512265.1809</v>
      </c>
      <c r="O103" s="39">
        <f t="shared" si="32"/>
        <v>503416.7833</v>
      </c>
      <c r="P103" s="39">
        <f t="shared" si="32"/>
        <v>494569.5928</v>
      </c>
      <c r="Q103" s="39">
        <f t="shared" si="32"/>
        <v>485722.3486</v>
      </c>
      <c r="R103" s="39">
        <f t="shared" si="32"/>
        <v>607440.4941</v>
      </c>
      <c r="S103" s="39">
        <f t="shared" si="32"/>
        <v>599389.0836</v>
      </c>
      <c r="T103" s="39">
        <f t="shared" si="32"/>
        <v>591375.056</v>
      </c>
      <c r="U103" s="39">
        <f t="shared" si="32"/>
        <v>583398.9114</v>
      </c>
      <c r="V103" s="39">
        <f t="shared" si="32"/>
        <v>575461.1585</v>
      </c>
    </row>
    <row r="104" ht="15.75" customHeight="1">
      <c r="A104" s="38" t="s">
        <v>170</v>
      </c>
      <c r="B104" s="39">
        <f t="shared" ref="B104:B106" si="33">-$B$11</f>
        <v>-4129755</v>
      </c>
      <c r="C104" s="39">
        <f>C$39-MAX(0,(C$39-C$40)*Assumptions!$B$35)</f>
        <v>571334.7081</v>
      </c>
      <c r="D104" s="39">
        <f>D$39-MAX(0,(D$39-D$40)*Assumptions!$B$35)</f>
        <v>565594.3604</v>
      </c>
      <c r="E104" s="39">
        <f>E$39-MAX(0,(E$39-E$40)*Assumptions!$B$35)</f>
        <v>559887.3844</v>
      </c>
      <c r="F104" s="39">
        <f>F$39-MAX(0,(F$39-F$40)*Assumptions!$B$35)</f>
        <v>554214.1944</v>
      </c>
      <c r="G104" s="39">
        <f>G$39-MAX(0,(G$39-G$40)*Assumptions!$B$35)</f>
        <v>548575.2118</v>
      </c>
      <c r="H104" s="39">
        <f>H$39-MAX(0,(H$39-H$40)*Assumptions!$B$35)</f>
        <v>523106.775</v>
      </c>
      <c r="I104" s="39">
        <f>I$39-MAX(0,(I$39-I$40)*Assumptions!$B$35)</f>
        <v>517338.8588</v>
      </c>
      <c r="J104" s="39">
        <f>J$39-MAX(0,(J$39-J$40)*Assumptions!$B$35)</f>
        <v>511604.4708</v>
      </c>
      <c r="K104" s="39">
        <f>K$39-MAX(0,(K$39-K$40)*Assumptions!$B$35)</f>
        <v>505904.0415</v>
      </c>
      <c r="L104" s="39">
        <f>L$39-MAX(0,(L$39-L$40)*Assumptions!$B$35)</f>
        <v>500238.009</v>
      </c>
      <c r="M104" s="39">
        <f>M$39-MAX(0,(M$39-M$40)*Assumptions!$B$35)</f>
        <v>491127.2588</v>
      </c>
      <c r="N104" s="39">
        <f>N$39-MAX(0,(N$39-N$40)*Assumptions!$B$35)</f>
        <v>485496.5675</v>
      </c>
      <c r="O104" s="39">
        <f>O$39-MAX(0,(O$39-O$40)*Assumptions!$B$35)</f>
        <v>479901.2837</v>
      </c>
      <c r="P104" s="39">
        <f>P$39-MAX(0,(P$39-P$40)*Assumptions!$B$35)</f>
        <v>474341.8719</v>
      </c>
      <c r="Q104" s="39">
        <f>Q$39-MAX(0,(Q$39-Q$40)*Assumptions!$B$35)</f>
        <v>468818.8046</v>
      </c>
      <c r="R104" s="39">
        <f>R$39-MAX(0,(R$39-R$40)*Assumptions!$B$35)</f>
        <v>459066.0013</v>
      </c>
      <c r="S104" s="39">
        <f>S$39-MAX(0,(S$39-S$40)*Assumptions!$B$35)</f>
        <v>453574.4064</v>
      </c>
      <c r="T104" s="39">
        <f>T$39-MAX(0,(T$39-T$40)*Assumptions!$B$35)</f>
        <v>448120.1943</v>
      </c>
      <c r="U104" s="39">
        <f>U$39-MAX(0,(U$39-U$40)*Assumptions!$B$35)</f>
        <v>442703.8653</v>
      </c>
      <c r="V104" s="39">
        <f>V$39-MAX(0,(V$39-V$40)*Assumptions!$B$35)</f>
        <v>437325.9278</v>
      </c>
    </row>
    <row r="105" ht="15.75" customHeight="1">
      <c r="A105" s="38" t="s">
        <v>171</v>
      </c>
      <c r="B105" s="39">
        <f t="shared" si="33"/>
        <v>-4129755</v>
      </c>
      <c r="C105" s="39">
        <f>C$60-MAX(0,(C$60-C$61)*Assumptions!$B$35)</f>
        <v>686271.1547</v>
      </c>
      <c r="D105" s="39">
        <f>D$60-MAX(0,(D$60-D$61)*Assumptions!$B$35)</f>
        <v>678955.5358</v>
      </c>
      <c r="E105" s="39">
        <f>E$60-MAX(0,(E$60-E$61)*Assumptions!$B$35)</f>
        <v>671673.2888</v>
      </c>
      <c r="F105" s="39">
        <f>F$60-MAX(0,(F$60-F$61)*Assumptions!$B$35)</f>
        <v>664424.8277</v>
      </c>
      <c r="G105" s="39">
        <f>G$60-MAX(0,(G$60-G$61)*Assumptions!$B$35)</f>
        <v>657210.574</v>
      </c>
      <c r="H105" s="39">
        <f>H$60-MAX(0,(H$60-H$61)*Assumptions!$B$35)</f>
        <v>630166.8661</v>
      </c>
      <c r="I105" s="39">
        <f>I$60-MAX(0,(I$60-I$61)*Assumptions!$B$35)</f>
        <v>622823.6788</v>
      </c>
      <c r="J105" s="39">
        <f>J$60-MAX(0,(J$60-J$61)*Assumptions!$B$35)</f>
        <v>615514.0197</v>
      </c>
      <c r="K105" s="39">
        <f>K$60-MAX(0,(K$60-K$61)*Assumptions!$B$35)</f>
        <v>608238.3194</v>
      </c>
      <c r="L105" s="39">
        <f>L$60-MAX(0,(L$60-L$61)*Assumptions!$B$35)</f>
        <v>600997.0157</v>
      </c>
      <c r="M105" s="39">
        <f>M$60-MAX(0,(M$60-M$61)*Assumptions!$B$35)</f>
        <v>590310.9944</v>
      </c>
      <c r="N105" s="39">
        <f>N$60-MAX(0,(N$60-N$61)*Assumptions!$B$35)</f>
        <v>583105.0321</v>
      </c>
      <c r="O105" s="39">
        <f>O$60-MAX(0,(O$60-O$61)*Assumptions!$B$35)</f>
        <v>575934.4771</v>
      </c>
      <c r="P105" s="39">
        <f>P$60-MAX(0,(P$60-P$61)*Assumptions!$B$35)</f>
        <v>568799.7942</v>
      </c>
      <c r="Q105" s="39">
        <f>Q$60-MAX(0,(Q$60-Q$61)*Assumptions!$B$35)</f>
        <v>561701.4559</v>
      </c>
      <c r="R105" s="39">
        <f>R$60-MAX(0,(R$60-R$61)*Assumptions!$B$35)</f>
        <v>550373.3815</v>
      </c>
      <c r="S105" s="39">
        <f>S$60-MAX(0,(S$60-S$61)*Assumptions!$B$35)</f>
        <v>543306.5155</v>
      </c>
      <c r="T105" s="39">
        <f>T$60-MAX(0,(T$60-T$61)*Assumptions!$B$35)</f>
        <v>536277.0323</v>
      </c>
      <c r="U105" s="39">
        <f>U$60-MAX(0,(U$60-U$61)*Assumptions!$B$35)</f>
        <v>529285.4322</v>
      </c>
      <c r="V105" s="39">
        <f>V$60-MAX(0,(V$60-V$61)*Assumptions!$B$35)</f>
        <v>522332.2236</v>
      </c>
    </row>
    <row r="106" ht="15.75" customHeight="1">
      <c r="A106" s="38" t="s">
        <v>172</v>
      </c>
      <c r="B106" s="39">
        <f t="shared" si="33"/>
        <v>-4129755</v>
      </c>
      <c r="C106" s="39">
        <f>C$81-MAX(0,(C$81-C$82)*Assumptions!$B$35)</f>
        <v>758106.4338</v>
      </c>
      <c r="D106" s="39">
        <f>D$81-MAX(0,(D$81-D$82)*Assumptions!$B$35)</f>
        <v>749806.2705</v>
      </c>
      <c r="E106" s="39">
        <f>E$81-MAX(0,(E$81-E$82)*Assumptions!$B$35)</f>
        <v>741539.479</v>
      </c>
      <c r="F106" s="39">
        <f>F$81-MAX(0,(F$81-F$82)*Assumptions!$B$35)</f>
        <v>733306.4735</v>
      </c>
      <c r="G106" s="39">
        <f>G$81-MAX(0,(G$81-G$82)*Assumptions!$B$35)</f>
        <v>725107.6753</v>
      </c>
      <c r="H106" s="39">
        <f>H$81-MAX(0,(H$81-H$82)*Assumptions!$B$35)</f>
        <v>697079.4231</v>
      </c>
      <c r="I106" s="39">
        <f>I$81-MAX(0,(I$81-I$82)*Assumptions!$B$35)</f>
        <v>688751.6913</v>
      </c>
      <c r="J106" s="39">
        <f>J$81-MAX(0,(J$81-J$82)*Assumptions!$B$35)</f>
        <v>680457.4878</v>
      </c>
      <c r="K106" s="39">
        <f>K$81-MAX(0,(K$81-K$82)*Assumptions!$B$35)</f>
        <v>672197.243</v>
      </c>
      <c r="L106" s="39">
        <f>L$81-MAX(0,(L$81-L$82)*Assumptions!$B$35)</f>
        <v>663971.3949</v>
      </c>
      <c r="M106" s="39">
        <f>M$81-MAX(0,(M$81-M$82)*Assumptions!$B$35)</f>
        <v>652300.8292</v>
      </c>
      <c r="N106" s="39">
        <f>N$81-MAX(0,(N$81-N$82)*Assumptions!$B$35)</f>
        <v>644110.3224</v>
      </c>
      <c r="O106" s="39">
        <f>O$81-MAX(0,(O$81-O$82)*Assumptions!$B$35)</f>
        <v>635955.223</v>
      </c>
      <c r="P106" s="39">
        <f>P$81-MAX(0,(P$81-P$82)*Assumptions!$B$35)</f>
        <v>627835.9957</v>
      </c>
      <c r="Q106" s="39">
        <f>Q$81-MAX(0,(Q$81-Q$82)*Assumptions!$B$35)</f>
        <v>619753.1129</v>
      </c>
      <c r="R106" s="39">
        <f>R$81-MAX(0,(R$81-R$82)*Assumptions!$B$35)</f>
        <v>607440.4941</v>
      </c>
      <c r="S106" s="39">
        <f>S$81-MAX(0,(S$81-S$82)*Assumptions!$B$35)</f>
        <v>599389.0836</v>
      </c>
      <c r="T106" s="39">
        <f>T$81-MAX(0,(T$81-T$82)*Assumptions!$B$35)</f>
        <v>591375.056</v>
      </c>
      <c r="U106" s="39">
        <f>U$81-MAX(0,(U$81-U$82)*Assumptions!$B$35)</f>
        <v>583398.9114</v>
      </c>
      <c r="V106" s="39">
        <f>V$81-MAX(0,(V$81-V$82)*Assumptions!$B$35)</f>
        <v>575461.1585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2.0"/>
    <col customWidth="1" min="2" max="23" width="15.0"/>
    <col customWidth="1" min="24" max="26" width="8.71"/>
  </cols>
  <sheetData>
    <row r="1">
      <c r="A1" s="19" t="s">
        <v>177</v>
      </c>
    </row>
    <row r="2">
      <c r="A2" s="20" t="s">
        <v>178</v>
      </c>
    </row>
    <row r="4">
      <c r="A4" s="31" t="s">
        <v>179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>
      <c r="A5" s="11" t="s">
        <v>180</v>
      </c>
      <c r="C5" s="11">
        <v>2026.0</v>
      </c>
      <c r="D5" s="11">
        <v>2027.0</v>
      </c>
      <c r="E5" s="11">
        <v>2028.0</v>
      </c>
      <c r="F5" s="11">
        <v>2029.0</v>
      </c>
      <c r="G5" s="11">
        <v>2030.0</v>
      </c>
      <c r="H5" s="11">
        <v>2031.0</v>
      </c>
      <c r="I5" s="11">
        <v>2032.0</v>
      </c>
      <c r="J5" s="11">
        <v>2033.0</v>
      </c>
      <c r="K5" s="11">
        <v>2034.0</v>
      </c>
      <c r="L5" s="11">
        <v>2035.0</v>
      </c>
      <c r="M5" s="11">
        <v>2036.0</v>
      </c>
      <c r="N5" s="11">
        <v>2037.0</v>
      </c>
      <c r="O5" s="11">
        <v>2038.0</v>
      </c>
      <c r="P5" s="11">
        <v>2039.0</v>
      </c>
      <c r="Q5" s="11">
        <v>2040.0</v>
      </c>
      <c r="R5" s="11">
        <v>2041.0</v>
      </c>
      <c r="S5" s="11">
        <v>2042.0</v>
      </c>
      <c r="T5" s="11">
        <v>2043.0</v>
      </c>
      <c r="U5" s="11">
        <v>2044.0</v>
      </c>
      <c r="V5" s="11">
        <v>2045.0</v>
      </c>
      <c r="W5" s="11" t="s">
        <v>181</v>
      </c>
    </row>
    <row r="6">
      <c r="A6" s="6" t="s">
        <v>139</v>
      </c>
      <c r="C6" s="14">
        <f>'Type A - 10MWp'!C$33*'Type A - 10MWp'!$B$16+'Type B - 5MWp'!C$33*'Type B - 5MWp'!$B$16+'Type C - 3MWp'!C$33*'Type C - 3MWp'!$B$16</f>
        <v>14741104.06</v>
      </c>
      <c r="D6" s="14">
        <f>'Type A - 10MWp'!D$33*'Type A - 10MWp'!$B$16+'Type B - 5MWp'!D$33*'Type B - 5MWp'!$B$16+'Type C - 3MWp'!D$33*'Type C - 3MWp'!$B$16</f>
        <v>14607649.09</v>
      </c>
      <c r="E6" s="14">
        <f>'Type A - 10MWp'!E$33*'Type A - 10MWp'!$B$16+'Type B - 5MWp'!E$33*'Type B - 5MWp'!$B$16+'Type C - 3MWp'!E$33*'Type C - 3MWp'!$B$16</f>
        <v>14474391.07</v>
      </c>
      <c r="F6" s="14">
        <f>'Type A - 10MWp'!F$33*'Type A - 10MWp'!$B$16+'Type B - 5MWp'!F$33*'Type B - 5MWp'!$B$16+'Type C - 3MWp'!F$33*'Type C - 3MWp'!$B$16</f>
        <v>14341329</v>
      </c>
      <c r="G6" s="14">
        <f>'Type A - 10MWp'!G$33*'Type A - 10MWp'!$B$16+'Type B - 5MWp'!G$33*'Type B - 5MWp'!$B$16+'Type C - 3MWp'!G$33*'Type C - 3MWp'!$B$16</f>
        <v>14208461.91</v>
      </c>
      <c r="H6" s="14">
        <f>'Type A - 10MWp'!H$33*'Type A - 10MWp'!$B$16+'Type B - 5MWp'!H$33*'Type B - 5MWp'!$B$16+'Type C - 3MWp'!H$33*'Type C - 3MWp'!$B$16</f>
        <v>14075788.83</v>
      </c>
      <c r="I6" s="14">
        <f>'Type A - 10MWp'!I$33*'Type A - 10MWp'!$B$16+'Type B - 5MWp'!I$33*'Type B - 5MWp'!$B$16+'Type C - 3MWp'!I$33*'Type C - 3MWp'!$B$16</f>
        <v>13943308.78</v>
      </c>
      <c r="J6" s="14">
        <f>'Type A - 10MWp'!J$33*'Type A - 10MWp'!$B$16+'Type B - 5MWp'!J$33*'Type B - 5MWp'!$B$16+'Type C - 3MWp'!J$33*'Type C - 3MWp'!$B$16</f>
        <v>13811020.8</v>
      </c>
      <c r="K6" s="14">
        <f>'Type A - 10MWp'!K$33*'Type A - 10MWp'!$B$16+'Type B - 5MWp'!K$33*'Type B - 5MWp'!$B$16+'Type C - 3MWp'!K$33*'Type C - 3MWp'!$B$16</f>
        <v>13678923.93</v>
      </c>
      <c r="L6" s="14">
        <f>'Type A - 10MWp'!L$33*'Type A - 10MWp'!$B$16+'Type B - 5MWp'!L$33*'Type B - 5MWp'!$B$16+'Type C - 3MWp'!L$33*'Type C - 3MWp'!$B$16</f>
        <v>13547017.22</v>
      </c>
      <c r="M6" s="14">
        <f>'Type A - 10MWp'!M$33*'Type A - 10MWp'!$B$16+'Type B - 5MWp'!M$33*'Type B - 5MWp'!$B$16+'Type C - 3MWp'!M$33*'Type C - 3MWp'!$B$16</f>
        <v>13415299.7</v>
      </c>
      <c r="N6" s="14">
        <f>'Type A - 10MWp'!N$33*'Type A - 10MWp'!$B$16+'Type B - 5MWp'!N$33*'Type B - 5MWp'!$B$16+'Type C - 3MWp'!N$33*'Type C - 3MWp'!$B$16</f>
        <v>13283770.45</v>
      </c>
      <c r="O6" s="14">
        <f>'Type A - 10MWp'!O$33*'Type A - 10MWp'!$B$16+'Type B - 5MWp'!O$33*'Type B - 5MWp'!$B$16+'Type C - 3MWp'!O$33*'Type C - 3MWp'!$B$16</f>
        <v>13152428.5</v>
      </c>
      <c r="P6" s="14">
        <f>'Type A - 10MWp'!P$33*'Type A - 10MWp'!$B$16+'Type B - 5MWp'!P$33*'Type B - 5MWp'!$B$16+'Type C - 3MWp'!P$33*'Type C - 3MWp'!$B$16</f>
        <v>13021272.94</v>
      </c>
      <c r="Q6" s="14">
        <f>'Type A - 10MWp'!Q$33*'Type A - 10MWp'!$B$16+'Type B - 5MWp'!Q$33*'Type B - 5MWp'!$B$16+'Type C - 3MWp'!Q$33*'Type C - 3MWp'!$B$16</f>
        <v>12890302.82</v>
      </c>
      <c r="R6" s="14">
        <f>'Type A - 10MWp'!R$33*'Type A - 10MWp'!$B$16+'Type B - 5MWp'!R$33*'Type B - 5MWp'!$B$16+'Type C - 3MWp'!R$33*'Type C - 3MWp'!$B$16</f>
        <v>12759517.23</v>
      </c>
      <c r="S6" s="14">
        <f>'Type A - 10MWp'!S$33*'Type A - 10MWp'!$B$16+'Type B - 5MWp'!S$33*'Type B - 5MWp'!$B$16+'Type C - 3MWp'!S$33*'Type C - 3MWp'!$B$16</f>
        <v>12628915.23</v>
      </c>
      <c r="T6" s="14">
        <f>'Type A - 10MWp'!T$33*'Type A - 10MWp'!$B$16+'Type B - 5MWp'!T$33*'Type B - 5MWp'!$B$16+'Type C - 3MWp'!T$33*'Type C - 3MWp'!$B$16</f>
        <v>12498495.91</v>
      </c>
      <c r="U6" s="14">
        <f>'Type A - 10MWp'!U$33*'Type A - 10MWp'!$B$16+'Type B - 5MWp'!U$33*'Type B - 5MWp'!$B$16+'Type C - 3MWp'!U$33*'Type C - 3MWp'!$B$16</f>
        <v>12368258.35</v>
      </c>
      <c r="V6" s="14">
        <f>'Type A - 10MWp'!V$33*'Type A - 10MWp'!$B$16+'Type B - 5MWp'!V$33*'Type B - 5MWp'!$B$16+'Type C - 3MWp'!V$33*'Type C - 3MWp'!$B$16</f>
        <v>12238201.66</v>
      </c>
      <c r="W6" s="14">
        <f>SUM(C$6:V$6)</f>
        <v>269685457.5</v>
      </c>
    </row>
    <row r="7">
      <c r="A7" s="6" t="s">
        <v>144</v>
      </c>
      <c r="C7" s="14">
        <f>'Type A - 10MWp'!C$38*'Type A - 10MWp'!$B$16+'Type B - 5MWp'!C$38*'Type B - 5MWp'!$B$16+'Type C - 3MWp'!C$38*'Type C - 3MWp'!$B$16</f>
        <v>2859445.72</v>
      </c>
      <c r="D7" s="14">
        <f>'Type A - 10MWp'!D$38*'Type A - 10MWp'!$B$16+'Type B - 5MWp'!D$38*'Type B - 5MWp'!$B$16+'Type C - 3MWp'!D$38*'Type C - 3MWp'!$B$16</f>
        <v>2850278.301</v>
      </c>
      <c r="E7" s="14">
        <f>'Type A - 10MWp'!E$38*'Type A - 10MWp'!$B$16+'Type B - 5MWp'!E$38*'Type B - 5MWp'!$B$16+'Type C - 3MWp'!E$38*'Type C - 3MWp'!$B$16</f>
        <v>2840579.583</v>
      </c>
      <c r="F7" s="14">
        <f>'Type A - 10MWp'!F$38*'Type A - 10MWp'!$B$16+'Type B - 5MWp'!F$38*'Type B - 5MWp'!$B$16+'Type C - 3MWp'!F$38*'Type C - 3MWp'!$B$16</f>
        <v>2830339.549</v>
      </c>
      <c r="G7" s="14">
        <f>'Type A - 10MWp'!G$38*'Type A - 10MWp'!$B$16+'Type B - 5MWp'!G$38*'Type B - 5MWp'!$B$16+'Type C - 3MWp'!G$38*'Type C - 3MWp'!$B$16</f>
        <v>2819548.033</v>
      </c>
      <c r="H7" s="14">
        <f>'Type A - 10MWp'!H$38*'Type A - 10MWp'!$B$16+'Type B - 5MWp'!H$38*'Type B - 5MWp'!$B$16+'Type C - 3MWp'!H$38*'Type C - 3MWp'!$B$16</f>
        <v>3239529.246</v>
      </c>
      <c r="I7" s="14">
        <f>'Type A - 10MWp'!I$38*'Type A - 10MWp'!$B$16+'Type B - 5MWp'!I$38*'Type B - 5MWp'!$B$16+'Type C - 3MWp'!I$38*'Type C - 3MWp'!$B$16</f>
        <v>3231917.014</v>
      </c>
      <c r="J7" s="14">
        <f>'Type A - 10MWp'!J$38*'Type A - 10MWp'!$B$16+'Type B - 5MWp'!J$38*'Type B - 5MWp'!$B$16+'Type C - 3MWp'!J$38*'Type C - 3MWp'!$B$16</f>
        <v>3223765.028</v>
      </c>
      <c r="K7" s="14">
        <f>'Type A - 10MWp'!K$38*'Type A - 10MWp'!$B$16+'Type B - 5MWp'!K$38*'Type B - 5MWp'!$B$16+'Type C - 3MWp'!K$38*'Type C - 3MWp'!$B$16</f>
        <v>3215062.939</v>
      </c>
      <c r="L7" s="14">
        <f>'Type A - 10MWp'!L$38*'Type A - 10MWp'!$B$16+'Type B - 5MWp'!L$38*'Type B - 5MWp'!$B$16+'Type C - 3MWp'!L$38*'Type C - 3MWp'!$B$16</f>
        <v>3205800.244</v>
      </c>
      <c r="M7" s="14">
        <f>'Type A - 10MWp'!M$38*'Type A - 10MWp'!$B$16+'Type B - 5MWp'!M$38*'Type B - 5MWp'!$B$16+'Type C - 3MWp'!M$38*'Type C - 3MWp'!$B$16</f>
        <v>3271522.437</v>
      </c>
      <c r="N7" s="14">
        <f>'Type A - 10MWp'!N$38*'Type A - 10MWp'!$B$16+'Type B - 5MWp'!N$38*'Type B - 5MWp'!$B$16+'Type C - 3MWp'!N$38*'Type C - 3MWp'!$B$16</f>
        <v>3261861.954</v>
      </c>
      <c r="O7" s="14">
        <f>'Type A - 10MWp'!O$38*'Type A - 10MWp'!$B$16+'Type B - 5MWp'!O$38*'Type B - 5MWp'!$B$16+'Type C - 3MWp'!O$38*'Type C - 3MWp'!$B$16</f>
        <v>3251615.964</v>
      </c>
      <c r="P7" s="14">
        <f>'Type A - 10MWp'!P$38*'Type A - 10MWp'!$B$16+'Type B - 5MWp'!P$38*'Type B - 5MWp'!$B$16+'Type C - 3MWp'!P$38*'Type C - 3MWp'!$B$16</f>
        <v>3240773.4</v>
      </c>
      <c r="Q7" s="14">
        <f>'Type A - 10MWp'!Q$38*'Type A - 10MWp'!$B$16+'Type B - 5MWp'!Q$38*'Type B - 5MWp'!$B$16+'Type C - 3MWp'!Q$38*'Type C - 3MWp'!$B$16</f>
        <v>3229323.03</v>
      </c>
      <c r="R7" s="14">
        <f>'Type A - 10MWp'!R$38*'Type A - 10MWp'!$B$16+'Type B - 5MWp'!R$38*'Type B - 5MWp'!$B$16+'Type C - 3MWp'!R$38*'Type C - 3MWp'!$B$16</f>
        <v>3309898.781</v>
      </c>
      <c r="S7" s="14">
        <f>'Type A - 10MWp'!S$38*'Type A - 10MWp'!$B$16+'Type B - 5MWp'!S$38*'Type B - 5MWp'!$B$16+'Type C - 3MWp'!S$38*'Type C - 3MWp'!$B$16</f>
        <v>3298124.894</v>
      </c>
      <c r="T7" s="14">
        <f>'Type A - 10MWp'!T$38*'Type A - 10MWp'!$B$16+'Type B - 5MWp'!T$38*'Type B - 5MWp'!$B$16+'Type C - 3MWp'!T$38*'Type C - 3MWp'!$B$16</f>
        <v>3285717.765</v>
      </c>
      <c r="U7" s="14">
        <f>'Type A - 10MWp'!U$38*'Type A - 10MWp'!$B$16+'Type B - 5MWp'!U$38*'Type B - 5MWp'!$B$16+'Type C - 3MWp'!U$38*'Type C - 3MWp'!$B$16</f>
        <v>3272665.576</v>
      </c>
      <c r="V7" s="14">
        <f>'Type A - 10MWp'!V$38*'Type A - 10MWp'!$B$16+'Type B - 5MWp'!V$38*'Type B - 5MWp'!$B$16+'Type C - 3MWp'!V$38*'Type C - 3MWp'!$B$16</f>
        <v>3258956.336</v>
      </c>
      <c r="W7" s="14">
        <f>SUM(C$7:V$7)</f>
        <v>62996725.8</v>
      </c>
    </row>
    <row r="8">
      <c r="A8" s="33" t="s">
        <v>182</v>
      </c>
      <c r="B8" s="33"/>
      <c r="C8" s="34">
        <f>'Type A - 10MWp'!C$39*'Type A - 10MWp'!$B$16+'Type B - 5MWp'!C$39*'Type B - 5MWp'!$B$16+'Type C - 3MWp'!C$39*'Type C - 3MWp'!$B$16</f>
        <v>11881658.34</v>
      </c>
      <c r="D8" s="34">
        <f>'Type A - 10MWp'!D$39*'Type A - 10MWp'!$B$16+'Type B - 5MWp'!D$39*'Type B - 5MWp'!$B$16+'Type C - 3MWp'!D$39*'Type C - 3MWp'!$B$16</f>
        <v>11757370.79</v>
      </c>
      <c r="E8" s="34">
        <f>'Type A - 10MWp'!E$39*'Type A - 10MWp'!$B$16+'Type B - 5MWp'!E$39*'Type B - 5MWp'!$B$16+'Type C - 3MWp'!E$39*'Type C - 3MWp'!$B$16</f>
        <v>11633811.48</v>
      </c>
      <c r="F8" s="34">
        <f>'Type A - 10MWp'!F$39*'Type A - 10MWp'!$B$16+'Type B - 5MWp'!F$39*'Type B - 5MWp'!$B$16+'Type C - 3MWp'!F$39*'Type C - 3MWp'!$B$16</f>
        <v>11510989.45</v>
      </c>
      <c r="G8" s="34">
        <f>'Type A - 10MWp'!G$39*'Type A - 10MWp'!$B$16+'Type B - 5MWp'!G$39*'Type B - 5MWp'!$B$16+'Type C - 3MWp'!G$39*'Type C - 3MWp'!$B$16</f>
        <v>11388913.88</v>
      </c>
      <c r="H8" s="34">
        <f>'Type A - 10MWp'!H$39*'Type A - 10MWp'!$B$16+'Type B - 5MWp'!H$39*'Type B - 5MWp'!$B$16+'Type C - 3MWp'!H$39*'Type C - 3MWp'!$B$16</f>
        <v>10836259.58</v>
      </c>
      <c r="I8" s="34">
        <f>'Type A - 10MWp'!I$39*'Type A - 10MWp'!$B$16+'Type B - 5MWp'!I$39*'Type B - 5MWp'!$B$16+'Type C - 3MWp'!I$39*'Type C - 3MWp'!$B$16</f>
        <v>10711391.77</v>
      </c>
      <c r="J8" s="34">
        <f>'Type A - 10MWp'!J$39*'Type A - 10MWp'!$B$16+'Type B - 5MWp'!J$39*'Type B - 5MWp'!$B$16+'Type C - 3MWp'!J$39*'Type C - 3MWp'!$B$16</f>
        <v>10587255.77</v>
      </c>
      <c r="K8" s="34">
        <f>'Type A - 10MWp'!K$39*'Type A - 10MWp'!$B$16+'Type B - 5MWp'!K$39*'Type B - 5MWp'!$B$16+'Type C - 3MWp'!K$39*'Type C - 3MWp'!$B$16</f>
        <v>10463860.99</v>
      </c>
      <c r="L8" s="34">
        <f>'Type A - 10MWp'!L$39*'Type A - 10MWp'!$B$16+'Type B - 5MWp'!L$39*'Type B - 5MWp'!$B$16+'Type C - 3MWp'!L$39*'Type C - 3MWp'!$B$16</f>
        <v>10341216.97</v>
      </c>
      <c r="M8" s="34">
        <f>'Type A - 10MWp'!M$39*'Type A - 10MWp'!$B$16+'Type B - 5MWp'!M$39*'Type B - 5MWp'!$B$16+'Type C - 3MWp'!M$39*'Type C - 3MWp'!$B$16</f>
        <v>10143777.27</v>
      </c>
      <c r="N8" s="34">
        <f>'Type A - 10MWp'!N$39*'Type A - 10MWp'!$B$16+'Type B - 5MWp'!N$39*'Type B - 5MWp'!$B$16+'Type C - 3MWp'!N$39*'Type C - 3MWp'!$B$16</f>
        <v>10021908.49</v>
      </c>
      <c r="O8" s="34">
        <f>'Type A - 10MWp'!O$39*'Type A - 10MWp'!$B$16+'Type B - 5MWp'!O$39*'Type B - 5MWp'!$B$16+'Type C - 3MWp'!O$39*'Type C - 3MWp'!$B$16</f>
        <v>9900812.539</v>
      </c>
      <c r="P8" s="34">
        <f>'Type A - 10MWp'!P$39*'Type A - 10MWp'!$B$16+'Type B - 5MWp'!P$39*'Type B - 5MWp'!$B$16+'Type C - 3MWp'!P$39*'Type C - 3MWp'!$B$16</f>
        <v>9780499.541</v>
      </c>
      <c r="Q8" s="34">
        <f>'Type A - 10MWp'!Q$39*'Type A - 10MWp'!$B$16+'Type B - 5MWp'!Q$39*'Type B - 5MWp'!$B$16+'Type C - 3MWp'!Q$39*'Type C - 3MWp'!$B$16</f>
        <v>9660979.794</v>
      </c>
      <c r="R8" s="34">
        <f>'Type A - 10MWp'!R$39*'Type A - 10MWp'!$B$16+'Type B - 5MWp'!R$39*'Type B - 5MWp'!$B$16+'Type C - 3MWp'!R$39*'Type C - 3MWp'!$B$16</f>
        <v>9449618.447</v>
      </c>
      <c r="S8" s="34">
        <f>'Type A - 10MWp'!S$39*'Type A - 10MWp'!$B$16+'Type B - 5MWp'!S$39*'Type B - 5MWp'!$B$16+'Type C - 3MWp'!S$39*'Type C - 3MWp'!$B$16</f>
        <v>9330790.334</v>
      </c>
      <c r="T8" s="34">
        <f>'Type A - 10MWp'!T$39*'Type A - 10MWp'!$B$16+'Type B - 5MWp'!T$39*'Type B - 5MWp'!$B$16+'Type C - 3MWp'!T$39*'Type C - 3MWp'!$B$16</f>
        <v>9212778.143</v>
      </c>
      <c r="U8" s="34">
        <f>'Type A - 10MWp'!U$39*'Type A - 10MWp'!$B$16+'Type B - 5MWp'!U$39*'Type B - 5MWp'!$B$16+'Type C - 3MWp'!U$39*'Type C - 3MWp'!$B$16</f>
        <v>9095592.777</v>
      </c>
      <c r="V8" s="34">
        <f>'Type A - 10MWp'!V$39*'Type A - 10MWp'!$B$16+'Type B - 5MWp'!V$39*'Type B - 5MWp'!$B$16+'Type C - 3MWp'!V$39*'Type C - 3MWp'!$B$16</f>
        <v>8979245.32</v>
      </c>
      <c r="W8" s="34">
        <f>SUM(C$8:V$8)</f>
        <v>206688731.7</v>
      </c>
    </row>
    <row r="9">
      <c r="A9" s="6" t="s">
        <v>183</v>
      </c>
      <c r="C9" s="14">
        <f>'Type A - 10MWp'!C$45*'Type A - 10MWp'!$B$16+'Type B - 5MWp'!C$45*'Type B - 5MWp'!$B$16+'Type C - 3MWp'!C$45*'Type C - 3MWp'!$B$16</f>
        <v>2175267.616</v>
      </c>
      <c r="D9" s="14">
        <f>'Type A - 10MWp'!D$45*'Type A - 10MWp'!$B$16+'Type B - 5MWp'!D$45*'Type B - 5MWp'!$B$16+'Type C - 3MWp'!D$45*'Type C - 3MWp'!$B$16</f>
        <v>2175267.616</v>
      </c>
      <c r="E9" s="14">
        <f>'Type A - 10MWp'!E$45*'Type A - 10MWp'!$B$16+'Type B - 5MWp'!E$45*'Type B - 5MWp'!$B$16+'Type C - 3MWp'!E$45*'Type C - 3MWp'!$B$16</f>
        <v>2175267.616</v>
      </c>
      <c r="F9" s="14">
        <f>'Type A - 10MWp'!F$45*'Type A - 10MWp'!$B$16+'Type B - 5MWp'!F$45*'Type B - 5MWp'!$B$16+'Type C - 3MWp'!F$45*'Type C - 3MWp'!$B$16</f>
        <v>2175267.616</v>
      </c>
      <c r="G9" s="14">
        <f>'Type A - 10MWp'!G$45*'Type A - 10MWp'!$B$16+'Type B - 5MWp'!G$45*'Type B - 5MWp'!$B$16+'Type C - 3MWp'!G$45*'Type C - 3MWp'!$B$16</f>
        <v>2175267.616</v>
      </c>
      <c r="H9" s="14">
        <f>'Type A - 10MWp'!H$45*'Type A - 10MWp'!$B$16+'Type B - 5MWp'!H$45*'Type B - 5MWp'!$B$16+'Type C - 3MWp'!H$45*'Type C - 3MWp'!$B$16</f>
        <v>2175267.616</v>
      </c>
      <c r="I9" s="14">
        <f>'Type A - 10MWp'!I$45*'Type A - 10MWp'!$B$16+'Type B - 5MWp'!I$45*'Type B - 5MWp'!$B$16+'Type C - 3MWp'!I$45*'Type C - 3MWp'!$B$16</f>
        <v>2175267.616</v>
      </c>
      <c r="J9" s="14">
        <f>'Type A - 10MWp'!J$45*'Type A - 10MWp'!$B$16+'Type B - 5MWp'!J$45*'Type B - 5MWp'!$B$16+'Type C - 3MWp'!J$45*'Type C - 3MWp'!$B$16</f>
        <v>2175267.616</v>
      </c>
      <c r="K9" s="14">
        <f>'Type A - 10MWp'!K$45*'Type A - 10MWp'!$B$16+'Type B - 5MWp'!K$45*'Type B - 5MWp'!$B$16+'Type C - 3MWp'!K$45*'Type C - 3MWp'!$B$16</f>
        <v>2175267.616</v>
      </c>
      <c r="L9" s="14">
        <f>'Type A - 10MWp'!L$45*'Type A - 10MWp'!$B$16+'Type B - 5MWp'!L$45*'Type B - 5MWp'!$B$16+'Type C - 3MWp'!L$45*'Type C - 3MWp'!$B$16</f>
        <v>2175267.616</v>
      </c>
      <c r="M9" s="14">
        <f>'Type A - 10MWp'!M$45*'Type A - 10MWp'!$B$16+'Type B - 5MWp'!M$45*'Type B - 5MWp'!$B$16+'Type C - 3MWp'!M$45*'Type C - 3MWp'!$B$16</f>
        <v>2175267.616</v>
      </c>
      <c r="N9" s="14">
        <f>'Type A - 10MWp'!N$45*'Type A - 10MWp'!$B$16+'Type B - 5MWp'!N$45*'Type B - 5MWp'!$B$16+'Type C - 3MWp'!N$45*'Type C - 3MWp'!$B$16</f>
        <v>2175267.616</v>
      </c>
      <c r="O9" s="14">
        <f>'Type A - 10MWp'!O$45*'Type A - 10MWp'!$B$16+'Type B - 5MWp'!O$45*'Type B - 5MWp'!$B$16+'Type C - 3MWp'!O$45*'Type C - 3MWp'!$B$16</f>
        <v>2175267.616</v>
      </c>
      <c r="P9" s="14">
        <f>'Type A - 10MWp'!P$45*'Type A - 10MWp'!$B$16+'Type B - 5MWp'!P$45*'Type B - 5MWp'!$B$16+'Type C - 3MWp'!P$45*'Type C - 3MWp'!$B$16</f>
        <v>2175267.616</v>
      </c>
      <c r="Q9" s="14">
        <f>'Type A - 10MWp'!Q$45*'Type A - 10MWp'!$B$16+'Type B - 5MWp'!Q$45*'Type B - 5MWp'!$B$16+'Type C - 3MWp'!Q$45*'Type C - 3MWp'!$B$16</f>
        <v>2175267.616</v>
      </c>
      <c r="R9" s="14">
        <f>'Type A - 10MWp'!R$45*'Type A - 10MWp'!$B$16+'Type B - 5MWp'!R$45*'Type B - 5MWp'!$B$16+'Type C - 3MWp'!R$45*'Type C - 3MWp'!$B$16</f>
        <v>0</v>
      </c>
      <c r="S9" s="14">
        <f>'Type A - 10MWp'!S$45*'Type A - 10MWp'!$B$16+'Type B - 5MWp'!S$45*'Type B - 5MWp'!$B$16+'Type C - 3MWp'!S$45*'Type C - 3MWp'!$B$16</f>
        <v>0</v>
      </c>
      <c r="T9" s="14">
        <f>'Type A - 10MWp'!T$45*'Type A - 10MWp'!$B$16+'Type B - 5MWp'!T$45*'Type B - 5MWp'!$B$16+'Type C - 3MWp'!T$45*'Type C - 3MWp'!$B$16</f>
        <v>0</v>
      </c>
      <c r="U9" s="14">
        <f>'Type A - 10MWp'!U$45*'Type A - 10MWp'!$B$16+'Type B - 5MWp'!U$45*'Type B - 5MWp'!$B$16+'Type C - 3MWp'!U$45*'Type C - 3MWp'!$B$16</f>
        <v>0</v>
      </c>
      <c r="V9" s="14">
        <f>'Type A - 10MWp'!V$45*'Type A - 10MWp'!$B$16+'Type B - 5MWp'!V$45*'Type B - 5MWp'!$B$16+'Type C - 3MWp'!V$45*'Type C - 3MWp'!$B$16</f>
        <v>0</v>
      </c>
      <c r="W9" s="14">
        <f>SUM(C$9:V$9)</f>
        <v>32629014.25</v>
      </c>
    </row>
    <row r="10">
      <c r="A10" s="6" t="s">
        <v>184</v>
      </c>
      <c r="C10" s="14">
        <f>'Type A - 10MWp'!C$43*'Type A - 10MWp'!$B$16+'Type B - 5MWp'!C$43*'Type B - 5MWp'!$B$16+'Type C - 3MWp'!C$43*'Type C - 3MWp'!$B$16</f>
        <v>890010.6863</v>
      </c>
      <c r="D10" s="14">
        <f>'Type A - 10MWp'!D$43*'Type A - 10MWp'!$B$16+'Type B - 5MWp'!D$43*'Type B - 5MWp'!$B$16+'Type C - 3MWp'!D$43*'Type C - 3MWp'!$B$16</f>
        <v>881014.3731</v>
      </c>
      <c r="E10" s="14">
        <f>'Type A - 10MWp'!E$43*'Type A - 10MWp'!$B$16+'Type B - 5MWp'!E$43*'Type B - 5MWp'!$B$16+'Type C - 3MWp'!E$43*'Type C - 3MWp'!$B$16</f>
        <v>872436.072</v>
      </c>
      <c r="F10" s="14">
        <f>'Type A - 10MWp'!F$43*'Type A - 10MWp'!$B$16+'Type B - 5MWp'!F$43*'Type B - 5MWp'!$B$16+'Type C - 3MWp'!F$43*'Type C - 3MWp'!$B$16</f>
        <v>864293.2609</v>
      </c>
      <c r="G10" s="14">
        <f>'Type A - 10MWp'!G$43*'Type A - 10MWp'!$B$16+'Type B - 5MWp'!G$43*'Type B - 5MWp'!$B$16+'Type C - 3MWp'!G$43*'Type C - 3MWp'!$B$16</f>
        <v>856604.2544</v>
      </c>
      <c r="H10" s="14">
        <f>'Type A - 10MWp'!H$43*'Type A - 10MWp'!$B$16+'Type B - 5MWp'!H$43*'Type B - 5MWp'!$B$16+'Type C - 3MWp'!H$43*'Type C - 3MWp'!$B$16</f>
        <v>795471.4296</v>
      </c>
      <c r="I10" s="14">
        <f>'Type A - 10MWp'!I$43*'Type A - 10MWp'!$B$16+'Type B - 5MWp'!I$43*'Type B - 5MWp'!$B$16+'Type C - 3MWp'!I$43*'Type C - 3MWp'!$B$16</f>
        <v>788209.3627</v>
      </c>
      <c r="J10" s="14">
        <f>'Type A - 10MWp'!J$43*'Type A - 10MWp'!$B$16+'Type B - 5MWp'!J$43*'Type B - 5MWp'!$B$16+'Type C - 3MWp'!J$43*'Type C - 3MWp'!$B$16</f>
        <v>781456.0942</v>
      </c>
      <c r="K10" s="14">
        <f>'Type A - 10MWp'!K$43*'Type A - 10MWp'!$B$16+'Type B - 5MWp'!K$43*'Type B - 5MWp'!$B$16+'Type C - 3MWp'!K$43*'Type C - 3MWp'!$B$16</f>
        <v>775233.6637</v>
      </c>
      <c r="L10" s="14">
        <f>'Type A - 10MWp'!L$43*'Type A - 10MWp'!$B$16+'Type B - 5MWp'!L$43*'Type B - 5MWp'!$B$16+'Type C - 3MWp'!L$43*'Type C - 3MWp'!$B$16</f>
        <v>769565.1741</v>
      </c>
      <c r="M10" s="14">
        <f>'Type A - 10MWp'!M$43*'Type A - 10MWp'!$B$16+'Type B - 5MWp'!M$43*'Type B - 5MWp'!$B$16+'Type C - 3MWp'!M$43*'Type C - 3MWp'!$B$16</f>
        <v>755030.3244</v>
      </c>
      <c r="N10" s="14">
        <f>'Type A - 10MWp'!N$43*'Type A - 10MWp'!$B$16+'Type B - 5MWp'!N$43*'Type B - 5MWp'!$B$16+'Type C - 3MWp'!N$43*'Type C - 3MWp'!$B$16</f>
        <v>750449.097</v>
      </c>
      <c r="O10" s="14">
        <f>'Type A - 10MWp'!O$43*'Type A - 10MWp'!$B$16+'Type B - 5MWp'!O$43*'Type B - 5MWp'!$B$16+'Type C - 3MWp'!O$43*'Type C - 3MWp'!$B$16</f>
        <v>746497.0909</v>
      </c>
      <c r="P10" s="14">
        <f>'Type A - 10MWp'!P$43*'Type A - 10MWp'!$B$16+'Type B - 5MWp'!P$43*'Type B - 5MWp'!$B$16+'Type C - 3MWp'!P$43*'Type C - 3MWp'!$B$16</f>
        <v>743202.2032</v>
      </c>
      <c r="Q10" s="14">
        <f>'Type A - 10MWp'!Q$43*'Type A - 10MWp'!$B$16+'Type B - 5MWp'!Q$43*'Type B - 5MWp'!$B$16+'Type C - 3MWp'!Q$43*'Type C - 3MWp'!$B$16</f>
        <v>740593.684</v>
      </c>
      <c r="R10" s="14">
        <f>'Type A - 10MWp'!R$43*'Type A - 10MWp'!$B$16+'Type B - 5MWp'!R$43*'Type B - 5MWp'!$B$16+'Type C - 3MWp'!R$43*'Type C - 3MWp'!$B$16</f>
        <v>727121.5371</v>
      </c>
      <c r="S10" s="14">
        <f>'Type A - 10MWp'!S$43*'Type A - 10MWp'!$B$16+'Type B - 5MWp'!S$43*'Type B - 5MWp'!$B$16+'Type C - 3MWp'!S$43*'Type C - 3MWp'!$B$16</f>
        <v>712268.0231</v>
      </c>
      <c r="T10" s="14">
        <f>'Type A - 10MWp'!T$43*'Type A - 10MWp'!$B$16+'Type B - 5MWp'!T$43*'Type B - 5MWp'!$B$16+'Type C - 3MWp'!T$43*'Type C - 3MWp'!$B$16</f>
        <v>697516.4991</v>
      </c>
      <c r="U10" s="14">
        <f>'Type A - 10MWp'!U$43*'Type A - 10MWp'!$B$16+'Type B - 5MWp'!U$43*'Type B - 5MWp'!$B$16+'Type C - 3MWp'!U$43*'Type C - 3MWp'!$B$16</f>
        <v>682868.3283</v>
      </c>
      <c r="V10" s="14">
        <f>'Type A - 10MWp'!V$43*'Type A - 10MWp'!$B$16+'Type B - 5MWp'!V$43*'Type B - 5MWp'!$B$16+'Type C - 3MWp'!V$43*'Type C - 3MWp'!$B$16</f>
        <v>668324.8962</v>
      </c>
      <c r="W10" s="14">
        <f>SUM(C$10:V$10)</f>
        <v>15498166.05</v>
      </c>
    </row>
    <row r="11">
      <c r="A11" s="33" t="s">
        <v>185</v>
      </c>
      <c r="B11" s="33"/>
      <c r="C11" s="34">
        <f>'Type A - 10MWp'!C$46*'Type A - 10MWp'!$B$16+'Type B - 5MWp'!C$46*'Type B - 5MWp'!$B$16+'Type C - 3MWp'!C$46*'Type C - 3MWp'!$B$16</f>
        <v>8816380.038</v>
      </c>
      <c r="D11" s="34">
        <f>'Type A - 10MWp'!D$46*'Type A - 10MWp'!$B$16+'Type B - 5MWp'!D$46*'Type B - 5MWp'!$B$16+'Type C - 3MWp'!D$46*'Type C - 3MWp'!$B$16</f>
        <v>8701088.8</v>
      </c>
      <c r="E11" s="34">
        <f>'Type A - 10MWp'!E$46*'Type A - 10MWp'!$B$16+'Type B - 5MWp'!E$46*'Type B - 5MWp'!$B$16+'Type C - 3MWp'!E$46*'Type C - 3MWp'!$B$16</f>
        <v>8586107.794</v>
      </c>
      <c r="F11" s="34">
        <f>'Type A - 10MWp'!F$46*'Type A - 10MWp'!$B$16+'Type B - 5MWp'!F$46*'Type B - 5MWp'!$B$16+'Type C - 3MWp'!F$46*'Type C - 3MWp'!$B$16</f>
        <v>8471428.573</v>
      </c>
      <c r="G11" s="34">
        <f>'Type A - 10MWp'!G$46*'Type A - 10MWp'!$B$16+'Type B - 5MWp'!G$46*'Type B - 5MWp'!$B$16+'Type C - 3MWp'!G$46*'Type C - 3MWp'!$B$16</f>
        <v>8357042.008</v>
      </c>
      <c r="H11" s="34">
        <f>'Type A - 10MWp'!H$46*'Type A - 10MWp'!$B$16+'Type B - 5MWp'!H$46*'Type B - 5MWp'!$B$16+'Type C - 3MWp'!H$46*'Type C - 3MWp'!$B$16</f>
        <v>7865520.537</v>
      </c>
      <c r="I11" s="34">
        <f>'Type A - 10MWp'!I$46*'Type A - 10MWp'!$B$16+'Type B - 5MWp'!I$46*'Type B - 5MWp'!$B$16+'Type C - 3MWp'!I$46*'Type C - 3MWp'!$B$16</f>
        <v>7747914.788</v>
      </c>
      <c r="J11" s="34">
        <f>'Type A - 10MWp'!J$46*'Type A - 10MWp'!$B$16+'Type B - 5MWp'!J$46*'Type B - 5MWp'!$B$16+'Type C - 3MWp'!J$46*'Type C - 3MWp'!$B$16</f>
        <v>7630532.064</v>
      </c>
      <c r="K11" s="34">
        <f>'Type A - 10MWp'!K$46*'Type A - 10MWp'!$B$16+'Type B - 5MWp'!K$46*'Type B - 5MWp'!$B$16+'Type C - 3MWp'!K$46*'Type C - 3MWp'!$B$16</f>
        <v>7513359.713</v>
      </c>
      <c r="L11" s="34">
        <f>'Type A - 10MWp'!L$46*'Type A - 10MWp'!$B$16+'Type B - 5MWp'!L$46*'Type B - 5MWp'!$B$16+'Type C - 3MWp'!L$46*'Type C - 3MWp'!$B$16</f>
        <v>7396384.181</v>
      </c>
      <c r="M11" s="34">
        <f>'Type A - 10MWp'!M$46*'Type A - 10MWp'!$B$16+'Type B - 5MWp'!M$46*'Type B - 5MWp'!$B$16+'Type C - 3MWp'!M$46*'Type C - 3MWp'!$B$16</f>
        <v>7213479.324</v>
      </c>
      <c r="N11" s="34">
        <f>'Type A - 10MWp'!N$46*'Type A - 10MWp'!$B$16+'Type B - 5MWp'!N$46*'Type B - 5MWp'!$B$16+'Type C - 3MWp'!N$46*'Type C - 3MWp'!$B$16</f>
        <v>7096191.777</v>
      </c>
      <c r="O11" s="34">
        <f>'Type A - 10MWp'!O$46*'Type A - 10MWp'!$B$16+'Type B - 5MWp'!O$46*'Type B - 5MWp'!$B$16+'Type C - 3MWp'!O$46*'Type C - 3MWp'!$B$16</f>
        <v>6979047.832</v>
      </c>
      <c r="P11" s="34">
        <f>'Type A - 10MWp'!P$46*'Type A - 10MWp'!$B$16+'Type B - 5MWp'!P$46*'Type B - 5MWp'!$B$16+'Type C - 3MWp'!P$46*'Type C - 3MWp'!$B$16</f>
        <v>6862029.721</v>
      </c>
      <c r="Q11" s="34">
        <f>'Type A - 10MWp'!Q$46*'Type A - 10MWp'!$B$16+'Type B - 5MWp'!Q$46*'Type B - 5MWp'!$B$16+'Type C - 3MWp'!Q$46*'Type C - 3MWp'!$B$16</f>
        <v>6745118.493</v>
      </c>
      <c r="R11" s="34">
        <f>'Type A - 10MWp'!R$46*'Type A - 10MWp'!$B$16+'Type B - 5MWp'!R$46*'Type B - 5MWp'!$B$16+'Type C - 3MWp'!R$46*'Type C - 3MWp'!$B$16</f>
        <v>8722496.909</v>
      </c>
      <c r="S11" s="34">
        <f>'Type A - 10MWp'!S$46*'Type A - 10MWp'!$B$16+'Type B - 5MWp'!S$46*'Type B - 5MWp'!$B$16+'Type C - 3MWp'!S$46*'Type C - 3MWp'!$B$16</f>
        <v>8618522.311</v>
      </c>
      <c r="T11" s="34">
        <f>'Type A - 10MWp'!T$46*'Type A - 10MWp'!$B$16+'Type B - 5MWp'!T$46*'Type B - 5MWp'!$B$16+'Type C - 3MWp'!T$46*'Type C - 3MWp'!$B$16</f>
        <v>8515261.644</v>
      </c>
      <c r="U11" s="34">
        <f>'Type A - 10MWp'!U$46*'Type A - 10MWp'!$B$16+'Type B - 5MWp'!U$46*'Type B - 5MWp'!$B$16+'Type C - 3MWp'!U$46*'Type C - 3MWp'!$B$16</f>
        <v>8412724.448</v>
      </c>
      <c r="V11" s="34">
        <f>'Type A - 10MWp'!V$46*'Type A - 10MWp'!$B$16+'Type B - 5MWp'!V$46*'Type B - 5MWp'!$B$16+'Type C - 3MWp'!V$46*'Type C - 3MWp'!$B$16</f>
        <v>8310920.423</v>
      </c>
      <c r="W11" s="34">
        <f>SUM(C$11:V$11)</f>
        <v>158561551.4</v>
      </c>
    </row>
    <row r="12">
      <c r="A12" s="6" t="s">
        <v>186</v>
      </c>
      <c r="C12" s="14">
        <f>C$11</f>
        <v>8816380.038</v>
      </c>
      <c r="D12" s="14">
        <f t="shared" ref="D12:V12" si="1">C$12+D$11</f>
        <v>17517468.84</v>
      </c>
      <c r="E12" s="14">
        <f t="shared" si="1"/>
        <v>26103576.63</v>
      </c>
      <c r="F12" s="14">
        <f t="shared" si="1"/>
        <v>34575005.2</v>
      </c>
      <c r="G12" s="14">
        <f t="shared" si="1"/>
        <v>42932047.21</v>
      </c>
      <c r="H12" s="14">
        <f t="shared" si="1"/>
        <v>50797567.75</v>
      </c>
      <c r="I12" s="14">
        <f t="shared" si="1"/>
        <v>58545482.54</v>
      </c>
      <c r="J12" s="14">
        <f t="shared" si="1"/>
        <v>66176014.6</v>
      </c>
      <c r="K12" s="14">
        <f t="shared" si="1"/>
        <v>73689374.31</v>
      </c>
      <c r="L12" s="14">
        <f t="shared" si="1"/>
        <v>81085758.49</v>
      </c>
      <c r="M12" s="14">
        <f t="shared" si="1"/>
        <v>88299237.82</v>
      </c>
      <c r="N12" s="14">
        <f t="shared" si="1"/>
        <v>95395429.6</v>
      </c>
      <c r="O12" s="14">
        <f t="shared" si="1"/>
        <v>102374477.4</v>
      </c>
      <c r="P12" s="14">
        <f t="shared" si="1"/>
        <v>109236507.1</v>
      </c>
      <c r="Q12" s="14">
        <f t="shared" si="1"/>
        <v>115981625.6</v>
      </c>
      <c r="R12" s="14">
        <f t="shared" si="1"/>
        <v>124704122.6</v>
      </c>
      <c r="S12" s="14">
        <f t="shared" si="1"/>
        <v>133322644.9</v>
      </c>
      <c r="T12" s="14">
        <f t="shared" si="1"/>
        <v>141837906.5</v>
      </c>
      <c r="U12" s="14">
        <f t="shared" si="1"/>
        <v>150250631</v>
      </c>
      <c r="V12" s="14">
        <f t="shared" si="1"/>
        <v>158561551.4</v>
      </c>
      <c r="W12" s="14">
        <f>V$12</f>
        <v>158561551.4</v>
      </c>
    </row>
    <row r="14">
      <c r="A14" s="31" t="s">
        <v>187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</row>
    <row r="15">
      <c r="A15" s="11" t="s">
        <v>180</v>
      </c>
      <c r="C15" s="11">
        <v>2026.0</v>
      </c>
      <c r="D15" s="11">
        <v>2027.0</v>
      </c>
      <c r="E15" s="11">
        <v>2028.0</v>
      </c>
      <c r="F15" s="11">
        <v>2029.0</v>
      </c>
      <c r="G15" s="11">
        <v>2030.0</v>
      </c>
      <c r="H15" s="11">
        <v>2031.0</v>
      </c>
      <c r="I15" s="11">
        <v>2032.0</v>
      </c>
      <c r="J15" s="11">
        <v>2033.0</v>
      </c>
      <c r="K15" s="11">
        <v>2034.0</v>
      </c>
      <c r="L15" s="11">
        <v>2035.0</v>
      </c>
      <c r="M15" s="11">
        <v>2036.0</v>
      </c>
      <c r="N15" s="11">
        <v>2037.0</v>
      </c>
      <c r="O15" s="11">
        <v>2038.0</v>
      </c>
      <c r="P15" s="11">
        <v>2039.0</v>
      </c>
      <c r="Q15" s="11">
        <v>2040.0</v>
      </c>
      <c r="R15" s="11">
        <v>2041.0</v>
      </c>
      <c r="S15" s="11">
        <v>2042.0</v>
      </c>
      <c r="T15" s="11">
        <v>2043.0</v>
      </c>
      <c r="U15" s="11">
        <v>2044.0</v>
      </c>
      <c r="V15" s="11">
        <v>2045.0</v>
      </c>
      <c r="W15" s="11" t="s">
        <v>181</v>
      </c>
    </row>
    <row r="16">
      <c r="A16" s="6" t="s">
        <v>139</v>
      </c>
      <c r="C16" s="14">
        <f>'Type A - 10MWp'!C$54*'Type A - 10MWp'!$B$16+'Type B - 5MWp'!C$54*'Type B - 5MWp'!$B$16+'Type C - 3MWp'!C$54*'Type C - 3MWp'!$B$16</f>
        <v>17236866.9</v>
      </c>
      <c r="D16" s="14">
        <f>'Type A - 10MWp'!D$54*'Type A - 10MWp'!$B$16+'Type B - 5MWp'!D$54*'Type B - 5MWp'!$B$16+'Type C - 3MWp'!D$54*'Type C - 3MWp'!$B$16</f>
        <v>17069206.04</v>
      </c>
      <c r="E16" s="14">
        <f>'Type A - 10MWp'!E$54*'Type A - 10MWp'!$B$16+'Type B - 5MWp'!E$54*'Type B - 5MWp'!$B$16+'Type C - 3MWp'!E$54*'Type C - 3MWp'!$B$16</f>
        <v>16901742.13</v>
      </c>
      <c r="F16" s="14">
        <f>'Type A - 10MWp'!F$54*'Type A - 10MWp'!$B$16+'Type B - 5MWp'!F$54*'Type B - 5MWp'!$B$16+'Type C - 3MWp'!F$54*'Type C - 3MWp'!$B$16</f>
        <v>16734474.18</v>
      </c>
      <c r="G16" s="14">
        <f>'Type A - 10MWp'!G$54*'Type A - 10MWp'!$B$16+'Type B - 5MWp'!G$54*'Type B - 5MWp'!$B$16+'Type C - 3MWp'!G$54*'Type C - 3MWp'!$B$16</f>
        <v>16567401.21</v>
      </c>
      <c r="H16" s="14">
        <f>'Type A - 10MWp'!H$54*'Type A - 10MWp'!$B$16+'Type B - 5MWp'!H$54*'Type B - 5MWp'!$B$16+'Type C - 3MWp'!H$54*'Type C - 3MWp'!$B$16</f>
        <v>16400522.24</v>
      </c>
      <c r="I16" s="14">
        <f>'Type A - 10MWp'!I$54*'Type A - 10MWp'!$B$16+'Type B - 5MWp'!I$54*'Type B - 5MWp'!$B$16+'Type C - 3MWp'!I$54*'Type C - 3MWp'!$B$16</f>
        <v>16233836.3</v>
      </c>
      <c r="J16" s="14">
        <f>'Type A - 10MWp'!J$54*'Type A - 10MWp'!$B$16+'Type B - 5MWp'!J$54*'Type B - 5MWp'!$B$16+'Type C - 3MWp'!J$54*'Type C - 3MWp'!$B$16</f>
        <v>16067342.44</v>
      </c>
      <c r="K16" s="14">
        <f>'Type A - 10MWp'!K$54*'Type A - 10MWp'!$B$16+'Type B - 5MWp'!K$54*'Type B - 5MWp'!$B$16+'Type C - 3MWp'!K$54*'Type C - 3MWp'!$B$16</f>
        <v>15901039.68</v>
      </c>
      <c r="L16" s="14">
        <f>'Type A - 10MWp'!L$54*'Type A - 10MWp'!$B$16+'Type B - 5MWp'!L$54*'Type B - 5MWp'!$B$16+'Type C - 3MWp'!L$54*'Type C - 3MWp'!$B$16</f>
        <v>15734927.08</v>
      </c>
      <c r="M16" s="14">
        <f>'Type A - 10MWp'!M$54*'Type A - 10MWp'!$B$16+'Type B - 5MWp'!M$54*'Type B - 5MWp'!$B$16+'Type C - 3MWp'!M$54*'Type C - 3MWp'!$B$16</f>
        <v>15569003.68</v>
      </c>
      <c r="N16" s="14">
        <f>'Type A - 10MWp'!N$54*'Type A - 10MWp'!$B$16+'Type B - 5MWp'!N$54*'Type B - 5MWp'!$B$16+'Type C - 3MWp'!N$54*'Type C - 3MWp'!$B$16</f>
        <v>15403268.53</v>
      </c>
      <c r="O16" s="14">
        <f>'Type A - 10MWp'!O$54*'Type A - 10MWp'!$B$16+'Type B - 5MWp'!O$54*'Type B - 5MWp'!$B$16+'Type C - 3MWp'!O$54*'Type C - 3MWp'!$B$16</f>
        <v>15237720.7</v>
      </c>
      <c r="P16" s="14">
        <f>'Type A - 10MWp'!P$54*'Type A - 10MWp'!$B$16+'Type B - 5MWp'!P$54*'Type B - 5MWp'!$B$16+'Type C - 3MWp'!P$54*'Type C - 3MWp'!$B$16</f>
        <v>15072359.25</v>
      </c>
      <c r="Q16" s="14">
        <f>'Type A - 10MWp'!Q$54*'Type A - 10MWp'!$B$16+'Type B - 5MWp'!Q$54*'Type B - 5MWp'!$B$16+'Type C - 3MWp'!Q$54*'Type C - 3MWp'!$B$16</f>
        <v>14907183.25</v>
      </c>
      <c r="R16" s="14">
        <f>'Type A - 10MWp'!R$54*'Type A - 10MWp'!$B$16+'Type B - 5MWp'!R$54*'Type B - 5MWp'!$B$16+'Type C - 3MWp'!R$54*'Type C - 3MWp'!$B$16</f>
        <v>14742191.77</v>
      </c>
      <c r="S16" s="14">
        <f>'Type A - 10MWp'!S$54*'Type A - 10MWp'!$B$16+'Type B - 5MWp'!S$54*'Type B - 5MWp'!$B$16+'Type C - 3MWp'!S$54*'Type C - 3MWp'!$B$16</f>
        <v>14577383.88</v>
      </c>
      <c r="T16" s="14">
        <f>'Type A - 10MWp'!T$54*'Type A - 10MWp'!$B$16+'Type B - 5MWp'!T$54*'Type B - 5MWp'!$B$16+'Type C - 3MWp'!T$54*'Type C - 3MWp'!$B$16</f>
        <v>14412758.68</v>
      </c>
      <c r="U16" s="14">
        <f>'Type A - 10MWp'!U$54*'Type A - 10MWp'!$B$16+'Type B - 5MWp'!U$54*'Type B - 5MWp'!$B$16+'Type C - 3MWp'!U$54*'Type C - 3MWp'!$B$16</f>
        <v>14248315.23</v>
      </c>
      <c r="V16" s="14">
        <f>'Type A - 10MWp'!V$54*'Type A - 10MWp'!$B$16+'Type B - 5MWp'!V$54*'Type B - 5MWp'!$B$16+'Type C - 3MWp'!V$54*'Type C - 3MWp'!$B$16</f>
        <v>14084052.65</v>
      </c>
      <c r="W16" s="14">
        <f>SUM(C$16:V$16)</f>
        <v>313101595.8</v>
      </c>
    </row>
    <row r="17">
      <c r="A17" s="6" t="s">
        <v>144</v>
      </c>
      <c r="C17" s="14">
        <f>'Type A - 10MWp'!C$59*'Type A - 10MWp'!$B$16+'Type B - 5MWp'!C$59*'Type B - 5MWp'!$B$16+'Type C - 3MWp'!C$59*'Type C - 3MWp'!$B$16</f>
        <v>2859445.72</v>
      </c>
      <c r="D17" s="14">
        <f>'Type A - 10MWp'!D$59*'Type A - 10MWp'!$B$16+'Type B - 5MWp'!D$59*'Type B - 5MWp'!$B$16+'Type C - 3MWp'!D$59*'Type C - 3MWp'!$B$16</f>
        <v>2850278.301</v>
      </c>
      <c r="E17" s="14">
        <f>'Type A - 10MWp'!E$59*'Type A - 10MWp'!$B$16+'Type B - 5MWp'!E$59*'Type B - 5MWp'!$B$16+'Type C - 3MWp'!E$59*'Type C - 3MWp'!$B$16</f>
        <v>2840579.583</v>
      </c>
      <c r="F17" s="14">
        <f>'Type A - 10MWp'!F$59*'Type A - 10MWp'!$B$16+'Type B - 5MWp'!F$59*'Type B - 5MWp'!$B$16+'Type C - 3MWp'!F$59*'Type C - 3MWp'!$B$16</f>
        <v>2830339.549</v>
      </c>
      <c r="G17" s="14">
        <f>'Type A - 10MWp'!G$59*'Type A - 10MWp'!$B$16+'Type B - 5MWp'!G$59*'Type B - 5MWp'!$B$16+'Type C - 3MWp'!G$59*'Type C - 3MWp'!$B$16</f>
        <v>2819548.033</v>
      </c>
      <c r="H17" s="14">
        <f>'Type A - 10MWp'!H$59*'Type A - 10MWp'!$B$16+'Type B - 5MWp'!H$59*'Type B - 5MWp'!$B$16+'Type C - 3MWp'!H$59*'Type C - 3MWp'!$B$16</f>
        <v>3239529.246</v>
      </c>
      <c r="I17" s="14">
        <f>'Type A - 10MWp'!I$59*'Type A - 10MWp'!$B$16+'Type B - 5MWp'!I$59*'Type B - 5MWp'!$B$16+'Type C - 3MWp'!I$59*'Type C - 3MWp'!$B$16</f>
        <v>3231917.014</v>
      </c>
      <c r="J17" s="14">
        <f>'Type A - 10MWp'!J$59*'Type A - 10MWp'!$B$16+'Type B - 5MWp'!J$59*'Type B - 5MWp'!$B$16+'Type C - 3MWp'!J$59*'Type C - 3MWp'!$B$16</f>
        <v>3223765.028</v>
      </c>
      <c r="K17" s="14">
        <f>'Type A - 10MWp'!K$59*'Type A - 10MWp'!$B$16+'Type B - 5MWp'!K$59*'Type B - 5MWp'!$B$16+'Type C - 3MWp'!K$59*'Type C - 3MWp'!$B$16</f>
        <v>3215062.939</v>
      </c>
      <c r="L17" s="14">
        <f>'Type A - 10MWp'!L$59*'Type A - 10MWp'!$B$16+'Type B - 5MWp'!L$59*'Type B - 5MWp'!$B$16+'Type C - 3MWp'!L$59*'Type C - 3MWp'!$B$16</f>
        <v>3205800.244</v>
      </c>
      <c r="M17" s="14">
        <f>'Type A - 10MWp'!M$59*'Type A - 10MWp'!$B$16+'Type B - 5MWp'!M$59*'Type B - 5MWp'!$B$16+'Type C - 3MWp'!M$59*'Type C - 3MWp'!$B$16</f>
        <v>3271522.437</v>
      </c>
      <c r="N17" s="14">
        <f>'Type A - 10MWp'!N$59*'Type A - 10MWp'!$B$16+'Type B - 5MWp'!N$59*'Type B - 5MWp'!$B$16+'Type C - 3MWp'!N$59*'Type C - 3MWp'!$B$16</f>
        <v>3261861.954</v>
      </c>
      <c r="O17" s="14">
        <f>'Type A - 10MWp'!O$59*'Type A - 10MWp'!$B$16+'Type B - 5MWp'!O$59*'Type B - 5MWp'!$B$16+'Type C - 3MWp'!O$59*'Type C - 3MWp'!$B$16</f>
        <v>3251615.964</v>
      </c>
      <c r="P17" s="14">
        <f>'Type A - 10MWp'!P$59*'Type A - 10MWp'!$B$16+'Type B - 5MWp'!P$59*'Type B - 5MWp'!$B$16+'Type C - 3MWp'!P$59*'Type C - 3MWp'!$B$16</f>
        <v>3240773.4</v>
      </c>
      <c r="Q17" s="14">
        <f>'Type A - 10MWp'!Q$59*'Type A - 10MWp'!$B$16+'Type B - 5MWp'!Q$59*'Type B - 5MWp'!$B$16+'Type C - 3MWp'!Q$59*'Type C - 3MWp'!$B$16</f>
        <v>3229323.03</v>
      </c>
      <c r="R17" s="14">
        <f>'Type A - 10MWp'!R$59*'Type A - 10MWp'!$B$16+'Type B - 5MWp'!R$59*'Type B - 5MWp'!$B$16+'Type C - 3MWp'!R$59*'Type C - 3MWp'!$B$16</f>
        <v>3309898.781</v>
      </c>
      <c r="S17" s="14">
        <f>'Type A - 10MWp'!S$59*'Type A - 10MWp'!$B$16+'Type B - 5MWp'!S$59*'Type B - 5MWp'!$B$16+'Type C - 3MWp'!S$59*'Type C - 3MWp'!$B$16</f>
        <v>3298124.894</v>
      </c>
      <c r="T17" s="14">
        <f>'Type A - 10MWp'!T$59*'Type A - 10MWp'!$B$16+'Type B - 5MWp'!T$59*'Type B - 5MWp'!$B$16+'Type C - 3MWp'!T$59*'Type C - 3MWp'!$B$16</f>
        <v>3285717.765</v>
      </c>
      <c r="U17" s="14">
        <f>'Type A - 10MWp'!U$59*'Type A - 10MWp'!$B$16+'Type B - 5MWp'!U$59*'Type B - 5MWp'!$B$16+'Type C - 3MWp'!U$59*'Type C - 3MWp'!$B$16</f>
        <v>3272665.576</v>
      </c>
      <c r="V17" s="14">
        <f>'Type A - 10MWp'!V$59*'Type A - 10MWp'!$B$16+'Type B - 5MWp'!V$59*'Type B - 5MWp'!$B$16+'Type C - 3MWp'!V$59*'Type C - 3MWp'!$B$16</f>
        <v>3258956.336</v>
      </c>
      <c r="W17" s="14">
        <f>SUM(C$17:V$17)</f>
        <v>62996725.8</v>
      </c>
    </row>
    <row r="18">
      <c r="A18" s="36" t="s">
        <v>182</v>
      </c>
      <c r="B18" s="36"/>
      <c r="C18" s="37">
        <f>'Type A - 10MWp'!C$60*'Type A - 10MWp'!$B$16+'Type B - 5MWp'!C$60*'Type B - 5MWp'!$B$16+'Type C - 3MWp'!C$60*'Type C - 3MWp'!$B$16</f>
        <v>14377421.18</v>
      </c>
      <c r="D18" s="37">
        <f>'Type A - 10MWp'!D$60*'Type A - 10MWp'!$B$16+'Type B - 5MWp'!D$60*'Type B - 5MWp'!$B$16+'Type C - 3MWp'!D$60*'Type C - 3MWp'!$B$16</f>
        <v>14218927.74</v>
      </c>
      <c r="E18" s="37">
        <f>'Type A - 10MWp'!E$60*'Type A - 10MWp'!$B$16+'Type B - 5MWp'!E$60*'Type B - 5MWp'!$B$16+'Type C - 3MWp'!E$60*'Type C - 3MWp'!$B$16</f>
        <v>14061162.55</v>
      </c>
      <c r="F18" s="37">
        <f>'Type A - 10MWp'!F$60*'Type A - 10MWp'!$B$16+'Type B - 5MWp'!F$60*'Type B - 5MWp'!$B$16+'Type C - 3MWp'!F$60*'Type C - 3MWp'!$B$16</f>
        <v>13904134.63</v>
      </c>
      <c r="G18" s="37">
        <f>'Type A - 10MWp'!G$60*'Type A - 10MWp'!$B$16+'Type B - 5MWp'!G$60*'Type B - 5MWp'!$B$16+'Type C - 3MWp'!G$60*'Type C - 3MWp'!$B$16</f>
        <v>13747853.17</v>
      </c>
      <c r="H18" s="37">
        <f>'Type A - 10MWp'!H$60*'Type A - 10MWp'!$B$16+'Type B - 5MWp'!H$60*'Type B - 5MWp'!$B$16+'Type C - 3MWp'!H$60*'Type C - 3MWp'!$B$16</f>
        <v>13160992.99</v>
      </c>
      <c r="I18" s="37">
        <f>'Type A - 10MWp'!I$60*'Type A - 10MWp'!$B$16+'Type B - 5MWp'!I$60*'Type B - 5MWp'!$B$16+'Type C - 3MWp'!I$60*'Type C - 3MWp'!$B$16</f>
        <v>13001919.29</v>
      </c>
      <c r="J18" s="37">
        <f>'Type A - 10MWp'!J$60*'Type A - 10MWp'!$B$16+'Type B - 5MWp'!J$60*'Type B - 5MWp'!$B$16+'Type C - 3MWp'!J$60*'Type C - 3MWp'!$B$16</f>
        <v>12843577.41</v>
      </c>
      <c r="K18" s="37">
        <f>'Type A - 10MWp'!K$60*'Type A - 10MWp'!$B$16+'Type B - 5MWp'!K$60*'Type B - 5MWp'!$B$16+'Type C - 3MWp'!K$60*'Type C - 3MWp'!$B$16</f>
        <v>12685976.74</v>
      </c>
      <c r="L18" s="37">
        <f>'Type A - 10MWp'!L$60*'Type A - 10MWp'!$B$16+'Type B - 5MWp'!L$60*'Type B - 5MWp'!$B$16+'Type C - 3MWp'!L$60*'Type C - 3MWp'!$B$16</f>
        <v>12529126.83</v>
      </c>
      <c r="M18" s="37">
        <f>'Type A - 10MWp'!M$60*'Type A - 10MWp'!$B$16+'Type B - 5MWp'!M$60*'Type B - 5MWp'!$B$16+'Type C - 3MWp'!M$60*'Type C - 3MWp'!$B$16</f>
        <v>12297481.24</v>
      </c>
      <c r="N18" s="37">
        <f>'Type A - 10MWp'!N$60*'Type A - 10MWp'!$B$16+'Type B - 5MWp'!N$60*'Type B - 5MWp'!$B$16+'Type C - 3MWp'!N$60*'Type C - 3MWp'!$B$16</f>
        <v>12141406.58</v>
      </c>
      <c r="O18" s="37">
        <f>'Type A - 10MWp'!O$60*'Type A - 10MWp'!$B$16+'Type B - 5MWp'!O$60*'Type B - 5MWp'!$B$16+'Type C - 3MWp'!O$60*'Type C - 3MWp'!$B$16</f>
        <v>11986104.74</v>
      </c>
      <c r="P18" s="37">
        <f>'Type A - 10MWp'!P$60*'Type A - 10MWp'!$B$16+'Type B - 5MWp'!P$60*'Type B - 5MWp'!$B$16+'Type C - 3MWp'!P$60*'Type C - 3MWp'!$B$16</f>
        <v>11831585.85</v>
      </c>
      <c r="Q18" s="37">
        <f>'Type A - 10MWp'!Q$60*'Type A - 10MWp'!$B$16+'Type B - 5MWp'!Q$60*'Type B - 5MWp'!$B$16+'Type C - 3MWp'!Q$60*'Type C - 3MWp'!$B$16</f>
        <v>11677860.22</v>
      </c>
      <c r="R18" s="37">
        <f>'Type A - 10MWp'!R$60*'Type A - 10MWp'!$B$16+'Type B - 5MWp'!R$60*'Type B - 5MWp'!$B$16+'Type C - 3MWp'!R$60*'Type C - 3MWp'!$B$16</f>
        <v>11432292.99</v>
      </c>
      <c r="S18" s="37">
        <f>'Type A - 10MWp'!S$60*'Type A - 10MWp'!$B$16+'Type B - 5MWp'!S$60*'Type B - 5MWp'!$B$16+'Type C - 3MWp'!S$60*'Type C - 3MWp'!$B$16</f>
        <v>11279258.99</v>
      </c>
      <c r="T18" s="37">
        <f>'Type A - 10MWp'!T$60*'Type A - 10MWp'!$B$16+'Type B - 5MWp'!T$60*'Type B - 5MWp'!$B$16+'Type C - 3MWp'!T$60*'Type C - 3MWp'!$B$16</f>
        <v>11127040.91</v>
      </c>
      <c r="U18" s="37">
        <f>'Type A - 10MWp'!U$60*'Type A - 10MWp'!$B$16+'Type B - 5MWp'!U$60*'Type B - 5MWp'!$B$16+'Type C - 3MWp'!U$60*'Type C - 3MWp'!$B$16</f>
        <v>10975649.66</v>
      </c>
      <c r="V18" s="37">
        <f>'Type A - 10MWp'!V$60*'Type A - 10MWp'!$B$16+'Type B - 5MWp'!V$60*'Type B - 5MWp'!$B$16+'Type C - 3MWp'!V$60*'Type C - 3MWp'!$B$16</f>
        <v>10825096.31</v>
      </c>
      <c r="W18" s="37">
        <f>SUM(C$18:V$18)</f>
        <v>250104870</v>
      </c>
    </row>
    <row r="19">
      <c r="A19" s="6" t="s">
        <v>183</v>
      </c>
      <c r="C19" s="14">
        <f>'Type A - 10MWp'!C$66*'Type A - 10MWp'!$B$16+'Type B - 5MWp'!C$66*'Type B - 5MWp'!$B$16+'Type C - 3MWp'!C$66*'Type C - 3MWp'!$B$16</f>
        <v>2175267.616</v>
      </c>
      <c r="D19" s="14">
        <f>'Type A - 10MWp'!D$66*'Type A - 10MWp'!$B$16+'Type B - 5MWp'!D$66*'Type B - 5MWp'!$B$16+'Type C - 3MWp'!D$66*'Type C - 3MWp'!$B$16</f>
        <v>2175267.616</v>
      </c>
      <c r="E19" s="14">
        <f>'Type A - 10MWp'!E$66*'Type A - 10MWp'!$B$16+'Type B - 5MWp'!E$66*'Type B - 5MWp'!$B$16+'Type C - 3MWp'!E$66*'Type C - 3MWp'!$B$16</f>
        <v>2175267.616</v>
      </c>
      <c r="F19" s="14">
        <f>'Type A - 10MWp'!F$66*'Type A - 10MWp'!$B$16+'Type B - 5MWp'!F$66*'Type B - 5MWp'!$B$16+'Type C - 3MWp'!F$66*'Type C - 3MWp'!$B$16</f>
        <v>2175267.616</v>
      </c>
      <c r="G19" s="14">
        <f>'Type A - 10MWp'!G$66*'Type A - 10MWp'!$B$16+'Type B - 5MWp'!G$66*'Type B - 5MWp'!$B$16+'Type C - 3MWp'!G$66*'Type C - 3MWp'!$B$16</f>
        <v>2175267.616</v>
      </c>
      <c r="H19" s="14">
        <f>'Type A - 10MWp'!H$66*'Type A - 10MWp'!$B$16+'Type B - 5MWp'!H$66*'Type B - 5MWp'!$B$16+'Type C - 3MWp'!H$66*'Type C - 3MWp'!$B$16</f>
        <v>2175267.616</v>
      </c>
      <c r="I19" s="14">
        <f>'Type A - 10MWp'!I$66*'Type A - 10MWp'!$B$16+'Type B - 5MWp'!I$66*'Type B - 5MWp'!$B$16+'Type C - 3MWp'!I$66*'Type C - 3MWp'!$B$16</f>
        <v>2175267.616</v>
      </c>
      <c r="J19" s="14">
        <f>'Type A - 10MWp'!J$66*'Type A - 10MWp'!$B$16+'Type B - 5MWp'!J$66*'Type B - 5MWp'!$B$16+'Type C - 3MWp'!J$66*'Type C - 3MWp'!$B$16</f>
        <v>2175267.616</v>
      </c>
      <c r="K19" s="14">
        <f>'Type A - 10MWp'!K$66*'Type A - 10MWp'!$B$16+'Type B - 5MWp'!K$66*'Type B - 5MWp'!$B$16+'Type C - 3MWp'!K$66*'Type C - 3MWp'!$B$16</f>
        <v>2175267.616</v>
      </c>
      <c r="L19" s="14">
        <f>'Type A - 10MWp'!L$66*'Type A - 10MWp'!$B$16+'Type B - 5MWp'!L$66*'Type B - 5MWp'!$B$16+'Type C - 3MWp'!L$66*'Type C - 3MWp'!$B$16</f>
        <v>2175267.616</v>
      </c>
      <c r="M19" s="14">
        <f>'Type A - 10MWp'!M$66*'Type A - 10MWp'!$B$16+'Type B - 5MWp'!M$66*'Type B - 5MWp'!$B$16+'Type C - 3MWp'!M$66*'Type C - 3MWp'!$B$16</f>
        <v>2175267.616</v>
      </c>
      <c r="N19" s="14">
        <f>'Type A - 10MWp'!N$66*'Type A - 10MWp'!$B$16+'Type B - 5MWp'!N$66*'Type B - 5MWp'!$B$16+'Type C - 3MWp'!N$66*'Type C - 3MWp'!$B$16</f>
        <v>2175267.616</v>
      </c>
      <c r="O19" s="14">
        <f>'Type A - 10MWp'!O$66*'Type A - 10MWp'!$B$16+'Type B - 5MWp'!O$66*'Type B - 5MWp'!$B$16+'Type C - 3MWp'!O$66*'Type C - 3MWp'!$B$16</f>
        <v>2175267.616</v>
      </c>
      <c r="P19" s="14">
        <f>'Type A - 10MWp'!P$66*'Type A - 10MWp'!$B$16+'Type B - 5MWp'!P$66*'Type B - 5MWp'!$B$16+'Type C - 3MWp'!P$66*'Type C - 3MWp'!$B$16</f>
        <v>2175267.616</v>
      </c>
      <c r="Q19" s="14">
        <f>'Type A - 10MWp'!Q$66*'Type A - 10MWp'!$B$16+'Type B - 5MWp'!Q$66*'Type B - 5MWp'!$B$16+'Type C - 3MWp'!Q$66*'Type C - 3MWp'!$B$16</f>
        <v>2175267.616</v>
      </c>
      <c r="R19" s="14">
        <f>'Type A - 10MWp'!R$66*'Type A - 10MWp'!$B$16+'Type B - 5MWp'!R$66*'Type B - 5MWp'!$B$16+'Type C - 3MWp'!R$66*'Type C - 3MWp'!$B$16</f>
        <v>0</v>
      </c>
      <c r="S19" s="14">
        <f>'Type A - 10MWp'!S$66*'Type A - 10MWp'!$B$16+'Type B - 5MWp'!S$66*'Type B - 5MWp'!$B$16+'Type C - 3MWp'!S$66*'Type C - 3MWp'!$B$16</f>
        <v>0</v>
      </c>
      <c r="T19" s="14">
        <f>'Type A - 10MWp'!T$66*'Type A - 10MWp'!$B$16+'Type B - 5MWp'!T$66*'Type B - 5MWp'!$B$16+'Type C - 3MWp'!T$66*'Type C - 3MWp'!$B$16</f>
        <v>0</v>
      </c>
      <c r="U19" s="14">
        <f>'Type A - 10MWp'!U$66*'Type A - 10MWp'!$B$16+'Type B - 5MWp'!U$66*'Type B - 5MWp'!$B$16+'Type C - 3MWp'!U$66*'Type C - 3MWp'!$B$16</f>
        <v>0</v>
      </c>
      <c r="V19" s="14">
        <f>'Type A - 10MWp'!V$66*'Type A - 10MWp'!$B$16+'Type B - 5MWp'!V$66*'Type B - 5MWp'!$B$16+'Type C - 3MWp'!V$66*'Type C - 3MWp'!$B$16</f>
        <v>0</v>
      </c>
      <c r="W19" s="14">
        <f>SUM(C$19:V$19)</f>
        <v>32629014.25</v>
      </c>
    </row>
    <row r="20">
      <c r="A20" s="6" t="s">
        <v>184</v>
      </c>
      <c r="C20" s="14">
        <f>'Type A - 10MWp'!C$64*'Type A - 10MWp'!$B$16+'Type B - 5MWp'!C$64*'Type B - 5MWp'!$B$16+'Type C - 3MWp'!C$64*'Type C - 3MWp'!$B$16</f>
        <v>1201981.041</v>
      </c>
      <c r="D20" s="14">
        <f>'Type A - 10MWp'!D$64*'Type A - 10MWp'!$B$16+'Type B - 5MWp'!D$64*'Type B - 5MWp'!$B$16+'Type C - 3MWp'!D$64*'Type C - 3MWp'!$B$16</f>
        <v>1188708.992</v>
      </c>
      <c r="E20" s="14">
        <f>'Type A - 10MWp'!E$64*'Type A - 10MWp'!$B$16+'Type B - 5MWp'!E$64*'Type B - 5MWp'!$B$16+'Type C - 3MWp'!E$64*'Type C - 3MWp'!$B$16</f>
        <v>1175854.955</v>
      </c>
      <c r="F20" s="14">
        <f>'Type A - 10MWp'!F$64*'Type A - 10MWp'!$B$16+'Type B - 5MWp'!F$64*'Type B - 5MWp'!$B$16+'Type C - 3MWp'!F$64*'Type C - 3MWp'!$B$16</f>
        <v>1163436.408</v>
      </c>
      <c r="G20" s="14">
        <f>'Type A - 10MWp'!G$64*'Type A - 10MWp'!$B$16+'Type B - 5MWp'!G$64*'Type B - 5MWp'!$B$16+'Type C - 3MWp'!G$64*'Type C - 3MWp'!$B$16</f>
        <v>1151471.666</v>
      </c>
      <c r="H20" s="14">
        <f>'Type A - 10MWp'!H$64*'Type A - 10MWp'!$B$16+'Type B - 5MWp'!H$64*'Type B - 5MWp'!$B$16+'Type C - 3MWp'!H$64*'Type C - 3MWp'!$B$16</f>
        <v>1086063.105</v>
      </c>
      <c r="I20" s="14">
        <f>'Type A - 10MWp'!I$64*'Type A - 10MWp'!$B$16+'Type B - 5MWp'!I$64*'Type B - 5MWp'!$B$16+'Type C - 3MWp'!I$64*'Type C - 3MWp'!$B$16</f>
        <v>1074525.303</v>
      </c>
      <c r="J20" s="14">
        <f>'Type A - 10MWp'!J$64*'Type A - 10MWp'!$B$16+'Type B - 5MWp'!J$64*'Type B - 5MWp'!$B$16+'Type C - 3MWp'!J$64*'Type C - 3MWp'!$B$16</f>
        <v>1063496.298</v>
      </c>
      <c r="K20" s="14">
        <f>'Type A - 10MWp'!K$64*'Type A - 10MWp'!$B$16+'Type B - 5MWp'!K$64*'Type B - 5MWp'!$B$16+'Type C - 3MWp'!K$64*'Type C - 3MWp'!$B$16</f>
        <v>1052998.132</v>
      </c>
      <c r="L20" s="14">
        <f>'Type A - 10MWp'!L$64*'Type A - 10MWp'!$B$16+'Type B - 5MWp'!L$64*'Type B - 5MWp'!$B$16+'Type C - 3MWp'!L$64*'Type C - 3MWp'!$B$16</f>
        <v>1043053.907</v>
      </c>
      <c r="M20" s="14">
        <f>'Type A - 10MWp'!M$64*'Type A - 10MWp'!$B$16+'Type B - 5MWp'!M$64*'Type B - 5MWp'!$B$16+'Type C - 3MWp'!M$64*'Type C - 3MWp'!$B$16</f>
        <v>1024243.321</v>
      </c>
      <c r="N20" s="14">
        <f>'Type A - 10MWp'!N$64*'Type A - 10MWp'!$B$16+'Type B - 5MWp'!N$64*'Type B - 5MWp'!$B$16+'Type C - 3MWp'!N$64*'Type C - 3MWp'!$B$16</f>
        <v>1015386.358</v>
      </c>
      <c r="O20" s="14">
        <f>'Type A - 10MWp'!O$64*'Type A - 10MWp'!$B$16+'Type B - 5MWp'!O$64*'Type B - 5MWp'!$B$16+'Type C - 3MWp'!O$64*'Type C - 3MWp'!$B$16</f>
        <v>1007158.616</v>
      </c>
      <c r="P20" s="14">
        <f>'Type A - 10MWp'!P$64*'Type A - 10MWp'!$B$16+'Type B - 5MWp'!P$64*'Type B - 5MWp'!$B$16+'Type C - 3MWp'!P$64*'Type C - 3MWp'!$B$16</f>
        <v>999587.9925</v>
      </c>
      <c r="Q20" s="14">
        <f>'Type A - 10MWp'!Q$64*'Type A - 10MWp'!$B$16+'Type B - 5MWp'!Q$64*'Type B - 5MWp'!$B$16+'Type C - 3MWp'!Q$64*'Type C - 3MWp'!$B$16</f>
        <v>992703.7373</v>
      </c>
      <c r="R20" s="14">
        <f>'Type A - 10MWp'!R$64*'Type A - 10MWp'!$B$16+'Type B - 5MWp'!R$64*'Type B - 5MWp'!$B$16+'Type C - 3MWp'!R$64*'Type C - 3MWp'!$B$16</f>
        <v>974955.8546</v>
      </c>
      <c r="S20" s="14">
        <f>'Type A - 10MWp'!S$64*'Type A - 10MWp'!$B$16+'Type B - 5MWp'!S$64*'Type B - 5MWp'!$B$16+'Type C - 3MWp'!S$64*'Type C - 3MWp'!$B$16</f>
        <v>955826.6048</v>
      </c>
      <c r="T20" s="14">
        <f>'Type A - 10MWp'!T$64*'Type A - 10MWp'!$B$16+'Type B - 5MWp'!T$64*'Type B - 5MWp'!$B$16+'Type C - 3MWp'!T$64*'Type C - 3MWp'!$B$16</f>
        <v>936799.345</v>
      </c>
      <c r="U20" s="14">
        <f>'Type A - 10MWp'!U$64*'Type A - 10MWp'!$B$16+'Type B - 5MWp'!U$64*'Type B - 5MWp'!$B$16+'Type C - 3MWp'!U$64*'Type C - 3MWp'!$B$16</f>
        <v>917875.4384</v>
      </c>
      <c r="V20" s="14">
        <f>'Type A - 10MWp'!V$64*'Type A - 10MWp'!$B$16+'Type B - 5MWp'!V$64*'Type B - 5MWp'!$B$16+'Type C - 3MWp'!V$64*'Type C - 3MWp'!$B$16</f>
        <v>899056.2704</v>
      </c>
      <c r="W20" s="14">
        <f>SUM(C$20:V$20)</f>
        <v>20925183.35</v>
      </c>
    </row>
    <row r="21" ht="15.75" customHeight="1">
      <c r="A21" s="36" t="s">
        <v>185</v>
      </c>
      <c r="B21" s="36"/>
      <c r="C21" s="37">
        <f>'Type A - 10MWp'!C$67*'Type A - 10MWp'!$B$16+'Type B - 5MWp'!C$67*'Type B - 5MWp'!$B$16+'Type C - 3MWp'!C$67*'Type C - 3MWp'!$B$16</f>
        <v>11000172.52</v>
      </c>
      <c r="D21" s="37">
        <f>'Type A - 10MWp'!D$67*'Type A - 10MWp'!$B$16+'Type B - 5MWp'!D$67*'Type B - 5MWp'!$B$16+'Type C - 3MWp'!D$67*'Type C - 3MWp'!$B$16</f>
        <v>10854951.13</v>
      </c>
      <c r="E21" s="37">
        <f>'Type A - 10MWp'!E$67*'Type A - 10MWp'!$B$16+'Type B - 5MWp'!E$67*'Type B - 5MWp'!$B$16+'Type C - 3MWp'!E$67*'Type C - 3MWp'!$B$16</f>
        <v>10710039.98</v>
      </c>
      <c r="F21" s="37">
        <f>'Type A - 10MWp'!F$67*'Type A - 10MWp'!$B$16+'Type B - 5MWp'!F$67*'Type B - 5MWp'!$B$16+'Type C - 3MWp'!F$67*'Type C - 3MWp'!$B$16</f>
        <v>10565430.61</v>
      </c>
      <c r="G21" s="37">
        <f>'Type A - 10MWp'!G$67*'Type A - 10MWp'!$B$16+'Type B - 5MWp'!G$67*'Type B - 5MWp'!$B$16+'Type C - 3MWp'!G$67*'Type C - 3MWp'!$B$16</f>
        <v>10421113.89</v>
      </c>
      <c r="H21" s="37">
        <f>'Type A - 10MWp'!H$67*'Type A - 10MWp'!$B$16+'Type B - 5MWp'!H$67*'Type B - 5MWp'!$B$16+'Type C - 3MWp'!H$67*'Type C - 3MWp'!$B$16</f>
        <v>9899662.268</v>
      </c>
      <c r="I21" s="37">
        <f>'Type A - 10MWp'!I$67*'Type A - 10MWp'!$B$16+'Type B - 5MWp'!I$67*'Type B - 5MWp'!$B$16+'Type C - 3MWp'!I$67*'Type C - 3MWp'!$B$16</f>
        <v>9752126.368</v>
      </c>
      <c r="J21" s="37">
        <f>'Type A - 10MWp'!J$67*'Type A - 10MWp'!$B$16+'Type B - 5MWp'!J$67*'Type B - 5MWp'!$B$16+'Type C - 3MWp'!J$67*'Type C - 3MWp'!$B$16</f>
        <v>9604813.493</v>
      </c>
      <c r="K21" s="37">
        <f>'Type A - 10MWp'!K$67*'Type A - 10MWp'!$B$16+'Type B - 5MWp'!K$67*'Type B - 5MWp'!$B$16+'Type C - 3MWp'!K$67*'Type C - 3MWp'!$B$16</f>
        <v>9457710.992</v>
      </c>
      <c r="L21" s="37">
        <f>'Type A - 10MWp'!L$67*'Type A - 10MWp'!$B$16+'Type B - 5MWp'!L$67*'Type B - 5MWp'!$B$16+'Type C - 3MWp'!L$67*'Type C - 3MWp'!$B$16</f>
        <v>9310805.309</v>
      </c>
      <c r="M21" s="37">
        <f>'Type A - 10MWp'!M$67*'Type A - 10MWp'!$B$16+'Type B - 5MWp'!M$67*'Type B - 5MWp'!$B$16+'Type C - 3MWp'!M$67*'Type C - 3MWp'!$B$16</f>
        <v>9097970.301</v>
      </c>
      <c r="N21" s="37">
        <f>'Type A - 10MWp'!N$67*'Type A - 10MWp'!$B$16+'Type B - 5MWp'!N$67*'Type B - 5MWp'!$B$16+'Type C - 3MWp'!N$67*'Type C - 3MWp'!$B$16</f>
        <v>8950752.604</v>
      </c>
      <c r="O21" s="37">
        <f>'Type A - 10MWp'!O$67*'Type A - 10MWp'!$B$16+'Type B - 5MWp'!O$67*'Type B - 5MWp'!$B$16+'Type C - 3MWp'!O$67*'Type C - 3MWp'!$B$16</f>
        <v>8803678.507</v>
      </c>
      <c r="P21" s="37">
        <f>'Type A - 10MWp'!P$67*'Type A - 10MWp'!$B$16+'Type B - 5MWp'!P$67*'Type B - 5MWp'!$B$16+'Type C - 3MWp'!P$67*'Type C - 3MWp'!$B$16</f>
        <v>8656730.246</v>
      </c>
      <c r="Q21" s="37">
        <f>'Type A - 10MWp'!Q$67*'Type A - 10MWp'!$B$16+'Type B - 5MWp'!Q$67*'Type B - 5MWp'!$B$16+'Type C - 3MWp'!Q$67*'Type C - 3MWp'!$B$16</f>
        <v>8509888.867</v>
      </c>
      <c r="R21" s="37">
        <f>'Type A - 10MWp'!R$67*'Type A - 10MWp'!$B$16+'Type B - 5MWp'!R$67*'Type B - 5MWp'!$B$16+'Type C - 3MWp'!R$67*'Type C - 3MWp'!$B$16</f>
        <v>10457337.13</v>
      </c>
      <c r="S21" s="37">
        <f>'Type A - 10MWp'!S$67*'Type A - 10MWp'!$B$16+'Type B - 5MWp'!S$67*'Type B - 5MWp'!$B$16+'Type C - 3MWp'!S$67*'Type C - 3MWp'!$B$16</f>
        <v>10323432.38</v>
      </c>
      <c r="T21" s="37">
        <f>'Type A - 10MWp'!T$67*'Type A - 10MWp'!$B$16+'Type B - 5MWp'!T$67*'Type B - 5MWp'!$B$16+'Type C - 3MWp'!T$67*'Type C - 3MWp'!$B$16</f>
        <v>10190241.57</v>
      </c>
      <c r="U21" s="37">
        <f>'Type A - 10MWp'!U$67*'Type A - 10MWp'!$B$16+'Type B - 5MWp'!U$67*'Type B - 5MWp'!$B$16+'Type C - 3MWp'!U$67*'Type C - 3MWp'!$B$16</f>
        <v>10057774.22</v>
      </c>
      <c r="V21" s="37">
        <f>'Type A - 10MWp'!V$67*'Type A - 10MWp'!$B$16+'Type B - 5MWp'!V$67*'Type B - 5MWp'!$B$16+'Type C - 3MWp'!V$67*'Type C - 3MWp'!$B$16</f>
        <v>9926040.043</v>
      </c>
      <c r="W21" s="37">
        <f>SUM(C$21:V$21)</f>
        <v>196550672.4</v>
      </c>
    </row>
    <row r="22" ht="15.75" customHeight="1">
      <c r="A22" s="6" t="s">
        <v>186</v>
      </c>
      <c r="C22" s="14">
        <f>C$21</f>
        <v>11000172.52</v>
      </c>
      <c r="D22" s="14">
        <f t="shared" ref="D22:V22" si="2">C$22+D$21</f>
        <v>21855123.66</v>
      </c>
      <c r="E22" s="14">
        <f t="shared" si="2"/>
        <v>32565163.63</v>
      </c>
      <c r="F22" s="14">
        <f t="shared" si="2"/>
        <v>43130594.24</v>
      </c>
      <c r="G22" s="14">
        <f t="shared" si="2"/>
        <v>53551708.13</v>
      </c>
      <c r="H22" s="14">
        <f t="shared" si="2"/>
        <v>63451370.4</v>
      </c>
      <c r="I22" s="14">
        <f t="shared" si="2"/>
        <v>73203496.76</v>
      </c>
      <c r="J22" s="14">
        <f t="shared" si="2"/>
        <v>82808310.26</v>
      </c>
      <c r="K22" s="14">
        <f t="shared" si="2"/>
        <v>92266021.25</v>
      </c>
      <c r="L22" s="14">
        <f t="shared" si="2"/>
        <v>101576826.6</v>
      </c>
      <c r="M22" s="14">
        <f t="shared" si="2"/>
        <v>110674796.9</v>
      </c>
      <c r="N22" s="14">
        <f t="shared" si="2"/>
        <v>119625549.5</v>
      </c>
      <c r="O22" s="14">
        <f t="shared" si="2"/>
        <v>128429228</v>
      </c>
      <c r="P22" s="14">
        <f t="shared" si="2"/>
        <v>137085958.2</v>
      </c>
      <c r="Q22" s="14">
        <f t="shared" si="2"/>
        <v>145595847.1</v>
      </c>
      <c r="R22" s="14">
        <f t="shared" si="2"/>
        <v>156053184.2</v>
      </c>
      <c r="S22" s="14">
        <f t="shared" si="2"/>
        <v>166376616.6</v>
      </c>
      <c r="T22" s="14">
        <f t="shared" si="2"/>
        <v>176566858.2</v>
      </c>
      <c r="U22" s="14">
        <f t="shared" si="2"/>
        <v>186624632.4</v>
      </c>
      <c r="V22" s="14">
        <f t="shared" si="2"/>
        <v>196550672.4</v>
      </c>
      <c r="W22" s="14">
        <f>V$22</f>
        <v>196550672.4</v>
      </c>
    </row>
    <row r="23" ht="15.75" customHeight="1"/>
    <row r="24" ht="15.75" customHeight="1">
      <c r="A24" s="31" t="s">
        <v>188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</row>
    <row r="25" ht="15.75" customHeight="1">
      <c r="A25" s="11" t="s">
        <v>180</v>
      </c>
      <c r="C25" s="11">
        <v>2026.0</v>
      </c>
      <c r="D25" s="11">
        <v>2027.0</v>
      </c>
      <c r="E25" s="11">
        <v>2028.0</v>
      </c>
      <c r="F25" s="11">
        <v>2029.0</v>
      </c>
      <c r="G25" s="11">
        <v>2030.0</v>
      </c>
      <c r="H25" s="11">
        <v>2031.0</v>
      </c>
      <c r="I25" s="11">
        <v>2032.0</v>
      </c>
      <c r="J25" s="11">
        <v>2033.0</v>
      </c>
      <c r="K25" s="11">
        <v>2034.0</v>
      </c>
      <c r="L25" s="11">
        <v>2035.0</v>
      </c>
      <c r="M25" s="11">
        <v>2036.0</v>
      </c>
      <c r="N25" s="11">
        <v>2037.0</v>
      </c>
      <c r="O25" s="11">
        <v>2038.0</v>
      </c>
      <c r="P25" s="11">
        <v>2039.0</v>
      </c>
      <c r="Q25" s="11">
        <v>2040.0</v>
      </c>
      <c r="R25" s="11">
        <v>2041.0</v>
      </c>
      <c r="S25" s="11">
        <v>2042.0</v>
      </c>
      <c r="T25" s="11">
        <v>2043.0</v>
      </c>
      <c r="U25" s="11">
        <v>2044.0</v>
      </c>
      <c r="V25" s="11">
        <v>2045.0</v>
      </c>
      <c r="W25" s="11" t="s">
        <v>181</v>
      </c>
    </row>
    <row r="26" ht="15.75" customHeight="1">
      <c r="A26" s="6" t="s">
        <v>139</v>
      </c>
      <c r="C26" s="14">
        <f>'Type A - 10MWp'!C$75*'Type A - 10MWp'!$B$16+'Type B - 5MWp'!C$75*'Type B - 5MWp'!$B$16+'Type C - 3MWp'!C$75*'Type C - 3MWp'!$B$16</f>
        <v>18796718.68</v>
      </c>
      <c r="D26" s="14">
        <f>'Type A - 10MWp'!D$75*'Type A - 10MWp'!$B$16+'Type B - 5MWp'!D$75*'Type B - 5MWp'!$B$16+'Type C - 3MWp'!D$75*'Type C - 3MWp'!$B$16</f>
        <v>18607679.14</v>
      </c>
      <c r="E26" s="14">
        <f>'Type A - 10MWp'!E$75*'Type A - 10MWp'!$B$16+'Type B - 5MWp'!E$75*'Type B - 5MWp'!$B$16+'Type C - 3MWp'!E$75*'Type C - 3MWp'!$B$16</f>
        <v>18418836.55</v>
      </c>
      <c r="F26" s="14">
        <f>'Type A - 10MWp'!F$75*'Type A - 10MWp'!$B$16+'Type B - 5MWp'!F$75*'Type B - 5MWp'!$B$16+'Type C - 3MWp'!F$75*'Type C - 3MWp'!$B$16</f>
        <v>18230189.92</v>
      </c>
      <c r="G26" s="14">
        <f>'Type A - 10MWp'!G$75*'Type A - 10MWp'!$B$16+'Type B - 5MWp'!G$75*'Type B - 5MWp'!$B$16+'Type C - 3MWp'!G$75*'Type C - 3MWp'!$B$16</f>
        <v>18041738.26</v>
      </c>
      <c r="H26" s="14">
        <f>'Type A - 10MWp'!H$75*'Type A - 10MWp'!$B$16+'Type B - 5MWp'!H$75*'Type B - 5MWp'!$B$16+'Type C - 3MWp'!H$75*'Type C - 3MWp'!$B$16</f>
        <v>17853480.62</v>
      </c>
      <c r="I26" s="14">
        <f>'Type A - 10MWp'!I$75*'Type A - 10MWp'!$B$16+'Type B - 5MWp'!I$75*'Type B - 5MWp'!$B$16+'Type C - 3MWp'!I$75*'Type C - 3MWp'!$B$16</f>
        <v>17665416</v>
      </c>
      <c r="J26" s="14">
        <f>'Type A - 10MWp'!J$75*'Type A - 10MWp'!$B$16+'Type B - 5MWp'!J$75*'Type B - 5MWp'!$B$16+'Type C - 3MWp'!J$75*'Type C - 3MWp'!$B$16</f>
        <v>17477543.46</v>
      </c>
      <c r="K26" s="14">
        <f>'Type A - 10MWp'!K$75*'Type A - 10MWp'!$B$16+'Type B - 5MWp'!K$75*'Type B - 5MWp'!$B$16+'Type C - 3MWp'!K$75*'Type C - 3MWp'!$B$16</f>
        <v>17289862.02</v>
      </c>
      <c r="L26" s="14">
        <f>'Type A - 10MWp'!L$75*'Type A - 10MWp'!$B$16+'Type B - 5MWp'!L$75*'Type B - 5MWp'!$B$16+'Type C - 3MWp'!L$75*'Type C - 3MWp'!$B$16</f>
        <v>17102370.74</v>
      </c>
      <c r="M26" s="14">
        <f>'Type A - 10MWp'!M$75*'Type A - 10MWp'!$B$16+'Type B - 5MWp'!M$75*'Type B - 5MWp'!$B$16+'Type C - 3MWp'!M$75*'Type C - 3MWp'!$B$16</f>
        <v>16915068.66</v>
      </c>
      <c r="N26" s="14">
        <f>'Type A - 10MWp'!N$75*'Type A - 10MWp'!$B$16+'Type B - 5MWp'!N$75*'Type B - 5MWp'!$B$16+'Type C - 3MWp'!N$75*'Type C - 3MWp'!$B$16</f>
        <v>16727954.84</v>
      </c>
      <c r="O26" s="14">
        <f>'Type A - 10MWp'!O$75*'Type A - 10MWp'!$B$16+'Type B - 5MWp'!O$75*'Type B - 5MWp'!$B$16+'Type C - 3MWp'!O$75*'Type C - 3MWp'!$B$16</f>
        <v>16541028.33</v>
      </c>
      <c r="P26" s="14">
        <f>'Type A - 10MWp'!P$75*'Type A - 10MWp'!$B$16+'Type B - 5MWp'!P$75*'Type B - 5MWp'!$B$16+'Type C - 3MWp'!P$75*'Type C - 3MWp'!$B$16</f>
        <v>16354288.2</v>
      </c>
      <c r="Q26" s="14">
        <f>'Type A - 10MWp'!Q$75*'Type A - 10MWp'!$B$16+'Type B - 5MWp'!Q$75*'Type B - 5MWp'!$B$16+'Type C - 3MWp'!Q$75*'Type C - 3MWp'!$B$16</f>
        <v>16167733.52</v>
      </c>
      <c r="R26" s="14">
        <f>'Type A - 10MWp'!R$75*'Type A - 10MWp'!$B$16+'Type B - 5MWp'!R$75*'Type B - 5MWp'!$B$16+'Type C - 3MWp'!R$75*'Type C - 3MWp'!$B$16</f>
        <v>15981363.36</v>
      </c>
      <c r="S26" s="14">
        <f>'Type A - 10MWp'!S$75*'Type A - 10MWp'!$B$16+'Type B - 5MWp'!S$75*'Type B - 5MWp'!$B$16+'Type C - 3MWp'!S$75*'Type C - 3MWp'!$B$16</f>
        <v>15795176.79</v>
      </c>
      <c r="T26" s="14">
        <f>'Type A - 10MWp'!T$75*'Type A - 10MWp'!$B$16+'Type B - 5MWp'!T$75*'Type B - 5MWp'!$B$16+'Type C - 3MWp'!T$75*'Type C - 3MWp'!$B$16</f>
        <v>15609172.9</v>
      </c>
      <c r="U26" s="14">
        <f>'Type A - 10MWp'!U$75*'Type A - 10MWp'!$B$16+'Type B - 5MWp'!U$75*'Type B - 5MWp'!$B$16+'Type C - 3MWp'!U$75*'Type C - 3MWp'!$B$16</f>
        <v>15423350.78</v>
      </c>
      <c r="V26" s="14">
        <f>'Type A - 10MWp'!V$75*'Type A - 10MWp'!$B$16+'Type B - 5MWp'!V$75*'Type B - 5MWp'!$B$16+'Type C - 3MWp'!V$75*'Type C - 3MWp'!$B$16</f>
        <v>15237709.52</v>
      </c>
      <c r="W26" s="14">
        <f>SUM(C$26:V$26)</f>
        <v>340236682.3</v>
      </c>
    </row>
    <row r="27" ht="15.75" customHeight="1">
      <c r="A27" s="6" t="s">
        <v>144</v>
      </c>
      <c r="C27" s="14">
        <f>'Type A - 10MWp'!C$80*'Type A - 10MWp'!$B$16+'Type B - 5MWp'!C$80*'Type B - 5MWp'!$B$16+'Type C - 3MWp'!C$80*'Type C - 3MWp'!$B$16</f>
        <v>2859445.72</v>
      </c>
      <c r="D27" s="14">
        <f>'Type A - 10MWp'!D$80*'Type A - 10MWp'!$B$16+'Type B - 5MWp'!D$80*'Type B - 5MWp'!$B$16+'Type C - 3MWp'!D$80*'Type C - 3MWp'!$B$16</f>
        <v>2850278.301</v>
      </c>
      <c r="E27" s="14">
        <f>'Type A - 10MWp'!E$80*'Type A - 10MWp'!$B$16+'Type B - 5MWp'!E$80*'Type B - 5MWp'!$B$16+'Type C - 3MWp'!E$80*'Type C - 3MWp'!$B$16</f>
        <v>2840579.583</v>
      </c>
      <c r="F27" s="14">
        <f>'Type A - 10MWp'!F$80*'Type A - 10MWp'!$B$16+'Type B - 5MWp'!F$80*'Type B - 5MWp'!$B$16+'Type C - 3MWp'!F$80*'Type C - 3MWp'!$B$16</f>
        <v>2830339.549</v>
      </c>
      <c r="G27" s="14">
        <f>'Type A - 10MWp'!G$80*'Type A - 10MWp'!$B$16+'Type B - 5MWp'!G$80*'Type B - 5MWp'!$B$16+'Type C - 3MWp'!G$80*'Type C - 3MWp'!$B$16</f>
        <v>2819548.033</v>
      </c>
      <c r="H27" s="14">
        <f>'Type A - 10MWp'!H$80*'Type A - 10MWp'!$B$16+'Type B - 5MWp'!H$80*'Type B - 5MWp'!$B$16+'Type C - 3MWp'!H$80*'Type C - 3MWp'!$B$16</f>
        <v>3239529.246</v>
      </c>
      <c r="I27" s="14">
        <f>'Type A - 10MWp'!I$80*'Type A - 10MWp'!$B$16+'Type B - 5MWp'!I$80*'Type B - 5MWp'!$B$16+'Type C - 3MWp'!I$80*'Type C - 3MWp'!$B$16</f>
        <v>3231917.014</v>
      </c>
      <c r="J27" s="14">
        <f>'Type A - 10MWp'!J$80*'Type A - 10MWp'!$B$16+'Type B - 5MWp'!J$80*'Type B - 5MWp'!$B$16+'Type C - 3MWp'!J$80*'Type C - 3MWp'!$B$16</f>
        <v>3223765.028</v>
      </c>
      <c r="K27" s="14">
        <f>'Type A - 10MWp'!K$80*'Type A - 10MWp'!$B$16+'Type B - 5MWp'!K$80*'Type B - 5MWp'!$B$16+'Type C - 3MWp'!K$80*'Type C - 3MWp'!$B$16</f>
        <v>3215062.939</v>
      </c>
      <c r="L27" s="14">
        <f>'Type A - 10MWp'!L$80*'Type A - 10MWp'!$B$16+'Type B - 5MWp'!L$80*'Type B - 5MWp'!$B$16+'Type C - 3MWp'!L$80*'Type C - 3MWp'!$B$16</f>
        <v>3205800.244</v>
      </c>
      <c r="M27" s="14">
        <f>'Type A - 10MWp'!M$80*'Type A - 10MWp'!$B$16+'Type B - 5MWp'!M$80*'Type B - 5MWp'!$B$16+'Type C - 3MWp'!M$80*'Type C - 3MWp'!$B$16</f>
        <v>3271522.437</v>
      </c>
      <c r="N27" s="14">
        <f>'Type A - 10MWp'!N$80*'Type A - 10MWp'!$B$16+'Type B - 5MWp'!N$80*'Type B - 5MWp'!$B$16+'Type C - 3MWp'!N$80*'Type C - 3MWp'!$B$16</f>
        <v>3261861.954</v>
      </c>
      <c r="O27" s="14">
        <f>'Type A - 10MWp'!O$80*'Type A - 10MWp'!$B$16+'Type B - 5MWp'!O$80*'Type B - 5MWp'!$B$16+'Type C - 3MWp'!O$80*'Type C - 3MWp'!$B$16</f>
        <v>3251615.964</v>
      </c>
      <c r="P27" s="14">
        <f>'Type A - 10MWp'!P$80*'Type A - 10MWp'!$B$16+'Type B - 5MWp'!P$80*'Type B - 5MWp'!$B$16+'Type C - 3MWp'!P$80*'Type C - 3MWp'!$B$16</f>
        <v>3240773.4</v>
      </c>
      <c r="Q27" s="14">
        <f>'Type A - 10MWp'!Q$80*'Type A - 10MWp'!$B$16+'Type B - 5MWp'!Q$80*'Type B - 5MWp'!$B$16+'Type C - 3MWp'!Q$80*'Type C - 3MWp'!$B$16</f>
        <v>3229323.03</v>
      </c>
      <c r="R27" s="14">
        <f>'Type A - 10MWp'!R$80*'Type A - 10MWp'!$B$16+'Type B - 5MWp'!R$80*'Type B - 5MWp'!$B$16+'Type C - 3MWp'!R$80*'Type C - 3MWp'!$B$16</f>
        <v>3309898.781</v>
      </c>
      <c r="S27" s="14">
        <f>'Type A - 10MWp'!S$80*'Type A - 10MWp'!$B$16+'Type B - 5MWp'!S$80*'Type B - 5MWp'!$B$16+'Type C - 3MWp'!S$80*'Type C - 3MWp'!$B$16</f>
        <v>3298124.894</v>
      </c>
      <c r="T27" s="14">
        <f>'Type A - 10MWp'!T$80*'Type A - 10MWp'!$B$16+'Type B - 5MWp'!T$80*'Type B - 5MWp'!$B$16+'Type C - 3MWp'!T$80*'Type C - 3MWp'!$B$16</f>
        <v>3285717.765</v>
      </c>
      <c r="U27" s="14">
        <f>'Type A - 10MWp'!U$80*'Type A - 10MWp'!$B$16+'Type B - 5MWp'!U$80*'Type B - 5MWp'!$B$16+'Type C - 3MWp'!U$80*'Type C - 3MWp'!$B$16</f>
        <v>3272665.576</v>
      </c>
      <c r="V27" s="14">
        <f>'Type A - 10MWp'!V$80*'Type A - 10MWp'!$B$16+'Type B - 5MWp'!V$80*'Type B - 5MWp'!$B$16+'Type C - 3MWp'!V$80*'Type C - 3MWp'!$B$16</f>
        <v>3258956.336</v>
      </c>
      <c r="W27" s="14">
        <f>SUM(C$27:V$27)</f>
        <v>62996725.8</v>
      </c>
    </row>
    <row r="28" ht="15.75" customHeight="1">
      <c r="A28" s="15" t="s">
        <v>182</v>
      </c>
      <c r="B28" s="15"/>
      <c r="C28" s="17">
        <f>'Type A - 10MWp'!C$81*'Type A - 10MWp'!$B$16+'Type B - 5MWp'!C$81*'Type B - 5MWp'!$B$16+'Type C - 3MWp'!C$81*'Type C - 3MWp'!$B$16</f>
        <v>15937272.96</v>
      </c>
      <c r="D28" s="17">
        <f>'Type A - 10MWp'!D$81*'Type A - 10MWp'!$B$16+'Type B - 5MWp'!D$81*'Type B - 5MWp'!$B$16+'Type C - 3MWp'!D$81*'Type C - 3MWp'!$B$16</f>
        <v>15757400.84</v>
      </c>
      <c r="E28" s="17">
        <f>'Type A - 10MWp'!E$81*'Type A - 10MWp'!$B$16+'Type B - 5MWp'!E$81*'Type B - 5MWp'!$B$16+'Type C - 3MWp'!E$81*'Type C - 3MWp'!$B$16</f>
        <v>15578256.97</v>
      </c>
      <c r="F28" s="17">
        <f>'Type A - 10MWp'!F$81*'Type A - 10MWp'!$B$16+'Type B - 5MWp'!F$81*'Type B - 5MWp'!$B$16+'Type C - 3MWp'!F$81*'Type C - 3MWp'!$B$16</f>
        <v>15399850.37</v>
      </c>
      <c r="G28" s="17">
        <f>'Type A - 10MWp'!G$81*'Type A - 10MWp'!$B$16+'Type B - 5MWp'!G$81*'Type B - 5MWp'!$B$16+'Type C - 3MWp'!G$81*'Type C - 3MWp'!$B$16</f>
        <v>15222190.23</v>
      </c>
      <c r="H28" s="17">
        <f>'Type A - 10MWp'!H$81*'Type A - 10MWp'!$B$16+'Type B - 5MWp'!H$81*'Type B - 5MWp'!$B$16+'Type C - 3MWp'!H$81*'Type C - 3MWp'!$B$16</f>
        <v>14613951.37</v>
      </c>
      <c r="I28" s="17">
        <f>'Type A - 10MWp'!I$81*'Type A - 10MWp'!$B$16+'Type B - 5MWp'!I$81*'Type B - 5MWp'!$B$16+'Type C - 3MWp'!I$81*'Type C - 3MWp'!$B$16</f>
        <v>14433498.99</v>
      </c>
      <c r="J28" s="17">
        <f>'Type A - 10MWp'!J$81*'Type A - 10MWp'!$B$16+'Type B - 5MWp'!J$81*'Type B - 5MWp'!$B$16+'Type C - 3MWp'!J$81*'Type C - 3MWp'!$B$16</f>
        <v>14253778.43</v>
      </c>
      <c r="K28" s="17">
        <f>'Type A - 10MWp'!K$81*'Type A - 10MWp'!$B$16+'Type B - 5MWp'!K$81*'Type B - 5MWp'!$B$16+'Type C - 3MWp'!K$81*'Type C - 3MWp'!$B$16</f>
        <v>14074799.08</v>
      </c>
      <c r="L28" s="17">
        <f>'Type A - 10MWp'!L$81*'Type A - 10MWp'!$B$16+'Type B - 5MWp'!L$81*'Type B - 5MWp'!$B$16+'Type C - 3MWp'!L$81*'Type C - 3MWp'!$B$16</f>
        <v>13896570.49</v>
      </c>
      <c r="M28" s="17">
        <f>'Type A - 10MWp'!M$81*'Type A - 10MWp'!$B$16+'Type B - 5MWp'!M$81*'Type B - 5MWp'!$B$16+'Type C - 3MWp'!M$81*'Type C - 3MWp'!$B$16</f>
        <v>13643546.22</v>
      </c>
      <c r="N28" s="17">
        <f>'Type A - 10MWp'!N$81*'Type A - 10MWp'!$B$16+'Type B - 5MWp'!N$81*'Type B - 5MWp'!$B$16+'Type C - 3MWp'!N$81*'Type C - 3MWp'!$B$16</f>
        <v>13466092.88</v>
      </c>
      <c r="O28" s="17">
        <f>'Type A - 10MWp'!O$81*'Type A - 10MWp'!$B$16+'Type B - 5MWp'!O$81*'Type B - 5MWp'!$B$16+'Type C - 3MWp'!O$81*'Type C - 3MWp'!$B$16</f>
        <v>13289412.37</v>
      </c>
      <c r="P28" s="17">
        <f>'Type A - 10MWp'!P$81*'Type A - 10MWp'!$B$16+'Type B - 5MWp'!P$81*'Type B - 5MWp'!$B$16+'Type C - 3MWp'!P$81*'Type C - 3MWp'!$B$16</f>
        <v>13113514.8</v>
      </c>
      <c r="Q28" s="17">
        <f>'Type A - 10MWp'!Q$81*'Type A - 10MWp'!$B$16+'Type B - 5MWp'!Q$81*'Type B - 5MWp'!$B$16+'Type C - 3MWp'!Q$81*'Type C - 3MWp'!$B$16</f>
        <v>12938410.49</v>
      </c>
      <c r="R28" s="17">
        <f>'Type A - 10MWp'!R$81*'Type A - 10MWp'!$B$16+'Type B - 5MWp'!R$81*'Type B - 5MWp'!$B$16+'Type C - 3MWp'!R$81*'Type C - 3MWp'!$B$16</f>
        <v>12671464.57</v>
      </c>
      <c r="S28" s="17">
        <f>'Type A - 10MWp'!S$81*'Type A - 10MWp'!$B$16+'Type B - 5MWp'!S$81*'Type B - 5MWp'!$B$16+'Type C - 3MWp'!S$81*'Type C - 3MWp'!$B$16</f>
        <v>12497051.9</v>
      </c>
      <c r="T28" s="17">
        <f>'Type A - 10MWp'!T$81*'Type A - 10MWp'!$B$16+'Type B - 5MWp'!T$81*'Type B - 5MWp'!$B$16+'Type C - 3MWp'!T$81*'Type C - 3MWp'!$B$16</f>
        <v>12323455.14</v>
      </c>
      <c r="U28" s="17">
        <f>'Type A - 10MWp'!U$81*'Type A - 10MWp'!$B$16+'Type B - 5MWp'!U$81*'Type B - 5MWp'!$B$16+'Type C - 3MWp'!U$81*'Type C - 3MWp'!$B$16</f>
        <v>12150685.21</v>
      </c>
      <c r="V28" s="17">
        <f>'Type A - 10MWp'!V$81*'Type A - 10MWp'!$B$16+'Type B - 5MWp'!V$81*'Type B - 5MWp'!$B$16+'Type C - 3MWp'!V$81*'Type C - 3MWp'!$B$16</f>
        <v>11978753.18</v>
      </c>
      <c r="W28" s="17">
        <f>SUM(C$28:V$28)</f>
        <v>277239956.5</v>
      </c>
    </row>
    <row r="29" ht="15.75" customHeight="1">
      <c r="A29" s="6" t="s">
        <v>183</v>
      </c>
      <c r="C29" s="14">
        <f>'Type A - 10MWp'!C$87*'Type A - 10MWp'!$B$16+'Type B - 5MWp'!C$87*'Type B - 5MWp'!$B$16+'Type C - 3MWp'!C$87*'Type C - 3MWp'!$B$16</f>
        <v>2175267.616</v>
      </c>
      <c r="D29" s="14">
        <f>'Type A - 10MWp'!D$87*'Type A - 10MWp'!$B$16+'Type B - 5MWp'!D$87*'Type B - 5MWp'!$B$16+'Type C - 3MWp'!D$87*'Type C - 3MWp'!$B$16</f>
        <v>2175267.616</v>
      </c>
      <c r="E29" s="14">
        <f>'Type A - 10MWp'!E$87*'Type A - 10MWp'!$B$16+'Type B - 5MWp'!E$87*'Type B - 5MWp'!$B$16+'Type C - 3MWp'!E$87*'Type C - 3MWp'!$B$16</f>
        <v>2175267.616</v>
      </c>
      <c r="F29" s="14">
        <f>'Type A - 10MWp'!F$87*'Type A - 10MWp'!$B$16+'Type B - 5MWp'!F$87*'Type B - 5MWp'!$B$16+'Type C - 3MWp'!F$87*'Type C - 3MWp'!$B$16</f>
        <v>2175267.616</v>
      </c>
      <c r="G29" s="14">
        <f>'Type A - 10MWp'!G$87*'Type A - 10MWp'!$B$16+'Type B - 5MWp'!G$87*'Type B - 5MWp'!$B$16+'Type C - 3MWp'!G$87*'Type C - 3MWp'!$B$16</f>
        <v>2175267.616</v>
      </c>
      <c r="H29" s="14">
        <f>'Type A - 10MWp'!H$87*'Type A - 10MWp'!$B$16+'Type B - 5MWp'!H$87*'Type B - 5MWp'!$B$16+'Type C - 3MWp'!H$87*'Type C - 3MWp'!$B$16</f>
        <v>2175267.616</v>
      </c>
      <c r="I29" s="14">
        <f>'Type A - 10MWp'!I$87*'Type A - 10MWp'!$B$16+'Type B - 5MWp'!I$87*'Type B - 5MWp'!$B$16+'Type C - 3MWp'!I$87*'Type C - 3MWp'!$B$16</f>
        <v>2175267.616</v>
      </c>
      <c r="J29" s="14">
        <f>'Type A - 10MWp'!J$87*'Type A - 10MWp'!$B$16+'Type B - 5MWp'!J$87*'Type B - 5MWp'!$B$16+'Type C - 3MWp'!J$87*'Type C - 3MWp'!$B$16</f>
        <v>2175267.616</v>
      </c>
      <c r="K29" s="14">
        <f>'Type A - 10MWp'!K$87*'Type A - 10MWp'!$B$16+'Type B - 5MWp'!K$87*'Type B - 5MWp'!$B$16+'Type C - 3MWp'!K$87*'Type C - 3MWp'!$B$16</f>
        <v>2175267.616</v>
      </c>
      <c r="L29" s="14">
        <f>'Type A - 10MWp'!L$87*'Type A - 10MWp'!$B$16+'Type B - 5MWp'!L$87*'Type B - 5MWp'!$B$16+'Type C - 3MWp'!L$87*'Type C - 3MWp'!$B$16</f>
        <v>2175267.616</v>
      </c>
      <c r="M29" s="14">
        <f>'Type A - 10MWp'!M$87*'Type A - 10MWp'!$B$16+'Type B - 5MWp'!M$87*'Type B - 5MWp'!$B$16+'Type C - 3MWp'!M$87*'Type C - 3MWp'!$B$16</f>
        <v>2175267.616</v>
      </c>
      <c r="N29" s="14">
        <f>'Type A - 10MWp'!N$87*'Type A - 10MWp'!$B$16+'Type B - 5MWp'!N$87*'Type B - 5MWp'!$B$16+'Type C - 3MWp'!N$87*'Type C - 3MWp'!$B$16</f>
        <v>2175267.616</v>
      </c>
      <c r="O29" s="14">
        <f>'Type A - 10MWp'!O$87*'Type A - 10MWp'!$B$16+'Type B - 5MWp'!O$87*'Type B - 5MWp'!$B$16+'Type C - 3MWp'!O$87*'Type C - 3MWp'!$B$16</f>
        <v>2175267.616</v>
      </c>
      <c r="P29" s="14">
        <f>'Type A - 10MWp'!P$87*'Type A - 10MWp'!$B$16+'Type B - 5MWp'!P$87*'Type B - 5MWp'!$B$16+'Type C - 3MWp'!P$87*'Type C - 3MWp'!$B$16</f>
        <v>2175267.616</v>
      </c>
      <c r="Q29" s="14">
        <f>'Type A - 10MWp'!Q$87*'Type A - 10MWp'!$B$16+'Type B - 5MWp'!Q$87*'Type B - 5MWp'!$B$16+'Type C - 3MWp'!Q$87*'Type C - 3MWp'!$B$16</f>
        <v>2175267.616</v>
      </c>
      <c r="R29" s="14">
        <f>'Type A - 10MWp'!R$87*'Type A - 10MWp'!$B$16+'Type B - 5MWp'!R$87*'Type B - 5MWp'!$B$16+'Type C - 3MWp'!R$87*'Type C - 3MWp'!$B$16</f>
        <v>0</v>
      </c>
      <c r="S29" s="14">
        <f>'Type A - 10MWp'!S$87*'Type A - 10MWp'!$B$16+'Type B - 5MWp'!S$87*'Type B - 5MWp'!$B$16+'Type C - 3MWp'!S$87*'Type C - 3MWp'!$B$16</f>
        <v>0</v>
      </c>
      <c r="T29" s="14">
        <f>'Type A - 10MWp'!T$87*'Type A - 10MWp'!$B$16+'Type B - 5MWp'!T$87*'Type B - 5MWp'!$B$16+'Type C - 3MWp'!T$87*'Type C - 3MWp'!$B$16</f>
        <v>0</v>
      </c>
      <c r="U29" s="14">
        <f>'Type A - 10MWp'!U$87*'Type A - 10MWp'!$B$16+'Type B - 5MWp'!U$87*'Type B - 5MWp'!$B$16+'Type C - 3MWp'!U$87*'Type C - 3MWp'!$B$16</f>
        <v>0</v>
      </c>
      <c r="V29" s="14">
        <f>'Type A - 10MWp'!V$87*'Type A - 10MWp'!$B$16+'Type B - 5MWp'!V$87*'Type B - 5MWp'!$B$16+'Type C - 3MWp'!V$87*'Type C - 3MWp'!$B$16</f>
        <v>0</v>
      </c>
      <c r="W29" s="14">
        <f>SUM(C$29:V$29)</f>
        <v>32629014.25</v>
      </c>
    </row>
    <row r="30" ht="15.75" customHeight="1">
      <c r="A30" s="6" t="s">
        <v>184</v>
      </c>
      <c r="C30" s="14">
        <f>'Type A - 10MWp'!C$85*'Type A - 10MWp'!$B$16+'Type B - 5MWp'!C$85*'Type B - 5MWp'!$B$16+'Type C - 3MWp'!C$85*'Type C - 3MWp'!$B$16</f>
        <v>1396962.513</v>
      </c>
      <c r="D30" s="14">
        <f>'Type A - 10MWp'!D$85*'Type A - 10MWp'!$B$16+'Type B - 5MWp'!D$85*'Type B - 5MWp'!$B$16+'Type C - 3MWp'!D$85*'Type C - 3MWp'!$B$16</f>
        <v>1381018.129</v>
      </c>
      <c r="E30" s="14">
        <f>'Type A - 10MWp'!E$85*'Type A - 10MWp'!$B$16+'Type B - 5MWp'!E$85*'Type B - 5MWp'!$B$16+'Type C - 3MWp'!E$85*'Type C - 3MWp'!$B$16</f>
        <v>1365491.757</v>
      </c>
      <c r="F30" s="14">
        <f>'Type A - 10MWp'!F$85*'Type A - 10MWp'!$B$16+'Type B - 5MWp'!F$85*'Type B - 5MWp'!$B$16+'Type C - 3MWp'!F$85*'Type C - 3MWp'!$B$16</f>
        <v>1350400.876</v>
      </c>
      <c r="G30" s="14">
        <f>'Type A - 10MWp'!G$85*'Type A - 10MWp'!$B$16+'Type B - 5MWp'!G$85*'Type B - 5MWp'!$B$16+'Type C - 3MWp'!G$85*'Type C - 3MWp'!$B$16</f>
        <v>1335763.798</v>
      </c>
      <c r="H30" s="14">
        <f>'Type A - 10MWp'!H$85*'Type A - 10MWp'!$B$16+'Type B - 5MWp'!H$85*'Type B - 5MWp'!$B$16+'Type C - 3MWp'!H$85*'Type C - 3MWp'!$B$16</f>
        <v>1267682.903</v>
      </c>
      <c r="I30" s="14">
        <f>'Type A - 10MWp'!I$85*'Type A - 10MWp'!$B$16+'Type B - 5MWp'!I$85*'Type B - 5MWp'!$B$16+'Type C - 3MWp'!I$85*'Type C - 3MWp'!$B$16</f>
        <v>1253472.765</v>
      </c>
      <c r="J30" s="14">
        <f>'Type A - 10MWp'!J$85*'Type A - 10MWp'!$B$16+'Type B - 5MWp'!J$85*'Type B - 5MWp'!$B$16+'Type C - 3MWp'!J$85*'Type C - 3MWp'!$B$16</f>
        <v>1239771.426</v>
      </c>
      <c r="K30" s="14">
        <f>'Type A - 10MWp'!K$85*'Type A - 10MWp'!$B$16+'Type B - 5MWp'!K$85*'Type B - 5MWp'!$B$16+'Type C - 3MWp'!K$85*'Type C - 3MWp'!$B$16</f>
        <v>1226600.925</v>
      </c>
      <c r="L30" s="14">
        <f>'Type A - 10MWp'!L$85*'Type A - 10MWp'!$B$16+'Type B - 5MWp'!L$85*'Type B - 5MWp'!$B$16+'Type C - 3MWp'!L$85*'Type C - 3MWp'!$B$16</f>
        <v>1213984.364</v>
      </c>
      <c r="M30" s="14">
        <f>'Type A - 10MWp'!M$85*'Type A - 10MWp'!$B$16+'Type B - 5MWp'!M$85*'Type B - 5MWp'!$B$16+'Type C - 3MWp'!M$85*'Type C - 3MWp'!$B$16</f>
        <v>1192501.444</v>
      </c>
      <c r="N30" s="14">
        <f>'Type A - 10MWp'!N$85*'Type A - 10MWp'!$B$16+'Type B - 5MWp'!N$85*'Type B - 5MWp'!$B$16+'Type C - 3MWp'!N$85*'Type C - 3MWp'!$B$16</f>
        <v>1180972.146</v>
      </c>
      <c r="O30" s="14">
        <f>'Type A - 10MWp'!O$85*'Type A - 10MWp'!$B$16+'Type B - 5MWp'!O$85*'Type B - 5MWp'!$B$16+'Type C - 3MWp'!O$85*'Type C - 3MWp'!$B$16</f>
        <v>1170072.069</v>
      </c>
      <c r="P30" s="14">
        <f>'Type A - 10MWp'!P$85*'Type A - 10MWp'!$B$16+'Type B - 5MWp'!P$85*'Type B - 5MWp'!$B$16+'Type C - 3MWp'!P$85*'Type C - 3MWp'!$B$16</f>
        <v>1159829.111</v>
      </c>
      <c r="Q30" s="14">
        <f>'Type A - 10MWp'!Q$85*'Type A - 10MWp'!$B$16+'Type B - 5MWp'!Q$85*'Type B - 5MWp'!$B$16+'Type C - 3MWp'!Q$85*'Type C - 3MWp'!$B$16</f>
        <v>1150272.521</v>
      </c>
      <c r="R30" s="14">
        <f>'Type A - 10MWp'!R$85*'Type A - 10MWp'!$B$16+'Type B - 5MWp'!R$85*'Type B - 5MWp'!$B$16+'Type C - 3MWp'!R$85*'Type C - 3MWp'!$B$16</f>
        <v>1129852.303</v>
      </c>
      <c r="S30" s="14">
        <f>'Type A - 10MWp'!S$85*'Type A - 10MWp'!$B$16+'Type B - 5MWp'!S$85*'Type B - 5MWp'!$B$16+'Type C - 3MWp'!S$85*'Type C - 3MWp'!$B$16</f>
        <v>1108050.718</v>
      </c>
      <c r="T30" s="14">
        <f>'Type A - 10MWp'!T$85*'Type A - 10MWp'!$B$16+'Type B - 5MWp'!T$85*'Type B - 5MWp'!$B$16+'Type C - 3MWp'!T$85*'Type C - 3MWp'!$B$16</f>
        <v>1086351.124</v>
      </c>
      <c r="U30" s="14">
        <f>'Type A - 10MWp'!U$85*'Type A - 10MWp'!$B$16+'Type B - 5MWp'!U$85*'Type B - 5MWp'!$B$16+'Type C - 3MWp'!U$85*'Type C - 3MWp'!$B$16</f>
        <v>1064754.882</v>
      </c>
      <c r="V30" s="14">
        <f>'Type A - 10MWp'!V$85*'Type A - 10MWp'!$B$16+'Type B - 5MWp'!V$85*'Type B - 5MWp'!$B$16+'Type C - 3MWp'!V$85*'Type C - 3MWp'!$B$16</f>
        <v>1043263.379</v>
      </c>
      <c r="W30" s="14">
        <f>SUM(C$30:V$30)</f>
        <v>24317069.15</v>
      </c>
    </row>
    <row r="31" ht="15.75" customHeight="1">
      <c r="A31" s="15" t="s">
        <v>185</v>
      </c>
      <c r="B31" s="15"/>
      <c r="C31" s="17">
        <f>'Type A - 10MWp'!C$88*'Type A - 10MWp'!$B$16+'Type B - 5MWp'!C$88*'Type B - 5MWp'!$B$16+'Type C - 3MWp'!C$88*'Type C - 3MWp'!$B$16</f>
        <v>12365042.83</v>
      </c>
      <c r="D31" s="17">
        <f>'Type A - 10MWp'!D$88*'Type A - 10MWp'!$B$16+'Type B - 5MWp'!D$88*'Type B - 5MWp'!$B$16+'Type C - 3MWp'!D$88*'Type C - 3MWp'!$B$16</f>
        <v>12201115.09</v>
      </c>
      <c r="E31" s="17">
        <f>'Type A - 10MWp'!E$88*'Type A - 10MWp'!$B$16+'Type B - 5MWp'!E$88*'Type B - 5MWp'!$B$16+'Type C - 3MWp'!E$88*'Type C - 3MWp'!$B$16</f>
        <v>12037497.59</v>
      </c>
      <c r="F31" s="17">
        <f>'Type A - 10MWp'!F$88*'Type A - 10MWp'!$B$16+'Type B - 5MWp'!F$88*'Type B - 5MWp'!$B$16+'Type C - 3MWp'!F$88*'Type C - 3MWp'!$B$16</f>
        <v>11874181.88</v>
      </c>
      <c r="G31" s="17">
        <f>'Type A - 10MWp'!G$88*'Type A - 10MWp'!$B$16+'Type B - 5MWp'!G$88*'Type B - 5MWp'!$B$16+'Type C - 3MWp'!G$88*'Type C - 3MWp'!$B$16</f>
        <v>11711158.82</v>
      </c>
      <c r="H31" s="17">
        <f>'Type A - 10MWp'!H$88*'Type A - 10MWp'!$B$16+'Type B - 5MWp'!H$88*'Type B - 5MWp'!$B$16+'Type C - 3MWp'!H$88*'Type C - 3MWp'!$B$16</f>
        <v>11171000.85</v>
      </c>
      <c r="I31" s="17">
        <f>'Type A - 10MWp'!I$88*'Type A - 10MWp'!$B$16+'Type B - 5MWp'!I$88*'Type B - 5MWp'!$B$16+'Type C - 3MWp'!I$88*'Type C - 3MWp'!$B$16</f>
        <v>11004758.61</v>
      </c>
      <c r="J31" s="17">
        <f>'Type A - 10MWp'!J$88*'Type A - 10MWp'!$B$16+'Type B - 5MWp'!J$88*'Type B - 5MWp'!$B$16+'Type C - 3MWp'!J$88*'Type C - 3MWp'!$B$16</f>
        <v>10838739.39</v>
      </c>
      <c r="K31" s="17">
        <f>'Type A - 10MWp'!K$88*'Type A - 10MWp'!$B$16+'Type B - 5MWp'!K$88*'Type B - 5MWp'!$B$16+'Type C - 3MWp'!K$88*'Type C - 3MWp'!$B$16</f>
        <v>10672930.54</v>
      </c>
      <c r="L31" s="17">
        <f>'Type A - 10MWp'!L$88*'Type A - 10MWp'!$B$16+'Type B - 5MWp'!L$88*'Type B - 5MWp'!$B$16+'Type C - 3MWp'!L$88*'Type C - 3MWp'!$B$16</f>
        <v>10507318.51</v>
      </c>
      <c r="M31" s="17">
        <f>'Type A - 10MWp'!M$88*'Type A - 10MWp'!$B$16+'Type B - 5MWp'!M$88*'Type B - 5MWp'!$B$16+'Type C - 3MWp'!M$88*'Type C - 3MWp'!$B$16</f>
        <v>10275777.16</v>
      </c>
      <c r="N31" s="17">
        <f>'Type A - 10MWp'!N$88*'Type A - 10MWp'!$B$16+'Type B - 5MWp'!N$88*'Type B - 5MWp'!$B$16+'Type C - 3MWp'!N$88*'Type C - 3MWp'!$B$16</f>
        <v>10109853.12</v>
      </c>
      <c r="O31" s="17">
        <f>'Type A - 10MWp'!O$88*'Type A - 10MWp'!$B$16+'Type B - 5MWp'!O$88*'Type B - 5MWp'!$B$16+'Type C - 3MWp'!O$88*'Type C - 3MWp'!$B$16</f>
        <v>9944072.68</v>
      </c>
      <c r="P31" s="17">
        <f>'Type A - 10MWp'!P$88*'Type A - 10MWp'!$B$16+'Type B - 5MWp'!P$88*'Type B - 5MWp'!$B$16+'Type C - 3MWp'!P$88*'Type C - 3MWp'!$B$16</f>
        <v>9778418.073</v>
      </c>
      <c r="Q31" s="17">
        <f>'Type A - 10MWp'!Q$88*'Type A - 10MWp'!$B$16+'Type B - 5MWp'!Q$88*'Type B - 5MWp'!$B$16+'Type C - 3MWp'!Q$88*'Type C - 3MWp'!$B$16</f>
        <v>9612870.351</v>
      </c>
      <c r="R31" s="17">
        <f>'Type A - 10MWp'!R$88*'Type A - 10MWp'!$B$16+'Type B - 5MWp'!R$88*'Type B - 5MWp'!$B$16+'Type C - 3MWp'!R$88*'Type C - 3MWp'!$B$16</f>
        <v>11541612.27</v>
      </c>
      <c r="S31" s="17">
        <f>'Type A - 10MWp'!S$88*'Type A - 10MWp'!$B$16+'Type B - 5MWp'!S$88*'Type B - 5MWp'!$B$16+'Type C - 3MWp'!S$88*'Type C - 3MWp'!$B$16</f>
        <v>11389001.18</v>
      </c>
      <c r="T31" s="17">
        <f>'Type A - 10MWp'!T$88*'Type A - 10MWp'!$B$16+'Type B - 5MWp'!T$88*'Type B - 5MWp'!$B$16+'Type C - 3MWp'!T$88*'Type C - 3MWp'!$B$16</f>
        <v>11237104.02</v>
      </c>
      <c r="U31" s="17">
        <f>'Type A - 10MWp'!U$88*'Type A - 10MWp'!$B$16+'Type B - 5MWp'!U$88*'Type B - 5MWp'!$B$16+'Type C - 3MWp'!U$88*'Type C - 3MWp'!$B$16</f>
        <v>11085930.33</v>
      </c>
      <c r="V31" s="17">
        <f>'Type A - 10MWp'!V$88*'Type A - 10MWp'!$B$16+'Type B - 5MWp'!V$88*'Type B - 5MWp'!$B$16+'Type C - 3MWp'!V$88*'Type C - 3MWp'!$B$16</f>
        <v>10935489.81</v>
      </c>
      <c r="W31" s="17">
        <f>SUM(C$31:V$31)</f>
        <v>220293873.1</v>
      </c>
    </row>
    <row r="32" ht="15.75" customHeight="1">
      <c r="A32" s="6" t="s">
        <v>186</v>
      </c>
      <c r="C32" s="14">
        <f>C$31</f>
        <v>12365042.83</v>
      </c>
      <c r="D32" s="14">
        <f t="shared" ref="D32:V32" si="3">C$32+D$31</f>
        <v>24566157.92</v>
      </c>
      <c r="E32" s="14">
        <f t="shared" si="3"/>
        <v>36603655.51</v>
      </c>
      <c r="F32" s="14">
        <f t="shared" si="3"/>
        <v>48477837.39</v>
      </c>
      <c r="G32" s="14">
        <f t="shared" si="3"/>
        <v>60188996.2</v>
      </c>
      <c r="H32" s="14">
        <f t="shared" si="3"/>
        <v>71359997.05</v>
      </c>
      <c r="I32" s="14">
        <f t="shared" si="3"/>
        <v>82364755.66</v>
      </c>
      <c r="J32" s="14">
        <f t="shared" si="3"/>
        <v>93203495.04</v>
      </c>
      <c r="K32" s="14">
        <f t="shared" si="3"/>
        <v>103876425.6</v>
      </c>
      <c r="L32" s="14">
        <f t="shared" si="3"/>
        <v>114383744.1</v>
      </c>
      <c r="M32" s="14">
        <f t="shared" si="3"/>
        <v>124659521.3</v>
      </c>
      <c r="N32" s="14">
        <f t="shared" si="3"/>
        <v>134769374.4</v>
      </c>
      <c r="O32" s="14">
        <f t="shared" si="3"/>
        <v>144713447.1</v>
      </c>
      <c r="P32" s="14">
        <f t="shared" si="3"/>
        <v>154491865.1</v>
      </c>
      <c r="Q32" s="14">
        <f t="shared" si="3"/>
        <v>164104735.5</v>
      </c>
      <c r="R32" s="14">
        <f t="shared" si="3"/>
        <v>175646347.8</v>
      </c>
      <c r="S32" s="14">
        <f t="shared" si="3"/>
        <v>187035348.9</v>
      </c>
      <c r="T32" s="14">
        <f t="shared" si="3"/>
        <v>198272453</v>
      </c>
      <c r="U32" s="14">
        <f t="shared" si="3"/>
        <v>209358383.3</v>
      </c>
      <c r="V32" s="14">
        <f t="shared" si="3"/>
        <v>220293873.1</v>
      </c>
      <c r="W32" s="14">
        <f>V$32</f>
        <v>220293873.1</v>
      </c>
    </row>
    <row r="33" ht="15.75" customHeight="1"/>
    <row r="34" ht="15.75" customHeight="1">
      <c r="A34" s="4" t="s">
        <v>189</v>
      </c>
      <c r="B34" s="5"/>
      <c r="C34" s="5"/>
      <c r="D34" s="5"/>
      <c r="E34" s="5"/>
    </row>
    <row r="35" ht="15.75" customHeight="1">
      <c r="A35" s="11" t="s">
        <v>32</v>
      </c>
      <c r="B35" s="11" t="s">
        <v>158</v>
      </c>
      <c r="C35" s="11" t="s">
        <v>159</v>
      </c>
      <c r="D35" s="11" t="s">
        <v>160</v>
      </c>
    </row>
    <row r="36" ht="15.75" customHeight="1">
      <c r="A36" s="9" t="s">
        <v>36</v>
      </c>
      <c r="B36" s="10">
        <f>IRR(B$41:V$41)</f>
        <v>0.1534325417</v>
      </c>
      <c r="C36" s="10">
        <f>IRR(B$42:V$42)</f>
        <v>0.1999285611</v>
      </c>
      <c r="D36" s="10">
        <f>IRR(B$43:V$43)</f>
        <v>0.2283661365</v>
      </c>
    </row>
    <row r="37" ht="15.75" customHeight="1">
      <c r="A37" s="9" t="s">
        <v>37</v>
      </c>
      <c r="B37" s="7">
        <f t="array" ref="B37">NPV(Assumptions!$B$37,C$41:V$41)+B$41</f>
        <v>28742746.33</v>
      </c>
      <c r="C37" s="7">
        <f t="array" ref="C37">NPV(Assumptions!$B$37,C$42:V$42)+B$42</f>
        <v>48115675</v>
      </c>
      <c r="D37" s="7">
        <f t="array" ref="D37">NPV(Assumptions!$B$37,C$43:V$43)+B$43</f>
        <v>60223755.42</v>
      </c>
    </row>
    <row r="38" ht="15.75" customHeight="1">
      <c r="A38" s="9" t="s">
        <v>38</v>
      </c>
      <c r="B38" s="18">
        <f>SUM(C$41:V$41)/(-B$41)</f>
        <v>3.166519943</v>
      </c>
      <c r="C38" s="18">
        <f>SUM(C$42:V$42)/(-B$42)</f>
        <v>3.925173654</v>
      </c>
      <c r="D38" s="18">
        <f>SUM(C$43:V$43)/(-B$43)</f>
        <v>4.399332223</v>
      </c>
    </row>
    <row r="39" ht="15.75" customHeight="1">
      <c r="A39" s="9" t="s">
        <v>190</v>
      </c>
      <c r="B39" s="7">
        <f>SUM(C$41:V$41)</f>
        <v>158561551.4</v>
      </c>
      <c r="C39" s="7">
        <f>SUM(C$42:V$42)</f>
        <v>196550672.4</v>
      </c>
      <c r="D39" s="7">
        <f>SUM(C$43:V$43)</f>
        <v>220293873.1</v>
      </c>
    </row>
    <row r="40" ht="15.75" customHeight="1"/>
    <row r="41" ht="15.75" customHeight="1">
      <c r="A41" s="38" t="s">
        <v>191</v>
      </c>
      <c r="B41" s="39">
        <f>-('Type A - 10MWp'!$B$12*'Type A - 10MWp'!$B$16+'Type B - 5MWp'!$B$12*'Type B - 5MWp'!$B$16+'Type C - 3MWp'!$B$12*'Type C - 3MWp'!$B$16)</f>
        <v>-50074389</v>
      </c>
      <c r="C41" s="39">
        <f>'Type A - 10MWp'!C$46*'Type A - 10MWp'!$B$16+'Type B - 5MWp'!C$46*'Type B - 5MWp'!$B$16+'Type C - 3MWp'!C$46*'Type C - 3MWp'!$B$16</f>
        <v>8816380.038</v>
      </c>
      <c r="D41" s="39">
        <f>'Type A - 10MWp'!D$46*'Type A - 10MWp'!$B$16+'Type B - 5MWp'!D$46*'Type B - 5MWp'!$B$16+'Type C - 3MWp'!D$46*'Type C - 3MWp'!$B$16</f>
        <v>8701088.8</v>
      </c>
      <c r="E41" s="39">
        <f>'Type A - 10MWp'!E$46*'Type A - 10MWp'!$B$16+'Type B - 5MWp'!E$46*'Type B - 5MWp'!$B$16+'Type C - 3MWp'!E$46*'Type C - 3MWp'!$B$16</f>
        <v>8586107.794</v>
      </c>
      <c r="F41" s="39">
        <f>'Type A - 10MWp'!F$46*'Type A - 10MWp'!$B$16+'Type B - 5MWp'!F$46*'Type B - 5MWp'!$B$16+'Type C - 3MWp'!F$46*'Type C - 3MWp'!$B$16</f>
        <v>8471428.573</v>
      </c>
      <c r="G41" s="39">
        <f>'Type A - 10MWp'!G$46*'Type A - 10MWp'!$B$16+'Type B - 5MWp'!G$46*'Type B - 5MWp'!$B$16+'Type C - 3MWp'!G$46*'Type C - 3MWp'!$B$16</f>
        <v>8357042.008</v>
      </c>
      <c r="H41" s="39">
        <f>'Type A - 10MWp'!H$46*'Type A - 10MWp'!$B$16+'Type B - 5MWp'!H$46*'Type B - 5MWp'!$B$16+'Type C - 3MWp'!H$46*'Type C - 3MWp'!$B$16</f>
        <v>7865520.537</v>
      </c>
      <c r="I41" s="39">
        <f>'Type A - 10MWp'!I$46*'Type A - 10MWp'!$B$16+'Type B - 5MWp'!I$46*'Type B - 5MWp'!$B$16+'Type C - 3MWp'!I$46*'Type C - 3MWp'!$B$16</f>
        <v>7747914.788</v>
      </c>
      <c r="J41" s="39">
        <f>'Type A - 10MWp'!J$46*'Type A - 10MWp'!$B$16+'Type B - 5MWp'!J$46*'Type B - 5MWp'!$B$16+'Type C - 3MWp'!J$46*'Type C - 3MWp'!$B$16</f>
        <v>7630532.064</v>
      </c>
      <c r="K41" s="39">
        <f>'Type A - 10MWp'!K$46*'Type A - 10MWp'!$B$16+'Type B - 5MWp'!K$46*'Type B - 5MWp'!$B$16+'Type C - 3MWp'!K$46*'Type C - 3MWp'!$B$16</f>
        <v>7513359.713</v>
      </c>
      <c r="L41" s="39">
        <f>'Type A - 10MWp'!L$46*'Type A - 10MWp'!$B$16+'Type B - 5MWp'!L$46*'Type B - 5MWp'!$B$16+'Type C - 3MWp'!L$46*'Type C - 3MWp'!$B$16</f>
        <v>7396384.181</v>
      </c>
      <c r="M41" s="39">
        <f>'Type A - 10MWp'!M$46*'Type A - 10MWp'!$B$16+'Type B - 5MWp'!M$46*'Type B - 5MWp'!$B$16+'Type C - 3MWp'!M$46*'Type C - 3MWp'!$B$16</f>
        <v>7213479.324</v>
      </c>
      <c r="N41" s="39">
        <f>'Type A - 10MWp'!N$46*'Type A - 10MWp'!$B$16+'Type B - 5MWp'!N$46*'Type B - 5MWp'!$B$16+'Type C - 3MWp'!N$46*'Type C - 3MWp'!$B$16</f>
        <v>7096191.777</v>
      </c>
      <c r="O41" s="39">
        <f>'Type A - 10MWp'!O$46*'Type A - 10MWp'!$B$16+'Type B - 5MWp'!O$46*'Type B - 5MWp'!$B$16+'Type C - 3MWp'!O$46*'Type C - 3MWp'!$B$16</f>
        <v>6979047.832</v>
      </c>
      <c r="P41" s="39">
        <f>'Type A - 10MWp'!P$46*'Type A - 10MWp'!$B$16+'Type B - 5MWp'!P$46*'Type B - 5MWp'!$B$16+'Type C - 3MWp'!P$46*'Type C - 3MWp'!$B$16</f>
        <v>6862029.721</v>
      </c>
      <c r="Q41" s="39">
        <f>'Type A - 10MWp'!Q$46*'Type A - 10MWp'!$B$16+'Type B - 5MWp'!Q$46*'Type B - 5MWp'!$B$16+'Type C - 3MWp'!Q$46*'Type C - 3MWp'!$B$16</f>
        <v>6745118.493</v>
      </c>
      <c r="R41" s="39">
        <f>'Type A - 10MWp'!R$46*'Type A - 10MWp'!$B$16+'Type B - 5MWp'!R$46*'Type B - 5MWp'!$B$16+'Type C - 3MWp'!R$46*'Type C - 3MWp'!$B$16</f>
        <v>8722496.909</v>
      </c>
      <c r="S41" s="39">
        <f>'Type A - 10MWp'!S$46*'Type A - 10MWp'!$B$16+'Type B - 5MWp'!S$46*'Type B - 5MWp'!$B$16+'Type C - 3MWp'!S$46*'Type C - 3MWp'!$B$16</f>
        <v>8618522.311</v>
      </c>
      <c r="T41" s="39">
        <f>'Type A - 10MWp'!T$46*'Type A - 10MWp'!$B$16+'Type B - 5MWp'!T$46*'Type B - 5MWp'!$B$16+'Type C - 3MWp'!T$46*'Type C - 3MWp'!$B$16</f>
        <v>8515261.644</v>
      </c>
      <c r="U41" s="39">
        <f>'Type A - 10MWp'!U$46*'Type A - 10MWp'!$B$16+'Type B - 5MWp'!U$46*'Type B - 5MWp'!$B$16+'Type C - 3MWp'!U$46*'Type C - 3MWp'!$B$16</f>
        <v>8412724.448</v>
      </c>
      <c r="V41" s="39">
        <f>'Type A - 10MWp'!V$46*'Type A - 10MWp'!$B$16+'Type B - 5MWp'!V$46*'Type B - 5MWp'!$B$16+'Type C - 3MWp'!V$46*'Type C - 3MWp'!$B$16</f>
        <v>8310920.423</v>
      </c>
    </row>
    <row r="42" ht="15.75" customHeight="1">
      <c r="A42" s="38" t="s">
        <v>192</v>
      </c>
      <c r="B42" s="39">
        <f>-('Type A - 10MWp'!$B$12*'Type A - 10MWp'!$B$16+'Type B - 5MWp'!$B$12*'Type B - 5MWp'!$B$16+'Type C - 3MWp'!$B$12*'Type C - 3MWp'!$B$16)</f>
        <v>-50074389</v>
      </c>
      <c r="C42" s="39">
        <f>'Type A - 10MWp'!C$67*'Type A - 10MWp'!$B$16+'Type B - 5MWp'!C$67*'Type B - 5MWp'!$B$16+'Type C - 3MWp'!C$67*'Type C - 3MWp'!$B$16</f>
        <v>11000172.52</v>
      </c>
      <c r="D42" s="39">
        <f>'Type A - 10MWp'!D$67*'Type A - 10MWp'!$B$16+'Type B - 5MWp'!D$67*'Type B - 5MWp'!$B$16+'Type C - 3MWp'!D$67*'Type C - 3MWp'!$B$16</f>
        <v>10854951.13</v>
      </c>
      <c r="E42" s="39">
        <f>'Type A - 10MWp'!E$67*'Type A - 10MWp'!$B$16+'Type B - 5MWp'!E$67*'Type B - 5MWp'!$B$16+'Type C - 3MWp'!E$67*'Type C - 3MWp'!$B$16</f>
        <v>10710039.98</v>
      </c>
      <c r="F42" s="39">
        <f>'Type A - 10MWp'!F$67*'Type A - 10MWp'!$B$16+'Type B - 5MWp'!F$67*'Type B - 5MWp'!$B$16+'Type C - 3MWp'!F$67*'Type C - 3MWp'!$B$16</f>
        <v>10565430.61</v>
      </c>
      <c r="G42" s="39">
        <f>'Type A - 10MWp'!G$67*'Type A - 10MWp'!$B$16+'Type B - 5MWp'!G$67*'Type B - 5MWp'!$B$16+'Type C - 3MWp'!G$67*'Type C - 3MWp'!$B$16</f>
        <v>10421113.89</v>
      </c>
      <c r="H42" s="39">
        <f>'Type A - 10MWp'!H$67*'Type A - 10MWp'!$B$16+'Type B - 5MWp'!H$67*'Type B - 5MWp'!$B$16+'Type C - 3MWp'!H$67*'Type C - 3MWp'!$B$16</f>
        <v>9899662.268</v>
      </c>
      <c r="I42" s="39">
        <f>'Type A - 10MWp'!I$67*'Type A - 10MWp'!$B$16+'Type B - 5MWp'!I$67*'Type B - 5MWp'!$B$16+'Type C - 3MWp'!I$67*'Type C - 3MWp'!$B$16</f>
        <v>9752126.368</v>
      </c>
      <c r="J42" s="39">
        <f>'Type A - 10MWp'!J$67*'Type A - 10MWp'!$B$16+'Type B - 5MWp'!J$67*'Type B - 5MWp'!$B$16+'Type C - 3MWp'!J$67*'Type C - 3MWp'!$B$16</f>
        <v>9604813.493</v>
      </c>
      <c r="K42" s="39">
        <f>'Type A - 10MWp'!K$67*'Type A - 10MWp'!$B$16+'Type B - 5MWp'!K$67*'Type B - 5MWp'!$B$16+'Type C - 3MWp'!K$67*'Type C - 3MWp'!$B$16</f>
        <v>9457710.992</v>
      </c>
      <c r="L42" s="39">
        <f>'Type A - 10MWp'!L$67*'Type A - 10MWp'!$B$16+'Type B - 5MWp'!L$67*'Type B - 5MWp'!$B$16+'Type C - 3MWp'!L$67*'Type C - 3MWp'!$B$16</f>
        <v>9310805.309</v>
      </c>
      <c r="M42" s="39">
        <f>'Type A - 10MWp'!M$67*'Type A - 10MWp'!$B$16+'Type B - 5MWp'!M$67*'Type B - 5MWp'!$B$16+'Type C - 3MWp'!M$67*'Type C - 3MWp'!$B$16</f>
        <v>9097970.301</v>
      </c>
      <c r="N42" s="39">
        <f>'Type A - 10MWp'!N$67*'Type A - 10MWp'!$B$16+'Type B - 5MWp'!N$67*'Type B - 5MWp'!$B$16+'Type C - 3MWp'!N$67*'Type C - 3MWp'!$B$16</f>
        <v>8950752.604</v>
      </c>
      <c r="O42" s="39">
        <f>'Type A - 10MWp'!O$67*'Type A - 10MWp'!$B$16+'Type B - 5MWp'!O$67*'Type B - 5MWp'!$B$16+'Type C - 3MWp'!O$67*'Type C - 3MWp'!$B$16</f>
        <v>8803678.507</v>
      </c>
      <c r="P42" s="39">
        <f>'Type A - 10MWp'!P$67*'Type A - 10MWp'!$B$16+'Type B - 5MWp'!P$67*'Type B - 5MWp'!$B$16+'Type C - 3MWp'!P$67*'Type C - 3MWp'!$B$16</f>
        <v>8656730.246</v>
      </c>
      <c r="Q42" s="39">
        <f>'Type A - 10MWp'!Q$67*'Type A - 10MWp'!$B$16+'Type B - 5MWp'!Q$67*'Type B - 5MWp'!$B$16+'Type C - 3MWp'!Q$67*'Type C - 3MWp'!$B$16</f>
        <v>8509888.867</v>
      </c>
      <c r="R42" s="39">
        <f>'Type A - 10MWp'!R$67*'Type A - 10MWp'!$B$16+'Type B - 5MWp'!R$67*'Type B - 5MWp'!$B$16+'Type C - 3MWp'!R$67*'Type C - 3MWp'!$B$16</f>
        <v>10457337.13</v>
      </c>
      <c r="S42" s="39">
        <f>'Type A - 10MWp'!S$67*'Type A - 10MWp'!$B$16+'Type B - 5MWp'!S$67*'Type B - 5MWp'!$B$16+'Type C - 3MWp'!S$67*'Type C - 3MWp'!$B$16</f>
        <v>10323432.38</v>
      </c>
      <c r="T42" s="39">
        <f>'Type A - 10MWp'!T$67*'Type A - 10MWp'!$B$16+'Type B - 5MWp'!T$67*'Type B - 5MWp'!$B$16+'Type C - 3MWp'!T$67*'Type C - 3MWp'!$B$16</f>
        <v>10190241.57</v>
      </c>
      <c r="U42" s="39">
        <f>'Type A - 10MWp'!U$67*'Type A - 10MWp'!$B$16+'Type B - 5MWp'!U$67*'Type B - 5MWp'!$B$16+'Type C - 3MWp'!U$67*'Type C - 3MWp'!$B$16</f>
        <v>10057774.22</v>
      </c>
      <c r="V42" s="39">
        <f>'Type A - 10MWp'!V$67*'Type A - 10MWp'!$B$16+'Type B - 5MWp'!V$67*'Type B - 5MWp'!$B$16+'Type C - 3MWp'!V$67*'Type C - 3MWp'!$B$16</f>
        <v>9926040.043</v>
      </c>
    </row>
    <row r="43" ht="15.75" customHeight="1">
      <c r="A43" s="38" t="s">
        <v>193</v>
      </c>
      <c r="B43" s="39">
        <f>-('Type A - 10MWp'!$B$12*'Type A - 10MWp'!$B$16+'Type B - 5MWp'!$B$12*'Type B - 5MWp'!$B$16+'Type C - 3MWp'!$B$12*'Type C - 3MWp'!$B$16)</f>
        <v>-50074389</v>
      </c>
      <c r="C43" s="39">
        <f>'Type A - 10MWp'!C$88*'Type A - 10MWp'!$B$16+'Type B - 5MWp'!C$88*'Type B - 5MWp'!$B$16+'Type C - 3MWp'!C$88*'Type C - 3MWp'!$B$16</f>
        <v>12365042.83</v>
      </c>
      <c r="D43" s="39">
        <f>'Type A - 10MWp'!D$88*'Type A - 10MWp'!$B$16+'Type B - 5MWp'!D$88*'Type B - 5MWp'!$B$16+'Type C - 3MWp'!D$88*'Type C - 3MWp'!$B$16</f>
        <v>12201115.09</v>
      </c>
      <c r="E43" s="39">
        <f>'Type A - 10MWp'!E$88*'Type A - 10MWp'!$B$16+'Type B - 5MWp'!E$88*'Type B - 5MWp'!$B$16+'Type C - 3MWp'!E$88*'Type C - 3MWp'!$B$16</f>
        <v>12037497.59</v>
      </c>
      <c r="F43" s="39">
        <f>'Type A - 10MWp'!F$88*'Type A - 10MWp'!$B$16+'Type B - 5MWp'!F$88*'Type B - 5MWp'!$B$16+'Type C - 3MWp'!F$88*'Type C - 3MWp'!$B$16</f>
        <v>11874181.88</v>
      </c>
      <c r="G43" s="39">
        <f>'Type A - 10MWp'!G$88*'Type A - 10MWp'!$B$16+'Type B - 5MWp'!G$88*'Type B - 5MWp'!$B$16+'Type C - 3MWp'!G$88*'Type C - 3MWp'!$B$16</f>
        <v>11711158.82</v>
      </c>
      <c r="H43" s="39">
        <f>'Type A - 10MWp'!H$88*'Type A - 10MWp'!$B$16+'Type B - 5MWp'!H$88*'Type B - 5MWp'!$B$16+'Type C - 3MWp'!H$88*'Type C - 3MWp'!$B$16</f>
        <v>11171000.85</v>
      </c>
      <c r="I43" s="39">
        <f>'Type A - 10MWp'!I$88*'Type A - 10MWp'!$B$16+'Type B - 5MWp'!I$88*'Type B - 5MWp'!$B$16+'Type C - 3MWp'!I$88*'Type C - 3MWp'!$B$16</f>
        <v>11004758.61</v>
      </c>
      <c r="J43" s="39">
        <f>'Type A - 10MWp'!J$88*'Type A - 10MWp'!$B$16+'Type B - 5MWp'!J$88*'Type B - 5MWp'!$B$16+'Type C - 3MWp'!J$88*'Type C - 3MWp'!$B$16</f>
        <v>10838739.39</v>
      </c>
      <c r="K43" s="39">
        <f>'Type A - 10MWp'!K$88*'Type A - 10MWp'!$B$16+'Type B - 5MWp'!K$88*'Type B - 5MWp'!$B$16+'Type C - 3MWp'!K$88*'Type C - 3MWp'!$B$16</f>
        <v>10672930.54</v>
      </c>
      <c r="L43" s="39">
        <f>'Type A - 10MWp'!L$88*'Type A - 10MWp'!$B$16+'Type B - 5MWp'!L$88*'Type B - 5MWp'!$B$16+'Type C - 3MWp'!L$88*'Type C - 3MWp'!$B$16</f>
        <v>10507318.51</v>
      </c>
      <c r="M43" s="39">
        <f>'Type A - 10MWp'!M$88*'Type A - 10MWp'!$B$16+'Type B - 5MWp'!M$88*'Type B - 5MWp'!$B$16+'Type C - 3MWp'!M$88*'Type C - 3MWp'!$B$16</f>
        <v>10275777.16</v>
      </c>
      <c r="N43" s="39">
        <f>'Type A - 10MWp'!N$88*'Type A - 10MWp'!$B$16+'Type B - 5MWp'!N$88*'Type B - 5MWp'!$B$16+'Type C - 3MWp'!N$88*'Type C - 3MWp'!$B$16</f>
        <v>10109853.12</v>
      </c>
      <c r="O43" s="39">
        <f>'Type A - 10MWp'!O$88*'Type A - 10MWp'!$B$16+'Type B - 5MWp'!O$88*'Type B - 5MWp'!$B$16+'Type C - 3MWp'!O$88*'Type C - 3MWp'!$B$16</f>
        <v>9944072.68</v>
      </c>
      <c r="P43" s="39">
        <f>'Type A - 10MWp'!P$88*'Type A - 10MWp'!$B$16+'Type B - 5MWp'!P$88*'Type B - 5MWp'!$B$16+'Type C - 3MWp'!P$88*'Type C - 3MWp'!$B$16</f>
        <v>9778418.073</v>
      </c>
      <c r="Q43" s="39">
        <f>'Type A - 10MWp'!Q$88*'Type A - 10MWp'!$B$16+'Type B - 5MWp'!Q$88*'Type B - 5MWp'!$B$16+'Type C - 3MWp'!Q$88*'Type C - 3MWp'!$B$16</f>
        <v>9612870.351</v>
      </c>
      <c r="R43" s="39">
        <f>'Type A - 10MWp'!R$88*'Type A - 10MWp'!$B$16+'Type B - 5MWp'!R$88*'Type B - 5MWp'!$B$16+'Type C - 3MWp'!R$88*'Type C - 3MWp'!$B$16</f>
        <v>11541612.27</v>
      </c>
      <c r="S43" s="39">
        <f>'Type A - 10MWp'!S$88*'Type A - 10MWp'!$B$16+'Type B - 5MWp'!S$88*'Type B - 5MWp'!$B$16+'Type C - 3MWp'!S$88*'Type C - 3MWp'!$B$16</f>
        <v>11389001.18</v>
      </c>
      <c r="T43" s="39">
        <f>'Type A - 10MWp'!T$88*'Type A - 10MWp'!$B$16+'Type B - 5MWp'!T$88*'Type B - 5MWp'!$B$16+'Type C - 3MWp'!T$88*'Type C - 3MWp'!$B$16</f>
        <v>11237104.02</v>
      </c>
      <c r="U43" s="39">
        <f>'Type A - 10MWp'!U$88*'Type A - 10MWp'!$B$16+'Type B - 5MWp'!U$88*'Type B - 5MWp'!$B$16+'Type C - 3MWp'!U$88*'Type C - 3MWp'!$B$16</f>
        <v>11085930.33</v>
      </c>
      <c r="V43" s="39">
        <f>'Type A - 10MWp'!V$88*'Type A - 10MWp'!$B$16+'Type B - 5MWp'!V$88*'Type B - 5MWp'!$B$16+'Type C - 3MWp'!V$88*'Type C - 3MWp'!$B$16</f>
        <v>10935489.81</v>
      </c>
    </row>
    <row r="44" ht="15.75" customHeight="1"/>
    <row r="45" ht="15.75" customHeight="1">
      <c r="A45" s="4" t="s">
        <v>194</v>
      </c>
      <c r="B45" s="5"/>
      <c r="C45" s="5"/>
      <c r="D45" s="5"/>
      <c r="E45" s="5"/>
      <c r="F45" s="5"/>
      <c r="G45" s="5"/>
    </row>
    <row r="46" ht="15.75" customHeight="1">
      <c r="A46" s="11" t="s">
        <v>16</v>
      </c>
      <c r="B46" s="11" t="s">
        <v>17</v>
      </c>
      <c r="C46" s="11" t="s">
        <v>18</v>
      </c>
      <c r="D46" s="11" t="s">
        <v>195</v>
      </c>
      <c r="E46" s="11" t="s">
        <v>196</v>
      </c>
      <c r="F46" s="11" t="s">
        <v>197</v>
      </c>
    </row>
    <row r="47" ht="15.75" customHeight="1">
      <c r="A47" s="6" t="s">
        <v>24</v>
      </c>
      <c r="B47" s="12" t="s">
        <v>25</v>
      </c>
      <c r="C47" s="13">
        <f>'Type A - 10MWp'!$B$16</f>
        <v>3</v>
      </c>
      <c r="D47" s="10">
        <f>'Type A - 10MWp'!$B$94</f>
        <v>0.1601030308</v>
      </c>
      <c r="E47" s="10">
        <f>'Type A - 10MWp'!$C$94</f>
        <v>0.2073803074</v>
      </c>
      <c r="F47" s="10">
        <f>'Type A - 10MWp'!$D$94</f>
        <v>0.2363332188</v>
      </c>
    </row>
    <row r="48" ht="15.75" customHeight="1">
      <c r="A48" s="6" t="s">
        <v>26</v>
      </c>
      <c r="B48" s="12" t="s">
        <v>27</v>
      </c>
      <c r="C48" s="13">
        <f>'Type B - 5MWp'!$B$16</f>
        <v>3</v>
      </c>
      <c r="D48" s="10">
        <f>'Type B - 5MWp'!$B$94</f>
        <v>0.1522128902</v>
      </c>
      <c r="E48" s="10">
        <f>'Type B - 5MWp'!$C$94</f>
        <v>0.1981756564</v>
      </c>
      <c r="F48" s="10">
        <f>'Type B - 5MWp'!$D$94</f>
        <v>0.2262751328</v>
      </c>
    </row>
    <row r="49" ht="15.75" customHeight="1">
      <c r="A49" s="6" t="s">
        <v>28</v>
      </c>
      <c r="B49" s="12" t="s">
        <v>29</v>
      </c>
      <c r="C49" s="13">
        <f>'Type C - 3MWp'!$B$16</f>
        <v>4</v>
      </c>
      <c r="D49" s="10">
        <f>'Type C - 3MWp'!$B$94</f>
        <v>0.1390503048</v>
      </c>
      <c r="E49" s="10">
        <f>'Type C - 3MWp'!$C$94</f>
        <v>0.1843784134</v>
      </c>
      <c r="F49" s="10">
        <f>'Type C - 3MWp'!$D$94</f>
        <v>0.2120246465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18" width="14.0"/>
    <col customWidth="1" min="19" max="26" width="8.71"/>
  </cols>
  <sheetData>
    <row r="1">
      <c r="A1" s="19" t="s">
        <v>198</v>
      </c>
    </row>
    <row r="2">
      <c r="A2" s="20" t="s">
        <v>199</v>
      </c>
    </row>
    <row r="4">
      <c r="A4" s="4" t="s">
        <v>200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>
      <c r="A5" s="9" t="s">
        <v>201</v>
      </c>
      <c r="B5" s="14">
        <f>'Type A - 10MWp'!$B$10</f>
        <v>3740967</v>
      </c>
      <c r="C5" s="9" t="s">
        <v>202</v>
      </c>
      <c r="D5" s="30">
        <f>Assumptions!$B$38</f>
        <v>0.05</v>
      </c>
      <c r="E5" s="9" t="s">
        <v>203</v>
      </c>
      <c r="F5" s="13">
        <f>Assumptions!$B$39</f>
        <v>15</v>
      </c>
      <c r="G5" s="9" t="s">
        <v>204</v>
      </c>
      <c r="H5" s="14">
        <f>'Type A - 10MWp'!$B$14</f>
        <v>360413.3187</v>
      </c>
    </row>
    <row r="6">
      <c r="A6" s="11" t="s">
        <v>180</v>
      </c>
      <c r="B6" s="11">
        <v>2026.0</v>
      </c>
      <c r="C6" s="11">
        <v>2027.0</v>
      </c>
      <c r="D6" s="11">
        <v>2028.0</v>
      </c>
      <c r="E6" s="11">
        <v>2029.0</v>
      </c>
      <c r="F6" s="11">
        <v>2030.0</v>
      </c>
      <c r="G6" s="11">
        <v>2031.0</v>
      </c>
      <c r="H6" s="11">
        <v>2032.0</v>
      </c>
      <c r="I6" s="11">
        <v>2033.0</v>
      </c>
      <c r="J6" s="11">
        <v>2034.0</v>
      </c>
      <c r="K6" s="11">
        <v>2035.0</v>
      </c>
      <c r="L6" s="11">
        <v>2036.0</v>
      </c>
      <c r="M6" s="11">
        <v>2037.0</v>
      </c>
      <c r="N6" s="11">
        <v>2038.0</v>
      </c>
      <c r="O6" s="11">
        <v>2039.0</v>
      </c>
      <c r="P6" s="11">
        <v>2040.0</v>
      </c>
      <c r="Q6" s="11" t="s">
        <v>205</v>
      </c>
    </row>
    <row r="7">
      <c r="A7" s="6" t="s">
        <v>206</v>
      </c>
      <c r="B7" s="14">
        <f>'Type A - 10MWp'!$B$10</f>
        <v>3740967</v>
      </c>
      <c r="C7" s="14">
        <f t="shared" ref="C7:P7" si="1">B$11</f>
        <v>3567602.031</v>
      </c>
      <c r="D7" s="14">
        <f t="shared" si="1"/>
        <v>3385568.814</v>
      </c>
      <c r="E7" s="14">
        <f t="shared" si="1"/>
        <v>3194433.936</v>
      </c>
      <c r="F7" s="14">
        <f t="shared" si="1"/>
        <v>2993742.314</v>
      </c>
      <c r="G7" s="14">
        <f t="shared" si="1"/>
        <v>2783016.112</v>
      </c>
      <c r="H7" s="14">
        <f t="shared" si="1"/>
        <v>2561753.598</v>
      </c>
      <c r="I7" s="14">
        <f t="shared" si="1"/>
        <v>2329427.96</v>
      </c>
      <c r="J7" s="14">
        <f t="shared" si="1"/>
        <v>2085486.039</v>
      </c>
      <c r="K7" s="14">
        <f t="shared" si="1"/>
        <v>1829347.022</v>
      </c>
      <c r="L7" s="14">
        <f t="shared" si="1"/>
        <v>1560401.055</v>
      </c>
      <c r="M7" s="14">
        <f t="shared" si="1"/>
        <v>1278007.789</v>
      </c>
      <c r="N7" s="14">
        <f t="shared" si="1"/>
        <v>981494.8598</v>
      </c>
      <c r="O7" s="14">
        <f t="shared" si="1"/>
        <v>670156.2841</v>
      </c>
      <c r="P7" s="14">
        <f t="shared" si="1"/>
        <v>343250.7797</v>
      </c>
    </row>
    <row r="8">
      <c r="A8" s="6" t="s">
        <v>207</v>
      </c>
      <c r="B8" s="14">
        <f>B$7*Assumptions!$B$38</f>
        <v>187048.35</v>
      </c>
      <c r="C8" s="14">
        <f>C$7*Assumptions!$B$38</f>
        <v>178380.1016</v>
      </c>
      <c r="D8" s="14">
        <f>D$7*Assumptions!$B$38</f>
        <v>169278.4407</v>
      </c>
      <c r="E8" s="14">
        <f>E$7*Assumptions!$B$38</f>
        <v>159721.6968</v>
      </c>
      <c r="F8" s="14">
        <f>F$7*Assumptions!$B$38</f>
        <v>149687.1157</v>
      </c>
      <c r="G8" s="14">
        <f>G$7*Assumptions!$B$38</f>
        <v>139150.8056</v>
      </c>
      <c r="H8" s="14">
        <f>H$7*Assumptions!$B$38</f>
        <v>128087.6799</v>
      </c>
      <c r="I8" s="14">
        <f>I$7*Assumptions!$B$38</f>
        <v>116471.398</v>
      </c>
      <c r="J8" s="14">
        <f>J$7*Assumptions!$B$38</f>
        <v>104274.302</v>
      </c>
      <c r="K8" s="14">
        <f>K$7*Assumptions!$B$38</f>
        <v>91467.35112</v>
      </c>
      <c r="L8" s="14">
        <f>L$7*Assumptions!$B$38</f>
        <v>78020.05274</v>
      </c>
      <c r="M8" s="14">
        <f>M$7*Assumptions!$B$38</f>
        <v>63900.38945</v>
      </c>
      <c r="N8" s="14">
        <f>N$7*Assumptions!$B$38</f>
        <v>49074.74299</v>
      </c>
      <c r="O8" s="14">
        <f>O$7*Assumptions!$B$38</f>
        <v>33507.81421</v>
      </c>
      <c r="P8" s="14">
        <f>P$7*Assumptions!$B$38</f>
        <v>17162.53898</v>
      </c>
      <c r="Q8" s="14">
        <f>SUM(B$8:P$8)</f>
        <v>1665232.78</v>
      </c>
    </row>
    <row r="9">
      <c r="A9" s="9" t="s">
        <v>208</v>
      </c>
      <c r="B9" s="7">
        <f>'Type A - 10MWp'!$B$14</f>
        <v>360413.3187</v>
      </c>
      <c r="C9" s="7">
        <f>'Type A - 10MWp'!$B$14</f>
        <v>360413.3187</v>
      </c>
      <c r="D9" s="7">
        <f>'Type A - 10MWp'!$B$14</f>
        <v>360413.3187</v>
      </c>
      <c r="E9" s="7">
        <f>'Type A - 10MWp'!$B$14</f>
        <v>360413.3187</v>
      </c>
      <c r="F9" s="7">
        <f>'Type A - 10MWp'!$B$14</f>
        <v>360413.3187</v>
      </c>
      <c r="G9" s="7">
        <f>'Type A - 10MWp'!$B$14</f>
        <v>360413.3187</v>
      </c>
      <c r="H9" s="7">
        <f>'Type A - 10MWp'!$B$14</f>
        <v>360413.3187</v>
      </c>
      <c r="I9" s="7">
        <f>'Type A - 10MWp'!$B$14</f>
        <v>360413.3187</v>
      </c>
      <c r="J9" s="7">
        <f>'Type A - 10MWp'!$B$14</f>
        <v>360413.3187</v>
      </c>
      <c r="K9" s="7">
        <f>'Type A - 10MWp'!$B$14</f>
        <v>360413.3187</v>
      </c>
      <c r="L9" s="7">
        <f>'Type A - 10MWp'!$B$14</f>
        <v>360413.3187</v>
      </c>
      <c r="M9" s="7">
        <f>'Type A - 10MWp'!$B$14</f>
        <v>360413.3187</v>
      </c>
      <c r="N9" s="7">
        <f>'Type A - 10MWp'!$B$14</f>
        <v>360413.3187</v>
      </c>
      <c r="O9" s="7">
        <f>'Type A - 10MWp'!$B$14</f>
        <v>360413.3187</v>
      </c>
      <c r="P9" s="7">
        <f>'Type A - 10MWp'!$B$14</f>
        <v>360413.3187</v>
      </c>
      <c r="Q9" s="14">
        <f>SUM(B$9:P$9)</f>
        <v>5406199.78</v>
      </c>
    </row>
    <row r="10">
      <c r="A10" s="6" t="s">
        <v>209</v>
      </c>
      <c r="B10" s="14">
        <f t="shared" ref="B10:P10" si="2">B$9-B$8</f>
        <v>173364.9687</v>
      </c>
      <c r="C10" s="14">
        <f t="shared" si="2"/>
        <v>182033.2171</v>
      </c>
      <c r="D10" s="14">
        <f t="shared" si="2"/>
        <v>191134.8779</v>
      </c>
      <c r="E10" s="14">
        <f t="shared" si="2"/>
        <v>200691.6218</v>
      </c>
      <c r="F10" s="14">
        <f t="shared" si="2"/>
        <v>210726.2029</v>
      </c>
      <c r="G10" s="14">
        <f t="shared" si="2"/>
        <v>221262.5131</v>
      </c>
      <c r="H10" s="14">
        <f t="shared" si="2"/>
        <v>232325.6387</v>
      </c>
      <c r="I10" s="14">
        <f t="shared" si="2"/>
        <v>243941.9207</v>
      </c>
      <c r="J10" s="14">
        <f t="shared" si="2"/>
        <v>256139.0167</v>
      </c>
      <c r="K10" s="14">
        <f t="shared" si="2"/>
        <v>268945.9675</v>
      </c>
      <c r="L10" s="14">
        <f t="shared" si="2"/>
        <v>282393.2659</v>
      </c>
      <c r="M10" s="14">
        <f t="shared" si="2"/>
        <v>296512.9292</v>
      </c>
      <c r="N10" s="14">
        <f t="shared" si="2"/>
        <v>311338.5757</v>
      </c>
      <c r="O10" s="14">
        <f t="shared" si="2"/>
        <v>326905.5044</v>
      </c>
      <c r="P10" s="14">
        <f t="shared" si="2"/>
        <v>343250.7797</v>
      </c>
      <c r="Q10" s="14">
        <f>SUM(B$10:P$10)</f>
        <v>3740967</v>
      </c>
    </row>
    <row r="11">
      <c r="A11" s="6" t="s">
        <v>210</v>
      </c>
      <c r="B11" s="14">
        <f t="shared" ref="B11:P11" si="3">B$7-B$10</f>
        <v>3567602.031</v>
      </c>
      <c r="C11" s="14">
        <f t="shared" si="3"/>
        <v>3385568.814</v>
      </c>
      <c r="D11" s="14">
        <f t="shared" si="3"/>
        <v>3194433.936</v>
      </c>
      <c r="E11" s="14">
        <f t="shared" si="3"/>
        <v>2993742.314</v>
      </c>
      <c r="F11" s="14">
        <f t="shared" si="3"/>
        <v>2783016.112</v>
      </c>
      <c r="G11" s="14">
        <f t="shared" si="3"/>
        <v>2561753.598</v>
      </c>
      <c r="H11" s="14">
        <f t="shared" si="3"/>
        <v>2329427.96</v>
      </c>
      <c r="I11" s="14">
        <f t="shared" si="3"/>
        <v>2085486.039</v>
      </c>
      <c r="J11" s="14">
        <f t="shared" si="3"/>
        <v>1829347.022</v>
      </c>
      <c r="K11" s="14">
        <f t="shared" si="3"/>
        <v>1560401.055</v>
      </c>
      <c r="L11" s="14">
        <f t="shared" si="3"/>
        <v>1278007.789</v>
      </c>
      <c r="M11" s="14">
        <f t="shared" si="3"/>
        <v>981494.8598</v>
      </c>
      <c r="N11" s="14">
        <f t="shared" si="3"/>
        <v>670156.2841</v>
      </c>
      <c r="O11" s="14">
        <f t="shared" si="3"/>
        <v>343250.7797</v>
      </c>
      <c r="P11" s="14">
        <f t="shared" si="3"/>
        <v>0.000000005646143109</v>
      </c>
    </row>
    <row r="14">
      <c r="A14" s="4" t="s">
        <v>211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>
      <c r="A15" s="9" t="s">
        <v>201</v>
      </c>
      <c r="B15" s="14">
        <f>'Type B - 5MWp'!$B$10</f>
        <v>1919179</v>
      </c>
      <c r="C15" s="9" t="s">
        <v>202</v>
      </c>
      <c r="D15" s="30">
        <f>Assumptions!$B$38</f>
        <v>0.05</v>
      </c>
      <c r="E15" s="9" t="s">
        <v>203</v>
      </c>
      <c r="F15" s="13">
        <f>Assumptions!$B$39</f>
        <v>15</v>
      </c>
      <c r="G15" s="9" t="s">
        <v>204</v>
      </c>
      <c r="H15" s="14">
        <f>'Type B - 5MWp'!$B$14</f>
        <v>184898.0952</v>
      </c>
    </row>
    <row r="16">
      <c r="A16" s="11" t="s">
        <v>180</v>
      </c>
      <c r="B16" s="11">
        <v>2026.0</v>
      </c>
      <c r="C16" s="11">
        <v>2027.0</v>
      </c>
      <c r="D16" s="11">
        <v>2028.0</v>
      </c>
      <c r="E16" s="11">
        <v>2029.0</v>
      </c>
      <c r="F16" s="11">
        <v>2030.0</v>
      </c>
      <c r="G16" s="11">
        <v>2031.0</v>
      </c>
      <c r="H16" s="11">
        <v>2032.0</v>
      </c>
      <c r="I16" s="11">
        <v>2033.0</v>
      </c>
      <c r="J16" s="11">
        <v>2034.0</v>
      </c>
      <c r="K16" s="11">
        <v>2035.0</v>
      </c>
      <c r="L16" s="11">
        <v>2036.0</v>
      </c>
      <c r="M16" s="11">
        <v>2037.0</v>
      </c>
      <c r="N16" s="11">
        <v>2038.0</v>
      </c>
      <c r="O16" s="11">
        <v>2039.0</v>
      </c>
      <c r="P16" s="11">
        <v>2040.0</v>
      </c>
      <c r="Q16" s="11" t="s">
        <v>205</v>
      </c>
    </row>
    <row r="17">
      <c r="A17" s="6" t="s">
        <v>206</v>
      </c>
      <c r="B17" s="14">
        <f>'Type B - 5MWp'!$B$10</f>
        <v>1919179</v>
      </c>
      <c r="C17" s="14">
        <f t="shared" ref="C17:P17" si="4">B$21</f>
        <v>1830239.855</v>
      </c>
      <c r="D17" s="14">
        <f t="shared" si="4"/>
        <v>1736853.752</v>
      </c>
      <c r="E17" s="14">
        <f t="shared" si="4"/>
        <v>1638798.345</v>
      </c>
      <c r="F17" s="14">
        <f t="shared" si="4"/>
        <v>1535840.167</v>
      </c>
      <c r="G17" s="14">
        <f t="shared" si="4"/>
        <v>1427734.08</v>
      </c>
      <c r="H17" s="14">
        <f t="shared" si="4"/>
        <v>1314222.689</v>
      </c>
      <c r="I17" s="14">
        <f t="shared" si="4"/>
        <v>1195035.728</v>
      </c>
      <c r="J17" s="14">
        <f t="shared" si="4"/>
        <v>1069889.419</v>
      </c>
      <c r="K17" s="14">
        <f t="shared" si="4"/>
        <v>938485.795</v>
      </c>
      <c r="L17" s="14">
        <f t="shared" si="4"/>
        <v>800511.9896</v>
      </c>
      <c r="M17" s="14">
        <f t="shared" si="4"/>
        <v>655639.4939</v>
      </c>
      <c r="N17" s="14">
        <f t="shared" si="4"/>
        <v>503523.3734</v>
      </c>
      <c r="O17" s="14">
        <f t="shared" si="4"/>
        <v>343801.4468</v>
      </c>
      <c r="P17" s="14">
        <f t="shared" si="4"/>
        <v>176093.424</v>
      </c>
    </row>
    <row r="18">
      <c r="A18" s="6" t="s">
        <v>207</v>
      </c>
      <c r="B18" s="14">
        <f>B$17*Assumptions!$B$38</f>
        <v>95958.95</v>
      </c>
      <c r="C18" s="14">
        <f>C$17*Assumptions!$B$38</f>
        <v>91511.99274</v>
      </c>
      <c r="D18" s="14">
        <f>D$17*Assumptions!$B$38</f>
        <v>86842.68762</v>
      </c>
      <c r="E18" s="14">
        <f>E$17*Assumptions!$B$38</f>
        <v>81939.91724</v>
      </c>
      <c r="F18" s="14">
        <f>F$17*Assumptions!$B$38</f>
        <v>76792.00834</v>
      </c>
      <c r="G18" s="14">
        <f>G$17*Assumptions!$B$38</f>
        <v>71386.704</v>
      </c>
      <c r="H18" s="14">
        <f>H$17*Assumptions!$B$38</f>
        <v>65711.13444</v>
      </c>
      <c r="I18" s="14">
        <f>I$17*Assumptions!$B$38</f>
        <v>59751.7864</v>
      </c>
      <c r="J18" s="14">
        <f>J$17*Assumptions!$B$38</f>
        <v>53494.47096</v>
      </c>
      <c r="K18" s="14">
        <f>K$17*Assumptions!$B$38</f>
        <v>46924.28975</v>
      </c>
      <c r="L18" s="14">
        <f>L$17*Assumptions!$B$38</f>
        <v>40025.59948</v>
      </c>
      <c r="M18" s="14">
        <f>M$17*Assumptions!$B$38</f>
        <v>32781.97469</v>
      </c>
      <c r="N18" s="14">
        <f>N$17*Assumptions!$B$38</f>
        <v>25176.16867</v>
      </c>
      <c r="O18" s="14">
        <f>O$17*Assumptions!$B$38</f>
        <v>17190.07234</v>
      </c>
      <c r="P18" s="14">
        <f>P$17*Assumptions!$B$38</f>
        <v>8804.6712</v>
      </c>
      <c r="Q18" s="14">
        <f>SUM(B$18:P$18)</f>
        <v>854292.4279</v>
      </c>
    </row>
    <row r="19">
      <c r="A19" s="9" t="s">
        <v>208</v>
      </c>
      <c r="B19" s="7">
        <f>'Type B - 5MWp'!$B$14</f>
        <v>184898.0952</v>
      </c>
      <c r="C19" s="7">
        <f>'Type B - 5MWp'!$B$14</f>
        <v>184898.0952</v>
      </c>
      <c r="D19" s="7">
        <f>'Type B - 5MWp'!$B$14</f>
        <v>184898.0952</v>
      </c>
      <c r="E19" s="7">
        <f>'Type B - 5MWp'!$B$14</f>
        <v>184898.0952</v>
      </c>
      <c r="F19" s="7">
        <f>'Type B - 5MWp'!$B$14</f>
        <v>184898.0952</v>
      </c>
      <c r="G19" s="7">
        <f>'Type B - 5MWp'!$B$14</f>
        <v>184898.0952</v>
      </c>
      <c r="H19" s="7">
        <f>'Type B - 5MWp'!$B$14</f>
        <v>184898.0952</v>
      </c>
      <c r="I19" s="7">
        <f>'Type B - 5MWp'!$B$14</f>
        <v>184898.0952</v>
      </c>
      <c r="J19" s="7">
        <f>'Type B - 5MWp'!$B$14</f>
        <v>184898.0952</v>
      </c>
      <c r="K19" s="7">
        <f>'Type B - 5MWp'!$B$14</f>
        <v>184898.0952</v>
      </c>
      <c r="L19" s="7">
        <f>'Type B - 5MWp'!$B$14</f>
        <v>184898.0952</v>
      </c>
      <c r="M19" s="7">
        <f>'Type B - 5MWp'!$B$14</f>
        <v>184898.0952</v>
      </c>
      <c r="N19" s="7">
        <f>'Type B - 5MWp'!$B$14</f>
        <v>184898.0952</v>
      </c>
      <c r="O19" s="7">
        <f>'Type B - 5MWp'!$B$14</f>
        <v>184898.0952</v>
      </c>
      <c r="P19" s="7">
        <f>'Type B - 5MWp'!$B$14</f>
        <v>184898.0952</v>
      </c>
      <c r="Q19" s="14">
        <f>SUM(B$19:P$19)</f>
        <v>2773471.428</v>
      </c>
    </row>
    <row r="20">
      <c r="A20" s="6" t="s">
        <v>209</v>
      </c>
      <c r="B20" s="14">
        <f t="shared" ref="B20:P20" si="5">B$19-B$18</f>
        <v>88939.14519</v>
      </c>
      <c r="C20" s="14">
        <f t="shared" si="5"/>
        <v>93386.10245</v>
      </c>
      <c r="D20" s="14">
        <f t="shared" si="5"/>
        <v>98055.40757</v>
      </c>
      <c r="E20" s="14">
        <f t="shared" si="5"/>
        <v>102958.178</v>
      </c>
      <c r="F20" s="14">
        <f t="shared" si="5"/>
        <v>108106.0869</v>
      </c>
      <c r="G20" s="14">
        <f t="shared" si="5"/>
        <v>113511.3912</v>
      </c>
      <c r="H20" s="14">
        <f t="shared" si="5"/>
        <v>119186.9608</v>
      </c>
      <c r="I20" s="14">
        <f t="shared" si="5"/>
        <v>125146.3088</v>
      </c>
      <c r="J20" s="14">
        <f t="shared" si="5"/>
        <v>131403.6242</v>
      </c>
      <c r="K20" s="14">
        <f t="shared" si="5"/>
        <v>137973.8054</v>
      </c>
      <c r="L20" s="14">
        <f t="shared" si="5"/>
        <v>144872.4957</v>
      </c>
      <c r="M20" s="14">
        <f t="shared" si="5"/>
        <v>152116.1205</v>
      </c>
      <c r="N20" s="14">
        <f t="shared" si="5"/>
        <v>159721.9265</v>
      </c>
      <c r="O20" s="14">
        <f t="shared" si="5"/>
        <v>167708.0228</v>
      </c>
      <c r="P20" s="14">
        <f t="shared" si="5"/>
        <v>176093.424</v>
      </c>
      <c r="Q20" s="14">
        <f>SUM(B$20:P$20)</f>
        <v>1919179</v>
      </c>
    </row>
    <row r="21" ht="15.75" customHeight="1">
      <c r="A21" s="6" t="s">
        <v>210</v>
      </c>
      <c r="B21" s="14">
        <f t="shared" ref="B21:P21" si="6">B$17-B$20</f>
        <v>1830239.855</v>
      </c>
      <c r="C21" s="14">
        <f t="shared" si="6"/>
        <v>1736853.752</v>
      </c>
      <c r="D21" s="14">
        <f t="shared" si="6"/>
        <v>1638798.345</v>
      </c>
      <c r="E21" s="14">
        <f t="shared" si="6"/>
        <v>1535840.167</v>
      </c>
      <c r="F21" s="14">
        <f t="shared" si="6"/>
        <v>1427734.08</v>
      </c>
      <c r="G21" s="14">
        <f t="shared" si="6"/>
        <v>1314222.689</v>
      </c>
      <c r="H21" s="14">
        <f t="shared" si="6"/>
        <v>1195035.728</v>
      </c>
      <c r="I21" s="14">
        <f t="shared" si="6"/>
        <v>1069889.419</v>
      </c>
      <c r="J21" s="14">
        <f t="shared" si="6"/>
        <v>938485.795</v>
      </c>
      <c r="K21" s="14">
        <f t="shared" si="6"/>
        <v>800511.9896</v>
      </c>
      <c r="L21" s="14">
        <f t="shared" si="6"/>
        <v>655639.4939</v>
      </c>
      <c r="M21" s="14">
        <f t="shared" si="6"/>
        <v>503523.3734</v>
      </c>
      <c r="N21" s="14">
        <f t="shared" si="6"/>
        <v>343801.4468</v>
      </c>
      <c r="O21" s="14">
        <f t="shared" si="6"/>
        <v>176093.424</v>
      </c>
      <c r="P21" s="14">
        <f t="shared" si="6"/>
        <v>0.000000002735760063</v>
      </c>
    </row>
    <row r="22" ht="15.75" customHeight="1"/>
    <row r="23" ht="15.75" customHeight="1"/>
    <row r="24" ht="15.75" customHeight="1">
      <c r="A24" s="4" t="s">
        <v>212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ht="15.75" customHeight="1">
      <c r="A25" s="9" t="s">
        <v>201</v>
      </c>
      <c r="B25" s="14">
        <f>'Type C - 3MWp'!$B$10</f>
        <v>1399524</v>
      </c>
      <c r="C25" s="9" t="s">
        <v>202</v>
      </c>
      <c r="D25" s="30">
        <f>Assumptions!$B$38</f>
        <v>0.05</v>
      </c>
      <c r="E25" s="9" t="s">
        <v>203</v>
      </c>
      <c r="F25" s="13">
        <f>Assumptions!$B$39</f>
        <v>15</v>
      </c>
      <c r="G25" s="9" t="s">
        <v>204</v>
      </c>
      <c r="H25" s="14">
        <f>'Type C - 3MWp'!$B$14</f>
        <v>134833.3437</v>
      </c>
    </row>
    <row r="26" ht="15.75" customHeight="1">
      <c r="A26" s="11" t="s">
        <v>180</v>
      </c>
      <c r="B26" s="11">
        <v>2026.0</v>
      </c>
      <c r="C26" s="11">
        <v>2027.0</v>
      </c>
      <c r="D26" s="11">
        <v>2028.0</v>
      </c>
      <c r="E26" s="11">
        <v>2029.0</v>
      </c>
      <c r="F26" s="11">
        <v>2030.0</v>
      </c>
      <c r="G26" s="11">
        <v>2031.0</v>
      </c>
      <c r="H26" s="11">
        <v>2032.0</v>
      </c>
      <c r="I26" s="11">
        <v>2033.0</v>
      </c>
      <c r="J26" s="11">
        <v>2034.0</v>
      </c>
      <c r="K26" s="11">
        <v>2035.0</v>
      </c>
      <c r="L26" s="11">
        <v>2036.0</v>
      </c>
      <c r="M26" s="11">
        <v>2037.0</v>
      </c>
      <c r="N26" s="11">
        <v>2038.0</v>
      </c>
      <c r="O26" s="11">
        <v>2039.0</v>
      </c>
      <c r="P26" s="11">
        <v>2040.0</v>
      </c>
      <c r="Q26" s="11" t="s">
        <v>205</v>
      </c>
    </row>
    <row r="27" ht="15.75" customHeight="1">
      <c r="A27" s="6" t="s">
        <v>206</v>
      </c>
      <c r="B27" s="14">
        <f>'Type C - 3MWp'!$B$10</f>
        <v>1399524</v>
      </c>
      <c r="C27" s="14">
        <f t="shared" ref="C27:P27" si="7">B$31</f>
        <v>1334666.856</v>
      </c>
      <c r="D27" s="14">
        <f t="shared" si="7"/>
        <v>1266566.855</v>
      </c>
      <c r="E27" s="14">
        <f t="shared" si="7"/>
        <v>1195061.854</v>
      </c>
      <c r="F27" s="14">
        <f t="shared" si="7"/>
        <v>1119981.603</v>
      </c>
      <c r="G27" s="14">
        <f t="shared" si="7"/>
        <v>1041147.34</v>
      </c>
      <c r="H27" s="14">
        <f t="shared" si="7"/>
        <v>958371.3631</v>
      </c>
      <c r="I27" s="14">
        <f t="shared" si="7"/>
        <v>871456.5876</v>
      </c>
      <c r="J27" s="14">
        <f t="shared" si="7"/>
        <v>780196.0732</v>
      </c>
      <c r="K27" s="14">
        <f t="shared" si="7"/>
        <v>684372.5331</v>
      </c>
      <c r="L27" s="14">
        <f t="shared" si="7"/>
        <v>583757.8161</v>
      </c>
      <c r="M27" s="14">
        <f t="shared" si="7"/>
        <v>478112.3632</v>
      </c>
      <c r="N27" s="14">
        <f t="shared" si="7"/>
        <v>367184.6376</v>
      </c>
      <c r="O27" s="14">
        <f t="shared" si="7"/>
        <v>250710.5257</v>
      </c>
      <c r="P27" s="14">
        <f t="shared" si="7"/>
        <v>128412.7083</v>
      </c>
    </row>
    <row r="28" ht="15.75" customHeight="1">
      <c r="A28" s="6" t="s">
        <v>207</v>
      </c>
      <c r="B28" s="14">
        <f>B$27*Assumptions!$B$38</f>
        <v>69976.2</v>
      </c>
      <c r="C28" s="14">
        <f>C$27*Assumptions!$B$38</f>
        <v>66733.34281</v>
      </c>
      <c r="D28" s="14">
        <f>D$27*Assumptions!$B$38</f>
        <v>63328.34277</v>
      </c>
      <c r="E28" s="14">
        <f>E$27*Assumptions!$B$38</f>
        <v>59753.09272</v>
      </c>
      <c r="F28" s="14">
        <f>F$27*Assumptions!$B$38</f>
        <v>55999.08017</v>
      </c>
      <c r="G28" s="14">
        <f>G$27*Assumptions!$B$38</f>
        <v>52057.36699</v>
      </c>
      <c r="H28" s="14">
        <f>H$27*Assumptions!$B$38</f>
        <v>47918.56816</v>
      </c>
      <c r="I28" s="14">
        <f>I$27*Assumptions!$B$38</f>
        <v>43572.82938</v>
      </c>
      <c r="J28" s="14">
        <f>J$27*Assumptions!$B$38</f>
        <v>39009.80366</v>
      </c>
      <c r="K28" s="14">
        <f>K$27*Assumptions!$B$38</f>
        <v>34218.62666</v>
      </c>
      <c r="L28" s="14">
        <f>L$27*Assumptions!$B$38</f>
        <v>29187.8908</v>
      </c>
      <c r="M28" s="14">
        <f>M$27*Assumptions!$B$38</f>
        <v>23905.61816</v>
      </c>
      <c r="N28" s="14">
        <f>N$27*Assumptions!$B$38</f>
        <v>18359.23188</v>
      </c>
      <c r="O28" s="14">
        <f>O$27*Assumptions!$B$38</f>
        <v>12535.52629</v>
      </c>
      <c r="P28" s="14">
        <f>P$27*Assumptions!$B$38</f>
        <v>6420.635415</v>
      </c>
      <c r="Q28" s="14">
        <f>SUM(B$28:P$28)</f>
        <v>622976.1559</v>
      </c>
    </row>
    <row r="29" ht="15.75" customHeight="1">
      <c r="A29" s="9" t="s">
        <v>208</v>
      </c>
      <c r="B29" s="7">
        <f>'Type C - 3MWp'!$B$14</f>
        <v>134833.3437</v>
      </c>
      <c r="C29" s="7">
        <f>'Type C - 3MWp'!$B$14</f>
        <v>134833.3437</v>
      </c>
      <c r="D29" s="7">
        <f>'Type C - 3MWp'!$B$14</f>
        <v>134833.3437</v>
      </c>
      <c r="E29" s="7">
        <f>'Type C - 3MWp'!$B$14</f>
        <v>134833.3437</v>
      </c>
      <c r="F29" s="7">
        <f>'Type C - 3MWp'!$B$14</f>
        <v>134833.3437</v>
      </c>
      <c r="G29" s="7">
        <f>'Type C - 3MWp'!$B$14</f>
        <v>134833.3437</v>
      </c>
      <c r="H29" s="7">
        <f>'Type C - 3MWp'!$B$14</f>
        <v>134833.3437</v>
      </c>
      <c r="I29" s="7">
        <f>'Type C - 3MWp'!$B$14</f>
        <v>134833.3437</v>
      </c>
      <c r="J29" s="7">
        <f>'Type C - 3MWp'!$B$14</f>
        <v>134833.3437</v>
      </c>
      <c r="K29" s="7">
        <f>'Type C - 3MWp'!$B$14</f>
        <v>134833.3437</v>
      </c>
      <c r="L29" s="7">
        <f>'Type C - 3MWp'!$B$14</f>
        <v>134833.3437</v>
      </c>
      <c r="M29" s="7">
        <f>'Type C - 3MWp'!$B$14</f>
        <v>134833.3437</v>
      </c>
      <c r="N29" s="7">
        <f>'Type C - 3MWp'!$B$14</f>
        <v>134833.3437</v>
      </c>
      <c r="O29" s="7">
        <f>'Type C - 3MWp'!$B$14</f>
        <v>134833.3437</v>
      </c>
      <c r="P29" s="7">
        <f>'Type C - 3MWp'!$B$14</f>
        <v>134833.3437</v>
      </c>
      <c r="Q29" s="14">
        <f>SUM(B$29:P$29)</f>
        <v>2022500.156</v>
      </c>
    </row>
    <row r="30" ht="15.75" customHeight="1">
      <c r="A30" s="6" t="s">
        <v>209</v>
      </c>
      <c r="B30" s="14">
        <f t="shared" ref="B30:P30" si="8">B$29-B$28</f>
        <v>64857.14372</v>
      </c>
      <c r="C30" s="14">
        <f t="shared" si="8"/>
        <v>68100.00091</v>
      </c>
      <c r="D30" s="14">
        <f t="shared" si="8"/>
        <v>71505.00096</v>
      </c>
      <c r="E30" s="14">
        <f t="shared" si="8"/>
        <v>75080.251</v>
      </c>
      <c r="F30" s="14">
        <f t="shared" si="8"/>
        <v>78834.26355</v>
      </c>
      <c r="G30" s="14">
        <f t="shared" si="8"/>
        <v>82775.97673</v>
      </c>
      <c r="H30" s="14">
        <f t="shared" si="8"/>
        <v>86914.77557</v>
      </c>
      <c r="I30" s="14">
        <f t="shared" si="8"/>
        <v>91260.51435</v>
      </c>
      <c r="J30" s="14">
        <f t="shared" si="8"/>
        <v>95823.54006</v>
      </c>
      <c r="K30" s="14">
        <f t="shared" si="8"/>
        <v>100614.7171</v>
      </c>
      <c r="L30" s="14">
        <f t="shared" si="8"/>
        <v>105645.4529</v>
      </c>
      <c r="M30" s="14">
        <f t="shared" si="8"/>
        <v>110927.7256</v>
      </c>
      <c r="N30" s="14">
        <f t="shared" si="8"/>
        <v>116474.1118</v>
      </c>
      <c r="O30" s="14">
        <f t="shared" si="8"/>
        <v>122297.8174</v>
      </c>
      <c r="P30" s="14">
        <f t="shared" si="8"/>
        <v>128412.7083</v>
      </c>
      <c r="Q30" s="14">
        <f>SUM(B$30:P$30)</f>
        <v>1399524</v>
      </c>
    </row>
    <row r="31" ht="15.75" customHeight="1">
      <c r="A31" s="6" t="s">
        <v>210</v>
      </c>
      <c r="B31" s="14">
        <f t="shared" ref="B31:P31" si="9">B$27-B$30</f>
        <v>1334666.856</v>
      </c>
      <c r="C31" s="14">
        <f t="shared" si="9"/>
        <v>1266566.855</v>
      </c>
      <c r="D31" s="14">
        <f t="shared" si="9"/>
        <v>1195061.854</v>
      </c>
      <c r="E31" s="14">
        <f t="shared" si="9"/>
        <v>1119981.603</v>
      </c>
      <c r="F31" s="14">
        <f t="shared" si="9"/>
        <v>1041147.34</v>
      </c>
      <c r="G31" s="14">
        <f t="shared" si="9"/>
        <v>958371.3631</v>
      </c>
      <c r="H31" s="14">
        <f t="shared" si="9"/>
        <v>871456.5876</v>
      </c>
      <c r="I31" s="14">
        <f t="shared" si="9"/>
        <v>780196.0732</v>
      </c>
      <c r="J31" s="14">
        <f t="shared" si="9"/>
        <v>684372.5331</v>
      </c>
      <c r="K31" s="14">
        <f t="shared" si="9"/>
        <v>583757.8161</v>
      </c>
      <c r="L31" s="14">
        <f t="shared" si="9"/>
        <v>478112.3632</v>
      </c>
      <c r="M31" s="14">
        <f t="shared" si="9"/>
        <v>367184.6376</v>
      </c>
      <c r="N31" s="14">
        <f t="shared" si="9"/>
        <v>250710.5257</v>
      </c>
      <c r="O31" s="14">
        <f t="shared" si="9"/>
        <v>128412.7083</v>
      </c>
      <c r="P31" s="14">
        <f t="shared" si="9"/>
        <v>0.000000002066371962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2026-02-06T17:59:01Z</dcterms:created>
  <dc:creator>openpyxl</dc:creator>
</cp:coreProperties>
</file>