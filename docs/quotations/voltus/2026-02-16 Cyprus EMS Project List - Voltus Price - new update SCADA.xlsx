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oltusenergy.sharepoint.com/sites/Handlowe/Shared Documents/KONTRAHENCI/CYPR/"/>
    </mc:Choice>
  </mc:AlternateContent>
  <xr:revisionPtr revIDLastSave="1" documentId="8_{8D0941AF-B479-471F-89F9-2C4576CB707B}" xr6:coauthVersionLast="47" xr6:coauthVersionMax="47" xr10:uidLastSave="{83396B78-059C-41FC-B949-2FA0129A2F95}"/>
  <bookViews>
    <workbookView xWindow="-120" yWindow="-120" windowWidth="29040" windowHeight="17520" xr2:uid="{00000000-000D-0000-FFFF-FFFF00000000}"/>
  </bookViews>
  <sheets>
    <sheet name="Price" sheetId="1" r:id="rId1"/>
    <sheet name="Packages and functionalities" sheetId="2" r:id="rId2"/>
    <sheet name="Arkusz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1" l="1"/>
  <c r="M62" i="1"/>
  <c r="N62" i="1"/>
  <c r="I53" i="1"/>
  <c r="J53" i="1"/>
  <c r="K53" i="1"/>
  <c r="L53" i="1"/>
  <c r="I42" i="1"/>
  <c r="J42" i="1"/>
  <c r="K42" i="1"/>
  <c r="L42" i="1"/>
  <c r="I29" i="1"/>
  <c r="J29" i="1"/>
  <c r="K29" i="1"/>
  <c r="L29" i="1"/>
  <c r="E62" i="1"/>
  <c r="F62" i="1"/>
  <c r="G62" i="1"/>
  <c r="C62" i="1"/>
  <c r="D62" i="1"/>
  <c r="M16" i="1"/>
  <c r="M15" i="1"/>
  <c r="M14" i="1"/>
  <c r="M13" i="1"/>
  <c r="M61" i="1"/>
  <c r="M49" i="1"/>
  <c r="M39" i="1"/>
  <c r="M40" i="1"/>
  <c r="M37" i="1"/>
  <c r="M32" i="1"/>
  <c r="M50" i="1"/>
  <c r="M46" i="1"/>
  <c r="M41" i="1"/>
  <c r="M35" i="1"/>
  <c r="M22" i="1"/>
  <c r="M21" i="1"/>
  <c r="M59" i="1"/>
  <c r="M58" i="1"/>
  <c r="M57" i="1"/>
  <c r="M38" i="1"/>
  <c r="M36" i="1"/>
  <c r="M28" i="1"/>
  <c r="M27" i="1"/>
  <c r="M26" i="1"/>
  <c r="M25" i="1"/>
  <c r="M24" i="1"/>
  <c r="M20" i="1"/>
  <c r="M18" i="1"/>
  <c r="M17" i="1"/>
  <c r="M10" i="1"/>
  <c r="M9" i="1"/>
  <c r="R66" i="1" l="1"/>
  <c r="P53" i="1"/>
  <c r="P42" i="1"/>
  <c r="Q4" i="1"/>
  <c r="P29" i="1"/>
  <c r="O61" i="1"/>
  <c r="N60" i="1"/>
  <c r="O60" i="1" s="1"/>
  <c r="N59" i="1"/>
  <c r="N58" i="1"/>
  <c r="O58" i="1" s="1"/>
  <c r="N56" i="1"/>
  <c r="O56" i="1" s="1"/>
  <c r="O57" i="1"/>
  <c r="N52" i="1"/>
  <c r="O52" i="1" s="1"/>
  <c r="N51" i="1"/>
  <c r="O51" i="1" s="1"/>
  <c r="O50" i="1"/>
  <c r="O49" i="1"/>
  <c r="N48" i="1"/>
  <c r="O48" i="1" s="1"/>
  <c r="N47" i="1"/>
  <c r="O47" i="1" s="1"/>
  <c r="O46" i="1"/>
  <c r="N45" i="1"/>
  <c r="O45" i="1" s="1"/>
  <c r="N44" i="1"/>
  <c r="O44" i="1" s="1"/>
  <c r="O41" i="1"/>
  <c r="O40" i="1"/>
  <c r="N38" i="1"/>
  <c r="O38" i="1" s="1"/>
  <c r="O37" i="1"/>
  <c r="N36" i="1"/>
  <c r="O36" i="1" s="1"/>
  <c r="O35" i="1"/>
  <c r="O34" i="1"/>
  <c r="O31" i="1"/>
  <c r="O28" i="1"/>
  <c r="O27" i="1"/>
  <c r="O26" i="1"/>
  <c r="O25" i="1"/>
  <c r="O21" i="1"/>
  <c r="N20" i="1"/>
  <c r="O19" i="1"/>
  <c r="O18" i="1"/>
  <c r="O17" i="1"/>
  <c r="O16" i="1"/>
  <c r="O15" i="1"/>
  <c r="O14" i="1"/>
  <c r="O13" i="1"/>
  <c r="O8" i="1"/>
  <c r="N7" i="1"/>
  <c r="O7" i="1" s="1"/>
  <c r="N6" i="1"/>
  <c r="O6" i="1" s="1"/>
  <c r="N5" i="1"/>
  <c r="O5" i="1" s="1"/>
  <c r="N4" i="1"/>
  <c r="O4" i="1" s="1"/>
  <c r="O3" i="1"/>
  <c r="O39" i="1"/>
  <c r="O20" i="1"/>
  <c r="M19" i="1"/>
  <c r="M8" i="1"/>
  <c r="M7" i="1"/>
  <c r="M6" i="1"/>
  <c r="M5" i="1"/>
  <c r="M4" i="1"/>
  <c r="E53" i="1"/>
  <c r="F53" i="1"/>
  <c r="G53" i="1"/>
  <c r="D53" i="1"/>
  <c r="C53" i="1"/>
  <c r="G42" i="1"/>
  <c r="F42" i="1"/>
  <c r="E42" i="1"/>
  <c r="D42" i="1"/>
  <c r="C42" i="1"/>
  <c r="G29" i="1"/>
  <c r="F29" i="1"/>
  <c r="E29" i="1"/>
  <c r="D29" i="1"/>
  <c r="C29" i="1"/>
  <c r="O12" i="1"/>
  <c r="A16" i="2"/>
  <c r="A11" i="2"/>
  <c r="A10" i="2"/>
  <c r="A5" i="2"/>
  <c r="O33" i="1"/>
  <c r="O32" i="1"/>
  <c r="O9" i="1"/>
  <c r="O10" i="1"/>
  <c r="O11" i="1"/>
  <c r="O24" i="1"/>
  <c r="O22" i="1"/>
  <c r="O23" i="1"/>
  <c r="O59" i="1"/>
  <c r="M23" i="1"/>
  <c r="M31" i="1"/>
  <c r="M42" i="1" s="1"/>
  <c r="M34" i="1"/>
  <c r="M33" i="1"/>
  <c r="M11" i="1"/>
  <c r="M56" i="1"/>
  <c r="M60" i="1"/>
  <c r="M45" i="1"/>
  <c r="M44" i="1"/>
  <c r="M47" i="1"/>
  <c r="M48" i="1"/>
  <c r="M51" i="1"/>
  <c r="M52" i="1"/>
  <c r="M12" i="1"/>
  <c r="M53" i="1" l="1"/>
  <c r="M29" i="1"/>
  <c r="N42" i="1"/>
  <c r="R42" i="1" s="1"/>
  <c r="N53" i="1"/>
  <c r="N29" i="1"/>
  <c r="R29" i="1" l="1"/>
  <c r="R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tc={F15B8E66-D93D-4709-BBD0-B608D1F47D17}</author>
  </authors>
  <commentList>
    <comment ref="N3" authorId="0" shapeId="0" xr:uid="{F15B8E66-D93D-4709-BBD0-B608D1F47D1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&lt;10MWH - 15 000 euro, &gt; 10MWh - 30 000 euro</t>
      </text>
    </comment>
  </commentList>
</comments>
</file>

<file path=xl/sharedStrings.xml><?xml version="1.0" encoding="utf-8"?>
<sst xmlns="http://schemas.openxmlformats.org/spreadsheetml/2006/main" count="552" uniqueCount="282">
  <si>
    <t>Park Name</t>
  </si>
  <si>
    <t>Group</t>
  </si>
  <si>
    <t>MW</t>
  </si>
  <si>
    <t>MWh</t>
  </si>
  <si>
    <t>BESS</t>
  </si>
  <si>
    <t>MV Skid</t>
  </si>
  <si>
    <t>Year</t>
  </si>
  <si>
    <t>ELESTORE 1</t>
  </si>
  <si>
    <t>Q2 2026</t>
  </si>
  <si>
    <t>ELESTORE 2</t>
  </si>
  <si>
    <t>ELESTORE 3</t>
  </si>
  <si>
    <t>ELESTORE 4</t>
  </si>
  <si>
    <t>ELESTORE 5</t>
  </si>
  <si>
    <t>Esperia Famagusta</t>
  </si>
  <si>
    <t>Esperia Limassol</t>
  </si>
  <si>
    <t>Q4 2026</t>
  </si>
  <si>
    <t>Esperia Frenaros</t>
  </si>
  <si>
    <t>Esperia Famagusta 2</t>
  </si>
  <si>
    <t>Q3 2027</t>
  </si>
  <si>
    <t>Dianary 1</t>
  </si>
  <si>
    <t>Dianary 2</t>
  </si>
  <si>
    <t>Q3 2026</t>
  </si>
  <si>
    <t>Dianary 3</t>
  </si>
  <si>
    <t>Galascope 1</t>
  </si>
  <si>
    <t>Q4 2025</t>
  </si>
  <si>
    <t>Galascope 2</t>
  </si>
  <si>
    <t>Easy Power 1</t>
  </si>
  <si>
    <t>EAS</t>
  </si>
  <si>
    <t>Easy Power 2</t>
  </si>
  <si>
    <t>Easy Power 3</t>
  </si>
  <si>
    <t>Easy Power 4</t>
  </si>
  <si>
    <t>My Sun Park (Karis)</t>
  </si>
  <si>
    <t>MSP</t>
  </si>
  <si>
    <t>Renergetic</t>
  </si>
  <si>
    <t>Greendorado 1</t>
  </si>
  <si>
    <t>Greendorado Larnaca 1</t>
  </si>
  <si>
    <t>Greendorado Larnaca 2</t>
  </si>
  <si>
    <t>Solarity</t>
  </si>
  <si>
    <t>SOL</t>
  </si>
  <si>
    <t>Classone Solar Breeze</t>
  </si>
  <si>
    <t>CLS</t>
  </si>
  <si>
    <t>TBC</t>
  </si>
  <si>
    <t>Classone Solar Garden</t>
  </si>
  <si>
    <t>Waneron</t>
  </si>
  <si>
    <t>WAN</t>
  </si>
  <si>
    <t>POL</t>
  </si>
  <si>
    <t>Potamia p151</t>
  </si>
  <si>
    <t>Potamia p208</t>
  </si>
  <si>
    <t>Paphos 1</t>
  </si>
  <si>
    <t>PAP</t>
  </si>
  <si>
    <t>Paphos 2</t>
  </si>
  <si>
    <t>Paphos 3</t>
  </si>
  <si>
    <t>L&amp;T Sun Energy</t>
  </si>
  <si>
    <t>LT</t>
  </si>
  <si>
    <t>L&amp;T Solar Power</t>
  </si>
  <si>
    <t>L&amp;T Res Systems</t>
  </si>
  <si>
    <t>L&amp;T Energia</t>
  </si>
  <si>
    <t>L&amp;T PV Tech</t>
  </si>
  <si>
    <t>AGM Sunfield 1</t>
  </si>
  <si>
    <t>AGM</t>
  </si>
  <si>
    <t>AGM Sunfield 2</t>
  </si>
  <si>
    <t>AGM Sunfield 3</t>
  </si>
  <si>
    <t>AGM Lightpower</t>
  </si>
  <si>
    <t>Totals</t>
  </si>
  <si>
    <t>Category</t>
  </si>
  <si>
    <t>Count</t>
  </si>
  <si>
    <t>Total MW</t>
  </si>
  <si>
    <t>~220</t>
  </si>
  <si>
    <t>Total MWh</t>
  </si>
  <si>
    <t>~863.5</t>
  </si>
  <si>
    <t>BESS Containers</t>
  </si>
  <si>
    <t>~156</t>
  </si>
  <si>
    <t>MV Skid Containers</t>
  </si>
  <si>
    <t>~56</t>
  </si>
  <si>
    <t>Total Containers</t>
  </si>
  <si>
    <t>~212</t>
  </si>
  <si>
    <t>Notes:</t>
  </si>
  <si>
    <t>BESS = 5.015 MWh battery containers (20HC)</t>
  </si>
  <si>
    <t>MV Skid = PCS + Transformer containers (typically 5-6 MW each)</t>
  </si>
  <si>
    <t>System + Hardware</t>
  </si>
  <si>
    <t>On-site installation + Training</t>
  </si>
  <si>
    <t>On-site installation days</t>
  </si>
  <si>
    <t>Total Cost</t>
  </si>
  <si>
    <t>EMS hardware on site instlation</t>
  </si>
  <si>
    <t>Remote Configuration &amp; Preparation</t>
  </si>
  <si>
    <t>SCADA</t>
  </si>
  <si>
    <t>COMFORT</t>
  </si>
  <si>
    <t>SILVER</t>
  </si>
  <si>
    <t>GOLD</t>
  </si>
  <si>
    <t>Monitoring and Basic Diagnostics</t>
  </si>
  <si>
    <t>Monitoring of basic installation parameters</t>
  </si>
  <si>
    <t>Monitoring of parameters for each device (PV, BESS, meters, transformer station)</t>
  </si>
  <si>
    <t>Detailed monitoring and diagnostics of parameters for each device</t>
  </si>
  <si>
    <t>Data Collection, Event History, and Efficiency Analysis</t>
  </si>
  <si>
    <t>History of energy production and consumption</t>
  </si>
  <si>
    <t>History and diagnostics of data from each device</t>
  </si>
  <si>
    <t>Event history – logging of events, alarms, and fault conditions of all devices</t>
  </si>
  <si>
    <t>History of energy purchase and sale costs based on tariff and energy prices</t>
  </si>
  <si>
    <t>Efficiency analysis of devices (e.g., kWh/kWp, efficiency)</t>
  </si>
  <si>
    <t>Device and System Control</t>
  </si>
  <si>
    <t>Remote control for turning devices on and off (PV, BESS, EV)</t>
  </si>
  <si>
    <t>Configuration of device parameters (PV, BESS, EV)</t>
  </si>
  <si>
    <t>Power distribution and control between inverters</t>
  </si>
  <si>
    <t>-</t>
  </si>
  <si>
    <t>Control by energy market service operators or energy trading companies</t>
  </si>
  <si>
    <t>Active Power Management and Operation Strategies</t>
  </si>
  <si>
    <t>Setting constant values according to a schedule</t>
  </si>
  <si>
    <t>Zero import/export mode regulation</t>
  </si>
  <si>
    <t>Set import/export mode regulation</t>
  </si>
  <si>
    <t>Peak shaving mode regulation</t>
  </si>
  <si>
    <t>Dynamic control based on price and weather</t>
  </si>
  <si>
    <t>Individual power control and distribution for each inverter and battery</t>
  </si>
  <si>
    <t>Reactive Power and Power Factor Management</t>
  </si>
  <si>
    <t>Reactive power compensation – control of Q, power factor cos φ / tan φ</t>
  </si>
  <si>
    <t>Reactive power regulation – Q/U control</t>
  </si>
  <si>
    <t>Reactive power regulation – system services</t>
  </si>
  <si>
    <t xml:space="preserve">Device Schedule Management  </t>
  </si>
  <si>
    <t xml:space="preserve">Weekly schedule for the entire installation (BESS, PV, EV)  </t>
  </si>
  <si>
    <t xml:space="preserve">Advanced individual schedules based on priority weather conditions, energy prices, and arbitrage  </t>
  </si>
  <si>
    <t xml:space="preserve">Safety, Alarms, and Emergency Mode  </t>
  </si>
  <si>
    <t xml:space="preserve">Extended notifications from each device – e-mail, SMS  </t>
  </si>
  <si>
    <t xml:space="preserve">Overload and overvoltage protection  </t>
  </si>
  <si>
    <t xml:space="preserve"> Overload and overvoltage protection  </t>
  </si>
  <si>
    <t xml:space="preserve">Real-time diagnostics + alarms based on custom thresholds  </t>
  </si>
  <si>
    <t xml:space="preserve">Emergency mode (Backup Mode) – switching to BESS/generator during power outage  </t>
  </si>
  <si>
    <t xml:space="preserve">Analytics and Reporting </t>
  </si>
  <si>
    <t>Basic energy production report from PV and other RES sources</t>
  </si>
  <si>
    <t xml:space="preserve">Extended report (production, energy storage, consumption, events)  </t>
  </si>
  <si>
    <t xml:space="preserve">Advanced report (energy balance, costs, profits, arbitrage)  </t>
  </si>
  <si>
    <t xml:space="preserve">Investor dashboard (KPI, ROI, financial data) </t>
  </si>
  <si>
    <t xml:space="preserve">Integration with External Data Sources  </t>
  </si>
  <si>
    <t xml:space="preserve">Energy market price reading (TGE)  </t>
  </si>
  <si>
    <t xml:space="preserve">Weather forecast reading </t>
  </si>
  <si>
    <t xml:space="preserve">Reading data from operator’s communication devices  </t>
  </si>
  <si>
    <t xml:space="preserve">Communication with system service operator of the energy market  </t>
  </si>
  <si>
    <t>Advanced Power Control and Limits</t>
  </si>
  <si>
    <t>Export/import power limit – based on operator, price, grid,PV production, weather</t>
  </si>
  <si>
    <t xml:space="preserve">Power limits for PV/BESS/EV – based on AC grid voltage  </t>
  </si>
  <si>
    <t>Power limits for PV/BESS in Off-Grid mode – based on SOC % and AC grid voltage</t>
  </si>
  <si>
    <t xml:space="preserve">BESS limits – based on SOC %, inverter temperature, and cell voltage and temperature  </t>
  </si>
  <si>
    <t>Support for Aggregates and Cogenerators</t>
  </si>
  <si>
    <t>System Services and Additional Revenues</t>
  </si>
  <si>
    <t xml:space="preserve">Manual generator switching on/off  </t>
  </si>
  <si>
    <t>Static price arbitrage schedule</t>
  </si>
  <si>
    <t xml:space="preserve">Monitoring of power flow from the generator  </t>
  </si>
  <si>
    <t xml:space="preserve">Dynamic price arbitrage  </t>
  </si>
  <si>
    <t xml:space="preserve">Demand Side Response (DSR) – temporary power reduction  </t>
  </si>
  <si>
    <t xml:space="preserve">System services (US) – frequency regulation </t>
  </si>
  <si>
    <t xml:space="preserve">Automatic switching on/off based on SOC and grid load  </t>
  </si>
  <si>
    <t xml:space="preserve">Management of Auxiliary Devices  </t>
  </si>
  <si>
    <t xml:space="preserve">Priority control of loads based on export/import power, SOC level %, and PV production  </t>
  </si>
  <si>
    <t xml:space="preserve">EV Charging Infrastructure Management  </t>
  </si>
  <si>
    <t xml:space="preserve">Basic monitoring and control of EV stations (read, turn on/off)  </t>
  </si>
  <si>
    <t xml:space="preserve">Advanced EV charging power management (PV production, SOC level %, energy prices)  </t>
  </si>
  <si>
    <t xml:space="preserve">Smart Forecasting and Optimization  </t>
  </si>
  <si>
    <t xml:space="preserve">Forecasting of energy production and consumption  </t>
  </si>
  <si>
    <t xml:space="preserve">Power fee reduction – automatic balancing of day/night tariffs </t>
  </si>
  <si>
    <t>Dynamic tariff selection algorithms</t>
  </si>
  <si>
    <t xml:space="preserve">Advanced AI-Based Control Optimization  </t>
  </si>
  <si>
    <t>Optimization of power flow based on energy prices (TGE), energy consumption, production prediction</t>
  </si>
  <si>
    <t>Control based on weather forecast (night charging)</t>
  </si>
  <si>
    <t xml:space="preserve">Optimization of EV charging (PV production, energy prices)  </t>
  </si>
  <si>
    <t>Functionalities of the Monitoring and Control System</t>
  </si>
  <si>
    <t>Minimum Package</t>
  </si>
  <si>
    <t>Device</t>
  </si>
  <si>
    <t>1. Monitoring and Visualization</t>
  </si>
  <si>
    <t>BESS monitoring</t>
  </si>
  <si>
    <t>EMS</t>
  </si>
  <si>
    <t>PV installation monitoring</t>
  </si>
  <si>
    <t>SPC</t>
  </si>
  <si>
    <t>MV network monitoring (transformer stations, protections)</t>
  </si>
  <si>
    <t>HPC</t>
  </si>
  <si>
    <t>EV charging infrastructure monitoring</t>
  </si>
  <si>
    <t>EVMS</t>
  </si>
  <si>
    <t>Monitoring of additional energy meters (PPE, PWE, PB, zones)</t>
  </si>
  <si>
    <t>Dashboards and visualization (widgets)</t>
  </si>
  <si>
    <t>Programmable user dashboard (widgets)</t>
  </si>
  <si>
    <t>Monitoring of multiple installations in one system</t>
  </si>
  <si>
    <t>2. BESS Control and Management</t>
  </si>
  <si>
    <t>BESS control – operation profiles</t>
  </si>
  <si>
    <t>Work schedules (daily, weekly, advanced)</t>
  </si>
  <si>
    <t>EMS/SCADA</t>
  </si>
  <si>
    <t>Zero Export / Zero Import mode</t>
  </si>
  <si>
    <t>HPC/EMS</t>
  </si>
  <si>
    <t>Reactive power management (Q, Q/U)</t>
  </si>
  <si>
    <t>Power limit – control on BESS side</t>
  </si>
  <si>
    <t>Advanced optimization (Set Import/Export)</t>
  </si>
  <si>
    <t>Advanced optimization (Peak Shaving)</t>
  </si>
  <si>
    <t>Control by TSO/DSO or trading companies</t>
  </si>
  <si>
    <t>Dynamic control based on TGE forecasts (e.g., night charging)</t>
  </si>
  <si>
    <t>HPC/EMS/SCADA</t>
  </si>
  <si>
    <t>Dynamic control based on weather forecasts</t>
  </si>
  <si>
    <t>Power capacity charge reduction (balancing day/night tariffs)</t>
  </si>
  <si>
    <t>Integration with system services (aFRR, FCR, frequency regulation)</t>
  </si>
  <si>
    <t>3. PV Control and Management</t>
  </si>
  <si>
    <t>PV control – operation profiles</t>
  </si>
  <si>
    <t>HPC/SPC</t>
  </si>
  <si>
    <t>Power limit – control on PV side</t>
  </si>
  <si>
    <t>4. MV/LV Network Control and Management</t>
  </si>
  <si>
    <t>MV management (IED control, switches, MV power limits)</t>
  </si>
  <si>
    <t>Power limit – control at grid connection (GRID)</t>
  </si>
  <si>
    <t>Microgrid operation (off-grid)</t>
  </si>
  <si>
    <t>6. Load Control and Management</t>
  </si>
  <si>
    <t>Load power allocation (e.g., by PV generation, SOC, priorities)</t>
  </si>
  <si>
    <t>Load control based on energy prices</t>
  </si>
  <si>
    <t>HPC/SCADA</t>
  </si>
  <si>
    <t>Load control based on PV production availability</t>
  </si>
  <si>
    <t>7. Data Acquisition (without control)</t>
  </si>
  <si>
    <t>BESS data acquisition</t>
  </si>
  <si>
    <t>PV installation data acquisition</t>
  </si>
  <si>
    <t>EV charging infrastructure data acquisition</t>
  </si>
  <si>
    <t>MV network data acquisition</t>
  </si>
  <si>
    <t>Energy meter data acquisition</t>
  </si>
  <si>
    <t>Main connection meter acquisition (billing)</t>
  </si>
  <si>
    <t>Building consumption meter acquisition</t>
  </si>
  <si>
    <t>PV infrastructure meters (inverters) acquisition</t>
  </si>
  <si>
    <t>Cogenerator / generator meter acquisition</t>
  </si>
  <si>
    <t>BESS meter acquisition</t>
  </si>
  <si>
    <t>EV charger meter acquisition</t>
  </si>
  <si>
    <t>8. Analytics, Reporting, Forecasting</t>
  </si>
  <si>
    <t>Reporting and analytics</t>
  </si>
  <si>
    <t>Weather forecast integration</t>
  </si>
  <si>
    <t>TGE data integration (energy prices)</t>
  </si>
  <si>
    <t>9. EV Charging Infrastructure</t>
  </si>
  <si>
    <t>EV charging station monitoring</t>
  </si>
  <si>
    <t>EV charging station control</t>
  </si>
  <si>
    <t>10. Cybersecurity</t>
  </si>
  <si>
    <t>TLS/SSL</t>
  </si>
  <si>
    <t>Firewall</t>
  </si>
  <si>
    <t>FIREWALL</t>
  </si>
  <si>
    <t>Compliance with IEC 62443 standard</t>
  </si>
  <si>
    <t>Compliance with NIS2 directive</t>
  </si>
  <si>
    <t>Greendorado Agrivoltaic</t>
  </si>
  <si>
    <t>GRD-AV</t>
  </si>
  <si>
    <t>GRD-L1</t>
  </si>
  <si>
    <t>GRD-L2</t>
  </si>
  <si>
    <t>GRD-1</t>
  </si>
  <si>
    <t>CNT</t>
  </si>
  <si>
    <t>ASZ</t>
  </si>
  <si>
    <t>Agios Sozomenos</t>
  </si>
  <si>
    <t>DIA-1</t>
  </si>
  <si>
    <t>DIA-2</t>
  </si>
  <si>
    <t>DIA-3</t>
  </si>
  <si>
    <t>ELE-1</t>
  </si>
  <si>
    <t>ELE-2</t>
  </si>
  <si>
    <t>ELE-3</t>
  </si>
  <si>
    <t>ELE-4</t>
  </si>
  <si>
    <t>ELE-5</t>
  </si>
  <si>
    <t>REN-1</t>
  </si>
  <si>
    <t>REN-2</t>
  </si>
  <si>
    <t>G1 TOTAL</t>
  </si>
  <si>
    <t>Solartech 3 Ext.</t>
  </si>
  <si>
    <t>SLT-3X</t>
  </si>
  <si>
    <t>POT-208</t>
  </si>
  <si>
    <t>POT-151</t>
  </si>
  <si>
    <t>Polemi8</t>
  </si>
  <si>
    <t>ESP-F1</t>
  </si>
  <si>
    <t>ESP-F2</t>
  </si>
  <si>
    <t>ESP-FR</t>
  </si>
  <si>
    <t>ESP-LIM</t>
  </si>
  <si>
    <t>GAL-1</t>
  </si>
  <si>
    <t>GAL-2</t>
  </si>
  <si>
    <t>ESP-T1</t>
  </si>
  <si>
    <t>ESP-T2a</t>
  </si>
  <si>
    <t>ESP-T2b</t>
  </si>
  <si>
    <t>ESP-T2c</t>
  </si>
  <si>
    <t>ESP-T3</t>
  </si>
  <si>
    <t>Esperia Tseri</t>
  </si>
  <si>
    <t>Esperia Tseri 2a</t>
  </si>
  <si>
    <t>Esperia Tseri 2b</t>
  </si>
  <si>
    <t>Esperia Tseri 2c</t>
  </si>
  <si>
    <t>Esperia Tseri 3</t>
  </si>
  <si>
    <t>G2 Total</t>
  </si>
  <si>
    <t>G3 Total</t>
  </si>
  <si>
    <t>Cyprus BESS Portfolio - Project List</t>
  </si>
  <si>
    <t>TOTAL GRUPE</t>
  </si>
  <si>
    <t>TOTAL ALL</t>
  </si>
  <si>
    <t>SCADA GRUPE (System + Configuration) without Hardware</t>
  </si>
  <si>
    <t>SCADA local (System, Configuration, Hardware IPC)</t>
  </si>
  <si>
    <t xml:space="preserve">SCADA local Maintenance and subscription </t>
  </si>
  <si>
    <t xml:space="preserve">SCADA GRUPE   Maintenance and subscription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</si>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</sst>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EUR]"/>
  </numFmts>
  <fonts count="24">
    <font>
      <sz val="10"/>
      <color rgb="FF000000"/>
      <name val="Arial"/>
      <scheme val="minor"/>
    </font>
    <font>
      <b/>
      <sz val="10"/>
      <color theme="1"/>
      <name val="-apple-system"/>
    </font>
    <font>
      <sz val="10"/>
      <color theme="1"/>
      <name val="-apple-system"/>
    </font>
    <font>
      <sz val="10"/>
      <color rgb="FFE4E4E4"/>
      <name val="-apple-system"/>
    </font>
    <font>
      <sz val="10"/>
      <color rgb="FF000000"/>
      <name val="Arial"/>
      <family val="2"/>
      <charset val="238"/>
      <scheme val="minor"/>
    </font>
    <font>
      <b/>
      <sz val="11"/>
      <color theme="1"/>
      <name val="Arial"/>
      <family val="2"/>
      <charset val="238"/>
      <scheme val="minor"/>
    </font>
    <font>
      <b/>
      <sz val="11"/>
      <name val="Calibri"/>
      <family val="2"/>
      <charset val="238"/>
    </font>
    <font>
      <sz val="10"/>
      <color rgb="FF000000"/>
      <name val="Calibri"/>
      <family val="2"/>
      <charset val="238"/>
    </font>
    <font>
      <sz val="10"/>
      <color rgb="FF000000"/>
      <name val="Arial"/>
      <family val="2"/>
      <charset val="238"/>
      <scheme val="major"/>
    </font>
    <font>
      <sz val="10"/>
      <color theme="1"/>
      <name val="Arial"/>
      <family val="2"/>
      <charset val="238"/>
      <scheme val="major"/>
    </font>
    <font>
      <b/>
      <sz val="10"/>
      <color theme="1"/>
      <name val="Arial"/>
      <family val="2"/>
      <charset val="238"/>
      <scheme val="major"/>
    </font>
    <font>
      <b/>
      <sz val="10"/>
      <color rgb="FF000000"/>
      <name val="Arial"/>
      <family val="2"/>
      <charset val="238"/>
      <scheme val="minor"/>
    </font>
    <font>
      <sz val="10"/>
      <name val="Arial"/>
      <family val="2"/>
      <charset val="238"/>
      <scheme val="minor"/>
    </font>
    <font>
      <b/>
      <sz val="10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4"/>
      <color theme="0"/>
      <name val="Calibri"/>
      <family val="2"/>
      <charset val="238"/>
    </font>
    <font>
      <b/>
      <sz val="11"/>
      <color rgb="FF00B050"/>
      <name val="Arial"/>
      <family val="2"/>
      <charset val="238"/>
      <scheme val="minor"/>
    </font>
    <font>
      <b/>
      <sz val="11"/>
      <color theme="0" tint="-0.499984740745262"/>
      <name val="Arial"/>
      <family val="2"/>
      <charset val="238"/>
      <scheme val="minor"/>
    </font>
    <font>
      <b/>
      <sz val="11"/>
      <color rgb="FFFFC000"/>
      <name val="Arial"/>
      <family val="2"/>
      <charset val="238"/>
      <scheme val="minor"/>
    </font>
    <font>
      <sz val="10"/>
      <color rgb="FF1F2937"/>
      <name val="Arial"/>
      <family val="2"/>
      <charset val="238"/>
    </font>
    <font>
      <b/>
      <sz val="10"/>
      <color theme="1"/>
      <name val="-apple-system"/>
      <charset val="238"/>
    </font>
    <font>
      <sz val="10"/>
      <color theme="1"/>
      <name val="-apple-system"/>
      <charset val="238"/>
    </font>
    <font>
      <b/>
      <sz val="10"/>
      <color rgb="FF434343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3" borderId="0" xfId="0" applyFill="1"/>
    <xf numFmtId="164" fontId="0" fillId="0" borderId="0" xfId="0" applyNumberFormat="1"/>
    <xf numFmtId="0" fontId="2" fillId="2" borderId="4" xfId="0" applyFont="1" applyFill="1" applyBorder="1" applyAlignment="1">
      <alignment horizontal="left"/>
    </xf>
    <xf numFmtId="164" fontId="9" fillId="2" borderId="4" xfId="0" applyNumberFormat="1" applyFont="1" applyFill="1" applyBorder="1"/>
    <xf numFmtId="1" fontId="9" fillId="2" borderId="4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164" fontId="9" fillId="2" borderId="6" xfId="0" applyNumberFormat="1" applyFont="1" applyFill="1" applyBorder="1"/>
    <xf numFmtId="1" fontId="9" fillId="2" borderId="6" xfId="0" applyNumberFormat="1" applyFont="1" applyFill="1" applyBorder="1" applyAlignment="1">
      <alignment horizontal="center"/>
    </xf>
    <xf numFmtId="164" fontId="0" fillId="2" borderId="6" xfId="0" applyNumberFormat="1" applyFill="1" applyBorder="1"/>
    <xf numFmtId="164" fontId="0" fillId="2" borderId="4" xfId="0" applyNumberFormat="1" applyFill="1" applyBorder="1"/>
    <xf numFmtId="0" fontId="0" fillId="0" borderId="4" xfId="0" applyBorder="1"/>
    <xf numFmtId="0" fontId="0" fillId="0" borderId="0" xfId="0" applyAlignment="1">
      <alignment horizontal="right"/>
    </xf>
    <xf numFmtId="0" fontId="14" fillId="6" borderId="5" xfId="0" applyFont="1" applyFill="1" applyBorder="1" applyAlignment="1">
      <alignment vertical="center" wrapText="1" readingOrder="1"/>
    </xf>
    <xf numFmtId="0" fontId="15" fillId="0" borderId="0" xfId="0" applyFont="1" applyAlignment="1">
      <alignment vertical="center" wrapText="1" readingOrder="1"/>
    </xf>
    <xf numFmtId="0" fontId="15" fillId="0" borderId="4" xfId="0" applyFont="1" applyBorder="1" applyAlignment="1">
      <alignment vertical="center" wrapText="1" readingOrder="1"/>
    </xf>
    <xf numFmtId="0" fontId="14" fillId="6" borderId="0" xfId="0" applyFont="1" applyFill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13" fillId="6" borderId="5" xfId="0" applyFont="1" applyFill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13" fillId="6" borderId="0" xfId="0" applyFont="1" applyFill="1" applyAlignment="1">
      <alignment vertical="center" wrapText="1" readingOrder="1"/>
    </xf>
    <xf numFmtId="49" fontId="16" fillId="5" borderId="0" xfId="0" applyNumberFormat="1" applyFont="1" applyFill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7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1" fillId="2" borderId="6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164" fontId="9" fillId="2" borderId="17" xfId="0" applyNumberFormat="1" applyFont="1" applyFill="1" applyBorder="1"/>
    <xf numFmtId="1" fontId="9" fillId="2" borderId="17" xfId="0" applyNumberFormat="1" applyFont="1" applyFill="1" applyBorder="1" applyAlignment="1">
      <alignment horizontal="center"/>
    </xf>
    <xf numFmtId="164" fontId="0" fillId="2" borderId="17" xfId="0" applyNumberFormat="1" applyFill="1" applyBorder="1"/>
    <xf numFmtId="164" fontId="0" fillId="0" borderId="17" xfId="0" applyNumberFormat="1" applyBorder="1"/>
    <xf numFmtId="0" fontId="0" fillId="0" borderId="16" xfId="0" applyBorder="1"/>
    <xf numFmtId="0" fontId="0" fillId="0" borderId="16" xfId="0" applyBorder="1" applyAlignment="1">
      <alignment horizontal="right"/>
    </xf>
    <xf numFmtId="164" fontId="0" fillId="0" borderId="16" xfId="0" applyNumberFormat="1" applyBorder="1"/>
    <xf numFmtId="164" fontId="9" fillId="0" borderId="16" xfId="0" applyNumberFormat="1" applyFont="1" applyBorder="1"/>
    <xf numFmtId="1" fontId="9" fillId="0" borderId="16" xfId="0" applyNumberFormat="1" applyFont="1" applyBorder="1" applyAlignment="1">
      <alignment horizontal="center"/>
    </xf>
    <xf numFmtId="0" fontId="0" fillId="6" borderId="6" xfId="0" applyFill="1" applyBorder="1"/>
    <xf numFmtId="0" fontId="2" fillId="6" borderId="6" xfId="0" applyFont="1" applyFill="1" applyBorder="1" applyAlignment="1">
      <alignment horizontal="left"/>
    </xf>
    <xf numFmtId="164" fontId="9" fillId="6" borderId="6" xfId="0" applyNumberFormat="1" applyFont="1" applyFill="1" applyBorder="1"/>
    <xf numFmtId="1" fontId="9" fillId="6" borderId="6" xfId="0" applyNumberFormat="1" applyFont="1" applyFill="1" applyBorder="1" applyAlignment="1">
      <alignment horizontal="center"/>
    </xf>
    <xf numFmtId="164" fontId="0" fillId="6" borderId="6" xfId="0" applyNumberFormat="1" applyFill="1" applyBorder="1"/>
    <xf numFmtId="0" fontId="0" fillId="2" borderId="6" xfId="0" applyFill="1" applyBorder="1"/>
    <xf numFmtId="0" fontId="22" fillId="2" borderId="6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164" fontId="8" fillId="6" borderId="6" xfId="0" applyNumberFormat="1" applyFont="1" applyFill="1" applyBorder="1"/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/>
    </xf>
    <xf numFmtId="164" fontId="9" fillId="6" borderId="4" xfId="0" applyNumberFormat="1" applyFont="1" applyFill="1" applyBorder="1"/>
    <xf numFmtId="1" fontId="9" fillId="6" borderId="4" xfId="0" applyNumberFormat="1" applyFont="1" applyFill="1" applyBorder="1" applyAlignment="1">
      <alignment horizontal="center"/>
    </xf>
    <xf numFmtId="164" fontId="0" fillId="6" borderId="4" xfId="0" applyNumberFormat="1" applyFill="1" applyBorder="1"/>
    <xf numFmtId="0" fontId="11" fillId="4" borderId="0" xfId="0" applyFont="1" applyFill="1"/>
    <xf numFmtId="0" fontId="0" fillId="4" borderId="0" xfId="0" applyFill="1"/>
    <xf numFmtId="164" fontId="0" fillId="4" borderId="0" xfId="0" applyNumberFormat="1" applyFill="1"/>
    <xf numFmtId="0" fontId="20" fillId="2" borderId="6" xfId="0" applyFont="1" applyFill="1" applyBorder="1" applyAlignment="1">
      <alignment vertical="center" wrapText="1"/>
    </xf>
    <xf numFmtId="164" fontId="11" fillId="0" borderId="4" xfId="0" applyNumberFormat="1" applyFont="1" applyBorder="1" applyAlignment="1">
      <alignment horizontal="right" wrapText="1"/>
    </xf>
    <xf numFmtId="0" fontId="4" fillId="0" borderId="0" xfId="0" applyFont="1"/>
    <xf numFmtId="164" fontId="0" fillId="2" borderId="0" xfId="0" applyNumberFormat="1" applyFill="1"/>
    <xf numFmtId="0" fontId="11" fillId="0" borderId="16" xfId="0" applyFont="1" applyBorder="1"/>
    <xf numFmtId="0" fontId="11" fillId="0" borderId="16" xfId="0" applyFont="1" applyBorder="1" applyAlignment="1">
      <alignment horizontal="right"/>
    </xf>
    <xf numFmtId="164" fontId="11" fillId="0" borderId="0" xfId="0" applyNumberFormat="1" applyFont="1"/>
    <xf numFmtId="0" fontId="0" fillId="0" borderId="8" xfId="0" applyBorder="1"/>
    <xf numFmtId="164" fontId="11" fillId="0" borderId="5" xfId="0" applyNumberFormat="1" applyFont="1" applyBorder="1" applyAlignment="1">
      <alignment horizontal="right" wrapText="1"/>
    </xf>
    <xf numFmtId="0" fontId="2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164" fontId="11" fillId="4" borderId="0" xfId="0" applyNumberFormat="1" applyFont="1" applyFill="1"/>
    <xf numFmtId="164" fontId="10" fillId="4" borderId="0" xfId="0" applyNumberFormat="1" applyFont="1" applyFill="1"/>
    <xf numFmtId="0" fontId="12" fillId="0" borderId="0" xfId="0" applyFont="1"/>
    <xf numFmtId="164" fontId="0" fillId="0" borderId="0" xfId="0" applyNumberFormat="1" applyAlignment="1">
      <alignment horizontal="center"/>
    </xf>
    <xf numFmtId="0" fontId="11" fillId="0" borderId="0" xfId="0" applyFont="1"/>
    <xf numFmtId="164" fontId="11" fillId="0" borderId="19" xfId="0" applyNumberFormat="1" applyFont="1" applyBorder="1" applyAlignment="1">
      <alignment horizontal="center" vertical="center" wrapText="1"/>
    </xf>
    <xf numFmtId="164" fontId="9" fillId="2" borderId="8" xfId="0" applyNumberFormat="1" applyFont="1" applyFill="1" applyBorder="1"/>
    <xf numFmtId="164" fontId="9" fillId="6" borderId="8" xfId="0" applyNumberFormat="1" applyFont="1" applyFill="1" applyBorder="1"/>
    <xf numFmtId="164" fontId="9" fillId="2" borderId="9" xfId="0" applyNumberFormat="1" applyFont="1" applyFill="1" applyBorder="1"/>
    <xf numFmtId="164" fontId="9" fillId="6" borderId="9" xfId="0" applyNumberFormat="1" applyFont="1" applyFill="1" applyBorder="1"/>
    <xf numFmtId="164" fontId="9" fillId="2" borderId="7" xfId="0" applyNumberFormat="1" applyFont="1" applyFill="1" applyBorder="1"/>
    <xf numFmtId="164" fontId="8" fillId="2" borderId="7" xfId="0" applyNumberFormat="1" applyFont="1" applyFill="1" applyBorder="1" applyAlignment="1">
      <alignment vertical="center"/>
    </xf>
    <xf numFmtId="164" fontId="8" fillId="2" borderId="0" xfId="0" applyNumberFormat="1" applyFont="1" applyFill="1"/>
    <xf numFmtId="0" fontId="8" fillId="2" borderId="0" xfId="0" applyFont="1" applyFill="1" applyAlignment="1">
      <alignment horizontal="center" vertical="center"/>
    </xf>
    <xf numFmtId="164" fontId="8" fillId="6" borderId="9" xfId="0" applyNumberFormat="1" applyFont="1" applyFill="1" applyBorder="1" applyAlignment="1">
      <alignment vertical="center"/>
    </xf>
    <xf numFmtId="164" fontId="9" fillId="2" borderId="21" xfId="0" applyNumberFormat="1" applyFont="1" applyFill="1" applyBorder="1"/>
    <xf numFmtId="164" fontId="9" fillId="2" borderId="22" xfId="0" applyNumberFormat="1" applyFont="1" applyFill="1" applyBorder="1"/>
    <xf numFmtId="164" fontId="9" fillId="2" borderId="23" xfId="0" applyNumberFormat="1" applyFont="1" applyFill="1" applyBorder="1"/>
    <xf numFmtId="1" fontId="9" fillId="2" borderId="23" xfId="0" applyNumberFormat="1" applyFont="1" applyFill="1" applyBorder="1" applyAlignment="1">
      <alignment horizontal="center"/>
    </xf>
    <xf numFmtId="164" fontId="9" fillId="6" borderId="7" xfId="0" applyNumberFormat="1" applyFont="1" applyFill="1" applyBorder="1"/>
    <xf numFmtId="164" fontId="9" fillId="6" borderId="0" xfId="0" applyNumberFormat="1" applyFont="1" applyFill="1"/>
    <xf numFmtId="1" fontId="9" fillId="6" borderId="0" xfId="0" applyNumberFormat="1" applyFont="1" applyFill="1" applyAlignment="1">
      <alignment horizontal="center"/>
    </xf>
    <xf numFmtId="164" fontId="0" fillId="2" borderId="9" xfId="0" applyNumberFormat="1" applyFill="1" applyBorder="1"/>
    <xf numFmtId="164" fontId="0" fillId="6" borderId="8" xfId="0" applyNumberFormat="1" applyFill="1" applyBorder="1"/>
    <xf numFmtId="164" fontId="0" fillId="6" borderId="9" xfId="0" applyNumberFormat="1" applyFill="1" applyBorder="1"/>
    <xf numFmtId="164" fontId="0" fillId="2" borderId="7" xfId="0" applyNumberFormat="1" applyFill="1" applyBorder="1"/>
    <xf numFmtId="164" fontId="0" fillId="2" borderId="21" xfId="0" applyNumberFormat="1" applyFill="1" applyBorder="1"/>
    <xf numFmtId="164" fontId="0" fillId="2" borderId="22" xfId="0" applyNumberFormat="1" applyFill="1" applyBorder="1"/>
    <xf numFmtId="164" fontId="0" fillId="6" borderId="7" xfId="0" applyNumberFormat="1" applyFill="1" applyBorder="1"/>
    <xf numFmtId="164" fontId="0" fillId="0" borderId="7" xfId="0" applyNumberFormat="1" applyBorder="1"/>
    <xf numFmtId="164" fontId="0" fillId="0" borderId="21" xfId="0" applyNumberFormat="1" applyBorder="1"/>
    <xf numFmtId="164" fontId="9" fillId="6" borderId="18" xfId="0" applyNumberFormat="1" applyFont="1" applyFill="1" applyBorder="1"/>
    <xf numFmtId="164" fontId="9" fillId="2" borderId="18" xfId="0" applyNumberFormat="1" applyFont="1" applyFill="1" applyBorder="1"/>
    <xf numFmtId="164" fontId="9" fillId="2" borderId="24" xfId="0" applyNumberFormat="1" applyFont="1" applyFill="1" applyBorder="1"/>
    <xf numFmtId="164" fontId="8" fillId="2" borderId="9" xfId="0" applyNumberFormat="1" applyFont="1" applyFill="1" applyBorder="1" applyAlignment="1">
      <alignment vertical="center"/>
    </xf>
    <xf numFmtId="164" fontId="8" fillId="2" borderId="6" xfId="0" applyNumberFormat="1" applyFont="1" applyFill="1" applyBorder="1"/>
    <xf numFmtId="0" fontId="8" fillId="2" borderId="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left"/>
    </xf>
    <xf numFmtId="164" fontId="9" fillId="6" borderId="21" xfId="0" applyNumberFormat="1" applyFont="1" applyFill="1" applyBorder="1"/>
    <xf numFmtId="164" fontId="9" fillId="6" borderId="17" xfId="0" applyNumberFormat="1" applyFont="1" applyFill="1" applyBorder="1"/>
    <xf numFmtId="1" fontId="9" fillId="6" borderId="17" xfId="0" applyNumberFormat="1" applyFont="1" applyFill="1" applyBorder="1" applyAlignment="1">
      <alignment horizontal="center"/>
    </xf>
    <xf numFmtId="164" fontId="9" fillId="2" borderId="20" xfId="0" applyNumberFormat="1" applyFont="1" applyFill="1" applyBorder="1"/>
    <xf numFmtId="164" fontId="9" fillId="2" borderId="16" xfId="0" applyNumberFormat="1" applyFont="1" applyFill="1" applyBorder="1"/>
    <xf numFmtId="1" fontId="9" fillId="2" borderId="16" xfId="0" applyNumberFormat="1" applyFont="1" applyFill="1" applyBorder="1" applyAlignment="1">
      <alignment horizontal="center"/>
    </xf>
    <xf numFmtId="164" fontId="0" fillId="6" borderId="0" xfId="0" applyNumberFormat="1" applyFill="1"/>
    <xf numFmtId="0" fontId="2" fillId="2" borderId="0" xfId="0" applyFont="1" applyFill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0" fillId="0" borderId="7" xfId="0" applyNumberFormat="1" applyBorder="1" applyAlignment="1">
      <alignment horizontal="right" vertical="center"/>
    </xf>
    <xf numFmtId="164" fontId="0" fillId="0" borderId="20" xfId="0" applyNumberForma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16" xfId="0" applyNumberFormat="1" applyBorder="1" applyAlignment="1">
      <alignment horizontal="right" vertical="center"/>
    </xf>
    <xf numFmtId="0" fontId="23" fillId="0" borderId="4" xfId="0" applyFont="1" applyBorder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64" fontId="0" fillId="0" borderId="19" xfId="0" applyNumberFormat="1" applyBorder="1" applyAlignment="1">
      <alignment horizontal="right" vertical="center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zej Lechowicz" id="{C8C3F913-2E55-43DF-B025-D063F3386CED}" userId="S::a.lechowicz@voltusenergy.pl::45635d0a-b55b-4b51-8154-4e57b47b324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" dT="2026-02-15T11:57:38.12" personId="{C8C3F913-2E55-43DF-B025-D063F3386CED}" id="{F15B8E66-D93D-4709-BBD0-B608D1F47D17}">
    <text>&lt;10MWH - 15 000 euro, &gt; 10MWh - 30 000 euro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16"/>
  <sheetViews>
    <sheetView tabSelected="1" topLeftCell="A34" workbookViewId="0">
      <selection activeCell="R62" sqref="R62"/>
    </sheetView>
  </sheetViews>
  <sheetFormatPr defaultColWidth="12.5703125" defaultRowHeight="15.75" customHeight="1"/>
  <cols>
    <col min="1" max="1" width="9.140625" customWidth="1"/>
    <col min="2" max="2" width="24.28515625" customWidth="1"/>
    <col min="7" max="7" width="12.5703125" style="8"/>
    <col min="8" max="8" width="10.5703125" customWidth="1"/>
    <col min="9" max="9" width="15.7109375" customWidth="1"/>
    <col min="10" max="10" width="16.42578125" customWidth="1"/>
    <col min="11" max="11" width="16.85546875" customWidth="1"/>
    <col min="12" max="12" width="15.5703125" style="19" customWidth="1"/>
    <col min="13" max="13" width="15.7109375" customWidth="1"/>
    <col min="14" max="14" width="21.140625" style="9" customWidth="1"/>
    <col min="15" max="15" width="22.28515625" style="9" customWidth="1"/>
    <col min="16" max="16" width="23.140625" customWidth="1"/>
    <col min="17" max="17" width="20.85546875" customWidth="1"/>
    <col min="18" max="18" width="16.42578125" customWidth="1"/>
  </cols>
  <sheetData>
    <row r="1" spans="1:17" ht="24.75" customHeight="1">
      <c r="A1" s="18"/>
      <c r="B1" s="141" t="s">
        <v>274</v>
      </c>
      <c r="C1" s="141"/>
      <c r="D1" s="141"/>
      <c r="E1" s="18"/>
      <c r="F1" s="18"/>
      <c r="G1" s="18"/>
      <c r="H1" s="18"/>
      <c r="I1" s="142" t="s">
        <v>83</v>
      </c>
      <c r="J1" s="143"/>
      <c r="K1" s="143"/>
      <c r="L1" s="143"/>
      <c r="M1" s="144"/>
      <c r="N1" s="145" t="s">
        <v>85</v>
      </c>
      <c r="O1" s="146"/>
      <c r="P1" s="81"/>
      <c r="Q1" s="18"/>
    </row>
    <row r="2" spans="1:17" ht="47.25" customHeight="1">
      <c r="A2" s="131" t="s">
        <v>1</v>
      </c>
      <c r="B2" s="131" t="s">
        <v>0</v>
      </c>
      <c r="C2" s="131" t="s">
        <v>2</v>
      </c>
      <c r="D2" s="131" t="s">
        <v>3</v>
      </c>
      <c r="E2" s="131" t="s">
        <v>237</v>
      </c>
      <c r="F2" s="131" t="s">
        <v>5</v>
      </c>
      <c r="G2" s="131" t="s">
        <v>4</v>
      </c>
      <c r="H2" s="131" t="s">
        <v>6</v>
      </c>
      <c r="I2" s="152" t="s">
        <v>79</v>
      </c>
      <c r="J2" s="150" t="s">
        <v>84</v>
      </c>
      <c r="K2" s="150" t="s">
        <v>80</v>
      </c>
      <c r="L2" s="148" t="s">
        <v>81</v>
      </c>
      <c r="M2" s="148" t="s">
        <v>82</v>
      </c>
      <c r="N2" s="90" t="s">
        <v>278</v>
      </c>
      <c r="O2" s="82" t="s">
        <v>279</v>
      </c>
      <c r="P2" s="133" t="s">
        <v>277</v>
      </c>
      <c r="Q2" s="135" t="s">
        <v>280</v>
      </c>
    </row>
    <row r="3" spans="1:17" ht="18.75" customHeight="1">
      <c r="A3" s="132"/>
      <c r="B3" s="132"/>
      <c r="C3" s="132"/>
      <c r="D3" s="132"/>
      <c r="E3" s="132"/>
      <c r="F3" s="132"/>
      <c r="G3" s="132"/>
      <c r="H3" s="132"/>
      <c r="I3" s="153"/>
      <c r="J3" s="151"/>
      <c r="K3" s="151"/>
      <c r="L3" s="149"/>
      <c r="M3" s="149"/>
      <c r="N3" s="43">
        <v>15000</v>
      </c>
      <c r="O3" s="75">
        <f>N3*0.2</f>
        <v>3000</v>
      </c>
      <c r="P3" s="134"/>
      <c r="Q3" s="136"/>
    </row>
    <row r="4" spans="1:17" ht="18" customHeight="1">
      <c r="A4" s="62" t="s">
        <v>233</v>
      </c>
      <c r="B4" s="63" t="s">
        <v>232</v>
      </c>
      <c r="C4" s="158">
        <v>0.75</v>
      </c>
      <c r="D4" s="158">
        <v>3</v>
      </c>
      <c r="E4" s="158">
        <v>2</v>
      </c>
      <c r="F4" s="158">
        <v>1</v>
      </c>
      <c r="G4" s="158">
        <v>1</v>
      </c>
      <c r="H4" s="45"/>
      <c r="I4" s="93">
        <v>12380</v>
      </c>
      <c r="J4" s="14">
        <v>9912</v>
      </c>
      <c r="K4" s="14">
        <v>4012</v>
      </c>
      <c r="L4" s="15">
        <v>4</v>
      </c>
      <c r="M4" s="93">
        <f t="shared" ref="M4:M23" si="0">I4+J4+K4</f>
        <v>26304</v>
      </c>
      <c r="N4" s="107">
        <f>$N$3</f>
        <v>15000</v>
      </c>
      <c r="O4" s="16">
        <f t="shared" ref="O4:O28" si="1">N4*0.2</f>
        <v>3000</v>
      </c>
      <c r="P4" s="147">
        <v>60000</v>
      </c>
      <c r="Q4" s="139">
        <f>P4*0.2</f>
        <v>12000</v>
      </c>
    </row>
    <row r="5" spans="1:17" ht="15.75" customHeight="1">
      <c r="A5" s="57" t="s">
        <v>234</v>
      </c>
      <c r="B5" s="58" t="s">
        <v>35</v>
      </c>
      <c r="C5" s="159">
        <v>1.25</v>
      </c>
      <c r="D5" s="159">
        <v>5</v>
      </c>
      <c r="E5" s="159">
        <v>2</v>
      </c>
      <c r="F5" s="159">
        <v>1</v>
      </c>
      <c r="G5" s="159">
        <v>1</v>
      </c>
      <c r="H5" s="58" t="s">
        <v>21</v>
      </c>
      <c r="I5" s="92">
        <v>12380</v>
      </c>
      <c r="J5" s="68">
        <v>9912</v>
      </c>
      <c r="K5" s="68">
        <v>4012</v>
      </c>
      <c r="L5" s="69">
        <v>4</v>
      </c>
      <c r="M5" s="92">
        <f t="shared" si="0"/>
        <v>26304</v>
      </c>
      <c r="N5" s="108">
        <f>$N$3</f>
        <v>15000</v>
      </c>
      <c r="O5" s="70">
        <f t="shared" si="1"/>
        <v>3000</v>
      </c>
      <c r="P5" s="137"/>
      <c r="Q5" s="139"/>
    </row>
    <row r="6" spans="1:17" ht="15.75" customHeight="1">
      <c r="A6" s="62" t="s">
        <v>235</v>
      </c>
      <c r="B6" s="13" t="s">
        <v>36</v>
      </c>
      <c r="C6" s="160">
        <v>1</v>
      </c>
      <c r="D6" s="160">
        <v>5</v>
      </c>
      <c r="E6" s="160">
        <v>2</v>
      </c>
      <c r="F6" s="160">
        <v>1</v>
      </c>
      <c r="G6" s="160">
        <v>1</v>
      </c>
      <c r="H6" s="13">
        <v>2025</v>
      </c>
      <c r="I6" s="91">
        <v>12380</v>
      </c>
      <c r="J6" s="11">
        <v>9912</v>
      </c>
      <c r="K6" s="11">
        <v>4012</v>
      </c>
      <c r="L6" s="12">
        <v>4</v>
      </c>
      <c r="M6" s="93">
        <f t="shared" si="0"/>
        <v>26304</v>
      </c>
      <c r="N6" s="107">
        <f>$N$3</f>
        <v>15000</v>
      </c>
      <c r="O6" s="16">
        <f t="shared" si="1"/>
        <v>3000</v>
      </c>
      <c r="P6" s="137"/>
      <c r="Q6" s="139"/>
    </row>
    <row r="7" spans="1:17" ht="15.75" customHeight="1">
      <c r="A7" s="57" t="s">
        <v>236</v>
      </c>
      <c r="B7" s="58" t="s">
        <v>34</v>
      </c>
      <c r="C7" s="159">
        <v>1.8</v>
      </c>
      <c r="D7" s="159">
        <v>8</v>
      </c>
      <c r="E7" s="159">
        <v>3</v>
      </c>
      <c r="F7" s="159">
        <v>1</v>
      </c>
      <c r="G7" s="159">
        <v>2</v>
      </c>
      <c r="H7" s="58">
        <v>2025</v>
      </c>
      <c r="I7" s="94">
        <v>15960</v>
      </c>
      <c r="J7" s="59">
        <v>11352</v>
      </c>
      <c r="K7" s="59">
        <v>6062</v>
      </c>
      <c r="L7" s="60">
        <v>6</v>
      </c>
      <c r="M7" s="94">
        <f t="shared" si="0"/>
        <v>33374</v>
      </c>
      <c r="N7" s="109">
        <f>$N$3</f>
        <v>15000</v>
      </c>
      <c r="O7" s="61">
        <f t="shared" si="1"/>
        <v>3000</v>
      </c>
      <c r="P7" s="137"/>
      <c r="Q7" s="139"/>
    </row>
    <row r="8" spans="1:17" ht="15.75" customHeight="1">
      <c r="A8" s="62" t="s">
        <v>238</v>
      </c>
      <c r="B8" s="74" t="s">
        <v>239</v>
      </c>
      <c r="C8" s="161">
        <v>6</v>
      </c>
      <c r="D8" s="161">
        <v>25</v>
      </c>
      <c r="E8" s="161">
        <v>6</v>
      </c>
      <c r="F8" s="161">
        <v>1</v>
      </c>
      <c r="G8" s="161">
        <v>5</v>
      </c>
      <c r="H8" s="62"/>
      <c r="I8" s="93">
        <v>26699</v>
      </c>
      <c r="J8" s="14">
        <v>15672</v>
      </c>
      <c r="K8" s="14">
        <v>12212</v>
      </c>
      <c r="L8" s="15">
        <v>12</v>
      </c>
      <c r="M8" s="93">
        <f t="shared" si="0"/>
        <v>54583</v>
      </c>
      <c r="N8" s="107">
        <v>30000</v>
      </c>
      <c r="O8" s="16">
        <f t="shared" si="1"/>
        <v>6000</v>
      </c>
      <c r="P8" s="137"/>
      <c r="Q8" s="139"/>
    </row>
    <row r="9" spans="1:17" ht="15.75" customHeight="1">
      <c r="A9" s="58" t="s">
        <v>240</v>
      </c>
      <c r="B9" s="58" t="s">
        <v>19</v>
      </c>
      <c r="C9" s="159">
        <v>2.5</v>
      </c>
      <c r="D9" s="159">
        <v>10</v>
      </c>
      <c r="E9" s="159">
        <v>3</v>
      </c>
      <c r="F9" s="159">
        <v>1</v>
      </c>
      <c r="G9" s="159">
        <v>2</v>
      </c>
      <c r="H9" s="58">
        <v>2025</v>
      </c>
      <c r="I9" s="94">
        <v>15960</v>
      </c>
      <c r="J9" s="59">
        <v>11352</v>
      </c>
      <c r="K9" s="59">
        <v>6062</v>
      </c>
      <c r="L9" s="60">
        <v>6</v>
      </c>
      <c r="M9" s="94">
        <f t="shared" ref="M9:M10" si="2">I9+J9+K9</f>
        <v>33374</v>
      </c>
      <c r="N9" s="109">
        <v>30000</v>
      </c>
      <c r="O9" s="61">
        <f t="shared" si="1"/>
        <v>6000</v>
      </c>
      <c r="P9" s="137"/>
      <c r="Q9" s="139"/>
    </row>
    <row r="10" spans="1:17" ht="15.75" customHeight="1">
      <c r="A10" s="130" t="s">
        <v>241</v>
      </c>
      <c r="B10" s="130" t="s">
        <v>20</v>
      </c>
      <c r="C10" s="162">
        <v>2.5</v>
      </c>
      <c r="D10" s="162">
        <v>10</v>
      </c>
      <c r="E10" s="162">
        <v>3</v>
      </c>
      <c r="F10" s="162">
        <v>1</v>
      </c>
      <c r="G10" s="162">
        <v>2</v>
      </c>
      <c r="H10" s="130" t="s">
        <v>21</v>
      </c>
      <c r="I10" s="93">
        <v>15960</v>
      </c>
      <c r="J10" s="14">
        <v>11352</v>
      </c>
      <c r="K10" s="14">
        <v>6062</v>
      </c>
      <c r="L10" s="15">
        <v>6</v>
      </c>
      <c r="M10" s="93">
        <f t="shared" si="2"/>
        <v>33374</v>
      </c>
      <c r="N10" s="110">
        <v>30000</v>
      </c>
      <c r="O10" s="77">
        <f t="shared" si="1"/>
        <v>6000</v>
      </c>
      <c r="P10" s="137"/>
      <c r="Q10" s="139"/>
    </row>
    <row r="11" spans="1:17" ht="15.75" customHeight="1">
      <c r="A11" s="58" t="s">
        <v>242</v>
      </c>
      <c r="B11" s="58" t="s">
        <v>22</v>
      </c>
      <c r="C11" s="159">
        <v>8</v>
      </c>
      <c r="D11" s="159">
        <v>35</v>
      </c>
      <c r="E11" s="159">
        <v>9</v>
      </c>
      <c r="F11" s="159">
        <v>2</v>
      </c>
      <c r="G11" s="159">
        <v>7</v>
      </c>
      <c r="H11" s="58" t="s">
        <v>21</v>
      </c>
      <c r="I11" s="94">
        <v>33858</v>
      </c>
      <c r="J11" s="59">
        <v>18552</v>
      </c>
      <c r="K11" s="59">
        <v>16312</v>
      </c>
      <c r="L11" s="60">
        <v>16</v>
      </c>
      <c r="M11" s="94">
        <f t="shared" si="0"/>
        <v>68722</v>
      </c>
      <c r="N11" s="109">
        <v>30000</v>
      </c>
      <c r="O11" s="61">
        <f t="shared" si="1"/>
        <v>6000</v>
      </c>
      <c r="P11" s="137"/>
      <c r="Q11" s="139"/>
    </row>
    <row r="12" spans="1:17" ht="15.75" customHeight="1">
      <c r="A12" s="130" t="s">
        <v>243</v>
      </c>
      <c r="B12" s="130" t="s">
        <v>7</v>
      </c>
      <c r="C12" s="162">
        <v>12</v>
      </c>
      <c r="D12" s="162">
        <v>40</v>
      </c>
      <c r="E12" s="162">
        <v>10</v>
      </c>
      <c r="F12" s="162">
        <v>2</v>
      </c>
      <c r="G12" s="162">
        <v>8</v>
      </c>
      <c r="H12" s="13" t="s">
        <v>8</v>
      </c>
      <c r="I12" s="119">
        <v>37438</v>
      </c>
      <c r="J12" s="120">
        <v>19992</v>
      </c>
      <c r="K12" s="120">
        <v>18362</v>
      </c>
      <c r="L12" s="121">
        <v>18</v>
      </c>
      <c r="M12" s="93">
        <f t="shared" si="0"/>
        <v>75792</v>
      </c>
      <c r="N12" s="107">
        <v>30000</v>
      </c>
      <c r="O12" s="77">
        <f t="shared" si="1"/>
        <v>6000</v>
      </c>
      <c r="P12" s="137"/>
      <c r="Q12" s="139"/>
    </row>
    <row r="13" spans="1:17" ht="15.75" customHeight="1">
      <c r="A13" s="58" t="s">
        <v>244</v>
      </c>
      <c r="B13" s="58" t="s">
        <v>9</v>
      </c>
      <c r="C13" s="159">
        <v>12</v>
      </c>
      <c r="D13" s="159">
        <v>40</v>
      </c>
      <c r="E13" s="159">
        <v>10</v>
      </c>
      <c r="F13" s="159">
        <v>2</v>
      </c>
      <c r="G13" s="159">
        <v>8</v>
      </c>
      <c r="H13" s="58" t="s">
        <v>8</v>
      </c>
      <c r="I13" s="99">
        <v>37438</v>
      </c>
      <c r="J13" s="65">
        <v>19992</v>
      </c>
      <c r="K13" s="65">
        <v>18362</v>
      </c>
      <c r="L13" s="66">
        <v>18</v>
      </c>
      <c r="M13" s="94">
        <f t="shared" ref="M13:M16" si="3">I13+J13+K13</f>
        <v>75792</v>
      </c>
      <c r="N13" s="109">
        <v>30000</v>
      </c>
      <c r="O13" s="61">
        <f t="shared" si="1"/>
        <v>6000</v>
      </c>
      <c r="P13" s="137"/>
      <c r="Q13" s="139"/>
    </row>
    <row r="14" spans="1:17" ht="15.75" customHeight="1">
      <c r="A14" s="130" t="s">
        <v>245</v>
      </c>
      <c r="B14" s="130" t="s">
        <v>10</v>
      </c>
      <c r="C14" s="162">
        <v>12</v>
      </c>
      <c r="D14" s="162">
        <v>40</v>
      </c>
      <c r="E14" s="162">
        <v>10</v>
      </c>
      <c r="F14" s="162">
        <v>2</v>
      </c>
      <c r="G14" s="162">
        <v>8</v>
      </c>
      <c r="H14" s="13" t="s">
        <v>8</v>
      </c>
      <c r="I14" s="119">
        <v>37438</v>
      </c>
      <c r="J14" s="120">
        <v>19992</v>
      </c>
      <c r="K14" s="120">
        <v>18362</v>
      </c>
      <c r="L14" s="121">
        <v>18</v>
      </c>
      <c r="M14" s="93">
        <f t="shared" si="3"/>
        <v>75792</v>
      </c>
      <c r="N14" s="107">
        <v>30000</v>
      </c>
      <c r="O14" s="77">
        <f t="shared" si="1"/>
        <v>6000</v>
      </c>
      <c r="P14" s="137"/>
      <c r="Q14" s="139"/>
    </row>
    <row r="15" spans="1:17" ht="15.75" customHeight="1">
      <c r="A15" s="58" t="s">
        <v>246</v>
      </c>
      <c r="B15" s="58" t="s">
        <v>11</v>
      </c>
      <c r="C15" s="159">
        <v>12</v>
      </c>
      <c r="D15" s="159">
        <v>40</v>
      </c>
      <c r="E15" s="159">
        <v>10</v>
      </c>
      <c r="F15" s="159">
        <v>2</v>
      </c>
      <c r="G15" s="159">
        <v>8</v>
      </c>
      <c r="H15" s="58" t="s">
        <v>8</v>
      </c>
      <c r="I15" s="99">
        <v>37438</v>
      </c>
      <c r="J15" s="65">
        <v>19992</v>
      </c>
      <c r="K15" s="65">
        <v>18362</v>
      </c>
      <c r="L15" s="66">
        <v>18</v>
      </c>
      <c r="M15" s="94">
        <f t="shared" si="3"/>
        <v>75792</v>
      </c>
      <c r="N15" s="109">
        <v>30000</v>
      </c>
      <c r="O15" s="61">
        <f t="shared" si="1"/>
        <v>6000</v>
      </c>
      <c r="P15" s="137"/>
      <c r="Q15" s="139"/>
    </row>
    <row r="16" spans="1:17" ht="15.75" customHeight="1">
      <c r="A16" s="130" t="s">
        <v>247</v>
      </c>
      <c r="B16" s="130" t="s">
        <v>12</v>
      </c>
      <c r="C16" s="162">
        <v>12</v>
      </c>
      <c r="D16" s="162">
        <v>40</v>
      </c>
      <c r="E16" s="162">
        <v>10</v>
      </c>
      <c r="F16" s="162">
        <v>2</v>
      </c>
      <c r="G16" s="162">
        <v>8</v>
      </c>
      <c r="H16" s="130" t="s">
        <v>8</v>
      </c>
      <c r="I16" s="96">
        <v>37438</v>
      </c>
      <c r="J16" s="97">
        <v>19992</v>
      </c>
      <c r="K16" s="97">
        <v>18362</v>
      </c>
      <c r="L16" s="98">
        <v>18</v>
      </c>
      <c r="M16" s="95">
        <f t="shared" si="3"/>
        <v>75792</v>
      </c>
      <c r="N16" s="110">
        <v>30000</v>
      </c>
      <c r="O16" s="77">
        <f t="shared" si="1"/>
        <v>6000</v>
      </c>
      <c r="P16" s="137"/>
      <c r="Q16" s="139"/>
    </row>
    <row r="17" spans="1:18" ht="15.75" customHeight="1">
      <c r="A17" s="58" t="s">
        <v>27</v>
      </c>
      <c r="B17" s="58" t="s">
        <v>26</v>
      </c>
      <c r="C17" s="159">
        <v>5</v>
      </c>
      <c r="D17" s="159">
        <v>10</v>
      </c>
      <c r="E17" s="159">
        <v>3</v>
      </c>
      <c r="F17" s="159">
        <v>1</v>
      </c>
      <c r="G17" s="159">
        <v>2</v>
      </c>
      <c r="H17" s="58">
        <v>2025</v>
      </c>
      <c r="I17" s="94">
        <v>15960</v>
      </c>
      <c r="J17" s="59">
        <v>11352</v>
      </c>
      <c r="K17" s="59">
        <v>6062</v>
      </c>
      <c r="L17" s="60">
        <v>6</v>
      </c>
      <c r="M17" s="94">
        <f t="shared" ref="M17:M18" si="4">I17+J17+K17</f>
        <v>33374</v>
      </c>
      <c r="N17" s="109">
        <v>30000</v>
      </c>
      <c r="O17" s="61">
        <f t="shared" si="1"/>
        <v>6000</v>
      </c>
      <c r="P17" s="137"/>
      <c r="Q17" s="139"/>
    </row>
    <row r="18" spans="1:18" ht="15.75" customHeight="1">
      <c r="A18" s="130" t="s">
        <v>27</v>
      </c>
      <c r="B18" s="130" t="s">
        <v>28</v>
      </c>
      <c r="C18" s="162">
        <v>4.5</v>
      </c>
      <c r="D18" s="162">
        <v>10</v>
      </c>
      <c r="E18" s="162">
        <v>3</v>
      </c>
      <c r="F18" s="162">
        <v>1</v>
      </c>
      <c r="G18" s="162">
        <v>2</v>
      </c>
      <c r="H18" s="130">
        <v>2025</v>
      </c>
      <c r="I18" s="93">
        <v>15960</v>
      </c>
      <c r="J18" s="14">
        <v>11352</v>
      </c>
      <c r="K18" s="14">
        <v>6062</v>
      </c>
      <c r="L18" s="15">
        <v>6</v>
      </c>
      <c r="M18" s="93">
        <f t="shared" si="4"/>
        <v>33374</v>
      </c>
      <c r="N18" s="110">
        <v>30000</v>
      </c>
      <c r="O18" s="77">
        <f t="shared" si="1"/>
        <v>6000</v>
      </c>
      <c r="P18" s="137"/>
      <c r="Q18" s="139"/>
    </row>
    <row r="19" spans="1:18" ht="15.75" customHeight="1">
      <c r="A19" s="58" t="s">
        <v>27</v>
      </c>
      <c r="B19" s="58" t="s">
        <v>29</v>
      </c>
      <c r="C19" s="159">
        <v>5</v>
      </c>
      <c r="D19" s="159">
        <v>10</v>
      </c>
      <c r="E19" s="159">
        <v>5</v>
      </c>
      <c r="F19" s="159">
        <v>2</v>
      </c>
      <c r="G19" s="159">
        <v>3</v>
      </c>
      <c r="H19" s="58"/>
      <c r="I19" s="94">
        <v>19540</v>
      </c>
      <c r="J19" s="59">
        <v>12792</v>
      </c>
      <c r="K19" s="59">
        <v>8112</v>
      </c>
      <c r="L19" s="60">
        <v>8</v>
      </c>
      <c r="M19" s="94">
        <f t="shared" si="0"/>
        <v>40444</v>
      </c>
      <c r="N19" s="109">
        <v>30000</v>
      </c>
      <c r="O19" s="61">
        <f t="shared" si="1"/>
        <v>6000</v>
      </c>
      <c r="P19" s="137"/>
      <c r="Q19" s="139"/>
    </row>
    <row r="20" spans="1:18" ht="15.75" customHeight="1">
      <c r="A20" s="130" t="s">
        <v>27</v>
      </c>
      <c r="B20" s="130" t="s">
        <v>30</v>
      </c>
      <c r="C20" s="162">
        <v>1.8</v>
      </c>
      <c r="D20" s="162">
        <v>8</v>
      </c>
      <c r="E20" s="162">
        <v>3</v>
      </c>
      <c r="F20" s="162">
        <v>1</v>
      </c>
      <c r="G20" s="162">
        <v>2</v>
      </c>
      <c r="H20" s="130"/>
      <c r="I20" s="93">
        <v>15960</v>
      </c>
      <c r="J20" s="14">
        <v>11352</v>
      </c>
      <c r="K20" s="14">
        <v>6062</v>
      </c>
      <c r="L20" s="15">
        <v>6</v>
      </c>
      <c r="M20" s="93">
        <f t="shared" ref="M20:M22" si="5">I20+J20+K20</f>
        <v>33374</v>
      </c>
      <c r="N20" s="107">
        <f t="shared" ref="N17:N22" si="6">$N$3</f>
        <v>15000</v>
      </c>
      <c r="O20" s="16">
        <f t="shared" si="1"/>
        <v>3000</v>
      </c>
      <c r="P20" s="137"/>
      <c r="Q20" s="139"/>
    </row>
    <row r="21" spans="1:18" ht="15.75" customHeight="1">
      <c r="A21" s="58" t="s">
        <v>45</v>
      </c>
      <c r="B21" s="58" t="s">
        <v>255</v>
      </c>
      <c r="C21" s="159">
        <v>1.25</v>
      </c>
      <c r="D21" s="159">
        <v>10</v>
      </c>
      <c r="E21" s="159">
        <v>4</v>
      </c>
      <c r="F21" s="159">
        <v>1</v>
      </c>
      <c r="G21" s="159">
        <v>3</v>
      </c>
      <c r="H21" s="58" t="s">
        <v>41</v>
      </c>
      <c r="I21" s="94">
        <v>19540</v>
      </c>
      <c r="J21" s="59">
        <v>12792</v>
      </c>
      <c r="K21" s="59">
        <v>8112</v>
      </c>
      <c r="L21" s="60">
        <v>8</v>
      </c>
      <c r="M21" s="94">
        <f t="shared" si="5"/>
        <v>40444</v>
      </c>
      <c r="N21" s="109">
        <v>30000</v>
      </c>
      <c r="O21" s="61">
        <f t="shared" si="1"/>
        <v>6000</v>
      </c>
      <c r="P21" s="137"/>
      <c r="Q21" s="139"/>
    </row>
    <row r="22" spans="1:18" ht="15.75" customHeight="1">
      <c r="A22" s="130" t="s">
        <v>254</v>
      </c>
      <c r="B22" s="130" t="s">
        <v>46</v>
      </c>
      <c r="C22" s="162">
        <v>1.25</v>
      </c>
      <c r="D22" s="162">
        <v>10</v>
      </c>
      <c r="E22" s="162">
        <v>4</v>
      </c>
      <c r="F22" s="162">
        <v>1</v>
      </c>
      <c r="G22" s="162">
        <v>3</v>
      </c>
      <c r="H22" s="130" t="s">
        <v>41</v>
      </c>
      <c r="I22" s="93">
        <v>19540</v>
      </c>
      <c r="J22" s="14">
        <v>12792</v>
      </c>
      <c r="K22" s="14">
        <v>8112</v>
      </c>
      <c r="L22" s="15">
        <v>8</v>
      </c>
      <c r="M22" s="93">
        <f t="shared" si="5"/>
        <v>40444</v>
      </c>
      <c r="N22" s="110">
        <v>30000</v>
      </c>
      <c r="O22" s="77">
        <f t="shared" si="1"/>
        <v>6000</v>
      </c>
      <c r="P22" s="137"/>
      <c r="Q22" s="139"/>
    </row>
    <row r="23" spans="1:18" ht="15.75" customHeight="1">
      <c r="A23" s="58" t="s">
        <v>253</v>
      </c>
      <c r="B23" s="58" t="s">
        <v>47</v>
      </c>
      <c r="C23" s="159">
        <v>4.5</v>
      </c>
      <c r="D23" s="159">
        <v>20</v>
      </c>
      <c r="E23" s="159">
        <v>8</v>
      </c>
      <c r="F23" s="159">
        <v>2</v>
      </c>
      <c r="G23" s="159">
        <v>6</v>
      </c>
      <c r="H23" s="58" t="s">
        <v>41</v>
      </c>
      <c r="I23" s="94">
        <v>30278</v>
      </c>
      <c r="J23" s="65">
        <v>17112</v>
      </c>
      <c r="K23" s="65">
        <v>14262</v>
      </c>
      <c r="L23" s="67">
        <v>14</v>
      </c>
      <c r="M23" s="94">
        <f t="shared" si="0"/>
        <v>61652</v>
      </c>
      <c r="N23" s="109">
        <v>30000</v>
      </c>
      <c r="O23" s="61">
        <f t="shared" si="1"/>
        <v>6000</v>
      </c>
      <c r="P23" s="137"/>
      <c r="Q23" s="139"/>
    </row>
    <row r="24" spans="1:18" ht="15.75" customHeight="1">
      <c r="A24" s="130" t="s">
        <v>248</v>
      </c>
      <c r="B24" s="130" t="s">
        <v>33</v>
      </c>
      <c r="C24" s="162">
        <v>5</v>
      </c>
      <c r="D24" s="162">
        <v>10</v>
      </c>
      <c r="E24" s="162">
        <v>3</v>
      </c>
      <c r="F24" s="162">
        <v>1</v>
      </c>
      <c r="G24" s="162">
        <v>2</v>
      </c>
      <c r="H24" s="130" t="s">
        <v>8</v>
      </c>
      <c r="I24" s="93">
        <v>15960</v>
      </c>
      <c r="J24" s="14">
        <v>11352</v>
      </c>
      <c r="K24" s="14">
        <v>6062</v>
      </c>
      <c r="L24" s="15">
        <v>6</v>
      </c>
      <c r="M24" s="93">
        <f t="shared" ref="M24:M28" si="7">I24+J24+K24</f>
        <v>33374</v>
      </c>
      <c r="N24" s="110">
        <v>30000</v>
      </c>
      <c r="O24" s="77">
        <f t="shared" si="1"/>
        <v>6000</v>
      </c>
      <c r="P24" s="137"/>
      <c r="Q24" s="139"/>
    </row>
    <row r="25" spans="1:18" ht="15.75" customHeight="1">
      <c r="A25" s="58" t="s">
        <v>249</v>
      </c>
      <c r="B25" s="58" t="s">
        <v>33</v>
      </c>
      <c r="C25" s="159">
        <v>2.4</v>
      </c>
      <c r="D25" s="159">
        <v>10</v>
      </c>
      <c r="E25" s="159">
        <v>3</v>
      </c>
      <c r="F25" s="159">
        <v>1</v>
      </c>
      <c r="G25" s="159">
        <v>2</v>
      </c>
      <c r="H25" s="58"/>
      <c r="I25" s="94">
        <v>15960</v>
      </c>
      <c r="J25" s="59">
        <v>11352</v>
      </c>
      <c r="K25" s="59">
        <v>6062</v>
      </c>
      <c r="L25" s="60">
        <v>6</v>
      </c>
      <c r="M25" s="94">
        <f t="shared" si="7"/>
        <v>33374</v>
      </c>
      <c r="N25" s="109">
        <v>30000</v>
      </c>
      <c r="O25" s="61">
        <f t="shared" si="1"/>
        <v>6000</v>
      </c>
      <c r="P25" s="137"/>
      <c r="Q25" s="139"/>
    </row>
    <row r="26" spans="1:18" ht="15.75" customHeight="1">
      <c r="A26" s="130" t="s">
        <v>38</v>
      </c>
      <c r="B26" s="130" t="s">
        <v>37</v>
      </c>
      <c r="C26" s="162">
        <v>5</v>
      </c>
      <c r="D26" s="162">
        <v>10</v>
      </c>
      <c r="E26" s="162">
        <v>3</v>
      </c>
      <c r="F26" s="162">
        <v>1</v>
      </c>
      <c r="G26" s="162">
        <v>2</v>
      </c>
      <c r="H26" s="130" t="s">
        <v>15</v>
      </c>
      <c r="I26" s="93">
        <v>15960</v>
      </c>
      <c r="J26" s="14">
        <v>11352</v>
      </c>
      <c r="K26" s="14">
        <v>6062</v>
      </c>
      <c r="L26" s="15">
        <v>6</v>
      </c>
      <c r="M26" s="93">
        <f t="shared" si="7"/>
        <v>33374</v>
      </c>
      <c r="N26" s="110">
        <v>30000</v>
      </c>
      <c r="O26" s="77">
        <f t="shared" si="1"/>
        <v>6000</v>
      </c>
      <c r="P26" s="137"/>
      <c r="Q26" s="139"/>
    </row>
    <row r="27" spans="1:18" ht="15.75" customHeight="1">
      <c r="A27" s="58" t="s">
        <v>252</v>
      </c>
      <c r="B27" s="58" t="s">
        <v>251</v>
      </c>
      <c r="C27" s="159">
        <v>2.5</v>
      </c>
      <c r="D27" s="159">
        <v>10</v>
      </c>
      <c r="E27" s="159">
        <v>3</v>
      </c>
      <c r="F27" s="159">
        <v>1</v>
      </c>
      <c r="G27" s="159">
        <v>2</v>
      </c>
      <c r="H27" s="58"/>
      <c r="I27" s="94">
        <v>15960</v>
      </c>
      <c r="J27" s="59">
        <v>11352</v>
      </c>
      <c r="K27" s="59">
        <v>6062</v>
      </c>
      <c r="L27" s="60">
        <v>6</v>
      </c>
      <c r="M27" s="94">
        <f t="shared" si="7"/>
        <v>33374</v>
      </c>
      <c r="N27" s="109">
        <v>30000</v>
      </c>
      <c r="O27" s="61">
        <f t="shared" si="1"/>
        <v>6000</v>
      </c>
      <c r="P27" s="137"/>
      <c r="Q27" s="139"/>
    </row>
    <row r="28" spans="1:18" ht="15.75" customHeight="1" thickBot="1">
      <c r="A28" s="47" t="s">
        <v>44</v>
      </c>
      <c r="B28" s="47" t="s">
        <v>43</v>
      </c>
      <c r="C28" s="163">
        <v>3</v>
      </c>
      <c r="D28" s="163">
        <v>11.28</v>
      </c>
      <c r="E28" s="163">
        <v>3</v>
      </c>
      <c r="F28" s="163">
        <v>1</v>
      </c>
      <c r="G28" s="163">
        <v>2</v>
      </c>
      <c r="H28" s="47" t="s">
        <v>41</v>
      </c>
      <c r="I28" s="100">
        <v>15960</v>
      </c>
      <c r="J28" s="48">
        <v>11352</v>
      </c>
      <c r="K28" s="48">
        <v>6062</v>
      </c>
      <c r="L28" s="49">
        <v>6</v>
      </c>
      <c r="M28" s="100">
        <f t="shared" si="7"/>
        <v>33374</v>
      </c>
      <c r="N28" s="111">
        <v>30000</v>
      </c>
      <c r="O28" s="50">
        <f t="shared" si="1"/>
        <v>6000</v>
      </c>
      <c r="P28" s="138"/>
      <c r="Q28" s="140"/>
      <c r="R28" s="79" t="s">
        <v>275</v>
      </c>
    </row>
    <row r="29" spans="1:18" ht="15.75" customHeight="1">
      <c r="B29" s="71" t="s">
        <v>250</v>
      </c>
      <c r="C29" s="164">
        <f>SUM(C4:C28)</f>
        <v>125</v>
      </c>
      <c r="D29" s="164">
        <f>SUM(D4:D28)</f>
        <v>430.28</v>
      </c>
      <c r="E29" s="164">
        <f>SUM(E4:E28)</f>
        <v>125</v>
      </c>
      <c r="F29" s="164">
        <f>SUM(F4:F28)</f>
        <v>33</v>
      </c>
      <c r="G29" s="164">
        <f>SUM(G4:G28)</f>
        <v>92</v>
      </c>
      <c r="H29" s="72"/>
      <c r="I29" s="85">
        <f t="shared" ref="I29:L29" si="8">SUM(I4:I28)</f>
        <v>549345</v>
      </c>
      <c r="J29" s="85">
        <f t="shared" si="8"/>
        <v>344280</v>
      </c>
      <c r="K29" s="85">
        <f t="shared" si="8"/>
        <v>237650</v>
      </c>
      <c r="L29" s="85">
        <f t="shared" si="8"/>
        <v>234</v>
      </c>
      <c r="M29" s="85">
        <f>SUM(M4:M28)</f>
        <v>1131275</v>
      </c>
      <c r="N29" s="85">
        <f>SUM(N4:N28)</f>
        <v>675000</v>
      </c>
      <c r="O29" s="85"/>
      <c r="P29" s="85">
        <f>P4</f>
        <v>60000</v>
      </c>
      <c r="Q29" s="72"/>
      <c r="R29" s="85">
        <f>M29+N29+P29</f>
        <v>1866275</v>
      </c>
    </row>
    <row r="30" spans="1:18" ht="15.75" customHeight="1" thickBo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3"/>
      <c r="M30" s="52"/>
      <c r="N30" s="54"/>
      <c r="O30" s="54"/>
    </row>
    <row r="31" spans="1:18" ht="15.75" customHeight="1">
      <c r="A31" s="10" t="s">
        <v>256</v>
      </c>
      <c r="B31" s="10" t="s">
        <v>13</v>
      </c>
      <c r="C31" s="165">
        <v>6.5</v>
      </c>
      <c r="D31" s="165">
        <v>20</v>
      </c>
      <c r="E31" s="165">
        <v>5</v>
      </c>
      <c r="F31" s="165">
        <v>1</v>
      </c>
      <c r="G31" s="165">
        <v>4</v>
      </c>
      <c r="H31" s="10" t="s">
        <v>8</v>
      </c>
      <c r="I31" s="101">
        <v>23119</v>
      </c>
      <c r="J31" s="102">
        <v>14232</v>
      </c>
      <c r="K31" s="102">
        <v>10162</v>
      </c>
      <c r="L31" s="103">
        <v>10</v>
      </c>
      <c r="M31" s="118">
        <f t="shared" ref="M31:M36" si="9">I31+J31+K31</f>
        <v>47513</v>
      </c>
      <c r="N31" s="112">
        <v>30000</v>
      </c>
      <c r="O31" s="17">
        <f t="shared" ref="O31:O37" si="10">N31*0.2</f>
        <v>6000</v>
      </c>
      <c r="P31" s="137">
        <v>60000</v>
      </c>
      <c r="Q31" s="139">
        <v>12000</v>
      </c>
    </row>
    <row r="32" spans="1:18" ht="15.75" customHeight="1">
      <c r="A32" s="64" t="s">
        <v>257</v>
      </c>
      <c r="B32" s="64" t="s">
        <v>17</v>
      </c>
      <c r="C32" s="166">
        <v>5</v>
      </c>
      <c r="D32" s="166">
        <v>20</v>
      </c>
      <c r="E32" s="166">
        <v>5</v>
      </c>
      <c r="F32" s="166">
        <v>1</v>
      </c>
      <c r="G32" s="166">
        <v>4</v>
      </c>
      <c r="H32" s="64" t="s">
        <v>18</v>
      </c>
      <c r="I32" s="92">
        <v>23119</v>
      </c>
      <c r="J32" s="68">
        <v>14232</v>
      </c>
      <c r="K32" s="68">
        <v>10162</v>
      </c>
      <c r="L32" s="69">
        <v>10</v>
      </c>
      <c r="M32" s="92">
        <f t="shared" ref="M32" si="11">I32+J32+K32</f>
        <v>47513</v>
      </c>
      <c r="N32" s="113">
        <v>30000</v>
      </c>
      <c r="O32" s="129">
        <f t="shared" si="10"/>
        <v>6000</v>
      </c>
      <c r="P32" s="137"/>
      <c r="Q32" s="139"/>
    </row>
    <row r="33" spans="1:18" ht="15.75" customHeight="1">
      <c r="A33" s="13" t="s">
        <v>258</v>
      </c>
      <c r="B33" s="13" t="s">
        <v>16</v>
      </c>
      <c r="C33" s="160">
        <v>25</v>
      </c>
      <c r="D33" s="160">
        <v>100</v>
      </c>
      <c r="E33" s="160">
        <v>23</v>
      </c>
      <c r="F33" s="160">
        <v>3</v>
      </c>
      <c r="G33" s="160">
        <v>20</v>
      </c>
      <c r="H33" s="13" t="s">
        <v>15</v>
      </c>
      <c r="I33" s="93">
        <v>84018</v>
      </c>
      <c r="J33" s="14">
        <v>40152</v>
      </c>
      <c r="K33" s="14">
        <v>42962</v>
      </c>
      <c r="L33" s="15">
        <v>42</v>
      </c>
      <c r="M33" s="93">
        <f t="shared" si="9"/>
        <v>167132</v>
      </c>
      <c r="N33" s="107">
        <v>30000</v>
      </c>
      <c r="O33" s="16">
        <f t="shared" si="10"/>
        <v>6000</v>
      </c>
      <c r="P33" s="137"/>
      <c r="Q33" s="139"/>
    </row>
    <row r="34" spans="1:18" ht="15.75" customHeight="1">
      <c r="A34" s="64" t="s">
        <v>259</v>
      </c>
      <c r="B34" s="64" t="s">
        <v>14</v>
      </c>
      <c r="C34" s="166">
        <v>8</v>
      </c>
      <c r="D34" s="166">
        <v>60</v>
      </c>
      <c r="E34" s="166">
        <v>14</v>
      </c>
      <c r="F34" s="166">
        <v>2</v>
      </c>
      <c r="G34" s="166">
        <v>12</v>
      </c>
      <c r="H34" s="64" t="s">
        <v>15</v>
      </c>
      <c r="I34" s="104">
        <v>53569</v>
      </c>
      <c r="J34" s="105">
        <v>27192</v>
      </c>
      <c r="K34" s="105">
        <v>26562</v>
      </c>
      <c r="L34" s="106">
        <v>26</v>
      </c>
      <c r="M34" s="104">
        <f t="shared" si="9"/>
        <v>107323</v>
      </c>
      <c r="N34" s="113">
        <v>30000</v>
      </c>
      <c r="O34" s="129">
        <f t="shared" si="10"/>
        <v>6000</v>
      </c>
      <c r="P34" s="137"/>
      <c r="Q34" s="139"/>
    </row>
    <row r="35" spans="1:18" ht="15.75" customHeight="1">
      <c r="A35" s="13" t="s">
        <v>260</v>
      </c>
      <c r="B35" s="13" t="s">
        <v>23</v>
      </c>
      <c r="C35" s="160">
        <v>5</v>
      </c>
      <c r="D35" s="160">
        <v>15</v>
      </c>
      <c r="E35" s="160">
        <v>5</v>
      </c>
      <c r="F35" s="160">
        <v>2</v>
      </c>
      <c r="G35" s="160">
        <v>3</v>
      </c>
      <c r="H35" s="13" t="s">
        <v>24</v>
      </c>
      <c r="I35" s="94">
        <v>19540</v>
      </c>
      <c r="J35" s="59">
        <v>12792</v>
      </c>
      <c r="K35" s="59">
        <v>8112</v>
      </c>
      <c r="L35" s="60">
        <v>8</v>
      </c>
      <c r="M35" s="94">
        <f t="shared" si="9"/>
        <v>40444</v>
      </c>
      <c r="N35" s="107">
        <v>30000</v>
      </c>
      <c r="O35" s="16">
        <f t="shared" si="10"/>
        <v>6000</v>
      </c>
      <c r="P35" s="137"/>
      <c r="Q35" s="139"/>
    </row>
    <row r="36" spans="1:18" ht="15.75" customHeight="1">
      <c r="A36" s="64" t="s">
        <v>261</v>
      </c>
      <c r="B36" s="64" t="s">
        <v>25</v>
      </c>
      <c r="C36" s="166">
        <v>2.5</v>
      </c>
      <c r="D36" s="166">
        <v>8</v>
      </c>
      <c r="E36" s="166">
        <v>3</v>
      </c>
      <c r="F36" s="166">
        <v>1</v>
      </c>
      <c r="G36" s="166">
        <v>2</v>
      </c>
      <c r="H36" s="64" t="s">
        <v>24</v>
      </c>
      <c r="I36" s="94">
        <v>15960</v>
      </c>
      <c r="J36" s="59">
        <v>11352</v>
      </c>
      <c r="K36" s="59">
        <v>6062</v>
      </c>
      <c r="L36" s="60">
        <v>6</v>
      </c>
      <c r="M36" s="116">
        <f t="shared" si="9"/>
        <v>33374</v>
      </c>
      <c r="N36" s="113">
        <f>$N$3</f>
        <v>15000</v>
      </c>
      <c r="O36" s="129">
        <f t="shared" si="10"/>
        <v>3000</v>
      </c>
      <c r="P36" s="137"/>
      <c r="Q36" s="139"/>
    </row>
    <row r="37" spans="1:18" ht="15.75" customHeight="1">
      <c r="A37" s="13" t="s">
        <v>262</v>
      </c>
      <c r="B37" s="13" t="s">
        <v>267</v>
      </c>
      <c r="C37" s="160">
        <v>7</v>
      </c>
      <c r="D37" s="160">
        <v>20</v>
      </c>
      <c r="E37" s="160">
        <v>5</v>
      </c>
      <c r="F37" s="160">
        <v>1</v>
      </c>
      <c r="G37" s="160">
        <v>4</v>
      </c>
      <c r="H37" s="13">
        <v>2028</v>
      </c>
      <c r="I37" s="91">
        <v>23119</v>
      </c>
      <c r="J37" s="11">
        <v>14232</v>
      </c>
      <c r="K37" s="11">
        <v>10162</v>
      </c>
      <c r="L37" s="12">
        <v>10</v>
      </c>
      <c r="M37" s="91">
        <f t="shared" ref="M37" si="12">I37+J37+K37</f>
        <v>47513</v>
      </c>
      <c r="N37" s="107">
        <v>30000</v>
      </c>
      <c r="O37" s="16">
        <f t="shared" si="10"/>
        <v>6000</v>
      </c>
      <c r="P37" s="137"/>
      <c r="Q37" s="139"/>
    </row>
    <row r="38" spans="1:18" ht="15.75" customHeight="1">
      <c r="A38" s="64" t="s">
        <v>263</v>
      </c>
      <c r="B38" s="64" t="s">
        <v>268</v>
      </c>
      <c r="C38" s="166">
        <v>2.5</v>
      </c>
      <c r="D38" s="166">
        <v>7.5</v>
      </c>
      <c r="E38" s="166">
        <v>3</v>
      </c>
      <c r="F38" s="166">
        <v>1</v>
      </c>
      <c r="G38" s="166">
        <v>2</v>
      </c>
      <c r="H38" s="64">
        <v>2028</v>
      </c>
      <c r="I38" s="94">
        <v>15960</v>
      </c>
      <c r="J38" s="59">
        <v>11352</v>
      </c>
      <c r="K38" s="59">
        <v>6062</v>
      </c>
      <c r="L38" s="60">
        <v>6</v>
      </c>
      <c r="M38" s="94">
        <f t="shared" ref="M38:M39" si="13">I38+J38+K38</f>
        <v>33374</v>
      </c>
      <c r="N38" s="109">
        <f>$N$3</f>
        <v>15000</v>
      </c>
      <c r="O38" s="61">
        <f>N38*0.2</f>
        <v>3000</v>
      </c>
      <c r="P38" s="137"/>
      <c r="Q38" s="139"/>
    </row>
    <row r="39" spans="1:18" ht="15.75" customHeight="1">
      <c r="A39" s="13" t="s">
        <v>264</v>
      </c>
      <c r="B39" s="13" t="s">
        <v>269</v>
      </c>
      <c r="C39" s="160">
        <v>7.5</v>
      </c>
      <c r="D39" s="160">
        <v>25</v>
      </c>
      <c r="E39" s="160">
        <v>7</v>
      </c>
      <c r="F39" s="160">
        <v>2</v>
      </c>
      <c r="G39" s="160">
        <v>5</v>
      </c>
      <c r="H39" s="13">
        <v>2028</v>
      </c>
      <c r="I39" s="93">
        <v>26699</v>
      </c>
      <c r="J39" s="14">
        <v>15672</v>
      </c>
      <c r="K39" s="14">
        <v>12212</v>
      </c>
      <c r="L39" s="15">
        <v>12</v>
      </c>
      <c r="M39" s="117">
        <f t="shared" si="13"/>
        <v>54583</v>
      </c>
      <c r="N39" s="107">
        <v>30000</v>
      </c>
      <c r="O39" s="16">
        <f>N39*0.2</f>
        <v>6000</v>
      </c>
      <c r="P39" s="137"/>
      <c r="Q39" s="139"/>
    </row>
    <row r="40" spans="1:18" ht="15.75" customHeight="1">
      <c r="A40" s="64" t="s">
        <v>265</v>
      </c>
      <c r="B40" s="64" t="s">
        <v>270</v>
      </c>
      <c r="C40" s="166">
        <v>6</v>
      </c>
      <c r="D40" s="166">
        <v>20</v>
      </c>
      <c r="E40" s="166">
        <v>5</v>
      </c>
      <c r="F40" s="166">
        <v>1</v>
      </c>
      <c r="G40" s="166">
        <v>4</v>
      </c>
      <c r="H40" s="64">
        <v>2028</v>
      </c>
      <c r="I40" s="92">
        <v>23119</v>
      </c>
      <c r="J40" s="68">
        <v>14232</v>
      </c>
      <c r="K40" s="68">
        <v>10162</v>
      </c>
      <c r="L40" s="69">
        <v>10</v>
      </c>
      <c r="M40" s="92">
        <f t="shared" ref="M40" si="14">I40+J40+K40</f>
        <v>47513</v>
      </c>
      <c r="N40" s="113">
        <v>30000</v>
      </c>
      <c r="O40" s="129">
        <f>N40*0.2</f>
        <v>6000</v>
      </c>
      <c r="P40" s="137"/>
      <c r="Q40" s="139"/>
    </row>
    <row r="41" spans="1:18" ht="15.75" customHeight="1" thickBot="1">
      <c r="A41" s="47" t="s">
        <v>266</v>
      </c>
      <c r="B41" s="47" t="s">
        <v>271</v>
      </c>
      <c r="C41" s="163">
        <v>4.5</v>
      </c>
      <c r="D41" s="163">
        <v>15</v>
      </c>
      <c r="E41" s="163">
        <v>4</v>
      </c>
      <c r="F41" s="163">
        <v>1</v>
      </c>
      <c r="G41" s="163">
        <v>3</v>
      </c>
      <c r="H41" s="47">
        <v>2028</v>
      </c>
      <c r="I41" s="100">
        <v>19540</v>
      </c>
      <c r="J41" s="48">
        <v>12792</v>
      </c>
      <c r="K41" s="48">
        <v>8112</v>
      </c>
      <c r="L41" s="49">
        <v>8</v>
      </c>
      <c r="M41" s="100">
        <f t="shared" ref="M41" si="15">I41+J41+K41</f>
        <v>40444</v>
      </c>
      <c r="N41" s="111">
        <v>30000</v>
      </c>
      <c r="O41" s="50">
        <f>N41*0.2</f>
        <v>6000</v>
      </c>
      <c r="P41" s="138"/>
      <c r="Q41" s="140"/>
      <c r="R41" s="79" t="s">
        <v>275</v>
      </c>
    </row>
    <row r="42" spans="1:18" ht="15.75" customHeight="1">
      <c r="A42" s="6"/>
      <c r="B42" s="83" t="s">
        <v>272</v>
      </c>
      <c r="C42" s="167">
        <f>SUM(C31:C41)</f>
        <v>79.5</v>
      </c>
      <c r="D42" s="167">
        <f>SUM(D31:D41)</f>
        <v>310.5</v>
      </c>
      <c r="E42" s="167">
        <f>SUM(E31:E41)</f>
        <v>79</v>
      </c>
      <c r="F42" s="167">
        <f>SUM(F31:F41)</f>
        <v>16</v>
      </c>
      <c r="G42" s="167">
        <f>SUM(G31:G41)</f>
        <v>63</v>
      </c>
      <c r="H42" s="84"/>
      <c r="I42" s="86">
        <f t="shared" ref="I42:L42" si="16">SUM(I31:I41)</f>
        <v>327762</v>
      </c>
      <c r="J42" s="86">
        <f t="shared" si="16"/>
        <v>188232</v>
      </c>
      <c r="K42" s="86">
        <f t="shared" si="16"/>
        <v>150732</v>
      </c>
      <c r="L42" s="86">
        <f t="shared" si="16"/>
        <v>148</v>
      </c>
      <c r="M42" s="86">
        <f>SUM(M31:M41)</f>
        <v>666726</v>
      </c>
      <c r="N42" s="86">
        <f>SUM(N31:N41)</f>
        <v>300000</v>
      </c>
      <c r="O42" s="86"/>
      <c r="P42" s="86">
        <f t="shared" ref="P42" si="17">SUM(P31:P41)</f>
        <v>60000</v>
      </c>
      <c r="Q42" s="71"/>
      <c r="R42" s="85">
        <f>M42+N42+P42</f>
        <v>1026726</v>
      </c>
    </row>
    <row r="43" spans="1:18" ht="15.75" customHeight="1" thickBot="1">
      <c r="A43" s="44"/>
      <c r="B43" s="44"/>
      <c r="C43" s="44"/>
      <c r="D43" s="44"/>
      <c r="E43" s="44"/>
      <c r="F43" s="44"/>
      <c r="G43" s="44"/>
      <c r="H43" s="44"/>
      <c r="I43" s="55"/>
      <c r="J43" s="55"/>
      <c r="K43" s="55"/>
      <c r="L43" s="56"/>
      <c r="M43" s="55"/>
      <c r="N43" s="54"/>
      <c r="O43" s="54"/>
    </row>
    <row r="44" spans="1:18" ht="15.75" customHeight="1">
      <c r="A44" s="10" t="s">
        <v>53</v>
      </c>
      <c r="B44" s="10" t="s">
        <v>55</v>
      </c>
      <c r="C44" s="165">
        <v>1</v>
      </c>
      <c r="D44" s="165">
        <v>4</v>
      </c>
      <c r="E44" s="165">
        <v>2</v>
      </c>
      <c r="F44" s="165">
        <v>1</v>
      </c>
      <c r="G44" s="165">
        <v>1</v>
      </c>
      <c r="H44" s="10" t="s">
        <v>41</v>
      </c>
      <c r="I44" s="91">
        <v>12380</v>
      </c>
      <c r="J44" s="11">
        <v>9912</v>
      </c>
      <c r="K44" s="11">
        <v>4012</v>
      </c>
      <c r="L44" s="12">
        <v>4</v>
      </c>
      <c r="M44" s="101">
        <f t="shared" ref="M44:M50" si="18">I44+J44+K44</f>
        <v>26304</v>
      </c>
      <c r="N44" s="112">
        <f>$N$3</f>
        <v>15000</v>
      </c>
      <c r="O44" s="17">
        <f t="shared" ref="O44:O49" si="19">N44*0.2</f>
        <v>3000</v>
      </c>
      <c r="P44" s="137">
        <v>60000</v>
      </c>
      <c r="Q44" s="139">
        <v>12000</v>
      </c>
    </row>
    <row r="45" spans="1:18" ht="15.75" customHeight="1">
      <c r="A45" s="6" t="s">
        <v>53</v>
      </c>
      <c r="B45" s="6" t="s">
        <v>54</v>
      </c>
      <c r="C45" s="168">
        <v>1.5</v>
      </c>
      <c r="D45" s="168">
        <v>5</v>
      </c>
      <c r="E45" s="168">
        <v>2</v>
      </c>
      <c r="F45" s="168">
        <v>1</v>
      </c>
      <c r="G45" s="166">
        <v>1</v>
      </c>
      <c r="H45" s="64" t="s">
        <v>41</v>
      </c>
      <c r="I45" s="92">
        <v>12380</v>
      </c>
      <c r="J45" s="68">
        <v>9912</v>
      </c>
      <c r="K45" s="68">
        <v>4012</v>
      </c>
      <c r="L45" s="69">
        <v>4</v>
      </c>
      <c r="M45" s="104">
        <f t="shared" si="18"/>
        <v>26304</v>
      </c>
      <c r="N45" s="113">
        <f>$N$3</f>
        <v>15000</v>
      </c>
      <c r="O45" s="9">
        <f t="shared" si="19"/>
        <v>3000</v>
      </c>
      <c r="P45" s="137"/>
      <c r="Q45" s="139"/>
    </row>
    <row r="46" spans="1:18" ht="15.75" customHeight="1">
      <c r="A46" s="13" t="s">
        <v>53</v>
      </c>
      <c r="B46" s="13" t="s">
        <v>52</v>
      </c>
      <c r="C46" s="160">
        <v>5</v>
      </c>
      <c r="D46" s="160">
        <v>15</v>
      </c>
      <c r="E46" s="160">
        <v>4</v>
      </c>
      <c r="F46" s="160">
        <v>1</v>
      </c>
      <c r="G46" s="160">
        <v>3</v>
      </c>
      <c r="H46" s="13" t="s">
        <v>41</v>
      </c>
      <c r="I46" s="93">
        <v>19540</v>
      </c>
      <c r="J46" s="14">
        <v>12792</v>
      </c>
      <c r="K46" s="14">
        <v>8112</v>
      </c>
      <c r="L46" s="15">
        <v>8</v>
      </c>
      <c r="M46" s="93">
        <f t="shared" si="18"/>
        <v>40444</v>
      </c>
      <c r="N46" s="107">
        <v>30000</v>
      </c>
      <c r="O46" s="16">
        <f t="shared" si="19"/>
        <v>6000</v>
      </c>
      <c r="P46" s="137"/>
      <c r="Q46" s="139"/>
    </row>
    <row r="47" spans="1:18" ht="15.75" customHeight="1">
      <c r="A47" s="6" t="s">
        <v>53</v>
      </c>
      <c r="B47" s="6" t="s">
        <v>56</v>
      </c>
      <c r="C47" s="168">
        <v>1.5</v>
      </c>
      <c r="D47" s="168">
        <v>5</v>
      </c>
      <c r="E47" s="168">
        <v>2</v>
      </c>
      <c r="F47" s="168">
        <v>1</v>
      </c>
      <c r="G47" s="166">
        <v>1</v>
      </c>
      <c r="H47" s="64" t="s">
        <v>41</v>
      </c>
      <c r="I47" s="92">
        <v>12380</v>
      </c>
      <c r="J47" s="68">
        <v>9912</v>
      </c>
      <c r="K47" s="68">
        <v>4012</v>
      </c>
      <c r="L47" s="69">
        <v>4</v>
      </c>
      <c r="M47" s="104">
        <f t="shared" si="18"/>
        <v>26304</v>
      </c>
      <c r="N47" s="114">
        <f>$N$3</f>
        <v>15000</v>
      </c>
      <c r="O47" s="9">
        <f t="shared" si="19"/>
        <v>3000</v>
      </c>
      <c r="P47" s="137"/>
      <c r="Q47" s="139"/>
    </row>
    <row r="48" spans="1:18" ht="15.75" customHeight="1">
      <c r="A48" s="13" t="s">
        <v>53</v>
      </c>
      <c r="B48" s="13" t="s">
        <v>57</v>
      </c>
      <c r="C48" s="160">
        <v>1</v>
      </c>
      <c r="D48" s="160">
        <v>4</v>
      </c>
      <c r="E48" s="160">
        <v>2</v>
      </c>
      <c r="F48" s="160">
        <v>1</v>
      </c>
      <c r="G48" s="160">
        <v>1</v>
      </c>
      <c r="H48" s="13" t="s">
        <v>41</v>
      </c>
      <c r="I48" s="91">
        <v>12380</v>
      </c>
      <c r="J48" s="11">
        <v>9912</v>
      </c>
      <c r="K48" s="11">
        <v>4012</v>
      </c>
      <c r="L48" s="12">
        <v>4</v>
      </c>
      <c r="M48" s="93">
        <f t="shared" si="18"/>
        <v>26304</v>
      </c>
      <c r="N48" s="107">
        <f>$N$3</f>
        <v>15000</v>
      </c>
      <c r="O48" s="16">
        <f t="shared" si="19"/>
        <v>3000</v>
      </c>
      <c r="P48" s="137"/>
      <c r="Q48" s="139"/>
    </row>
    <row r="49" spans="1:18" ht="15.75" customHeight="1">
      <c r="A49" s="6" t="s">
        <v>59</v>
      </c>
      <c r="B49" s="6" t="s">
        <v>62</v>
      </c>
      <c r="C49" s="168">
        <v>8</v>
      </c>
      <c r="D49" s="168">
        <v>24</v>
      </c>
      <c r="E49" s="168">
        <v>7</v>
      </c>
      <c r="F49" s="168">
        <v>2</v>
      </c>
      <c r="G49" s="166">
        <v>5</v>
      </c>
      <c r="H49" s="64" t="s">
        <v>41</v>
      </c>
      <c r="I49" s="94">
        <v>26699</v>
      </c>
      <c r="J49" s="59">
        <v>15672</v>
      </c>
      <c r="K49" s="59">
        <v>12212</v>
      </c>
      <c r="L49" s="60">
        <v>12</v>
      </c>
      <c r="M49" s="94">
        <f t="shared" si="18"/>
        <v>54583</v>
      </c>
      <c r="N49" s="114">
        <v>30000</v>
      </c>
      <c r="O49" s="9">
        <f t="shared" si="19"/>
        <v>6000</v>
      </c>
      <c r="P49" s="137"/>
      <c r="Q49" s="139"/>
    </row>
    <row r="50" spans="1:18" ht="15.75" customHeight="1">
      <c r="A50" s="13" t="s">
        <v>59</v>
      </c>
      <c r="B50" s="13" t="s">
        <v>58</v>
      </c>
      <c r="C50" s="160">
        <v>5</v>
      </c>
      <c r="D50" s="160">
        <v>15</v>
      </c>
      <c r="E50" s="160">
        <v>4</v>
      </c>
      <c r="F50" s="160">
        <v>1</v>
      </c>
      <c r="G50" s="160">
        <v>3</v>
      </c>
      <c r="H50" s="13" t="s">
        <v>41</v>
      </c>
      <c r="I50" s="93">
        <v>19540</v>
      </c>
      <c r="J50" s="14">
        <v>12792</v>
      </c>
      <c r="K50" s="14">
        <v>8112</v>
      </c>
      <c r="L50" s="15">
        <v>8</v>
      </c>
      <c r="M50" s="93">
        <f t="shared" si="18"/>
        <v>40444</v>
      </c>
      <c r="N50" s="107">
        <v>30000</v>
      </c>
      <c r="O50" s="16">
        <f t="shared" ref="O50:O52" si="20">N50*0.2</f>
        <v>6000</v>
      </c>
      <c r="P50" s="137"/>
      <c r="Q50" s="139"/>
    </row>
    <row r="51" spans="1:18" ht="15.75" customHeight="1">
      <c r="A51" s="6" t="s">
        <v>59</v>
      </c>
      <c r="B51" s="6" t="s">
        <v>60</v>
      </c>
      <c r="C51" s="168">
        <v>1.5</v>
      </c>
      <c r="D51" s="168">
        <v>5</v>
      </c>
      <c r="E51" s="168">
        <v>2</v>
      </c>
      <c r="F51" s="168">
        <v>1</v>
      </c>
      <c r="G51" s="166">
        <v>1</v>
      </c>
      <c r="H51" s="64" t="s">
        <v>41</v>
      </c>
      <c r="I51" s="92">
        <v>12380</v>
      </c>
      <c r="J51" s="68">
        <v>9912</v>
      </c>
      <c r="K51" s="68">
        <v>4012</v>
      </c>
      <c r="L51" s="69">
        <v>4</v>
      </c>
      <c r="M51" s="104">
        <f t="shared" ref="M51:M52" si="21">I51+J51+K51</f>
        <v>26304</v>
      </c>
      <c r="N51" s="114">
        <f>$N$3</f>
        <v>15000</v>
      </c>
      <c r="O51" s="9">
        <f t="shared" si="20"/>
        <v>3000</v>
      </c>
      <c r="P51" s="137"/>
      <c r="Q51" s="139"/>
    </row>
    <row r="52" spans="1:18" ht="15.75" customHeight="1" thickBot="1">
      <c r="A52" s="47" t="s">
        <v>59</v>
      </c>
      <c r="B52" s="47" t="s">
        <v>61</v>
      </c>
      <c r="C52" s="163">
        <v>1</v>
      </c>
      <c r="D52" s="163">
        <v>4</v>
      </c>
      <c r="E52" s="163">
        <v>2</v>
      </c>
      <c r="F52" s="163">
        <v>1</v>
      </c>
      <c r="G52" s="163">
        <v>1</v>
      </c>
      <c r="H52" s="47" t="s">
        <v>41</v>
      </c>
      <c r="I52" s="126">
        <v>12380</v>
      </c>
      <c r="J52" s="127">
        <v>9912</v>
      </c>
      <c r="K52" s="127">
        <v>4012</v>
      </c>
      <c r="L52" s="128">
        <v>4</v>
      </c>
      <c r="M52" s="100">
        <f t="shared" si="21"/>
        <v>26304</v>
      </c>
      <c r="N52" s="111">
        <f>$N$3</f>
        <v>15000</v>
      </c>
      <c r="O52" s="50">
        <f t="shared" si="20"/>
        <v>3000</v>
      </c>
      <c r="P52" s="138"/>
      <c r="Q52" s="140"/>
      <c r="R52" s="79" t="s">
        <v>275</v>
      </c>
    </row>
    <row r="53" spans="1:18" ht="15.75" customHeight="1">
      <c r="B53" s="71" t="s">
        <v>273</v>
      </c>
      <c r="C53" s="164">
        <f>SUM(C44:C52)</f>
        <v>25.5</v>
      </c>
      <c r="D53" s="164">
        <f>SUM(D44:D52)</f>
        <v>81</v>
      </c>
      <c r="E53" s="164">
        <f t="shared" ref="E53:G53" si="22">SUM(E44:E52)</f>
        <v>27</v>
      </c>
      <c r="F53" s="164">
        <f t="shared" si="22"/>
        <v>10</v>
      </c>
      <c r="G53" s="164">
        <f t="shared" si="22"/>
        <v>17</v>
      </c>
      <c r="H53" s="72"/>
      <c r="I53" s="85">
        <f t="shared" ref="I53:L53" si="23">SUM(I44:I52)</f>
        <v>140059</v>
      </c>
      <c r="J53" s="85">
        <f t="shared" si="23"/>
        <v>100728</v>
      </c>
      <c r="K53" s="85">
        <f t="shared" si="23"/>
        <v>52508</v>
      </c>
      <c r="L53" s="85">
        <f t="shared" si="23"/>
        <v>52</v>
      </c>
      <c r="M53" s="85">
        <f>SUM(M44:M52)</f>
        <v>293295</v>
      </c>
      <c r="N53" s="85">
        <f t="shared" ref="N53:O53" si="24">SUM(N44:N52)</f>
        <v>180000</v>
      </c>
      <c r="O53" s="85"/>
      <c r="P53" s="85">
        <f>SUM(P44:P52)</f>
        <v>60000</v>
      </c>
      <c r="Q53" s="72"/>
      <c r="R53" s="85">
        <f>SUM(M53+N53+P53)</f>
        <v>533295</v>
      </c>
    </row>
    <row r="54" spans="1:18" ht="15.75" customHeight="1">
      <c r="G54"/>
    </row>
    <row r="55" spans="1:18" ht="15.75" customHeight="1" thickBo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3"/>
      <c r="M55" s="52"/>
      <c r="N55" s="54"/>
      <c r="O55" s="54"/>
    </row>
    <row r="56" spans="1:18" ht="15.75" customHeight="1">
      <c r="A56" s="10" t="s">
        <v>40</v>
      </c>
      <c r="B56" s="10" t="s">
        <v>39</v>
      </c>
      <c r="C56" s="165">
        <v>1.5</v>
      </c>
      <c r="D56" s="165">
        <v>5</v>
      </c>
      <c r="E56" s="165"/>
      <c r="F56" s="165">
        <v>1</v>
      </c>
      <c r="G56" s="165">
        <v>1</v>
      </c>
      <c r="H56" s="10" t="s">
        <v>41</v>
      </c>
      <c r="I56" s="91">
        <v>12380</v>
      </c>
      <c r="J56" s="11">
        <v>9912</v>
      </c>
      <c r="K56" s="11">
        <v>4012</v>
      </c>
      <c r="L56" s="12">
        <v>4</v>
      </c>
      <c r="M56" s="101">
        <f t="shared" ref="M56:M61" si="25">I56+J56+K56</f>
        <v>26304</v>
      </c>
      <c r="N56" s="112">
        <f t="shared" ref="N56:N61" si="26">$N$3</f>
        <v>15000</v>
      </c>
      <c r="O56" s="17">
        <f t="shared" ref="O56:O61" si="27">N56*0.2</f>
        <v>3000</v>
      </c>
    </row>
    <row r="57" spans="1:18" ht="15.75" customHeight="1">
      <c r="A57" s="6" t="s">
        <v>40</v>
      </c>
      <c r="B57" s="6" t="s">
        <v>42</v>
      </c>
      <c r="C57" s="168">
        <v>3.3</v>
      </c>
      <c r="D57" s="168">
        <v>10</v>
      </c>
      <c r="E57" s="168"/>
      <c r="F57" s="168">
        <v>1</v>
      </c>
      <c r="G57" s="168">
        <v>2</v>
      </c>
      <c r="H57" s="64" t="s">
        <v>41</v>
      </c>
      <c r="I57" s="94">
        <v>15960</v>
      </c>
      <c r="J57" s="59">
        <v>11352</v>
      </c>
      <c r="K57" s="59">
        <v>6062</v>
      </c>
      <c r="L57" s="60">
        <v>6</v>
      </c>
      <c r="M57" s="94">
        <f t="shared" si="25"/>
        <v>33374</v>
      </c>
      <c r="N57" s="114">
        <v>30000</v>
      </c>
      <c r="O57" s="9">
        <f t="shared" si="27"/>
        <v>6000</v>
      </c>
    </row>
    <row r="58" spans="1:18" ht="15.75" customHeight="1">
      <c r="A58" s="13" t="s">
        <v>49</v>
      </c>
      <c r="B58" s="13" t="s">
        <v>48</v>
      </c>
      <c r="C58" s="160">
        <v>2.5</v>
      </c>
      <c r="D58" s="160">
        <v>7.5</v>
      </c>
      <c r="E58" s="160"/>
      <c r="F58" s="160">
        <v>1</v>
      </c>
      <c r="G58" s="160">
        <v>2</v>
      </c>
      <c r="H58" s="13" t="s">
        <v>41</v>
      </c>
      <c r="I58" s="93">
        <v>15960</v>
      </c>
      <c r="J58" s="14">
        <v>11352</v>
      </c>
      <c r="K58" s="14">
        <v>6062</v>
      </c>
      <c r="L58" s="15">
        <v>6</v>
      </c>
      <c r="M58" s="93">
        <f t="shared" si="25"/>
        <v>33374</v>
      </c>
      <c r="N58" s="107">
        <f t="shared" si="26"/>
        <v>15000</v>
      </c>
      <c r="O58" s="16">
        <f t="shared" si="27"/>
        <v>3000</v>
      </c>
    </row>
    <row r="59" spans="1:18" ht="15.75" customHeight="1">
      <c r="A59" s="6" t="s">
        <v>49</v>
      </c>
      <c r="B59" s="6" t="s">
        <v>50</v>
      </c>
      <c r="C59" s="168">
        <v>2.5</v>
      </c>
      <c r="D59" s="168">
        <v>7.5</v>
      </c>
      <c r="E59" s="168"/>
      <c r="F59" s="168">
        <v>1</v>
      </c>
      <c r="G59" s="168">
        <v>2</v>
      </c>
      <c r="H59" s="64" t="s">
        <v>41</v>
      </c>
      <c r="I59" s="94">
        <v>15960</v>
      </c>
      <c r="J59" s="59">
        <v>11352</v>
      </c>
      <c r="K59" s="59">
        <v>6062</v>
      </c>
      <c r="L59" s="60">
        <v>6</v>
      </c>
      <c r="M59" s="94">
        <f t="shared" si="25"/>
        <v>33374</v>
      </c>
      <c r="N59" s="114">
        <f t="shared" si="26"/>
        <v>15000</v>
      </c>
      <c r="O59" s="9">
        <f t="shared" si="27"/>
        <v>3000</v>
      </c>
    </row>
    <row r="60" spans="1:18" ht="15.75" customHeight="1">
      <c r="A60" s="13" t="s">
        <v>49</v>
      </c>
      <c r="B60" s="13" t="s">
        <v>51</v>
      </c>
      <c r="C60" s="160">
        <v>1.5</v>
      </c>
      <c r="D60" s="160">
        <v>5</v>
      </c>
      <c r="E60" s="160"/>
      <c r="F60" s="160">
        <v>1</v>
      </c>
      <c r="G60" s="160">
        <v>1</v>
      </c>
      <c r="H60" s="13" t="s">
        <v>41</v>
      </c>
      <c r="I60" s="91">
        <v>12380</v>
      </c>
      <c r="J60" s="11">
        <v>9912</v>
      </c>
      <c r="K60" s="11">
        <v>4012</v>
      </c>
      <c r="L60" s="12">
        <v>4</v>
      </c>
      <c r="M60" s="93">
        <f t="shared" si="25"/>
        <v>26304</v>
      </c>
      <c r="N60" s="107">
        <f t="shared" si="26"/>
        <v>15000</v>
      </c>
      <c r="O60" s="16">
        <f t="shared" si="27"/>
        <v>3000</v>
      </c>
    </row>
    <row r="61" spans="1:18" ht="15.75" customHeight="1" thickBot="1">
      <c r="A61" s="46" t="s">
        <v>32</v>
      </c>
      <c r="B61" s="46" t="s">
        <v>31</v>
      </c>
      <c r="C61" s="169">
        <v>7.7</v>
      </c>
      <c r="D61" s="169">
        <v>25</v>
      </c>
      <c r="E61" s="169"/>
      <c r="F61" s="169">
        <v>2</v>
      </c>
      <c r="G61" s="169">
        <v>5</v>
      </c>
      <c r="H61" s="122" t="s">
        <v>8</v>
      </c>
      <c r="I61" s="123">
        <v>26699</v>
      </c>
      <c r="J61" s="124">
        <v>15672</v>
      </c>
      <c r="K61" s="124">
        <v>12212</v>
      </c>
      <c r="L61" s="125">
        <v>12</v>
      </c>
      <c r="M61" s="123">
        <f t="shared" si="25"/>
        <v>54583</v>
      </c>
      <c r="N61" s="115">
        <v>30000</v>
      </c>
      <c r="O61" s="51">
        <f t="shared" si="27"/>
        <v>6000</v>
      </c>
      <c r="P61" s="52"/>
      <c r="Q61" s="52"/>
      <c r="R61" s="52"/>
    </row>
    <row r="62" spans="1:18" ht="15.75" customHeight="1">
      <c r="B62" s="76" t="s">
        <v>281</v>
      </c>
      <c r="C62" s="170">
        <f>SUM(C56:C61)</f>
        <v>19</v>
      </c>
      <c r="D62" s="170">
        <f>SUM(D56:D61)</f>
        <v>60</v>
      </c>
      <c r="E62" s="170">
        <f t="shared" ref="E62:G62" si="28">SUM(E56:E61)</f>
        <v>0</v>
      </c>
      <c r="F62" s="170">
        <f t="shared" si="28"/>
        <v>7</v>
      </c>
      <c r="G62" s="170">
        <f t="shared" si="28"/>
        <v>13</v>
      </c>
      <c r="M62" s="85">
        <f>SUM(M56:M61)</f>
        <v>207313</v>
      </c>
      <c r="N62" s="85">
        <f t="shared" ref="N62" si="29">SUM(N56:N61)</f>
        <v>120000</v>
      </c>
      <c r="O62" s="73"/>
      <c r="P62" s="73"/>
      <c r="Q62" s="72"/>
      <c r="R62" s="85">
        <f>SUM(M62:P62)</f>
        <v>327313</v>
      </c>
    </row>
    <row r="63" spans="1:18" ht="15.75" customHeight="1">
      <c r="G63"/>
    </row>
    <row r="64" spans="1:18" ht="15.75" customHeight="1">
      <c r="B64" s="7" t="s">
        <v>63</v>
      </c>
      <c r="G64" s="87"/>
    </row>
    <row r="65" spans="1:18" ht="15.75" customHeight="1" thickBot="1">
      <c r="A65" s="2" t="s">
        <v>65</v>
      </c>
      <c r="B65" s="1" t="s">
        <v>64</v>
      </c>
      <c r="G65"/>
      <c r="Q65" s="52"/>
      <c r="R65" s="78"/>
    </row>
    <row r="66" spans="1:18" ht="15.75" customHeight="1">
      <c r="A66" s="4" t="s">
        <v>67</v>
      </c>
      <c r="B66" s="3" t="s">
        <v>66</v>
      </c>
      <c r="G66"/>
      <c r="Q66" s="89" t="s">
        <v>276</v>
      </c>
      <c r="R66" s="80">
        <f>R29+R42+R53+R62</f>
        <v>3753609</v>
      </c>
    </row>
    <row r="67" spans="1:18" ht="15.75" customHeight="1">
      <c r="A67" s="4" t="s">
        <v>69</v>
      </c>
      <c r="B67" s="3" t="s">
        <v>68</v>
      </c>
      <c r="G67"/>
      <c r="H67" s="76"/>
      <c r="I67" s="9"/>
      <c r="J67" s="9"/>
      <c r="K67" s="9"/>
      <c r="L67" s="88"/>
      <c r="M67" s="9"/>
    </row>
    <row r="68" spans="1:18" ht="15.75" customHeight="1">
      <c r="A68" s="4" t="s">
        <v>71</v>
      </c>
      <c r="B68" s="3" t="s">
        <v>70</v>
      </c>
      <c r="G68"/>
    </row>
    <row r="69" spans="1:18" ht="15.75" customHeight="1">
      <c r="A69" s="4" t="s">
        <v>73</v>
      </c>
      <c r="B69" s="3" t="s">
        <v>72</v>
      </c>
      <c r="G69"/>
    </row>
    <row r="70" spans="1:18" ht="15.75" customHeight="1">
      <c r="A70" s="6" t="s">
        <v>75</v>
      </c>
      <c r="B70" s="5" t="s">
        <v>74</v>
      </c>
      <c r="G70"/>
    </row>
    <row r="71" spans="1:18" ht="15.75" customHeight="1">
      <c r="B71" s="7" t="s">
        <v>76</v>
      </c>
      <c r="G71"/>
    </row>
    <row r="72" spans="1:18" ht="12.75">
      <c r="B72" s="7" t="s">
        <v>77</v>
      </c>
      <c r="G72"/>
    </row>
    <row r="73" spans="1:18" ht="12.75">
      <c r="B73" s="7" t="s">
        <v>78</v>
      </c>
      <c r="G73"/>
    </row>
    <row r="74" spans="1:18" ht="15.75" customHeight="1">
      <c r="G74"/>
    </row>
    <row r="75" spans="1:18" ht="15.75" customHeight="1">
      <c r="G75"/>
    </row>
    <row r="76" spans="1:18" ht="15.75" customHeight="1">
      <c r="G76"/>
    </row>
    <row r="77" spans="1:18" ht="15.75" customHeight="1">
      <c r="G77"/>
    </row>
    <row r="78" spans="1:18" ht="15.75" customHeight="1">
      <c r="G78"/>
    </row>
    <row r="79" spans="1:18" ht="15.75" customHeight="1">
      <c r="G79"/>
    </row>
    <row r="80" spans="1:18" ht="15.75" customHeight="1">
      <c r="G80"/>
    </row>
    <row r="81" spans="7:7" ht="15.75" customHeight="1">
      <c r="G81"/>
    </row>
    <row r="82" spans="7:7" ht="15.75" customHeight="1">
      <c r="G82"/>
    </row>
    <row r="83" spans="7:7" ht="15.75" customHeight="1">
      <c r="G83"/>
    </row>
    <row r="84" spans="7:7" ht="15.75" customHeight="1">
      <c r="G84"/>
    </row>
    <row r="85" spans="7:7" ht="15.75" customHeight="1">
      <c r="G85"/>
    </row>
    <row r="86" spans="7:7" ht="15.75" customHeight="1">
      <c r="G86"/>
    </row>
    <row r="87" spans="7:7" ht="15.75" customHeight="1">
      <c r="G87"/>
    </row>
    <row r="88" spans="7:7" ht="15.75" customHeight="1">
      <c r="G88"/>
    </row>
    <row r="89" spans="7:7" ht="15.75" customHeight="1">
      <c r="G89"/>
    </row>
    <row r="90" spans="7:7" ht="15.75" customHeight="1">
      <c r="G90"/>
    </row>
    <row r="91" spans="7:7" ht="15.75" customHeight="1">
      <c r="G91"/>
    </row>
    <row r="92" spans="7:7" ht="15.75" customHeight="1">
      <c r="G92"/>
    </row>
    <row r="93" spans="7:7" ht="15.75" customHeight="1">
      <c r="G93"/>
    </row>
    <row r="94" spans="7:7" ht="15.75" customHeight="1">
      <c r="G94"/>
    </row>
    <row r="95" spans="7:7" ht="15.75" customHeight="1">
      <c r="G95"/>
    </row>
    <row r="96" spans="7:7" ht="15.75" customHeight="1">
      <c r="G96"/>
    </row>
    <row r="97" spans="7:7" ht="15.75" customHeight="1">
      <c r="G97"/>
    </row>
    <row r="98" spans="7:7" ht="15.75" customHeight="1">
      <c r="G98"/>
    </row>
    <row r="99" spans="7:7" ht="15.75" customHeight="1">
      <c r="G99"/>
    </row>
    <row r="100" spans="7:7" ht="15.75" customHeight="1">
      <c r="G100"/>
    </row>
    <row r="101" spans="7:7" ht="15.75" customHeight="1">
      <c r="G101"/>
    </row>
    <row r="102" spans="7:7" ht="15.75" customHeight="1">
      <c r="G102"/>
    </row>
    <row r="103" spans="7:7" ht="15.75" customHeight="1">
      <c r="G103"/>
    </row>
    <row r="104" spans="7:7" ht="15.75" customHeight="1">
      <c r="G104"/>
    </row>
    <row r="105" spans="7:7" ht="15.75" customHeight="1">
      <c r="G105"/>
    </row>
    <row r="106" spans="7:7" ht="15.75" customHeight="1">
      <c r="G106"/>
    </row>
    <row r="107" spans="7:7" ht="15.75" customHeight="1">
      <c r="G107"/>
    </row>
    <row r="108" spans="7:7" ht="15.75" customHeight="1">
      <c r="G108"/>
    </row>
    <row r="109" spans="7:7" ht="15.75" customHeight="1">
      <c r="G109"/>
    </row>
    <row r="110" spans="7:7" ht="15.75" customHeight="1">
      <c r="G110"/>
    </row>
    <row r="111" spans="7:7" ht="15.75" customHeight="1">
      <c r="G111"/>
    </row>
    <row r="112" spans="7:7" ht="15.75" customHeight="1">
      <c r="G112"/>
    </row>
    <row r="113" spans="7:7" ht="15.75" customHeight="1">
      <c r="G113"/>
    </row>
    <row r="114" spans="7:7" ht="15.75" customHeight="1">
      <c r="G114"/>
    </row>
    <row r="115" spans="7:7" ht="15.75" customHeight="1">
      <c r="G115"/>
    </row>
    <row r="116" spans="7:7" ht="15.75" customHeight="1">
      <c r="G116"/>
    </row>
    <row r="117" spans="7:7" ht="15.75" customHeight="1">
      <c r="G117"/>
    </row>
    <row r="118" spans="7:7" ht="15.75" customHeight="1">
      <c r="G118"/>
    </row>
    <row r="119" spans="7:7" ht="15.75" customHeight="1">
      <c r="G119"/>
    </row>
    <row r="120" spans="7:7" ht="15.75" customHeight="1">
      <c r="G120"/>
    </row>
    <row r="121" spans="7:7" ht="15.75" customHeight="1">
      <c r="G121"/>
    </row>
    <row r="122" spans="7:7" ht="15.75" customHeight="1">
      <c r="G122"/>
    </row>
    <row r="123" spans="7:7" ht="15.75" customHeight="1">
      <c r="G123"/>
    </row>
    <row r="124" spans="7:7" ht="15.75" customHeight="1">
      <c r="G124"/>
    </row>
    <row r="125" spans="7:7" ht="15.75" customHeight="1">
      <c r="G125"/>
    </row>
    <row r="126" spans="7:7" ht="15.75" customHeight="1">
      <c r="G126"/>
    </row>
    <row r="127" spans="7:7" ht="15.75" customHeight="1">
      <c r="G127"/>
    </row>
    <row r="128" spans="7:7" ht="15.75" customHeight="1">
      <c r="G128"/>
    </row>
    <row r="129" spans="7:7" ht="15.75" customHeight="1">
      <c r="G129"/>
    </row>
    <row r="130" spans="7:7" ht="15.75" customHeight="1">
      <c r="G130"/>
    </row>
    <row r="131" spans="7:7" ht="15.75" customHeight="1">
      <c r="G131"/>
    </row>
    <row r="132" spans="7:7" ht="15.75" customHeight="1">
      <c r="G132"/>
    </row>
    <row r="133" spans="7:7" ht="15.75" customHeight="1">
      <c r="G133"/>
    </row>
    <row r="134" spans="7:7" ht="15.75" customHeight="1">
      <c r="G134"/>
    </row>
    <row r="135" spans="7:7" ht="15.75" customHeight="1">
      <c r="G135"/>
    </row>
    <row r="136" spans="7:7" ht="15.75" customHeight="1">
      <c r="G136"/>
    </row>
    <row r="137" spans="7:7" ht="15.75" customHeight="1">
      <c r="G137"/>
    </row>
    <row r="138" spans="7:7" ht="15.75" customHeight="1">
      <c r="G138"/>
    </row>
    <row r="139" spans="7:7" ht="15.75" customHeight="1">
      <c r="G139"/>
    </row>
    <row r="140" spans="7:7" ht="15.75" customHeight="1">
      <c r="G140"/>
    </row>
    <row r="141" spans="7:7" ht="15.75" customHeight="1">
      <c r="G141"/>
    </row>
    <row r="142" spans="7:7" ht="15.75" customHeight="1">
      <c r="G142"/>
    </row>
    <row r="143" spans="7:7" ht="15.75" customHeight="1">
      <c r="G143"/>
    </row>
    <row r="144" spans="7:7" ht="15.75" customHeight="1">
      <c r="G144"/>
    </row>
    <row r="145" spans="7:7" ht="15.75" customHeight="1">
      <c r="G145"/>
    </row>
    <row r="146" spans="7:7" ht="15.75" customHeight="1">
      <c r="G146"/>
    </row>
    <row r="147" spans="7:7" ht="15.75" customHeight="1">
      <c r="G147"/>
    </row>
    <row r="148" spans="7:7" ht="15.75" customHeight="1">
      <c r="G148"/>
    </row>
    <row r="149" spans="7:7" ht="15.75" customHeight="1">
      <c r="G149"/>
    </row>
    <row r="150" spans="7:7" ht="15.75" customHeight="1">
      <c r="G150"/>
    </row>
    <row r="151" spans="7:7" ht="15.75" customHeight="1">
      <c r="G151"/>
    </row>
    <row r="152" spans="7:7" ht="15.75" customHeight="1">
      <c r="G152"/>
    </row>
    <row r="153" spans="7:7" ht="15.75" customHeight="1">
      <c r="G153"/>
    </row>
    <row r="154" spans="7:7" ht="15.75" customHeight="1">
      <c r="G154"/>
    </row>
    <row r="155" spans="7:7" ht="15.75" customHeight="1">
      <c r="G155"/>
    </row>
    <row r="156" spans="7:7" ht="15.75" customHeight="1">
      <c r="G156"/>
    </row>
    <row r="157" spans="7:7" ht="15.75" customHeight="1">
      <c r="G157"/>
    </row>
    <row r="158" spans="7:7" ht="15.75" customHeight="1">
      <c r="G158"/>
    </row>
    <row r="159" spans="7:7" ht="15.75" customHeight="1">
      <c r="G159"/>
    </row>
    <row r="160" spans="7:7" ht="15.75" customHeight="1">
      <c r="G160"/>
    </row>
    <row r="161" spans="7:7" ht="15.75" customHeight="1">
      <c r="G161"/>
    </row>
    <row r="162" spans="7:7" ht="15.75" customHeight="1">
      <c r="G162"/>
    </row>
    <row r="163" spans="7:7" ht="15.75" customHeight="1">
      <c r="G163"/>
    </row>
    <row r="164" spans="7:7" ht="15.75" customHeight="1">
      <c r="G164"/>
    </row>
    <row r="165" spans="7:7" ht="15.75" customHeight="1">
      <c r="G165"/>
    </row>
    <row r="166" spans="7:7" ht="15.75" customHeight="1">
      <c r="G166"/>
    </row>
    <row r="167" spans="7:7" ht="15.75" customHeight="1">
      <c r="G167"/>
    </row>
    <row r="168" spans="7:7" ht="15.75" customHeight="1">
      <c r="G168"/>
    </row>
    <row r="169" spans="7:7" ht="15.75" customHeight="1">
      <c r="G169"/>
    </row>
    <row r="170" spans="7:7" ht="15.75" customHeight="1">
      <c r="G170"/>
    </row>
    <row r="171" spans="7:7" ht="15.75" customHeight="1">
      <c r="G171"/>
    </row>
    <row r="172" spans="7:7" ht="15.75" customHeight="1">
      <c r="G172"/>
    </row>
    <row r="173" spans="7:7" ht="15.75" customHeight="1">
      <c r="G173"/>
    </row>
    <row r="174" spans="7:7" ht="15.75" customHeight="1">
      <c r="G174"/>
    </row>
    <row r="175" spans="7:7" ht="15.75" customHeight="1">
      <c r="G175"/>
    </row>
    <row r="176" spans="7:7" ht="15.75" customHeight="1">
      <c r="G176"/>
    </row>
    <row r="177" spans="7:7" ht="15.75" customHeight="1">
      <c r="G177"/>
    </row>
    <row r="178" spans="7:7" ht="15.75" customHeight="1">
      <c r="G178"/>
    </row>
    <row r="179" spans="7:7" ht="15.75" customHeight="1">
      <c r="G179"/>
    </row>
    <row r="180" spans="7:7" ht="15.75" customHeight="1">
      <c r="G180"/>
    </row>
    <row r="181" spans="7:7" ht="15.75" customHeight="1">
      <c r="G181"/>
    </row>
    <row r="182" spans="7:7" ht="15.75" customHeight="1">
      <c r="G182"/>
    </row>
    <row r="183" spans="7:7" ht="15.75" customHeight="1">
      <c r="G183"/>
    </row>
    <row r="184" spans="7:7" ht="15.75" customHeight="1">
      <c r="G184"/>
    </row>
    <row r="185" spans="7:7" ht="15.75" customHeight="1">
      <c r="G185"/>
    </row>
    <row r="186" spans="7:7" ht="15.75" customHeight="1">
      <c r="G186"/>
    </row>
    <row r="187" spans="7:7" ht="15.75" customHeight="1">
      <c r="G187"/>
    </row>
    <row r="188" spans="7:7" ht="15.75" customHeight="1">
      <c r="G188"/>
    </row>
    <row r="189" spans="7:7" ht="15.75" customHeight="1">
      <c r="G189"/>
    </row>
    <row r="190" spans="7:7" ht="15.75" customHeight="1">
      <c r="G190"/>
    </row>
    <row r="191" spans="7:7" ht="15.75" customHeight="1">
      <c r="G191"/>
    </row>
    <row r="192" spans="7:7" ht="15.75" customHeight="1">
      <c r="G192"/>
    </row>
    <row r="193" spans="7:7" ht="15.75" customHeight="1">
      <c r="G193"/>
    </row>
    <row r="194" spans="7:7" ht="15.75" customHeight="1">
      <c r="G194"/>
    </row>
    <row r="195" spans="7:7" ht="15.75" customHeight="1">
      <c r="G195"/>
    </row>
    <row r="196" spans="7:7" ht="15.75" customHeight="1">
      <c r="G196"/>
    </row>
    <row r="197" spans="7:7" ht="15.75" customHeight="1">
      <c r="G197"/>
    </row>
    <row r="198" spans="7:7" ht="15.75" customHeight="1">
      <c r="G198"/>
    </row>
    <row r="199" spans="7:7" ht="15.75" customHeight="1">
      <c r="G199"/>
    </row>
    <row r="200" spans="7:7" ht="15.75" customHeight="1">
      <c r="G200"/>
    </row>
    <row r="201" spans="7:7" ht="15.75" customHeight="1">
      <c r="G201"/>
    </row>
    <row r="202" spans="7:7" ht="15.75" customHeight="1">
      <c r="G202"/>
    </row>
    <row r="203" spans="7:7" ht="15.75" customHeight="1">
      <c r="G203"/>
    </row>
    <row r="204" spans="7:7" ht="15.75" customHeight="1">
      <c r="G204"/>
    </row>
    <row r="205" spans="7:7" ht="15.75" customHeight="1">
      <c r="G205"/>
    </row>
    <row r="206" spans="7:7" ht="15.75" customHeight="1">
      <c r="G206"/>
    </row>
    <row r="207" spans="7:7" ht="15.75" customHeight="1">
      <c r="G207"/>
    </row>
    <row r="208" spans="7:7" ht="15.75" customHeight="1">
      <c r="G208"/>
    </row>
    <row r="209" spans="7:7" ht="15.75" customHeight="1">
      <c r="G209"/>
    </row>
    <row r="210" spans="7:7" ht="15.75" customHeight="1">
      <c r="G210"/>
    </row>
    <row r="211" spans="7:7" ht="15.75" customHeight="1">
      <c r="G211"/>
    </row>
    <row r="212" spans="7:7" ht="15.75" customHeight="1">
      <c r="G212"/>
    </row>
    <row r="213" spans="7:7" ht="15.75" customHeight="1">
      <c r="G213"/>
    </row>
    <row r="214" spans="7:7" ht="15.75" customHeight="1">
      <c r="G214"/>
    </row>
    <row r="215" spans="7:7" ht="15.75" customHeight="1">
      <c r="G215"/>
    </row>
    <row r="216" spans="7:7" ht="15.75" customHeight="1">
      <c r="G216"/>
    </row>
    <row r="217" spans="7:7" ht="15.75" customHeight="1">
      <c r="G217"/>
    </row>
    <row r="218" spans="7:7" ht="15.75" customHeight="1">
      <c r="G218"/>
    </row>
    <row r="219" spans="7:7" ht="15.75" customHeight="1">
      <c r="G219"/>
    </row>
    <row r="220" spans="7:7" ht="15.75" customHeight="1">
      <c r="G220"/>
    </row>
    <row r="221" spans="7:7" ht="15.75" customHeight="1">
      <c r="G221"/>
    </row>
    <row r="222" spans="7:7" ht="15.75" customHeight="1">
      <c r="G222"/>
    </row>
    <row r="223" spans="7:7" ht="15.75" customHeight="1">
      <c r="G223"/>
    </row>
    <row r="224" spans="7:7" ht="15.75" customHeight="1">
      <c r="G224"/>
    </row>
    <row r="225" spans="7:7" ht="15.75" customHeight="1">
      <c r="G225"/>
    </row>
    <row r="226" spans="7:7" ht="15.75" customHeight="1">
      <c r="G226"/>
    </row>
    <row r="227" spans="7:7" ht="15.75" customHeight="1">
      <c r="G227"/>
    </row>
    <row r="228" spans="7:7" ht="15.75" customHeight="1">
      <c r="G228"/>
    </row>
    <row r="229" spans="7:7" ht="15.75" customHeight="1">
      <c r="G229"/>
    </row>
    <row r="230" spans="7:7" ht="15.75" customHeight="1">
      <c r="G230"/>
    </row>
    <row r="231" spans="7:7" ht="15.75" customHeight="1">
      <c r="G231"/>
    </row>
    <row r="232" spans="7:7" ht="15.75" customHeight="1">
      <c r="G232"/>
    </row>
    <row r="233" spans="7:7" ht="15.75" customHeight="1">
      <c r="G233"/>
    </row>
    <row r="234" spans="7:7" ht="15.75" customHeight="1">
      <c r="G234"/>
    </row>
    <row r="235" spans="7:7" ht="15.75" customHeight="1">
      <c r="G235"/>
    </row>
    <row r="236" spans="7:7" ht="15.75" customHeight="1">
      <c r="G236"/>
    </row>
    <row r="237" spans="7:7" ht="15.75" customHeight="1">
      <c r="G237"/>
    </row>
    <row r="238" spans="7:7" ht="15.75" customHeight="1">
      <c r="G238"/>
    </row>
    <row r="239" spans="7:7" ht="15.75" customHeight="1">
      <c r="G239"/>
    </row>
    <row r="240" spans="7:7" ht="15.75" customHeight="1">
      <c r="G240"/>
    </row>
    <row r="241" spans="7:7" ht="15.75" customHeight="1">
      <c r="G241"/>
    </row>
    <row r="242" spans="7:7" ht="15.75" customHeight="1">
      <c r="G242"/>
    </row>
    <row r="243" spans="7:7" ht="15.75" customHeight="1">
      <c r="G243"/>
    </row>
    <row r="244" spans="7:7" ht="15.75" customHeight="1">
      <c r="G244"/>
    </row>
    <row r="245" spans="7:7" ht="15.75" customHeight="1">
      <c r="G245"/>
    </row>
    <row r="246" spans="7:7" ht="15.75" customHeight="1">
      <c r="G246"/>
    </row>
    <row r="247" spans="7:7" ht="15.75" customHeight="1">
      <c r="G247"/>
    </row>
    <row r="248" spans="7:7" ht="15.75" customHeight="1">
      <c r="G248"/>
    </row>
    <row r="249" spans="7:7" ht="15.75" customHeight="1">
      <c r="G249"/>
    </row>
    <row r="250" spans="7:7" ht="15.75" customHeight="1">
      <c r="G250"/>
    </row>
    <row r="251" spans="7:7" ht="15.75" customHeight="1">
      <c r="G251"/>
    </row>
    <row r="252" spans="7:7" ht="15.75" customHeight="1">
      <c r="G252"/>
    </row>
    <row r="253" spans="7:7" ht="15.75" customHeight="1">
      <c r="G253"/>
    </row>
    <row r="254" spans="7:7" ht="15.75" customHeight="1">
      <c r="G254"/>
    </row>
    <row r="255" spans="7:7" ht="15.75" customHeight="1">
      <c r="G255"/>
    </row>
    <row r="256" spans="7:7" ht="15.75" customHeight="1">
      <c r="G256"/>
    </row>
    <row r="257" spans="7:7" ht="15.75" customHeight="1">
      <c r="G257"/>
    </row>
    <row r="258" spans="7:7" ht="15.75" customHeight="1">
      <c r="G258"/>
    </row>
    <row r="259" spans="7:7" ht="15.75" customHeight="1">
      <c r="G259"/>
    </row>
    <row r="260" spans="7:7" ht="15.75" customHeight="1">
      <c r="G260"/>
    </row>
    <row r="261" spans="7:7" ht="15.75" customHeight="1">
      <c r="G261"/>
    </row>
    <row r="262" spans="7:7" ht="15.75" customHeight="1">
      <c r="G262"/>
    </row>
    <row r="263" spans="7:7" ht="15.75" customHeight="1">
      <c r="G263"/>
    </row>
    <row r="264" spans="7:7" ht="15.75" customHeight="1">
      <c r="G264"/>
    </row>
    <row r="265" spans="7:7" ht="15.75" customHeight="1">
      <c r="G265"/>
    </row>
    <row r="266" spans="7:7" ht="15.75" customHeight="1">
      <c r="G266"/>
    </row>
    <row r="267" spans="7:7" ht="15.75" customHeight="1">
      <c r="G267"/>
    </row>
    <row r="268" spans="7:7" ht="15.75" customHeight="1">
      <c r="G268"/>
    </row>
    <row r="269" spans="7:7" ht="15.75" customHeight="1">
      <c r="G269"/>
    </row>
    <row r="270" spans="7:7" ht="15.75" customHeight="1">
      <c r="G270"/>
    </row>
    <row r="271" spans="7:7" ht="15.75" customHeight="1">
      <c r="G271"/>
    </row>
    <row r="272" spans="7:7" ht="15.75" customHeight="1">
      <c r="G272"/>
    </row>
    <row r="273" spans="7:7" ht="15.75" customHeight="1">
      <c r="G273"/>
    </row>
    <row r="274" spans="7:7" ht="15.75" customHeight="1">
      <c r="G274"/>
    </row>
    <row r="275" spans="7:7" ht="15.75" customHeight="1">
      <c r="G275"/>
    </row>
    <row r="276" spans="7:7" ht="15.75" customHeight="1">
      <c r="G276"/>
    </row>
    <row r="277" spans="7:7" ht="15.75" customHeight="1">
      <c r="G277"/>
    </row>
    <row r="278" spans="7:7" ht="15.75" customHeight="1">
      <c r="G278"/>
    </row>
    <row r="279" spans="7:7" ht="15.75" customHeight="1">
      <c r="G279"/>
    </row>
    <row r="280" spans="7:7" ht="15.75" customHeight="1">
      <c r="G280"/>
    </row>
    <row r="281" spans="7:7" ht="15.75" customHeight="1">
      <c r="G281"/>
    </row>
    <row r="282" spans="7:7" ht="15.75" customHeight="1">
      <c r="G282"/>
    </row>
    <row r="283" spans="7:7" ht="15.75" customHeight="1">
      <c r="G283"/>
    </row>
    <row r="284" spans="7:7" ht="15.75" customHeight="1">
      <c r="G284"/>
    </row>
    <row r="285" spans="7:7" ht="15.75" customHeight="1">
      <c r="G285"/>
    </row>
    <row r="286" spans="7:7" ht="15.75" customHeight="1">
      <c r="G286"/>
    </row>
    <row r="287" spans="7:7" ht="15.75" customHeight="1">
      <c r="G287"/>
    </row>
    <row r="288" spans="7:7" ht="15.75" customHeight="1">
      <c r="G288"/>
    </row>
    <row r="289" spans="7:7" ht="15.75" customHeight="1">
      <c r="G289"/>
    </row>
    <row r="290" spans="7:7" ht="15.75" customHeight="1">
      <c r="G290"/>
    </row>
    <row r="291" spans="7:7" ht="15.75" customHeight="1">
      <c r="G291"/>
    </row>
    <row r="292" spans="7:7" ht="15.75" customHeight="1">
      <c r="G292"/>
    </row>
    <row r="293" spans="7:7" ht="15.75" customHeight="1">
      <c r="G293"/>
    </row>
    <row r="294" spans="7:7" ht="15.75" customHeight="1">
      <c r="G294"/>
    </row>
    <row r="295" spans="7:7" ht="15.75" customHeight="1">
      <c r="G295"/>
    </row>
    <row r="296" spans="7:7" ht="15.75" customHeight="1">
      <c r="G296"/>
    </row>
    <row r="297" spans="7:7" ht="15.75" customHeight="1">
      <c r="G297"/>
    </row>
    <row r="298" spans="7:7" ht="15.75" customHeight="1">
      <c r="G298"/>
    </row>
    <row r="299" spans="7:7" ht="15.75" customHeight="1">
      <c r="G299"/>
    </row>
    <row r="300" spans="7:7" ht="15.75" customHeight="1">
      <c r="G300"/>
    </row>
    <row r="301" spans="7:7" ht="15.75" customHeight="1">
      <c r="G301"/>
    </row>
    <row r="302" spans="7:7" ht="15.75" customHeight="1">
      <c r="G302"/>
    </row>
    <row r="303" spans="7:7" ht="15.75" customHeight="1">
      <c r="G303"/>
    </row>
    <row r="304" spans="7:7" ht="15.75" customHeight="1">
      <c r="G304"/>
    </row>
    <row r="305" spans="7:7" ht="15.75" customHeight="1">
      <c r="G305"/>
    </row>
    <row r="306" spans="7:7" ht="15.75" customHeight="1">
      <c r="G306"/>
    </row>
    <row r="307" spans="7:7" ht="15.75" customHeight="1">
      <c r="G307"/>
    </row>
    <row r="308" spans="7:7" ht="15.75" customHeight="1">
      <c r="G308"/>
    </row>
    <row r="309" spans="7:7" ht="15.75" customHeight="1">
      <c r="G309"/>
    </row>
    <row r="310" spans="7:7" ht="15.75" customHeight="1">
      <c r="G310"/>
    </row>
    <row r="311" spans="7:7" ht="15.75" customHeight="1">
      <c r="G311"/>
    </row>
    <row r="312" spans="7:7" ht="15.75" customHeight="1">
      <c r="G312"/>
    </row>
    <row r="313" spans="7:7" ht="15.75" customHeight="1">
      <c r="G313"/>
    </row>
    <row r="314" spans="7:7" ht="15.75" customHeight="1">
      <c r="G314"/>
    </row>
    <row r="315" spans="7:7" ht="15.75" customHeight="1">
      <c r="G315"/>
    </row>
    <row r="316" spans="7:7" ht="15.75" customHeight="1">
      <c r="G316"/>
    </row>
    <row r="317" spans="7:7" ht="15.75" customHeight="1">
      <c r="G317"/>
    </row>
    <row r="318" spans="7:7" ht="15.75" customHeight="1">
      <c r="G318"/>
    </row>
    <row r="319" spans="7:7" ht="15.75" customHeight="1">
      <c r="G319"/>
    </row>
    <row r="320" spans="7:7" ht="15.75" customHeight="1">
      <c r="G320"/>
    </row>
    <row r="321" spans="7:7" ht="15.75" customHeight="1">
      <c r="G321"/>
    </row>
    <row r="322" spans="7:7" ht="15.75" customHeight="1">
      <c r="G322"/>
    </row>
    <row r="323" spans="7:7" ht="15.75" customHeight="1">
      <c r="G323"/>
    </row>
    <row r="324" spans="7:7" ht="15.75" customHeight="1">
      <c r="G324"/>
    </row>
    <row r="325" spans="7:7" ht="15.75" customHeight="1">
      <c r="G325"/>
    </row>
    <row r="326" spans="7:7" ht="15.75" customHeight="1">
      <c r="G326"/>
    </row>
    <row r="327" spans="7:7" ht="15.75" customHeight="1">
      <c r="G327"/>
    </row>
    <row r="328" spans="7:7" ht="15.75" customHeight="1">
      <c r="G328"/>
    </row>
    <row r="329" spans="7:7" ht="15.75" customHeight="1">
      <c r="G329"/>
    </row>
    <row r="330" spans="7:7" ht="15.75" customHeight="1">
      <c r="G330"/>
    </row>
    <row r="331" spans="7:7" ht="15.75" customHeight="1">
      <c r="G331"/>
    </row>
    <row r="332" spans="7:7" ht="15.75" customHeight="1">
      <c r="G332"/>
    </row>
    <row r="333" spans="7:7" ht="15.75" customHeight="1">
      <c r="G333"/>
    </row>
    <row r="334" spans="7:7" ht="15.75" customHeight="1">
      <c r="G334"/>
    </row>
    <row r="335" spans="7:7" ht="15.75" customHeight="1">
      <c r="G335"/>
    </row>
    <row r="336" spans="7:7" ht="15.75" customHeight="1">
      <c r="G336"/>
    </row>
    <row r="337" spans="7:7" ht="15.75" customHeight="1">
      <c r="G337"/>
    </row>
    <row r="338" spans="7:7" ht="15.75" customHeight="1">
      <c r="G338"/>
    </row>
    <row r="339" spans="7:7" ht="15.75" customHeight="1">
      <c r="G339"/>
    </row>
    <row r="340" spans="7:7" ht="15.75" customHeight="1">
      <c r="G340"/>
    </row>
    <row r="341" spans="7:7" ht="15.75" customHeight="1">
      <c r="G341"/>
    </row>
    <row r="342" spans="7:7" ht="15.75" customHeight="1">
      <c r="G342"/>
    </row>
    <row r="343" spans="7:7" ht="15.75" customHeight="1">
      <c r="G343"/>
    </row>
    <row r="344" spans="7:7" ht="15.75" customHeight="1">
      <c r="G344"/>
    </row>
    <row r="345" spans="7:7" ht="15.75" customHeight="1">
      <c r="G345"/>
    </row>
    <row r="346" spans="7:7" ht="15.75" customHeight="1">
      <c r="G346"/>
    </row>
    <row r="347" spans="7:7" ht="15.75" customHeight="1">
      <c r="G347"/>
    </row>
    <row r="348" spans="7:7" ht="15.75" customHeight="1">
      <c r="G348"/>
    </row>
    <row r="349" spans="7:7" ht="15.75" customHeight="1">
      <c r="G349"/>
    </row>
    <row r="350" spans="7:7" ht="15.75" customHeight="1">
      <c r="G350"/>
    </row>
    <row r="351" spans="7:7" ht="15.75" customHeight="1">
      <c r="G351"/>
    </row>
    <row r="352" spans="7:7" ht="15.75" customHeight="1">
      <c r="G352"/>
    </row>
    <row r="353" spans="7:7" ht="15.75" customHeight="1">
      <c r="G353"/>
    </row>
    <row r="354" spans="7:7" ht="15.75" customHeight="1">
      <c r="G354"/>
    </row>
    <row r="355" spans="7:7" ht="15.75" customHeight="1">
      <c r="G355"/>
    </row>
    <row r="356" spans="7:7" ht="15.75" customHeight="1">
      <c r="G356"/>
    </row>
    <row r="357" spans="7:7" ht="15.75" customHeight="1">
      <c r="G357"/>
    </row>
    <row r="358" spans="7:7" ht="15.75" customHeight="1">
      <c r="G358"/>
    </row>
    <row r="359" spans="7:7" ht="15.75" customHeight="1">
      <c r="G359"/>
    </row>
    <row r="360" spans="7:7" ht="15.75" customHeight="1">
      <c r="G360"/>
    </row>
    <row r="361" spans="7:7" ht="15.75" customHeight="1">
      <c r="G361"/>
    </row>
    <row r="362" spans="7:7" ht="15.75" customHeight="1">
      <c r="G362"/>
    </row>
    <row r="363" spans="7:7" ht="15.75" customHeight="1">
      <c r="G363"/>
    </row>
    <row r="364" spans="7:7" ht="15.75" customHeight="1">
      <c r="G364"/>
    </row>
    <row r="365" spans="7:7" ht="15.75" customHeight="1">
      <c r="G365"/>
    </row>
    <row r="366" spans="7:7" ht="15.75" customHeight="1">
      <c r="G366"/>
    </row>
    <row r="367" spans="7:7" ht="15.75" customHeight="1">
      <c r="G367"/>
    </row>
    <row r="368" spans="7:7" ht="15.75" customHeight="1">
      <c r="G368"/>
    </row>
    <row r="369" spans="7:7" ht="15.75" customHeight="1">
      <c r="G369"/>
    </row>
    <row r="370" spans="7:7" ht="15.75" customHeight="1">
      <c r="G370"/>
    </row>
    <row r="371" spans="7:7" ht="15.75" customHeight="1">
      <c r="G371"/>
    </row>
    <row r="372" spans="7:7" ht="15.75" customHeight="1">
      <c r="G372"/>
    </row>
    <row r="373" spans="7:7" ht="15.75" customHeight="1">
      <c r="G373"/>
    </row>
    <row r="374" spans="7:7" ht="15.75" customHeight="1">
      <c r="G374"/>
    </row>
    <row r="375" spans="7:7" ht="15.75" customHeight="1">
      <c r="G375"/>
    </row>
    <row r="376" spans="7:7" ht="15.75" customHeight="1">
      <c r="G376"/>
    </row>
    <row r="377" spans="7:7" ht="15.75" customHeight="1">
      <c r="G377"/>
    </row>
    <row r="378" spans="7:7" ht="15.75" customHeight="1">
      <c r="G378"/>
    </row>
    <row r="379" spans="7:7" ht="15.75" customHeight="1">
      <c r="G379"/>
    </row>
    <row r="380" spans="7:7" ht="15.75" customHeight="1">
      <c r="G380"/>
    </row>
    <row r="381" spans="7:7" ht="15.75" customHeight="1">
      <c r="G381"/>
    </row>
    <row r="382" spans="7:7" ht="15.75" customHeight="1">
      <c r="G382"/>
    </row>
    <row r="383" spans="7:7" ht="15.75" customHeight="1">
      <c r="G383"/>
    </row>
    <row r="384" spans="7:7" ht="15.75" customHeight="1">
      <c r="G384"/>
    </row>
    <row r="385" spans="7:7" ht="15.75" customHeight="1">
      <c r="G385"/>
    </row>
    <row r="386" spans="7:7" ht="15.75" customHeight="1">
      <c r="G386"/>
    </row>
    <row r="387" spans="7:7" ht="15.75" customHeight="1">
      <c r="G387"/>
    </row>
    <row r="388" spans="7:7" ht="15.75" customHeight="1">
      <c r="G388"/>
    </row>
    <row r="389" spans="7:7" ht="15.75" customHeight="1">
      <c r="G389"/>
    </row>
    <row r="390" spans="7:7" ht="15.75" customHeight="1">
      <c r="G390"/>
    </row>
    <row r="391" spans="7:7" ht="15.75" customHeight="1">
      <c r="G391"/>
    </row>
    <row r="392" spans="7:7" ht="15.75" customHeight="1">
      <c r="G392"/>
    </row>
    <row r="393" spans="7:7" ht="15.75" customHeight="1">
      <c r="G393"/>
    </row>
    <row r="394" spans="7:7" ht="15.75" customHeight="1">
      <c r="G394"/>
    </row>
    <row r="395" spans="7:7" ht="15.75" customHeight="1">
      <c r="G395"/>
    </row>
    <row r="396" spans="7:7" ht="15.75" customHeight="1">
      <c r="G396"/>
    </row>
    <row r="397" spans="7:7" ht="15.75" customHeight="1">
      <c r="G397"/>
    </row>
    <row r="398" spans="7:7" ht="15.75" customHeight="1">
      <c r="G398"/>
    </row>
    <row r="399" spans="7:7" ht="15.75" customHeight="1">
      <c r="G399"/>
    </row>
    <row r="400" spans="7:7" ht="15.75" customHeight="1">
      <c r="G400"/>
    </row>
    <row r="401" spans="7:7" ht="15.75" customHeight="1">
      <c r="G401"/>
    </row>
    <row r="402" spans="7:7" ht="15.75" customHeight="1">
      <c r="G402"/>
    </row>
    <row r="403" spans="7:7" ht="15.75" customHeight="1">
      <c r="G403"/>
    </row>
    <row r="404" spans="7:7" ht="15.75" customHeight="1">
      <c r="G404"/>
    </row>
    <row r="405" spans="7:7" ht="15.75" customHeight="1">
      <c r="G405"/>
    </row>
    <row r="406" spans="7:7" ht="15.75" customHeight="1">
      <c r="G406"/>
    </row>
    <row r="407" spans="7:7" ht="15.75" customHeight="1">
      <c r="G407"/>
    </row>
    <row r="408" spans="7:7" ht="15.75" customHeight="1">
      <c r="G408"/>
    </row>
    <row r="409" spans="7:7" ht="15.75" customHeight="1">
      <c r="G409"/>
    </row>
    <row r="410" spans="7:7" ht="15.75" customHeight="1">
      <c r="G410"/>
    </row>
    <row r="411" spans="7:7" ht="15.75" customHeight="1">
      <c r="G411"/>
    </row>
    <row r="412" spans="7:7" ht="15.75" customHeight="1">
      <c r="G412"/>
    </row>
    <row r="413" spans="7:7" ht="15.75" customHeight="1">
      <c r="G413"/>
    </row>
    <row r="414" spans="7:7" ht="15.75" customHeight="1">
      <c r="G414"/>
    </row>
    <row r="415" spans="7:7" ht="15.75" customHeight="1">
      <c r="G415"/>
    </row>
    <row r="416" spans="7:7" ht="15.75" customHeight="1">
      <c r="G416"/>
    </row>
    <row r="417" spans="7:7" ht="15.75" customHeight="1">
      <c r="G417"/>
    </row>
    <row r="418" spans="7:7" ht="15.75" customHeight="1">
      <c r="G418"/>
    </row>
    <row r="419" spans="7:7" ht="15.75" customHeight="1">
      <c r="G419"/>
    </row>
    <row r="420" spans="7:7" ht="15.75" customHeight="1">
      <c r="G420"/>
    </row>
    <row r="421" spans="7:7" ht="15.75" customHeight="1">
      <c r="G421"/>
    </row>
    <row r="422" spans="7:7" ht="15.75" customHeight="1">
      <c r="G422"/>
    </row>
    <row r="423" spans="7:7" ht="15.75" customHeight="1">
      <c r="G423"/>
    </row>
    <row r="424" spans="7:7" ht="15.75" customHeight="1">
      <c r="G424"/>
    </row>
    <row r="425" spans="7:7" ht="15.75" customHeight="1">
      <c r="G425"/>
    </row>
    <row r="426" spans="7:7" ht="15.75" customHeight="1">
      <c r="G426"/>
    </row>
    <row r="427" spans="7:7" ht="15.75" customHeight="1">
      <c r="G427"/>
    </row>
    <row r="428" spans="7:7" ht="15.75" customHeight="1">
      <c r="G428"/>
    </row>
    <row r="429" spans="7:7" ht="15.75" customHeight="1">
      <c r="G429"/>
    </row>
    <row r="430" spans="7:7" ht="15.75" customHeight="1">
      <c r="G430"/>
    </row>
    <row r="431" spans="7:7" ht="15.75" customHeight="1">
      <c r="G431"/>
    </row>
    <row r="432" spans="7:7" ht="15.75" customHeight="1">
      <c r="G432"/>
    </row>
    <row r="433" spans="7:7" ht="15.75" customHeight="1">
      <c r="G433"/>
    </row>
    <row r="434" spans="7:7" ht="15.75" customHeight="1">
      <c r="G434"/>
    </row>
    <row r="435" spans="7:7" ht="15.75" customHeight="1">
      <c r="G435"/>
    </row>
    <row r="436" spans="7:7" ht="15.75" customHeight="1">
      <c r="G436"/>
    </row>
    <row r="437" spans="7:7" ht="15.75" customHeight="1">
      <c r="G437"/>
    </row>
    <row r="438" spans="7:7" ht="15.75" customHeight="1">
      <c r="G438"/>
    </row>
    <row r="439" spans="7:7" ht="15.75" customHeight="1">
      <c r="G439"/>
    </row>
    <row r="440" spans="7:7" ht="15.75" customHeight="1">
      <c r="G440"/>
    </row>
    <row r="441" spans="7:7" ht="15.75" customHeight="1">
      <c r="G441"/>
    </row>
    <row r="442" spans="7:7" ht="15.75" customHeight="1">
      <c r="G442"/>
    </row>
    <row r="443" spans="7:7" ht="15.75" customHeight="1">
      <c r="G443"/>
    </row>
    <row r="444" spans="7:7" ht="15.75" customHeight="1">
      <c r="G444"/>
    </row>
    <row r="445" spans="7:7" ht="15.75" customHeight="1">
      <c r="G445"/>
    </row>
    <row r="446" spans="7:7" ht="15.75" customHeight="1">
      <c r="G446"/>
    </row>
    <row r="447" spans="7:7" ht="15.75" customHeight="1">
      <c r="G447"/>
    </row>
    <row r="448" spans="7:7" ht="15.75" customHeight="1">
      <c r="G448"/>
    </row>
    <row r="449" spans="7:7" ht="15.75" customHeight="1">
      <c r="G449"/>
    </row>
    <row r="450" spans="7:7" ht="15.75" customHeight="1">
      <c r="G450"/>
    </row>
    <row r="451" spans="7:7" ht="15.75" customHeight="1">
      <c r="G451"/>
    </row>
    <row r="452" spans="7:7" ht="15.75" customHeight="1">
      <c r="G452"/>
    </row>
    <row r="453" spans="7:7" ht="15.75" customHeight="1">
      <c r="G453"/>
    </row>
    <row r="454" spans="7:7" ht="15.75" customHeight="1">
      <c r="G454"/>
    </row>
    <row r="455" spans="7:7" ht="15.75" customHeight="1">
      <c r="G455"/>
    </row>
    <row r="456" spans="7:7" ht="15.75" customHeight="1">
      <c r="G456"/>
    </row>
    <row r="457" spans="7:7" ht="15.75" customHeight="1">
      <c r="G457"/>
    </row>
    <row r="458" spans="7:7" ht="15.75" customHeight="1">
      <c r="G458"/>
    </row>
    <row r="459" spans="7:7" ht="15.75" customHeight="1">
      <c r="G459"/>
    </row>
    <row r="460" spans="7:7" ht="15.75" customHeight="1">
      <c r="G460"/>
    </row>
    <row r="461" spans="7:7" ht="15.75" customHeight="1">
      <c r="G461"/>
    </row>
    <row r="462" spans="7:7" ht="15.75" customHeight="1">
      <c r="G462"/>
    </row>
    <row r="463" spans="7:7" ht="15.75" customHeight="1">
      <c r="G463"/>
    </row>
    <row r="464" spans="7:7" ht="15.75" customHeight="1">
      <c r="G464"/>
    </row>
    <row r="465" spans="7:7" ht="15.75" customHeight="1">
      <c r="G465"/>
    </row>
    <row r="466" spans="7:7" ht="15.75" customHeight="1">
      <c r="G466"/>
    </row>
    <row r="467" spans="7:7" ht="15.75" customHeight="1">
      <c r="G467"/>
    </row>
    <row r="468" spans="7:7" ht="15.75" customHeight="1">
      <c r="G468"/>
    </row>
    <row r="469" spans="7:7" ht="15.75" customHeight="1">
      <c r="G469"/>
    </row>
    <row r="470" spans="7:7" ht="15.75" customHeight="1">
      <c r="G470"/>
    </row>
    <row r="471" spans="7:7" ht="15.75" customHeight="1">
      <c r="G471"/>
    </row>
    <row r="472" spans="7:7" ht="15.75" customHeight="1">
      <c r="G472"/>
    </row>
    <row r="473" spans="7:7" ht="15.75" customHeight="1">
      <c r="G473"/>
    </row>
    <row r="474" spans="7:7" ht="15.75" customHeight="1">
      <c r="G474"/>
    </row>
    <row r="475" spans="7:7" ht="15.75" customHeight="1">
      <c r="G475"/>
    </row>
    <row r="476" spans="7:7" ht="15.75" customHeight="1">
      <c r="G476"/>
    </row>
    <row r="477" spans="7:7" ht="15.75" customHeight="1">
      <c r="G477"/>
    </row>
    <row r="478" spans="7:7" ht="15.75" customHeight="1">
      <c r="G478"/>
    </row>
    <row r="479" spans="7:7" ht="15.75" customHeight="1">
      <c r="G479"/>
    </row>
    <row r="480" spans="7:7" ht="15.75" customHeight="1">
      <c r="G480"/>
    </row>
    <row r="481" spans="7:7" ht="15.75" customHeight="1">
      <c r="G481"/>
    </row>
    <row r="482" spans="7:7" ht="15.75" customHeight="1">
      <c r="G482"/>
    </row>
    <row r="483" spans="7:7" ht="15.75" customHeight="1">
      <c r="G483"/>
    </row>
    <row r="484" spans="7:7" ht="15.75" customHeight="1">
      <c r="G484"/>
    </row>
    <row r="485" spans="7:7" ht="15.75" customHeight="1">
      <c r="G485"/>
    </row>
    <row r="486" spans="7:7" ht="15.75" customHeight="1">
      <c r="G486"/>
    </row>
    <row r="487" spans="7:7" ht="15.75" customHeight="1">
      <c r="G487"/>
    </row>
    <row r="488" spans="7:7" ht="15.75" customHeight="1">
      <c r="G488"/>
    </row>
    <row r="489" spans="7:7" ht="15.75" customHeight="1">
      <c r="G489"/>
    </row>
    <row r="490" spans="7:7" ht="15.75" customHeight="1">
      <c r="G490"/>
    </row>
    <row r="491" spans="7:7" ht="15.75" customHeight="1">
      <c r="G491"/>
    </row>
    <row r="492" spans="7:7" ht="15.75" customHeight="1">
      <c r="G492"/>
    </row>
    <row r="493" spans="7:7" ht="15.75" customHeight="1">
      <c r="G493"/>
    </row>
    <row r="494" spans="7:7" ht="15.75" customHeight="1">
      <c r="G494"/>
    </row>
    <row r="495" spans="7:7" ht="15.75" customHeight="1">
      <c r="G495"/>
    </row>
    <row r="496" spans="7:7" ht="15.75" customHeight="1">
      <c r="G496"/>
    </row>
    <row r="497" spans="7:7" ht="15.75" customHeight="1">
      <c r="G497"/>
    </row>
    <row r="498" spans="7:7" ht="15.75" customHeight="1">
      <c r="G498"/>
    </row>
    <row r="499" spans="7:7" ht="15.75" customHeight="1">
      <c r="G499"/>
    </row>
    <row r="500" spans="7:7" ht="15.75" customHeight="1">
      <c r="G500"/>
    </row>
    <row r="501" spans="7:7" ht="15.75" customHeight="1">
      <c r="G501"/>
    </row>
    <row r="502" spans="7:7" ht="15.75" customHeight="1">
      <c r="G502"/>
    </row>
    <row r="503" spans="7:7" ht="15.75" customHeight="1">
      <c r="G503"/>
    </row>
    <row r="504" spans="7:7" ht="15.75" customHeight="1">
      <c r="G504"/>
    </row>
    <row r="505" spans="7:7" ht="15.75" customHeight="1">
      <c r="G505"/>
    </row>
    <row r="506" spans="7:7" ht="15.75" customHeight="1">
      <c r="G506"/>
    </row>
    <row r="507" spans="7:7" ht="15.75" customHeight="1">
      <c r="G507"/>
    </row>
    <row r="508" spans="7:7" ht="15.75" customHeight="1">
      <c r="G508"/>
    </row>
    <row r="509" spans="7:7" ht="15.75" customHeight="1">
      <c r="G509"/>
    </row>
    <row r="510" spans="7:7" ht="15.75" customHeight="1">
      <c r="G510"/>
    </row>
    <row r="511" spans="7:7" ht="15.75" customHeight="1">
      <c r="G511"/>
    </row>
    <row r="512" spans="7:7" ht="15.75" customHeight="1">
      <c r="G512"/>
    </row>
    <row r="513" spans="7:7" ht="15.75" customHeight="1">
      <c r="G513"/>
    </row>
    <row r="514" spans="7:7" ht="15.75" customHeight="1">
      <c r="G514"/>
    </row>
    <row r="515" spans="7:7" ht="15.75" customHeight="1">
      <c r="G515"/>
    </row>
    <row r="516" spans="7:7" ht="15.75" customHeight="1">
      <c r="G516"/>
    </row>
  </sheetData>
  <mergeCells count="24">
    <mergeCell ref="P44:P52"/>
    <mergeCell ref="Q31:Q41"/>
    <mergeCell ref="Q44:Q52"/>
    <mergeCell ref="B1:D1"/>
    <mergeCell ref="I1:M1"/>
    <mergeCell ref="N1:O1"/>
    <mergeCell ref="P4:P28"/>
    <mergeCell ref="Q4:Q28"/>
    <mergeCell ref="M2:M3"/>
    <mergeCell ref="L2:L3"/>
    <mergeCell ref="K2:K3"/>
    <mergeCell ref="J2:J3"/>
    <mergeCell ref="I2:I3"/>
    <mergeCell ref="H2:H3"/>
    <mergeCell ref="G2:G3"/>
    <mergeCell ref="F2:F3"/>
    <mergeCell ref="A2:A3"/>
    <mergeCell ref="B2:B3"/>
    <mergeCell ref="P2:P3"/>
    <mergeCell ref="Q2:Q3"/>
    <mergeCell ref="P31:P41"/>
    <mergeCell ref="E2:E3"/>
    <mergeCell ref="D2:D3"/>
    <mergeCell ref="C2:C3"/>
  </mergeCells>
  <conditionalFormatting sqref="I4:I6 I44:I45 I47:I48">
    <cfRule type="expression" dxfId="4" priority="14">
      <formula>$H$120</formula>
    </cfRule>
  </conditionalFormatting>
  <conditionalFormatting sqref="I33">
    <cfRule type="expression" dxfId="3" priority="16">
      <formula>$H$120</formula>
    </cfRule>
  </conditionalFormatting>
  <conditionalFormatting sqref="I51:I52">
    <cfRule type="expression" dxfId="2" priority="3">
      <formula>$H$120</formula>
    </cfRule>
  </conditionalFormatting>
  <conditionalFormatting sqref="I56">
    <cfRule type="expression" dxfId="1" priority="2">
      <formula>$H$120</formula>
    </cfRule>
  </conditionalFormatting>
  <conditionalFormatting sqref="I60">
    <cfRule type="expression" dxfId="0" priority="1">
      <formula>$H$120</formula>
    </cfRule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997B-F2E6-4FE6-A247-103DF3A06083}">
  <dimension ref="A1:C73"/>
  <sheetViews>
    <sheetView workbookViewId="0">
      <selection activeCell="D10" sqref="D10"/>
    </sheetView>
  </sheetViews>
  <sheetFormatPr defaultRowHeight="12.75"/>
  <cols>
    <col min="1" max="1" width="60.7109375" customWidth="1"/>
    <col min="2" max="2" width="85.140625" customWidth="1"/>
    <col min="3" max="3" width="101.28515625" customWidth="1"/>
  </cols>
  <sheetData>
    <row r="1" spans="1:3" ht="22.5" customHeight="1">
      <c r="A1" s="28" t="s">
        <v>86</v>
      </c>
      <c r="B1" s="28" t="s">
        <v>87</v>
      </c>
      <c r="C1" s="28" t="s">
        <v>88</v>
      </c>
    </row>
    <row r="2" spans="1:3" ht="22.5" customHeight="1">
      <c r="A2" s="20" t="s">
        <v>89</v>
      </c>
      <c r="B2" s="20" t="s">
        <v>89</v>
      </c>
      <c r="C2" s="20" t="s">
        <v>89</v>
      </c>
    </row>
    <row r="3" spans="1:3" ht="22.5" customHeight="1">
      <c r="A3" s="21" t="s">
        <v>90</v>
      </c>
      <c r="B3" s="21" t="s">
        <v>90</v>
      </c>
      <c r="C3" s="21" t="s">
        <v>90</v>
      </c>
    </row>
    <row r="4" spans="1:3" ht="22.5" customHeight="1">
      <c r="A4" s="21" t="s">
        <v>91</v>
      </c>
      <c r="B4" s="21" t="s">
        <v>91</v>
      </c>
      <c r="C4" s="21" t="s">
        <v>91</v>
      </c>
    </row>
    <row r="5" spans="1:3" ht="22.5" customHeight="1">
      <c r="A5" s="21" t="str">
        <f>"-"</f>
        <v>-</v>
      </c>
      <c r="B5" s="21" t="s">
        <v>92</v>
      </c>
      <c r="C5" s="21" t="s">
        <v>92</v>
      </c>
    </row>
    <row r="6" spans="1:3" ht="22.5" customHeight="1">
      <c r="A6" s="20" t="s">
        <v>93</v>
      </c>
      <c r="B6" s="20" t="s">
        <v>93</v>
      </c>
      <c r="C6" s="20" t="s">
        <v>93</v>
      </c>
    </row>
    <row r="7" spans="1:3" ht="22.5" customHeight="1">
      <c r="A7" s="21" t="s">
        <v>94</v>
      </c>
      <c r="B7" s="21" t="s">
        <v>94</v>
      </c>
      <c r="C7" s="21" t="s">
        <v>94</v>
      </c>
    </row>
    <row r="8" spans="1:3" ht="22.5" customHeight="1">
      <c r="A8" s="21" t="s">
        <v>95</v>
      </c>
      <c r="B8" s="21" t="s">
        <v>95</v>
      </c>
      <c r="C8" s="21" t="s">
        <v>95</v>
      </c>
    </row>
    <row r="9" spans="1:3" ht="22.5" customHeight="1">
      <c r="A9" s="21" t="s">
        <v>96</v>
      </c>
      <c r="B9" s="21" t="s">
        <v>96</v>
      </c>
      <c r="C9" s="21" t="s">
        <v>96</v>
      </c>
    </row>
    <row r="10" spans="1:3" ht="22.5" customHeight="1">
      <c r="A10" s="21" t="str">
        <f>"-"</f>
        <v>-</v>
      </c>
      <c r="B10" s="21" t="s">
        <v>97</v>
      </c>
      <c r="C10" s="21" t="s">
        <v>97</v>
      </c>
    </row>
    <row r="11" spans="1:3" ht="22.5" customHeight="1">
      <c r="A11" s="21" t="str">
        <f>"-"</f>
        <v>-</v>
      </c>
      <c r="B11" s="21" t="s">
        <v>98</v>
      </c>
      <c r="C11" s="21" t="s">
        <v>98</v>
      </c>
    </row>
    <row r="12" spans="1:3" ht="22.5" customHeight="1">
      <c r="A12" s="20" t="s">
        <v>99</v>
      </c>
      <c r="B12" s="20" t="s">
        <v>99</v>
      </c>
      <c r="C12" s="20" t="s">
        <v>99</v>
      </c>
    </row>
    <row r="13" spans="1:3" ht="22.5" customHeight="1">
      <c r="A13" s="21" t="s">
        <v>100</v>
      </c>
      <c r="B13" s="21" t="s">
        <v>100</v>
      </c>
      <c r="C13" s="21" t="s">
        <v>100</v>
      </c>
    </row>
    <row r="14" spans="1:3" ht="22.5" customHeight="1">
      <c r="A14" s="21" t="s">
        <v>101</v>
      </c>
      <c r="B14" s="21" t="s">
        <v>101</v>
      </c>
      <c r="C14" s="21" t="s">
        <v>101</v>
      </c>
    </row>
    <row r="15" spans="1:3" ht="22.5" customHeight="1">
      <c r="A15" s="21" t="s">
        <v>102</v>
      </c>
      <c r="B15" s="21" t="s">
        <v>102</v>
      </c>
      <c r="C15" s="21" t="s">
        <v>102</v>
      </c>
    </row>
    <row r="16" spans="1:3" ht="22.5" customHeight="1">
      <c r="A16" s="21" t="str">
        <f>"-"</f>
        <v>-</v>
      </c>
      <c r="B16" s="21" t="s">
        <v>103</v>
      </c>
      <c r="C16" s="21" t="s">
        <v>104</v>
      </c>
    </row>
    <row r="17" spans="1:3" ht="22.5" customHeight="1">
      <c r="A17" s="20" t="s">
        <v>105</v>
      </c>
      <c r="B17" s="20" t="s">
        <v>105</v>
      </c>
      <c r="C17" s="20" t="s">
        <v>105</v>
      </c>
    </row>
    <row r="18" spans="1:3" ht="22.5" customHeight="1">
      <c r="A18" s="21" t="s">
        <v>106</v>
      </c>
      <c r="B18" s="21" t="s">
        <v>106</v>
      </c>
      <c r="C18" s="21" t="s">
        <v>106</v>
      </c>
    </row>
    <row r="19" spans="1:3" ht="22.5" customHeight="1">
      <c r="A19" s="21" t="s">
        <v>107</v>
      </c>
      <c r="B19" s="21" t="s">
        <v>107</v>
      </c>
      <c r="C19" s="21" t="s">
        <v>107</v>
      </c>
    </row>
    <row r="20" spans="1:3" ht="22.5" customHeight="1">
      <c r="A20" s="21" t="s">
        <v>103</v>
      </c>
      <c r="B20" s="21" t="s">
        <v>108</v>
      </c>
      <c r="C20" s="21" t="s">
        <v>108</v>
      </c>
    </row>
    <row r="21" spans="1:3" ht="22.5" customHeight="1">
      <c r="A21" s="21" t="s">
        <v>103</v>
      </c>
      <c r="B21" s="21" t="s">
        <v>109</v>
      </c>
      <c r="C21" s="21" t="s">
        <v>109</v>
      </c>
    </row>
    <row r="22" spans="1:3" ht="22.5" customHeight="1">
      <c r="A22" s="21" t="s">
        <v>103</v>
      </c>
      <c r="B22" s="21" t="s">
        <v>110</v>
      </c>
      <c r="C22" s="21" t="s">
        <v>110</v>
      </c>
    </row>
    <row r="23" spans="1:3" ht="22.5" customHeight="1">
      <c r="A23" s="21" t="s">
        <v>103</v>
      </c>
      <c r="B23" s="21" t="s">
        <v>103</v>
      </c>
      <c r="C23" s="21" t="s">
        <v>111</v>
      </c>
    </row>
    <row r="24" spans="1:3" ht="22.5" customHeight="1">
      <c r="A24" s="20" t="s">
        <v>112</v>
      </c>
      <c r="B24" s="20" t="s">
        <v>112</v>
      </c>
      <c r="C24" s="20" t="s">
        <v>112</v>
      </c>
    </row>
    <row r="25" spans="1:3" ht="22.5" customHeight="1">
      <c r="A25" s="21" t="s">
        <v>106</v>
      </c>
      <c r="B25" s="21" t="s">
        <v>106</v>
      </c>
      <c r="C25" s="21" t="s">
        <v>106</v>
      </c>
    </row>
    <row r="26" spans="1:3" ht="22.5" customHeight="1">
      <c r="A26" s="21" t="s">
        <v>113</v>
      </c>
      <c r="B26" s="21" t="s">
        <v>113</v>
      </c>
      <c r="C26" s="21" t="s">
        <v>113</v>
      </c>
    </row>
    <row r="27" spans="1:3" ht="22.5" customHeight="1">
      <c r="A27" s="21" t="s">
        <v>114</v>
      </c>
      <c r="B27" s="21" t="s">
        <v>114</v>
      </c>
      <c r="C27" s="21" t="s">
        <v>114</v>
      </c>
    </row>
    <row r="28" spans="1:3" ht="22.5" customHeight="1">
      <c r="A28" s="22" t="s">
        <v>115</v>
      </c>
      <c r="B28" s="22" t="s">
        <v>115</v>
      </c>
      <c r="C28" s="22" t="s">
        <v>115</v>
      </c>
    </row>
    <row r="29" spans="1:3" ht="22.5" customHeight="1">
      <c r="A29" s="20" t="s">
        <v>116</v>
      </c>
      <c r="B29" s="20" t="s">
        <v>116</v>
      </c>
      <c r="C29" s="20" t="s">
        <v>116</v>
      </c>
    </row>
    <row r="30" spans="1:3" ht="22.5" customHeight="1">
      <c r="A30" s="21" t="s">
        <v>117</v>
      </c>
      <c r="B30" s="21" t="s">
        <v>117</v>
      </c>
      <c r="C30" s="21" t="s">
        <v>117</v>
      </c>
    </row>
    <row r="31" spans="1:3" ht="22.5" customHeight="1">
      <c r="A31" s="22" t="s">
        <v>103</v>
      </c>
      <c r="B31" s="22" t="s">
        <v>103</v>
      </c>
      <c r="C31" s="22" t="s">
        <v>118</v>
      </c>
    </row>
    <row r="32" spans="1:3" ht="22.5" customHeight="1">
      <c r="A32" s="23" t="s">
        <v>119</v>
      </c>
      <c r="B32" s="23" t="s">
        <v>119</v>
      </c>
      <c r="C32" s="23" t="s">
        <v>119</v>
      </c>
    </row>
    <row r="33" spans="1:3" ht="22.5" customHeight="1">
      <c r="A33" s="21" t="s">
        <v>120</v>
      </c>
      <c r="B33" s="21" t="s">
        <v>120</v>
      </c>
      <c r="C33" s="21" t="s">
        <v>120</v>
      </c>
    </row>
    <row r="34" spans="1:3" ht="22.5" customHeight="1">
      <c r="A34" s="21" t="s">
        <v>121</v>
      </c>
      <c r="B34" s="21" t="s">
        <v>121</v>
      </c>
      <c r="C34" s="21" t="s">
        <v>122</v>
      </c>
    </row>
    <row r="35" spans="1:3" ht="22.5" customHeight="1">
      <c r="A35" s="21" t="s">
        <v>103</v>
      </c>
      <c r="B35" s="21" t="s">
        <v>123</v>
      </c>
      <c r="C35" s="21" t="s">
        <v>123</v>
      </c>
    </row>
    <row r="36" spans="1:3" ht="22.5" customHeight="1">
      <c r="A36" s="21" t="s">
        <v>103</v>
      </c>
      <c r="B36" s="21" t="s">
        <v>124</v>
      </c>
      <c r="C36" s="21" t="s">
        <v>124</v>
      </c>
    </row>
    <row r="37" spans="1:3" ht="22.5" customHeight="1">
      <c r="A37" s="20" t="s">
        <v>125</v>
      </c>
      <c r="B37" s="20" t="s">
        <v>125</v>
      </c>
      <c r="C37" s="20" t="s">
        <v>125</v>
      </c>
    </row>
    <row r="38" spans="1:3" ht="22.5" customHeight="1">
      <c r="A38" s="21" t="s">
        <v>126</v>
      </c>
      <c r="B38" s="21" t="s">
        <v>126</v>
      </c>
      <c r="C38" s="21" t="s">
        <v>126</v>
      </c>
    </row>
    <row r="39" spans="1:3" ht="22.5" customHeight="1">
      <c r="A39" s="21" t="s">
        <v>103</v>
      </c>
      <c r="B39" s="21" t="s">
        <v>127</v>
      </c>
      <c r="C39" s="21" t="s">
        <v>127</v>
      </c>
    </row>
    <row r="40" spans="1:3" ht="22.5" customHeight="1">
      <c r="A40" s="21" t="s">
        <v>103</v>
      </c>
      <c r="B40" s="21" t="s">
        <v>103</v>
      </c>
      <c r="C40" s="21" t="s">
        <v>128</v>
      </c>
    </row>
    <row r="41" spans="1:3" ht="22.5" customHeight="1">
      <c r="A41" s="22" t="s">
        <v>103</v>
      </c>
      <c r="B41" s="22" t="s">
        <v>103</v>
      </c>
      <c r="C41" s="22" t="s">
        <v>129</v>
      </c>
    </row>
    <row r="42" spans="1:3" ht="22.5" customHeight="1">
      <c r="A42" s="25" t="s">
        <v>130</v>
      </c>
      <c r="B42" s="25" t="s">
        <v>130</v>
      </c>
      <c r="C42" s="25" t="s">
        <v>130</v>
      </c>
    </row>
    <row r="43" spans="1:3" ht="22.5" customHeight="1">
      <c r="A43" s="24" t="s">
        <v>131</v>
      </c>
      <c r="B43" s="24" t="s">
        <v>131</v>
      </c>
      <c r="C43" s="24" t="s">
        <v>131</v>
      </c>
    </row>
    <row r="44" spans="1:3" ht="22.5" customHeight="1">
      <c r="A44" s="24" t="s">
        <v>132</v>
      </c>
      <c r="B44" s="24" t="s">
        <v>132</v>
      </c>
      <c r="C44" s="24" t="s">
        <v>132</v>
      </c>
    </row>
    <row r="45" spans="1:3" ht="22.5" customHeight="1">
      <c r="A45" s="24" t="s">
        <v>133</v>
      </c>
      <c r="B45" s="24" t="s">
        <v>133</v>
      </c>
      <c r="C45" s="24" t="s">
        <v>133</v>
      </c>
    </row>
    <row r="46" spans="1:3" ht="22.5" customHeight="1">
      <c r="A46" s="24" t="s">
        <v>103</v>
      </c>
      <c r="B46" s="24" t="s">
        <v>134</v>
      </c>
      <c r="C46" s="24" t="s">
        <v>134</v>
      </c>
    </row>
    <row r="47" spans="1:3" ht="22.5" customHeight="1">
      <c r="A47" s="25" t="s">
        <v>135</v>
      </c>
      <c r="B47" s="25" t="s">
        <v>135</v>
      </c>
      <c r="C47" s="25" t="s">
        <v>135</v>
      </c>
    </row>
    <row r="48" spans="1:3" ht="22.5" customHeight="1">
      <c r="A48" s="24" t="s">
        <v>136</v>
      </c>
      <c r="B48" s="24" t="s">
        <v>136</v>
      </c>
      <c r="C48" s="24" t="s">
        <v>136</v>
      </c>
    </row>
    <row r="49" spans="1:3" ht="22.5" customHeight="1">
      <c r="A49" s="24" t="s">
        <v>103</v>
      </c>
      <c r="B49" s="24" t="s">
        <v>137</v>
      </c>
      <c r="C49" s="24" t="s">
        <v>137</v>
      </c>
    </row>
    <row r="50" spans="1:3" ht="22.5" customHeight="1">
      <c r="A50" s="24" t="s">
        <v>103</v>
      </c>
      <c r="B50" s="24" t="s">
        <v>138</v>
      </c>
      <c r="C50" s="24" t="s">
        <v>138</v>
      </c>
    </row>
    <row r="51" spans="1:3" ht="22.5" customHeight="1">
      <c r="A51" s="24" t="s">
        <v>103</v>
      </c>
      <c r="B51" s="24" t="s">
        <v>139</v>
      </c>
      <c r="C51" s="24" t="s">
        <v>139</v>
      </c>
    </row>
    <row r="52" spans="1:3" ht="22.5" customHeight="1">
      <c r="A52" s="25" t="s">
        <v>140</v>
      </c>
      <c r="B52" s="25" t="s">
        <v>141</v>
      </c>
      <c r="C52" s="25" t="s">
        <v>141</v>
      </c>
    </row>
    <row r="53" spans="1:3" ht="22.5" customHeight="1">
      <c r="A53" s="24" t="s">
        <v>142</v>
      </c>
      <c r="B53" s="24" t="s">
        <v>143</v>
      </c>
      <c r="C53" s="24" t="s">
        <v>143</v>
      </c>
    </row>
    <row r="54" spans="1:3" ht="22.5" customHeight="1">
      <c r="A54" s="24" t="s">
        <v>144</v>
      </c>
      <c r="B54" s="24" t="s">
        <v>145</v>
      </c>
      <c r="C54" s="24" t="s">
        <v>145</v>
      </c>
    </row>
    <row r="55" spans="1:3" ht="22.5" customHeight="1">
      <c r="A55" s="24" t="s">
        <v>103</v>
      </c>
      <c r="B55" s="24" t="s">
        <v>103</v>
      </c>
      <c r="C55" s="24" t="s">
        <v>146</v>
      </c>
    </row>
    <row r="56" spans="1:3" ht="22.5" customHeight="1">
      <c r="A56" s="26" t="s">
        <v>103</v>
      </c>
      <c r="B56" s="26" t="s">
        <v>103</v>
      </c>
      <c r="C56" s="26" t="s">
        <v>147</v>
      </c>
    </row>
    <row r="57" spans="1:3" ht="22.5" customHeight="1">
      <c r="A57" s="25" t="s">
        <v>140</v>
      </c>
      <c r="B57" s="25" t="s">
        <v>140</v>
      </c>
      <c r="C57" s="25" t="s">
        <v>140</v>
      </c>
    </row>
    <row r="58" spans="1:3" ht="22.5" customHeight="1">
      <c r="A58" s="24" t="s">
        <v>103</v>
      </c>
      <c r="B58" s="24" t="s">
        <v>142</v>
      </c>
      <c r="C58" s="24" t="s">
        <v>142</v>
      </c>
    </row>
    <row r="59" spans="1:3" ht="22.5" customHeight="1">
      <c r="A59" s="24" t="s">
        <v>103</v>
      </c>
      <c r="B59" s="24" t="s">
        <v>144</v>
      </c>
      <c r="C59" s="24" t="s">
        <v>144</v>
      </c>
    </row>
    <row r="60" spans="1:3" ht="22.5" customHeight="1">
      <c r="A60" s="24" t="s">
        <v>103</v>
      </c>
      <c r="B60" s="24" t="s">
        <v>148</v>
      </c>
      <c r="C60" s="24" t="s">
        <v>148</v>
      </c>
    </row>
    <row r="61" spans="1:3" ht="22.5" customHeight="1">
      <c r="A61" s="25" t="s">
        <v>149</v>
      </c>
      <c r="B61" s="25" t="s">
        <v>149</v>
      </c>
      <c r="C61" s="25" t="s">
        <v>149</v>
      </c>
    </row>
    <row r="62" spans="1:3" ht="22.5" customHeight="1">
      <c r="A62" s="24" t="s">
        <v>103</v>
      </c>
      <c r="B62" s="24" t="s">
        <v>103</v>
      </c>
      <c r="C62" s="24" t="s">
        <v>150</v>
      </c>
    </row>
    <row r="63" spans="1:3" ht="22.5" customHeight="1">
      <c r="A63" s="27" t="s">
        <v>151</v>
      </c>
      <c r="B63" s="27" t="s">
        <v>151</v>
      </c>
      <c r="C63" s="27" t="s">
        <v>151</v>
      </c>
    </row>
    <row r="64" spans="1:3" ht="22.5" customHeight="1">
      <c r="A64" s="24" t="s">
        <v>103</v>
      </c>
      <c r="B64" s="24" t="s">
        <v>103</v>
      </c>
      <c r="C64" s="24" t="s">
        <v>152</v>
      </c>
    </row>
    <row r="65" spans="1:3" ht="22.5" customHeight="1">
      <c r="A65" s="24" t="s">
        <v>103</v>
      </c>
      <c r="B65" s="24" t="s">
        <v>103</v>
      </c>
      <c r="C65" s="24" t="s">
        <v>153</v>
      </c>
    </row>
    <row r="66" spans="1:3" ht="22.5" customHeight="1">
      <c r="A66" s="25" t="s">
        <v>154</v>
      </c>
      <c r="B66" s="25" t="s">
        <v>154</v>
      </c>
      <c r="C66" s="25" t="s">
        <v>154</v>
      </c>
    </row>
    <row r="67" spans="1:3" ht="22.5" customHeight="1">
      <c r="A67" s="24" t="s">
        <v>103</v>
      </c>
      <c r="B67" s="24" t="s">
        <v>103</v>
      </c>
      <c r="C67" s="24" t="s">
        <v>155</v>
      </c>
    </row>
    <row r="68" spans="1:3" ht="22.5" customHeight="1">
      <c r="A68" s="24" t="s">
        <v>103</v>
      </c>
      <c r="B68" s="24" t="s">
        <v>103</v>
      </c>
      <c r="C68" s="24" t="s">
        <v>156</v>
      </c>
    </row>
    <row r="69" spans="1:3" ht="22.5" customHeight="1">
      <c r="A69" s="24" t="s">
        <v>103</v>
      </c>
      <c r="B69" s="24" t="s">
        <v>103</v>
      </c>
      <c r="C69" s="26" t="s">
        <v>157</v>
      </c>
    </row>
    <row r="70" spans="1:3" ht="22.5" customHeight="1">
      <c r="A70" s="25" t="s">
        <v>158</v>
      </c>
      <c r="B70" s="25" t="s">
        <v>158</v>
      </c>
      <c r="C70" s="25" t="s">
        <v>158</v>
      </c>
    </row>
    <row r="71" spans="1:3" ht="22.5" customHeight="1">
      <c r="A71" s="24"/>
      <c r="B71" s="24" t="s">
        <v>103</v>
      </c>
      <c r="C71" s="24" t="s">
        <v>159</v>
      </c>
    </row>
    <row r="72" spans="1:3" ht="22.5" customHeight="1">
      <c r="A72" s="24"/>
      <c r="B72" s="24" t="s">
        <v>103</v>
      </c>
      <c r="C72" s="24" t="s">
        <v>160</v>
      </c>
    </row>
    <row r="73" spans="1:3" ht="22.5" customHeight="1">
      <c r="A73" s="24"/>
      <c r="B73" s="24" t="s">
        <v>103</v>
      </c>
      <c r="C73" s="24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817C-FD4C-40F3-AF31-250BAAAD029E}">
  <dimension ref="A1:D50"/>
  <sheetViews>
    <sheetView workbookViewId="0">
      <selection activeCell="B12" sqref="B12"/>
    </sheetView>
  </sheetViews>
  <sheetFormatPr defaultRowHeight="12.75"/>
  <cols>
    <col min="1" max="1" width="46.5703125" customWidth="1"/>
    <col min="2" max="2" width="72.5703125" customWidth="1"/>
    <col min="3" max="3" width="29.85546875" customWidth="1"/>
    <col min="4" max="4" width="22.5703125" customWidth="1"/>
  </cols>
  <sheetData>
    <row r="1" spans="1:4" ht="15">
      <c r="A1" s="157" t="s">
        <v>162</v>
      </c>
      <c r="B1" s="157"/>
      <c r="C1" s="29" t="s">
        <v>163</v>
      </c>
      <c r="D1" s="29" t="s">
        <v>164</v>
      </c>
    </row>
    <row r="2" spans="1:4" ht="15">
      <c r="A2" s="154" t="s">
        <v>165</v>
      </c>
      <c r="B2" s="30" t="s">
        <v>166</v>
      </c>
      <c r="C2" s="31" t="s">
        <v>86</v>
      </c>
      <c r="D2" s="32" t="s">
        <v>167</v>
      </c>
    </row>
    <row r="3" spans="1:4" ht="15">
      <c r="A3" s="155"/>
      <c r="B3" s="33" t="s">
        <v>168</v>
      </c>
      <c r="C3" s="34" t="s">
        <v>86</v>
      </c>
      <c r="D3" s="35" t="s">
        <v>169</v>
      </c>
    </row>
    <row r="4" spans="1:4" ht="15">
      <c r="A4" s="155"/>
      <c r="B4" s="33" t="s">
        <v>170</v>
      </c>
      <c r="C4" s="34" t="s">
        <v>86</v>
      </c>
      <c r="D4" s="35" t="s">
        <v>171</v>
      </c>
    </row>
    <row r="5" spans="1:4" ht="15">
      <c r="A5" s="155"/>
      <c r="B5" s="33" t="s">
        <v>172</v>
      </c>
      <c r="C5" s="34" t="s">
        <v>86</v>
      </c>
      <c r="D5" s="35" t="s">
        <v>173</v>
      </c>
    </row>
    <row r="6" spans="1:4" ht="15">
      <c r="A6" s="155"/>
      <c r="B6" s="33" t="s">
        <v>174</v>
      </c>
      <c r="C6" s="34" t="s">
        <v>86</v>
      </c>
      <c r="D6" s="35" t="s">
        <v>171</v>
      </c>
    </row>
    <row r="7" spans="1:4" ht="15">
      <c r="A7" s="155"/>
      <c r="B7" s="33" t="s">
        <v>175</v>
      </c>
      <c r="C7" s="34" t="s">
        <v>86</v>
      </c>
      <c r="D7" s="35" t="s">
        <v>85</v>
      </c>
    </row>
    <row r="8" spans="1:4" ht="15">
      <c r="A8" s="155"/>
      <c r="B8" s="33" t="s">
        <v>176</v>
      </c>
      <c r="C8" s="34" t="s">
        <v>86</v>
      </c>
      <c r="D8" s="35" t="s">
        <v>85</v>
      </c>
    </row>
    <row r="9" spans="1:4" ht="15">
      <c r="A9" s="156"/>
      <c r="B9" s="36" t="s">
        <v>177</v>
      </c>
      <c r="C9" s="37" t="s">
        <v>86</v>
      </c>
      <c r="D9" s="38" t="s">
        <v>85</v>
      </c>
    </row>
    <row r="10" spans="1:4" ht="15">
      <c r="A10" s="154" t="s">
        <v>178</v>
      </c>
      <c r="B10" s="30" t="s">
        <v>179</v>
      </c>
      <c r="C10" s="31" t="s">
        <v>86</v>
      </c>
      <c r="D10" s="32" t="s">
        <v>167</v>
      </c>
    </row>
    <row r="11" spans="1:4" ht="15">
      <c r="A11" s="155"/>
      <c r="B11" s="33" t="s">
        <v>180</v>
      </c>
      <c r="C11" s="34" t="s">
        <v>86</v>
      </c>
      <c r="D11" s="35" t="s">
        <v>181</v>
      </c>
    </row>
    <row r="12" spans="1:4" ht="15">
      <c r="A12" s="155"/>
      <c r="B12" s="33" t="s">
        <v>182</v>
      </c>
      <c r="C12" s="34" t="s">
        <v>86</v>
      </c>
      <c r="D12" s="35" t="s">
        <v>183</v>
      </c>
    </row>
    <row r="13" spans="1:4" ht="15">
      <c r="A13" s="155"/>
      <c r="B13" s="33" t="s">
        <v>184</v>
      </c>
      <c r="C13" s="34" t="s">
        <v>86</v>
      </c>
      <c r="D13" s="35" t="s">
        <v>183</v>
      </c>
    </row>
    <row r="14" spans="1:4" ht="15">
      <c r="A14" s="155"/>
      <c r="B14" s="33" t="s">
        <v>185</v>
      </c>
      <c r="C14" s="34" t="s">
        <v>86</v>
      </c>
      <c r="D14" s="35" t="s">
        <v>167</v>
      </c>
    </row>
    <row r="15" spans="1:4" ht="15">
      <c r="A15" s="155"/>
      <c r="B15" s="33" t="s">
        <v>186</v>
      </c>
      <c r="C15" s="39" t="s">
        <v>87</v>
      </c>
      <c r="D15" s="35" t="s">
        <v>183</v>
      </c>
    </row>
    <row r="16" spans="1:4" ht="15">
      <c r="A16" s="155"/>
      <c r="B16" s="33" t="s">
        <v>187</v>
      </c>
      <c r="C16" s="39" t="s">
        <v>87</v>
      </c>
      <c r="D16" s="35" t="s">
        <v>183</v>
      </c>
    </row>
    <row r="17" spans="1:4" ht="15">
      <c r="A17" s="155"/>
      <c r="B17" s="33" t="s">
        <v>188</v>
      </c>
      <c r="C17" s="39" t="s">
        <v>87</v>
      </c>
      <c r="D17" s="35" t="s">
        <v>183</v>
      </c>
    </row>
    <row r="18" spans="1:4" ht="15">
      <c r="A18" s="155"/>
      <c r="B18" s="33" t="s">
        <v>189</v>
      </c>
      <c r="C18" s="40" t="s">
        <v>88</v>
      </c>
      <c r="D18" s="35" t="s">
        <v>190</v>
      </c>
    </row>
    <row r="19" spans="1:4" ht="15">
      <c r="A19" s="155"/>
      <c r="B19" s="33" t="s">
        <v>191</v>
      </c>
      <c r="C19" s="40" t="s">
        <v>88</v>
      </c>
      <c r="D19" s="35" t="s">
        <v>190</v>
      </c>
    </row>
    <row r="20" spans="1:4" ht="15">
      <c r="A20" s="155"/>
      <c r="B20" s="33" t="s">
        <v>192</v>
      </c>
      <c r="C20" s="40" t="s">
        <v>88</v>
      </c>
      <c r="D20" s="35" t="s">
        <v>183</v>
      </c>
    </row>
    <row r="21" spans="1:4" ht="15">
      <c r="A21" s="155"/>
      <c r="B21" s="33" t="s">
        <v>193</v>
      </c>
      <c r="C21" s="40" t="s">
        <v>88</v>
      </c>
      <c r="D21" s="35" t="s">
        <v>183</v>
      </c>
    </row>
    <row r="22" spans="1:4" ht="15">
      <c r="A22" s="155" t="s">
        <v>194</v>
      </c>
      <c r="B22" s="33" t="s">
        <v>195</v>
      </c>
      <c r="C22" s="34" t="s">
        <v>86</v>
      </c>
      <c r="D22" s="35" t="s">
        <v>196</v>
      </c>
    </row>
    <row r="23" spans="1:4" ht="15">
      <c r="A23" s="155"/>
      <c r="B23" s="33" t="s">
        <v>197</v>
      </c>
      <c r="C23" s="34" t="s">
        <v>86</v>
      </c>
      <c r="D23" s="35" t="s">
        <v>196</v>
      </c>
    </row>
    <row r="24" spans="1:4" ht="15">
      <c r="A24" s="156"/>
      <c r="B24" s="36" t="s">
        <v>184</v>
      </c>
      <c r="C24" s="37" t="s">
        <v>86</v>
      </c>
      <c r="D24" s="38" t="s">
        <v>196</v>
      </c>
    </row>
    <row r="25" spans="1:4" ht="15">
      <c r="A25" s="154" t="s">
        <v>198</v>
      </c>
      <c r="B25" s="30" t="s">
        <v>199</v>
      </c>
      <c r="C25" s="31" t="s">
        <v>86</v>
      </c>
      <c r="D25" s="32" t="s">
        <v>171</v>
      </c>
    </row>
    <row r="26" spans="1:4" ht="15">
      <c r="A26" s="155"/>
      <c r="B26" s="33" t="s">
        <v>200</v>
      </c>
      <c r="C26" s="34" t="s">
        <v>86</v>
      </c>
      <c r="D26" s="35" t="s">
        <v>171</v>
      </c>
    </row>
    <row r="27" spans="1:4" ht="15">
      <c r="A27" s="156"/>
      <c r="B27" s="36" t="s">
        <v>201</v>
      </c>
      <c r="C27" s="41" t="s">
        <v>87</v>
      </c>
      <c r="D27" s="38" t="s">
        <v>171</v>
      </c>
    </row>
    <row r="28" spans="1:4" ht="15">
      <c r="A28" s="155" t="s">
        <v>202</v>
      </c>
      <c r="B28" s="33" t="s">
        <v>203</v>
      </c>
      <c r="C28" s="40" t="s">
        <v>88</v>
      </c>
      <c r="D28" s="35" t="s">
        <v>171</v>
      </c>
    </row>
    <row r="29" spans="1:4" ht="15">
      <c r="A29" s="155"/>
      <c r="B29" s="33" t="s">
        <v>204</v>
      </c>
      <c r="C29" s="40" t="s">
        <v>88</v>
      </c>
      <c r="D29" s="35" t="s">
        <v>205</v>
      </c>
    </row>
    <row r="30" spans="1:4" ht="15">
      <c r="A30" s="156"/>
      <c r="B30" s="36" t="s">
        <v>206</v>
      </c>
      <c r="C30" s="42" t="s">
        <v>88</v>
      </c>
      <c r="D30" s="38" t="s">
        <v>205</v>
      </c>
    </row>
    <row r="31" spans="1:4" ht="15">
      <c r="A31" s="154" t="s">
        <v>207</v>
      </c>
      <c r="B31" s="30" t="s">
        <v>208</v>
      </c>
      <c r="C31" s="31" t="s">
        <v>86</v>
      </c>
      <c r="D31" s="32" t="s">
        <v>167</v>
      </c>
    </row>
    <row r="32" spans="1:4" ht="15">
      <c r="A32" s="155"/>
      <c r="B32" s="33" t="s">
        <v>209</v>
      </c>
      <c r="C32" s="34" t="s">
        <v>86</v>
      </c>
      <c r="D32" s="35" t="s">
        <v>169</v>
      </c>
    </row>
    <row r="33" spans="1:4" ht="15">
      <c r="A33" s="155"/>
      <c r="B33" s="33" t="s">
        <v>210</v>
      </c>
      <c r="C33" s="34" t="s">
        <v>86</v>
      </c>
      <c r="D33" s="35" t="s">
        <v>173</v>
      </c>
    </row>
    <row r="34" spans="1:4" ht="15">
      <c r="A34" s="155"/>
      <c r="B34" s="33" t="s">
        <v>211</v>
      </c>
      <c r="C34" s="34" t="s">
        <v>86</v>
      </c>
      <c r="D34" s="35" t="s">
        <v>171</v>
      </c>
    </row>
    <row r="35" spans="1:4" ht="15">
      <c r="A35" s="155"/>
      <c r="B35" s="33" t="s">
        <v>212</v>
      </c>
      <c r="C35" s="34" t="s">
        <v>86</v>
      </c>
      <c r="D35" s="35" t="s">
        <v>171</v>
      </c>
    </row>
    <row r="36" spans="1:4" ht="15">
      <c r="A36" s="155"/>
      <c r="B36" s="33" t="s">
        <v>213</v>
      </c>
      <c r="C36" s="34" t="s">
        <v>86</v>
      </c>
      <c r="D36" s="35" t="s">
        <v>171</v>
      </c>
    </row>
    <row r="37" spans="1:4" ht="15">
      <c r="A37" s="155"/>
      <c r="B37" s="33" t="s">
        <v>214</v>
      </c>
      <c r="C37" s="34" t="s">
        <v>86</v>
      </c>
      <c r="D37" s="35" t="s">
        <v>171</v>
      </c>
    </row>
    <row r="38" spans="1:4" ht="15">
      <c r="A38" s="155"/>
      <c r="B38" s="33" t="s">
        <v>215</v>
      </c>
      <c r="C38" s="34" t="s">
        <v>86</v>
      </c>
      <c r="D38" s="35" t="s">
        <v>171</v>
      </c>
    </row>
    <row r="39" spans="1:4" ht="15">
      <c r="A39" s="155"/>
      <c r="B39" s="33" t="s">
        <v>216</v>
      </c>
      <c r="C39" s="34" t="s">
        <v>86</v>
      </c>
      <c r="D39" s="35" t="s">
        <v>171</v>
      </c>
    </row>
    <row r="40" spans="1:4" ht="15">
      <c r="A40" s="155"/>
      <c r="B40" s="33" t="s">
        <v>217</v>
      </c>
      <c r="C40" s="34" t="s">
        <v>86</v>
      </c>
      <c r="D40" s="35" t="s">
        <v>171</v>
      </c>
    </row>
    <row r="41" spans="1:4" ht="15">
      <c r="A41" s="156"/>
      <c r="B41" s="36" t="s">
        <v>218</v>
      </c>
      <c r="C41" s="37" t="s">
        <v>86</v>
      </c>
      <c r="D41" s="38" t="s">
        <v>171</v>
      </c>
    </row>
    <row r="42" spans="1:4" ht="15">
      <c r="A42" s="154" t="s">
        <v>219</v>
      </c>
      <c r="B42" s="30" t="s">
        <v>220</v>
      </c>
      <c r="C42" s="31" t="s">
        <v>86</v>
      </c>
      <c r="D42" s="32" t="s">
        <v>85</v>
      </c>
    </row>
    <row r="43" spans="1:4" ht="15">
      <c r="A43" s="155"/>
      <c r="B43" s="33" t="s">
        <v>221</v>
      </c>
      <c r="C43" s="39" t="s">
        <v>87</v>
      </c>
      <c r="D43" s="35" t="s">
        <v>85</v>
      </c>
    </row>
    <row r="44" spans="1:4" ht="15">
      <c r="A44" s="155"/>
      <c r="B44" s="33" t="s">
        <v>222</v>
      </c>
      <c r="C44" s="39" t="s">
        <v>87</v>
      </c>
      <c r="D44" s="35" t="s">
        <v>85</v>
      </c>
    </row>
    <row r="45" spans="1:4" ht="15">
      <c r="A45" s="154" t="s">
        <v>223</v>
      </c>
      <c r="B45" s="30" t="s">
        <v>224</v>
      </c>
      <c r="C45" s="31" t="s">
        <v>86</v>
      </c>
      <c r="D45" s="32" t="s">
        <v>173</v>
      </c>
    </row>
    <row r="46" spans="1:4" ht="15">
      <c r="A46" s="155"/>
      <c r="B46" s="33" t="s">
        <v>225</v>
      </c>
      <c r="C46" s="40" t="s">
        <v>88</v>
      </c>
      <c r="D46" s="35" t="s">
        <v>173</v>
      </c>
    </row>
    <row r="47" spans="1:4" ht="15">
      <c r="A47" s="155" t="s">
        <v>226</v>
      </c>
      <c r="B47" s="33" t="s">
        <v>227</v>
      </c>
      <c r="C47" s="34" t="s">
        <v>86</v>
      </c>
      <c r="D47" s="35" t="s">
        <v>85</v>
      </c>
    </row>
    <row r="48" spans="1:4" ht="15">
      <c r="A48" s="155"/>
      <c r="B48" s="33" t="s">
        <v>228</v>
      </c>
      <c r="C48" s="34" t="s">
        <v>86</v>
      </c>
      <c r="D48" s="35" t="s">
        <v>229</v>
      </c>
    </row>
    <row r="49" spans="1:4" ht="15">
      <c r="A49" s="155"/>
      <c r="B49" s="33" t="s">
        <v>230</v>
      </c>
      <c r="C49" s="34" t="s">
        <v>86</v>
      </c>
      <c r="D49" s="35" t="s">
        <v>85</v>
      </c>
    </row>
    <row r="50" spans="1:4" ht="15">
      <c r="A50" s="156"/>
      <c r="B50" s="36" t="s">
        <v>231</v>
      </c>
      <c r="C50" s="37" t="s">
        <v>86</v>
      </c>
      <c r="D50" s="38" t="s">
        <v>85</v>
      </c>
    </row>
  </sheetData>
  <mergeCells count="10">
    <mergeCell ref="A31:A41"/>
    <mergeCell ref="A42:A44"/>
    <mergeCell ref="A45:A46"/>
    <mergeCell ref="A47:A50"/>
    <mergeCell ref="A1:B1"/>
    <mergeCell ref="A2:A9"/>
    <mergeCell ref="A10:A21"/>
    <mergeCell ref="A22:A24"/>
    <mergeCell ref="A25:A27"/>
    <mergeCell ref="A28:A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22ac6d-6569-46c4-b721-5060ac1593f8" xsi:nil="true"/>
    <lcf76f155ced4ddcb4097134ff3c332f xmlns="ef353d20-e05d-4f43-b074-5080bc558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F3BBB711B4BE45A63189ACF0ADBC8A" ma:contentTypeVersion="12" ma:contentTypeDescription="Utwórz nowy dokument." ma:contentTypeScope="" ma:versionID="ece350e68d61dc0cfd5f39b4aeb07a6b">
  <xsd:schema xmlns:xsd="http://www.w3.org/2001/XMLSchema" xmlns:xs="http://www.w3.org/2001/XMLSchema" xmlns:p="http://schemas.microsoft.com/office/2006/metadata/properties" xmlns:ns2="ef353d20-e05d-4f43-b074-5080bc5588b5" xmlns:ns3="5922ac6d-6569-46c4-b721-5060ac1593f8" targetNamespace="http://schemas.microsoft.com/office/2006/metadata/properties" ma:root="true" ma:fieldsID="a4b9fc88e7435ac50c5199340938c735" ns2:_="" ns3:_="">
    <xsd:import namespace="ef353d20-e05d-4f43-b074-5080bc5588b5"/>
    <xsd:import namespace="5922ac6d-6569-46c4-b721-5060ac1593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53d20-e05d-4f43-b074-5080bc558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i obrazów" ma:readOnly="false" ma:fieldId="{5cf76f15-5ced-4ddc-b409-7134ff3c332f}" ma:taxonomyMulti="true" ma:sspId="40524fe6-39e2-4a0e-b1ba-07a09aceac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2ac6d-6569-46c4-b721-5060ac1593f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c703cbd-f0b2-4168-94e5-14db9208c508}" ma:internalName="TaxCatchAll" ma:showField="CatchAllData" ma:web="5922ac6d-6569-46c4-b721-5060ac1593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574A3D-3348-4841-8194-C44F306FCE0E}">
  <ds:schemaRefs>
    <ds:schemaRef ds:uri="http://schemas.microsoft.com/office/2006/metadata/properties"/>
    <ds:schemaRef ds:uri="http://schemas.microsoft.com/office/infopath/2007/PartnerControls"/>
    <ds:schemaRef ds:uri="5922ac6d-6569-46c4-b721-5060ac1593f8"/>
    <ds:schemaRef ds:uri="ef353d20-e05d-4f43-b074-5080bc5588b5"/>
  </ds:schemaRefs>
</ds:datastoreItem>
</file>

<file path=customXml/itemProps2.xml><?xml version="1.0" encoding="utf-8"?>
<ds:datastoreItem xmlns:ds="http://schemas.openxmlformats.org/officeDocument/2006/customXml" ds:itemID="{D814C2BC-4F76-4D8A-A0DA-D6CC6413C3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9A93FF-39E2-45E7-B3A6-8B0A115744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353d20-e05d-4f43-b074-5080bc5588b5"/>
    <ds:schemaRef ds:uri="5922ac6d-6569-46c4-b721-5060ac1593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Price</vt:lpstr>
      <vt:lpstr>Packages and functionalities</vt:lpstr>
      <vt:lpstr>Arkusz2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Andrzej Lechowicz</cp:lastModifiedBy>
  <dcterms:created xsi:type="dcterms:W3CDTF">2026-02-02T21:32:06Z</dcterms:created>
  <dcterms:modified xsi:type="dcterms:W3CDTF">2026-02-15T23:03:25Z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0x01010011F3BBB711B4BE45A63189ACF0ADBC8A</vt:lpwstr>
  </property>
  <property fmtid="{D5CDD505-2E9C-101B-9397-08002B2CF9AE}" pid="3" name="MediaServiceImageTags">
    <vt:lpwstr/>
  </property>
</Properties>
</file>