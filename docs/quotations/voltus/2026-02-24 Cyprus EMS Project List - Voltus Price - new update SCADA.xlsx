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voltusenergy.sharepoint.com/sites/Handlowe/Shared Documents/KONTRAHENCI/LIGHTHIEF/"/>
    </mc:Choice>
  </mc:AlternateContent>
  <xr:revisionPtr revIDLastSave="5" documentId="8_{57866B0F-BB5B-4CA2-B9B1-825D2E1613DC}" xr6:coauthVersionLast="47" xr6:coauthVersionMax="47" xr10:uidLastSave="{6FF9121A-F2D9-4914-A38A-FBA4DA6A6215}"/>
  <bookViews>
    <workbookView xWindow="-120" yWindow="-120" windowWidth="29040" windowHeight="15720" xr2:uid="{00000000-000D-0000-FFFF-FFFF00000000}"/>
  </bookViews>
  <sheets>
    <sheet name="Price" sheetId="1" r:id="rId1"/>
    <sheet name="Packages and functionalities" sheetId="2" r:id="rId2"/>
    <sheet name="Arkusz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82" i="1" l="1"/>
  <c r="S46" i="1"/>
  <c r="O59" i="1"/>
  <c r="O60" i="1"/>
  <c r="Z60" i="1" s="1"/>
  <c r="O61" i="1"/>
  <c r="Z61" i="1" s="1"/>
  <c r="O62" i="1"/>
  <c r="Z62" i="1" s="1"/>
  <c r="O63" i="1"/>
  <c r="Z63" i="1" s="1"/>
  <c r="O58" i="1"/>
  <c r="O64" i="1" s="1"/>
  <c r="S55" i="1"/>
  <c r="S43" i="1"/>
  <c r="O48" i="1"/>
  <c r="Z48" i="1" s="1"/>
  <c r="O49" i="1"/>
  <c r="Z49" i="1" s="1"/>
  <c r="O50" i="1"/>
  <c r="Z50" i="1" s="1"/>
  <c r="O51" i="1"/>
  <c r="Z51" i="1" s="1"/>
  <c r="O52" i="1"/>
  <c r="Z52" i="1" s="1"/>
  <c r="O53" i="1"/>
  <c r="Z53" i="1" s="1"/>
  <c r="O54" i="1"/>
  <c r="O47" i="1"/>
  <c r="Z47" i="1" s="1"/>
  <c r="O46" i="1"/>
  <c r="Z46" i="1" s="1"/>
  <c r="O33" i="1"/>
  <c r="Z33" i="1" s="1"/>
  <c r="O34" i="1"/>
  <c r="Z34" i="1" s="1"/>
  <c r="O35" i="1"/>
  <c r="Z35" i="1" s="1"/>
  <c r="O36" i="1"/>
  <c r="Z36" i="1" s="1"/>
  <c r="O37" i="1"/>
  <c r="Z37" i="1" s="1"/>
  <c r="O38" i="1"/>
  <c r="Z38" i="1" s="1"/>
  <c r="O39" i="1"/>
  <c r="Z39" i="1" s="1"/>
  <c r="O40" i="1"/>
  <c r="Z40" i="1" s="1"/>
  <c r="O41" i="1"/>
  <c r="Z41" i="1" s="1"/>
  <c r="O42" i="1"/>
  <c r="Z42" i="1" s="1"/>
  <c r="O32" i="1"/>
  <c r="Z32" i="1" s="1"/>
  <c r="O5" i="1"/>
  <c r="Z5" i="1" s="1"/>
  <c r="O6" i="1"/>
  <c r="Z6" i="1" s="1"/>
  <c r="O7" i="1"/>
  <c r="Z7" i="1" s="1"/>
  <c r="O8" i="1"/>
  <c r="Z8" i="1" s="1"/>
  <c r="O9" i="1"/>
  <c r="Z9" i="1" s="1"/>
  <c r="O10" i="1"/>
  <c r="Z10" i="1" s="1"/>
  <c r="O11" i="1"/>
  <c r="Z11" i="1" s="1"/>
  <c r="O12" i="1"/>
  <c r="Z12" i="1" s="1"/>
  <c r="O13" i="1"/>
  <c r="Z13" i="1" s="1"/>
  <c r="O14" i="1"/>
  <c r="Z14" i="1" s="1"/>
  <c r="O15" i="1"/>
  <c r="O16" i="1"/>
  <c r="Z16" i="1" s="1"/>
  <c r="O17" i="1"/>
  <c r="Z17" i="1" s="1"/>
  <c r="O18" i="1"/>
  <c r="Z18" i="1" s="1"/>
  <c r="O19" i="1"/>
  <c r="Z19" i="1" s="1"/>
  <c r="O20" i="1"/>
  <c r="Z20" i="1" s="1"/>
  <c r="O21" i="1"/>
  <c r="Z21" i="1" s="1"/>
  <c r="O22" i="1"/>
  <c r="Z22" i="1" s="1"/>
  <c r="O23" i="1"/>
  <c r="Z23" i="1" s="1"/>
  <c r="O24" i="1"/>
  <c r="Z24" i="1" s="1"/>
  <c r="O25" i="1"/>
  <c r="Z25" i="1" s="1"/>
  <c r="O26" i="1"/>
  <c r="Z26" i="1" s="1"/>
  <c r="O27" i="1"/>
  <c r="Z27" i="1" s="1"/>
  <c r="O28" i="1"/>
  <c r="Z28" i="1" s="1"/>
  <c r="O4" i="1"/>
  <c r="Z4" i="1" s="1"/>
  <c r="Z54" i="1"/>
  <c r="Z59" i="1"/>
  <c r="W59" i="1"/>
  <c r="W63" i="1"/>
  <c r="W48" i="1"/>
  <c r="W51" i="1"/>
  <c r="W52" i="1"/>
  <c r="W32" i="1"/>
  <c r="W33" i="1"/>
  <c r="W34" i="1"/>
  <c r="W35" i="1"/>
  <c r="W36" i="1"/>
  <c r="W38" i="1"/>
  <c r="W40" i="1"/>
  <c r="W41" i="1"/>
  <c r="W42" i="1"/>
  <c r="W8" i="1"/>
  <c r="W9" i="1"/>
  <c r="W10" i="1"/>
  <c r="W11" i="1"/>
  <c r="W12" i="1"/>
  <c r="W13" i="1"/>
  <c r="W14" i="1"/>
  <c r="W15" i="1"/>
  <c r="W16" i="1"/>
  <c r="W17" i="1"/>
  <c r="W18" i="1"/>
  <c r="W19" i="1"/>
  <c r="W21" i="1"/>
  <c r="W22" i="1"/>
  <c r="W23" i="1"/>
  <c r="W24" i="1"/>
  <c r="W25" i="1"/>
  <c r="W26" i="1"/>
  <c r="W27" i="1"/>
  <c r="W28" i="1"/>
  <c r="J55" i="1"/>
  <c r="K55" i="1"/>
  <c r="L55" i="1"/>
  <c r="M55" i="1"/>
  <c r="J43" i="1"/>
  <c r="K43" i="1"/>
  <c r="L43" i="1"/>
  <c r="M43" i="1"/>
  <c r="J29" i="1"/>
  <c r="K29" i="1"/>
  <c r="L29" i="1"/>
  <c r="M29" i="1"/>
  <c r="F64" i="1"/>
  <c r="G64" i="1"/>
  <c r="H64" i="1"/>
  <c r="D64" i="1"/>
  <c r="E64" i="1"/>
  <c r="N16" i="1"/>
  <c r="V16" i="1" s="1"/>
  <c r="N15" i="1"/>
  <c r="V15" i="1" s="1"/>
  <c r="N14" i="1"/>
  <c r="V14" i="1" s="1"/>
  <c r="N13" i="1"/>
  <c r="V13" i="1" s="1"/>
  <c r="N63" i="1"/>
  <c r="V63" i="1" s="1"/>
  <c r="N51" i="1"/>
  <c r="V51" i="1" s="1"/>
  <c r="N40" i="1"/>
  <c r="V40" i="1" s="1"/>
  <c r="N41" i="1"/>
  <c r="V41" i="1" s="1"/>
  <c r="N38" i="1"/>
  <c r="V38" i="1" s="1"/>
  <c r="N33" i="1"/>
  <c r="V33" i="1" s="1"/>
  <c r="N52" i="1"/>
  <c r="V52" i="1" s="1"/>
  <c r="N48" i="1"/>
  <c r="V48" i="1" s="1"/>
  <c r="N42" i="1"/>
  <c r="V42" i="1" s="1"/>
  <c r="N36" i="1"/>
  <c r="V36" i="1" s="1"/>
  <c r="N22" i="1"/>
  <c r="V22" i="1" s="1"/>
  <c r="N21" i="1"/>
  <c r="V21" i="1" s="1"/>
  <c r="N61" i="1"/>
  <c r="V61" i="1" s="1"/>
  <c r="N60" i="1"/>
  <c r="V60" i="1" s="1"/>
  <c r="N59" i="1"/>
  <c r="V59" i="1" s="1"/>
  <c r="N39" i="1"/>
  <c r="V39" i="1" s="1"/>
  <c r="N37" i="1"/>
  <c r="V37" i="1" s="1"/>
  <c r="N28" i="1"/>
  <c r="V28" i="1" s="1"/>
  <c r="N27" i="1"/>
  <c r="V27" i="1" s="1"/>
  <c r="N26" i="1"/>
  <c r="V26" i="1" s="1"/>
  <c r="N25" i="1"/>
  <c r="V25" i="1" s="1"/>
  <c r="N24" i="1"/>
  <c r="V24" i="1" s="1"/>
  <c r="N20" i="1"/>
  <c r="V20" i="1" s="1"/>
  <c r="N18" i="1"/>
  <c r="V18" i="1" s="1"/>
  <c r="N17" i="1"/>
  <c r="V17" i="1" s="1"/>
  <c r="N10" i="1"/>
  <c r="V10" i="1" s="1"/>
  <c r="N9" i="1"/>
  <c r="V9" i="1" s="1"/>
  <c r="O55" i="1" l="1"/>
  <c r="Z58" i="1"/>
  <c r="O29" i="1"/>
  <c r="O43" i="1"/>
  <c r="Z15" i="1"/>
  <c r="R55" i="1"/>
  <c r="R43" i="1"/>
  <c r="S4" i="1"/>
  <c r="S29" i="1" s="1"/>
  <c r="R29" i="1"/>
  <c r="Q63" i="1"/>
  <c r="X63" i="1" s="1"/>
  <c r="AA63" i="1" s="1"/>
  <c r="W61" i="1"/>
  <c r="W58" i="1"/>
  <c r="Q59" i="1"/>
  <c r="X59" i="1" s="1"/>
  <c r="AA59" i="1" s="1"/>
  <c r="Q52" i="1"/>
  <c r="X52" i="1" s="1"/>
  <c r="AA52" i="1" s="1"/>
  <c r="Q51" i="1"/>
  <c r="X51" i="1" s="1"/>
  <c r="AA51" i="1" s="1"/>
  <c r="Q48" i="1"/>
  <c r="X48" i="1" s="1"/>
  <c r="AA48" i="1" s="1"/>
  <c r="Q42" i="1"/>
  <c r="X42" i="1" s="1"/>
  <c r="AA42" i="1" s="1"/>
  <c r="Q41" i="1"/>
  <c r="X41" i="1" s="1"/>
  <c r="AA41" i="1" s="1"/>
  <c r="Q38" i="1"/>
  <c r="X38" i="1" s="1"/>
  <c r="AA38" i="1" s="1"/>
  <c r="Q36" i="1"/>
  <c r="X36" i="1" s="1"/>
  <c r="AA36" i="1" s="1"/>
  <c r="Q35" i="1"/>
  <c r="X35" i="1" s="1"/>
  <c r="AA35" i="1" s="1"/>
  <c r="Q32" i="1"/>
  <c r="X32" i="1" s="1"/>
  <c r="AA32" i="1" s="1"/>
  <c r="Q28" i="1"/>
  <c r="X28" i="1" s="1"/>
  <c r="AA28" i="1" s="1"/>
  <c r="Q27" i="1"/>
  <c r="X27" i="1" s="1"/>
  <c r="AA27" i="1" s="1"/>
  <c r="Q26" i="1"/>
  <c r="X26" i="1" s="1"/>
  <c r="AA26" i="1" s="1"/>
  <c r="Q25" i="1"/>
  <c r="X25" i="1" s="1"/>
  <c r="AA25" i="1" s="1"/>
  <c r="Q21" i="1"/>
  <c r="X21" i="1" s="1"/>
  <c r="AA21" i="1" s="1"/>
  <c r="W20" i="1"/>
  <c r="Q19" i="1"/>
  <c r="X19" i="1" s="1"/>
  <c r="AA19" i="1" s="1"/>
  <c r="Q18" i="1"/>
  <c r="X18" i="1" s="1"/>
  <c r="AA18" i="1" s="1"/>
  <c r="Q17" i="1"/>
  <c r="X17" i="1" s="1"/>
  <c r="AA17" i="1" s="1"/>
  <c r="Q16" i="1"/>
  <c r="X16" i="1" s="1"/>
  <c r="AA16" i="1" s="1"/>
  <c r="Q15" i="1"/>
  <c r="X15" i="1" s="1"/>
  <c r="Q14" i="1"/>
  <c r="X14" i="1" s="1"/>
  <c r="AA14" i="1" s="1"/>
  <c r="Q13" i="1"/>
  <c r="X13" i="1" s="1"/>
  <c r="AA13" i="1" s="1"/>
  <c r="Q8" i="1"/>
  <c r="X8" i="1" s="1"/>
  <c r="AA8" i="1" s="1"/>
  <c r="Q3" i="1"/>
  <c r="Q40" i="1"/>
  <c r="X40" i="1" s="1"/>
  <c r="AA40" i="1" s="1"/>
  <c r="N19" i="1"/>
  <c r="V19" i="1" s="1"/>
  <c r="N8" i="1"/>
  <c r="V8" i="1" s="1"/>
  <c r="N7" i="1"/>
  <c r="V7" i="1" s="1"/>
  <c r="N6" i="1"/>
  <c r="V6" i="1" s="1"/>
  <c r="N5" i="1"/>
  <c r="V5" i="1" s="1"/>
  <c r="N4" i="1"/>
  <c r="V4" i="1" s="1"/>
  <c r="F55" i="1"/>
  <c r="G55" i="1"/>
  <c r="H55" i="1"/>
  <c r="E55" i="1"/>
  <c r="D55" i="1"/>
  <c r="H43" i="1"/>
  <c r="G43" i="1"/>
  <c r="F43" i="1"/>
  <c r="E43" i="1"/>
  <c r="Y32" i="1" s="1"/>
  <c r="Y43" i="1" s="1"/>
  <c r="D43" i="1"/>
  <c r="H29" i="1"/>
  <c r="G29" i="1"/>
  <c r="F29" i="1"/>
  <c r="E29" i="1"/>
  <c r="Y4" i="1" s="1"/>
  <c r="Y29" i="1" s="1"/>
  <c r="D29" i="1"/>
  <c r="Q12" i="1"/>
  <c r="X12" i="1" s="1"/>
  <c r="AA12" i="1" s="1"/>
  <c r="A16" i="2"/>
  <c r="A11" i="2"/>
  <c r="A10" i="2"/>
  <c r="A5" i="2"/>
  <c r="Q34" i="1"/>
  <c r="X34" i="1" s="1"/>
  <c r="AA34" i="1" s="1"/>
  <c r="Q33" i="1"/>
  <c r="X33" i="1" s="1"/>
  <c r="AA33" i="1" s="1"/>
  <c r="Q9" i="1"/>
  <c r="X9" i="1" s="1"/>
  <c r="AA9" i="1" s="1"/>
  <c r="Q10" i="1"/>
  <c r="X10" i="1" s="1"/>
  <c r="AA10" i="1" s="1"/>
  <c r="Q11" i="1"/>
  <c r="X11" i="1" s="1"/>
  <c r="AA11" i="1" s="1"/>
  <c r="Q24" i="1"/>
  <c r="X24" i="1" s="1"/>
  <c r="AA24" i="1" s="1"/>
  <c r="Q22" i="1"/>
  <c r="X22" i="1" s="1"/>
  <c r="AA22" i="1" s="1"/>
  <c r="Q23" i="1"/>
  <c r="X23" i="1" s="1"/>
  <c r="AA23" i="1" s="1"/>
  <c r="Q61" i="1"/>
  <c r="X61" i="1" s="1"/>
  <c r="AA61" i="1" s="1"/>
  <c r="N23" i="1"/>
  <c r="V23" i="1" s="1"/>
  <c r="N32" i="1"/>
  <c r="V32" i="1" s="1"/>
  <c r="N35" i="1"/>
  <c r="V35" i="1" s="1"/>
  <c r="N34" i="1"/>
  <c r="V34" i="1" s="1"/>
  <c r="N11" i="1"/>
  <c r="V11" i="1" s="1"/>
  <c r="N58" i="1"/>
  <c r="V58" i="1" s="1"/>
  <c r="N62" i="1"/>
  <c r="V62" i="1" s="1"/>
  <c r="N47" i="1"/>
  <c r="V47" i="1" s="1"/>
  <c r="N46" i="1"/>
  <c r="V46" i="1" s="1"/>
  <c r="N49" i="1"/>
  <c r="V49" i="1" s="1"/>
  <c r="N50" i="1"/>
  <c r="V50" i="1" s="1"/>
  <c r="N53" i="1"/>
  <c r="V53" i="1" s="1"/>
  <c r="N54" i="1"/>
  <c r="V54" i="1" s="1"/>
  <c r="N12" i="1"/>
  <c r="V12" i="1" s="1"/>
  <c r="Z55" i="1" l="1"/>
  <c r="Y46" i="1"/>
  <c r="Y55" i="1" s="1"/>
  <c r="B68" i="1"/>
  <c r="Z29" i="1"/>
  <c r="AA15" i="1"/>
  <c r="Z43" i="1"/>
  <c r="Q20" i="1"/>
  <c r="X20" i="1" s="1"/>
  <c r="AA20" i="1" s="1"/>
  <c r="B69" i="1"/>
  <c r="Q53" i="1"/>
  <c r="X53" i="1" s="1"/>
  <c r="AA53" i="1" s="1"/>
  <c r="W53" i="1"/>
  <c r="Q37" i="1"/>
  <c r="X37" i="1" s="1"/>
  <c r="AA37" i="1" s="1"/>
  <c r="W37" i="1"/>
  <c r="Q39" i="1"/>
  <c r="X39" i="1" s="1"/>
  <c r="AA39" i="1" s="1"/>
  <c r="W39" i="1"/>
  <c r="Q60" i="1"/>
  <c r="X60" i="1" s="1"/>
  <c r="AA60" i="1" s="1"/>
  <c r="W60" i="1"/>
  <c r="Q62" i="1"/>
  <c r="X62" i="1" s="1"/>
  <c r="AA62" i="1" s="1"/>
  <c r="W62" i="1"/>
  <c r="Q49" i="1"/>
  <c r="X49" i="1" s="1"/>
  <c r="AA49" i="1" s="1"/>
  <c r="W49" i="1"/>
  <c r="Q50" i="1"/>
  <c r="X50" i="1" s="1"/>
  <c r="AA50" i="1" s="1"/>
  <c r="W50" i="1"/>
  <c r="Q54" i="1"/>
  <c r="X54" i="1" s="1"/>
  <c r="AA54" i="1" s="1"/>
  <c r="W54" i="1"/>
  <c r="Q47" i="1"/>
  <c r="X47" i="1" s="1"/>
  <c r="AA47" i="1" s="1"/>
  <c r="W47" i="1"/>
  <c r="Q46" i="1"/>
  <c r="W46" i="1"/>
  <c r="Q4" i="1"/>
  <c r="X4" i="1" s="1"/>
  <c r="AA4" i="1" s="1"/>
  <c r="W4" i="1"/>
  <c r="Q58" i="1"/>
  <c r="P64" i="1"/>
  <c r="W64" i="1" s="1"/>
  <c r="N43" i="1"/>
  <c r="Q6" i="1"/>
  <c r="X6" i="1" s="1"/>
  <c r="AA6" i="1" s="1"/>
  <c r="W6" i="1"/>
  <c r="Q7" i="1"/>
  <c r="X7" i="1" s="1"/>
  <c r="AA7" i="1" s="1"/>
  <c r="W7" i="1"/>
  <c r="Q5" i="1"/>
  <c r="X5" i="1" s="1"/>
  <c r="AA5" i="1" s="1"/>
  <c r="W5" i="1"/>
  <c r="N64" i="1"/>
  <c r="N55" i="1"/>
  <c r="N29" i="1"/>
  <c r="P43" i="1"/>
  <c r="P55" i="1"/>
  <c r="W55" i="1" s="1"/>
  <c r="P29" i="1"/>
  <c r="W29" i="1" s="1"/>
  <c r="V55" i="1" l="1"/>
  <c r="T55" i="1"/>
  <c r="T29" i="1"/>
  <c r="V43" i="1"/>
  <c r="T43" i="1"/>
  <c r="X46" i="1"/>
  <c r="AA46" i="1" s="1"/>
  <c r="Q55" i="1"/>
  <c r="V64" i="1"/>
  <c r="Q43" i="1"/>
  <c r="W43" i="1"/>
  <c r="Q64" i="1"/>
  <c r="X64" i="1" s="1"/>
  <c r="X58" i="1"/>
  <c r="AA58" i="1" s="1"/>
  <c r="V29" i="1"/>
  <c r="Q29" i="1"/>
  <c r="W80" i="1" l="1"/>
  <c r="X80" i="1" s="1"/>
  <c r="W72" i="1"/>
  <c r="X72" i="1" s="1"/>
  <c r="X29" i="1"/>
  <c r="AA29" i="1" s="1"/>
  <c r="W79" i="1"/>
  <c r="W71" i="1"/>
  <c r="X55" i="1"/>
  <c r="AA55" i="1" s="1"/>
  <c r="W81" i="1"/>
  <c r="X81" i="1" s="1"/>
  <c r="W73" i="1"/>
  <c r="X73" i="1" s="1"/>
  <c r="T64" i="1"/>
  <c r="T68" i="1" s="1"/>
  <c r="X43" i="1"/>
  <c r="AA43" i="1" s="1"/>
  <c r="W74" i="1" l="1"/>
  <c r="X71" i="1"/>
  <c r="X74" i="1" s="1"/>
  <c r="W82" i="1"/>
  <c r="X7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tc={F15B8E66-D93D-4709-BBD0-B608D1F47D17}</author>
  </authors>
  <commentList>
    <comment ref="P3" authorId="0" shapeId="0" xr:uid="{F15B8E66-D93D-4709-BBD0-B608D1F47D17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&lt;10MWH - 15 000 euro, &gt; 10MWh - 30 000 euro</t>
      </text>
    </comment>
  </commentList>
</comments>
</file>

<file path=xl/sharedStrings.xml><?xml version="1.0" encoding="utf-8"?>
<sst xmlns="http://schemas.openxmlformats.org/spreadsheetml/2006/main" count="597" uniqueCount="296">
  <si>
    <t>Park Name</t>
  </si>
  <si>
    <t>Group</t>
  </si>
  <si>
    <t>MW</t>
  </si>
  <si>
    <t>MWh</t>
  </si>
  <si>
    <t>BESS</t>
  </si>
  <si>
    <t>MV Skid</t>
  </si>
  <si>
    <t>Year</t>
  </si>
  <si>
    <t>ELESTORE 1</t>
  </si>
  <si>
    <t>Q2 2026</t>
  </si>
  <si>
    <t>ELESTORE 2</t>
  </si>
  <si>
    <t>ELESTORE 3</t>
  </si>
  <si>
    <t>ELESTORE 4</t>
  </si>
  <si>
    <t>ELESTORE 5</t>
  </si>
  <si>
    <t>Esperia Famagusta</t>
  </si>
  <si>
    <t>Esperia Limassol</t>
  </si>
  <si>
    <t>Q4 2026</t>
  </si>
  <si>
    <t>Esperia Frenaros</t>
  </si>
  <si>
    <t>Esperia Famagusta 2</t>
  </si>
  <si>
    <t>Q3 2027</t>
  </si>
  <si>
    <t>Dianary 1</t>
  </si>
  <si>
    <t>Dianary 2</t>
  </si>
  <si>
    <t>Q3 2026</t>
  </si>
  <si>
    <t>Dianary 3</t>
  </si>
  <si>
    <t>Galascope 1</t>
  </si>
  <si>
    <t>Q4 2025</t>
  </si>
  <si>
    <t>Galascope 2</t>
  </si>
  <si>
    <t>Easy Power 1</t>
  </si>
  <si>
    <t>EAS</t>
  </si>
  <si>
    <t>Easy Power 2</t>
  </si>
  <si>
    <t>Easy Power 3</t>
  </si>
  <si>
    <t>Easy Power 4</t>
  </si>
  <si>
    <t>My Sun Park (Karis)</t>
  </si>
  <si>
    <t>MSP</t>
  </si>
  <si>
    <t>Renergetic</t>
  </si>
  <si>
    <t>Greendorado 1</t>
  </si>
  <si>
    <t>Greendorado Larnaca 1</t>
  </si>
  <si>
    <t>Greendorado Larnaca 2</t>
  </si>
  <si>
    <t>Solarity</t>
  </si>
  <si>
    <t>SOL</t>
  </si>
  <si>
    <t>Classone Solar Breeze</t>
  </si>
  <si>
    <t>CLS</t>
  </si>
  <si>
    <t>TBC</t>
  </si>
  <si>
    <t>Classone Solar Garden</t>
  </si>
  <si>
    <t>Waneron</t>
  </si>
  <si>
    <t>WAN</t>
  </si>
  <si>
    <t>POL</t>
  </si>
  <si>
    <t>Potamia p151</t>
  </si>
  <si>
    <t>Potamia p208</t>
  </si>
  <si>
    <t>Paphos 1</t>
  </si>
  <si>
    <t>PAP</t>
  </si>
  <si>
    <t>Paphos 2</t>
  </si>
  <si>
    <t>Paphos 3</t>
  </si>
  <si>
    <t>L&amp;T Sun Energy</t>
  </si>
  <si>
    <t>LT</t>
  </si>
  <si>
    <t>L&amp;T Solar Power</t>
  </si>
  <si>
    <t>L&amp;T Res Systems</t>
  </si>
  <si>
    <t>L&amp;T Energia</t>
  </si>
  <si>
    <t>L&amp;T PV Tech</t>
  </si>
  <si>
    <t>AGM Sunfield 1</t>
  </si>
  <si>
    <t>AGM</t>
  </si>
  <si>
    <t>AGM Sunfield 2</t>
  </si>
  <si>
    <t>AGM Sunfield 3</t>
  </si>
  <si>
    <t>AGM Lightpower</t>
  </si>
  <si>
    <t>Totals</t>
  </si>
  <si>
    <t>Category</t>
  </si>
  <si>
    <t>Count</t>
  </si>
  <si>
    <t>Total MW</t>
  </si>
  <si>
    <t>Total MWh</t>
  </si>
  <si>
    <t>BESS Containers</t>
  </si>
  <si>
    <t>~156</t>
  </si>
  <si>
    <t>MV Skid Containers</t>
  </si>
  <si>
    <t>~56</t>
  </si>
  <si>
    <t>Total Containers</t>
  </si>
  <si>
    <t>~212</t>
  </si>
  <si>
    <t>Notes:</t>
  </si>
  <si>
    <t>BESS = 5.015 MWh battery containers (20HC)</t>
  </si>
  <si>
    <t>MV Skid = PCS + Transformer containers (typically 5-6 MW each)</t>
  </si>
  <si>
    <t>System + Hardware</t>
  </si>
  <si>
    <t>On-site installation + Training</t>
  </si>
  <si>
    <t>On-site installation days</t>
  </si>
  <si>
    <t>Total Cost</t>
  </si>
  <si>
    <t>EMS hardware on site instlation</t>
  </si>
  <si>
    <t>Remote Configuration &amp; Preparation</t>
  </si>
  <si>
    <t>SCADA</t>
  </si>
  <si>
    <t>COMFORT</t>
  </si>
  <si>
    <t>SILVER</t>
  </si>
  <si>
    <t>GOLD</t>
  </si>
  <si>
    <t>Monitoring and Basic Diagnostics</t>
  </si>
  <si>
    <t>Monitoring of basic installation parameters</t>
  </si>
  <si>
    <t>Monitoring of parameters for each device (PV, BESS, meters, transformer station)</t>
  </si>
  <si>
    <t>Detailed monitoring and diagnostics of parameters for each device</t>
  </si>
  <si>
    <t>Data Collection, Event History, and Efficiency Analysis</t>
  </si>
  <si>
    <t>History of energy production and consumption</t>
  </si>
  <si>
    <t>History and diagnostics of data from each device</t>
  </si>
  <si>
    <t>Event history – logging of events, alarms, and fault conditions of all devices</t>
  </si>
  <si>
    <t>History of energy purchase and sale costs based on tariff and energy prices</t>
  </si>
  <si>
    <t>Efficiency analysis of devices (e.g., kWh/kWp, efficiency)</t>
  </si>
  <si>
    <t>Device and System Control</t>
  </si>
  <si>
    <t>Remote control for turning devices on and off (PV, BESS, EV)</t>
  </si>
  <si>
    <t>Configuration of device parameters (PV, BESS, EV)</t>
  </si>
  <si>
    <t>Power distribution and control between inverters</t>
  </si>
  <si>
    <t>-</t>
  </si>
  <si>
    <t>Control by energy market service operators or energy trading companies</t>
  </si>
  <si>
    <t>Active Power Management and Operation Strategies</t>
  </si>
  <si>
    <t>Setting constant values according to a schedule</t>
  </si>
  <si>
    <t>Zero import/export mode regulation</t>
  </si>
  <si>
    <t>Set import/export mode regulation</t>
  </si>
  <si>
    <t>Peak shaving mode regulation</t>
  </si>
  <si>
    <t>Dynamic control based on price and weather</t>
  </si>
  <si>
    <t>Individual power control and distribution for each inverter and battery</t>
  </si>
  <si>
    <t>Reactive Power and Power Factor Management</t>
  </si>
  <si>
    <t>Reactive power compensation – control of Q, power factor cos φ / tan φ</t>
  </si>
  <si>
    <t>Reactive power regulation – Q/U control</t>
  </si>
  <si>
    <t>Reactive power regulation – system services</t>
  </si>
  <si>
    <t xml:space="preserve">Device Schedule Management  </t>
  </si>
  <si>
    <t xml:space="preserve">Weekly schedule for the entire installation (BESS, PV, EV)  </t>
  </si>
  <si>
    <t xml:space="preserve">Advanced individual schedules based on priority weather conditions, energy prices, and arbitrage  </t>
  </si>
  <si>
    <t xml:space="preserve">Safety, Alarms, and Emergency Mode  </t>
  </si>
  <si>
    <t xml:space="preserve">Extended notifications from each device – e-mail, SMS  </t>
  </si>
  <si>
    <t xml:space="preserve">Overload and overvoltage protection  </t>
  </si>
  <si>
    <t xml:space="preserve"> Overload and overvoltage protection  </t>
  </si>
  <si>
    <t xml:space="preserve">Real-time diagnostics + alarms based on custom thresholds  </t>
  </si>
  <si>
    <t xml:space="preserve">Emergency mode (Backup Mode) – switching to BESS/generator during power outage  </t>
  </si>
  <si>
    <t xml:space="preserve">Analytics and Reporting </t>
  </si>
  <si>
    <t>Basic energy production report from PV and other RES sources</t>
  </si>
  <si>
    <t xml:space="preserve">Extended report (production, energy storage, consumption, events)  </t>
  </si>
  <si>
    <t xml:space="preserve">Advanced report (energy balance, costs, profits, arbitrage)  </t>
  </si>
  <si>
    <t xml:space="preserve">Investor dashboard (KPI, ROI, financial data) </t>
  </si>
  <si>
    <t xml:space="preserve">Integration with External Data Sources  </t>
  </si>
  <si>
    <t xml:space="preserve">Energy market price reading (TGE)  </t>
  </si>
  <si>
    <t xml:space="preserve">Weather forecast reading </t>
  </si>
  <si>
    <t xml:space="preserve">Reading data from operator’s communication devices  </t>
  </si>
  <si>
    <t xml:space="preserve">Communication with system service operator of the energy market  </t>
  </si>
  <si>
    <t>Advanced Power Control and Limits</t>
  </si>
  <si>
    <t>Export/import power limit – based on operator, price, grid,PV production, weather</t>
  </si>
  <si>
    <t xml:space="preserve">Power limits for PV/BESS/EV – based on AC grid voltage  </t>
  </si>
  <si>
    <t>Power limits for PV/BESS in Off-Grid mode – based on SOC % and AC grid voltage</t>
  </si>
  <si>
    <t xml:space="preserve">BESS limits – based on SOC %, inverter temperature, and cell voltage and temperature  </t>
  </si>
  <si>
    <t>Support for Aggregates and Cogenerators</t>
  </si>
  <si>
    <t>System Services and Additional Revenues</t>
  </si>
  <si>
    <t xml:space="preserve">Manual generator switching on/off  </t>
  </si>
  <si>
    <t>Static price arbitrage schedule</t>
  </si>
  <si>
    <t xml:space="preserve">Monitoring of power flow from the generator  </t>
  </si>
  <si>
    <t xml:space="preserve">Dynamic price arbitrage  </t>
  </si>
  <si>
    <t xml:space="preserve">Demand Side Response (DSR) – temporary power reduction  </t>
  </si>
  <si>
    <t xml:space="preserve">System services (US) – frequency regulation </t>
  </si>
  <si>
    <t xml:space="preserve">Automatic switching on/off based on SOC and grid load  </t>
  </si>
  <si>
    <t xml:space="preserve">Management of Auxiliary Devices  </t>
  </si>
  <si>
    <t xml:space="preserve">Priority control of loads based on export/import power, SOC level %, and PV production  </t>
  </si>
  <si>
    <t xml:space="preserve">EV Charging Infrastructure Management  </t>
  </si>
  <si>
    <t xml:space="preserve">Basic monitoring and control of EV stations (read, turn on/off)  </t>
  </si>
  <si>
    <t xml:space="preserve">Advanced EV charging power management (PV production, SOC level %, energy prices)  </t>
  </si>
  <si>
    <t xml:space="preserve">Smart Forecasting and Optimization  </t>
  </si>
  <si>
    <t xml:space="preserve">Forecasting of energy production and consumption  </t>
  </si>
  <si>
    <t xml:space="preserve">Power fee reduction – automatic balancing of day/night tariffs </t>
  </si>
  <si>
    <t>Dynamic tariff selection algorithms</t>
  </si>
  <si>
    <t xml:space="preserve">Advanced AI-Based Control Optimization  </t>
  </si>
  <si>
    <t>Optimization of power flow based on energy prices (TGE), energy consumption, production prediction</t>
  </si>
  <si>
    <t>Control based on weather forecast (night charging)</t>
  </si>
  <si>
    <t xml:space="preserve">Optimization of EV charging (PV production, energy prices)  </t>
  </si>
  <si>
    <t>Functionalities of the Monitoring and Control System</t>
  </si>
  <si>
    <t>Minimum Package</t>
  </si>
  <si>
    <t>Device</t>
  </si>
  <si>
    <t>1. Monitoring and Visualization</t>
  </si>
  <si>
    <t>BESS monitoring</t>
  </si>
  <si>
    <t>EMS</t>
  </si>
  <si>
    <t>PV installation monitoring</t>
  </si>
  <si>
    <t>SPC</t>
  </si>
  <si>
    <t>MV network monitoring (transformer stations, protections)</t>
  </si>
  <si>
    <t>HPC</t>
  </si>
  <si>
    <t>EV charging infrastructure monitoring</t>
  </si>
  <si>
    <t>EVMS</t>
  </si>
  <si>
    <t>Monitoring of additional energy meters (PPE, PWE, PB, zones)</t>
  </si>
  <si>
    <t>Dashboards and visualization (widgets)</t>
  </si>
  <si>
    <t>Programmable user dashboard (widgets)</t>
  </si>
  <si>
    <t>Monitoring of multiple installations in one system</t>
  </si>
  <si>
    <t>2. BESS Control and Management</t>
  </si>
  <si>
    <t>BESS control – operation profiles</t>
  </si>
  <si>
    <t>Work schedules (daily, weekly, advanced)</t>
  </si>
  <si>
    <t>EMS/SCADA</t>
  </si>
  <si>
    <t>Zero Export / Zero Import mode</t>
  </si>
  <si>
    <t>HPC/EMS</t>
  </si>
  <si>
    <t>Reactive power management (Q, Q/U)</t>
  </si>
  <si>
    <t>Power limit – control on BESS side</t>
  </si>
  <si>
    <t>Advanced optimization (Set Import/Export)</t>
  </si>
  <si>
    <t>Advanced optimization (Peak Shaving)</t>
  </si>
  <si>
    <t>Control by TSO/DSO or trading companies</t>
  </si>
  <si>
    <t>Dynamic control based on TGE forecasts (e.g., night charging)</t>
  </si>
  <si>
    <t>HPC/EMS/SCADA</t>
  </si>
  <si>
    <t>Dynamic control based on weather forecasts</t>
  </si>
  <si>
    <t>Power capacity charge reduction (balancing day/night tariffs)</t>
  </si>
  <si>
    <t>Integration with system services (aFRR, FCR, frequency regulation)</t>
  </si>
  <si>
    <t>3. PV Control and Management</t>
  </si>
  <si>
    <t>PV control – operation profiles</t>
  </si>
  <si>
    <t>HPC/SPC</t>
  </si>
  <si>
    <t>Power limit – control on PV side</t>
  </si>
  <si>
    <t>4. MV/LV Network Control and Management</t>
  </si>
  <si>
    <t>MV management (IED control, switches, MV power limits)</t>
  </si>
  <si>
    <t>Power limit – control at grid connection (GRID)</t>
  </si>
  <si>
    <t>Microgrid operation (off-grid)</t>
  </si>
  <si>
    <t>6. Load Control and Management</t>
  </si>
  <si>
    <t>Load power allocation (e.g., by PV generation, SOC, priorities)</t>
  </si>
  <si>
    <t>Load control based on energy prices</t>
  </si>
  <si>
    <t>HPC/SCADA</t>
  </si>
  <si>
    <t>Load control based on PV production availability</t>
  </si>
  <si>
    <t>7. Data Acquisition (without control)</t>
  </si>
  <si>
    <t>BESS data acquisition</t>
  </si>
  <si>
    <t>PV installation data acquisition</t>
  </si>
  <si>
    <t>EV charging infrastructure data acquisition</t>
  </si>
  <si>
    <t>MV network data acquisition</t>
  </si>
  <si>
    <t>Energy meter data acquisition</t>
  </si>
  <si>
    <t>Main connection meter acquisition (billing)</t>
  </si>
  <si>
    <t>Building consumption meter acquisition</t>
  </si>
  <si>
    <t>PV infrastructure meters (inverters) acquisition</t>
  </si>
  <si>
    <t>Cogenerator / generator meter acquisition</t>
  </si>
  <si>
    <t>BESS meter acquisition</t>
  </si>
  <si>
    <t>EV charger meter acquisition</t>
  </si>
  <si>
    <t>8. Analytics, Reporting, Forecasting</t>
  </si>
  <si>
    <t>Reporting and analytics</t>
  </si>
  <si>
    <t>Weather forecast integration</t>
  </si>
  <si>
    <t>TGE data integration (energy prices)</t>
  </si>
  <si>
    <t>9. EV Charging Infrastructure</t>
  </si>
  <si>
    <t>EV charging station monitoring</t>
  </si>
  <si>
    <t>EV charging station control</t>
  </si>
  <si>
    <t>10. Cybersecurity</t>
  </si>
  <si>
    <t>TLS/SSL</t>
  </si>
  <si>
    <t>Firewall</t>
  </si>
  <si>
    <t>FIREWALL</t>
  </si>
  <si>
    <t>Compliance with IEC 62443 standard</t>
  </si>
  <si>
    <t>Compliance with NIS2 directive</t>
  </si>
  <si>
    <t>Greendorado Agrivoltaic</t>
  </si>
  <si>
    <t>GRD-AV</t>
  </si>
  <si>
    <t>GRD-L1</t>
  </si>
  <si>
    <t>GRD-L2</t>
  </si>
  <si>
    <t>GRD-1</t>
  </si>
  <si>
    <t>CNT</t>
  </si>
  <si>
    <t>ASZ</t>
  </si>
  <si>
    <t>Agios Sozomenos</t>
  </si>
  <si>
    <t>DIA-1</t>
  </si>
  <si>
    <t>DIA-2</t>
  </si>
  <si>
    <t>DIA-3</t>
  </si>
  <si>
    <t>ELE-1</t>
  </si>
  <si>
    <t>ELE-2</t>
  </si>
  <si>
    <t>ELE-3</t>
  </si>
  <si>
    <t>ELE-4</t>
  </si>
  <si>
    <t>ELE-5</t>
  </si>
  <si>
    <t>REN-1</t>
  </si>
  <si>
    <t>REN-2</t>
  </si>
  <si>
    <t>G1 TOTAL</t>
  </si>
  <si>
    <t>Solartech 3 Ext.</t>
  </si>
  <si>
    <t>SLT-3X</t>
  </si>
  <si>
    <t>POT-208</t>
  </si>
  <si>
    <t>POT-151</t>
  </si>
  <si>
    <t>Polemi8</t>
  </si>
  <si>
    <t>ESP-F1</t>
  </si>
  <si>
    <t>ESP-F2</t>
  </si>
  <si>
    <t>ESP-FR</t>
  </si>
  <si>
    <t>ESP-LIM</t>
  </si>
  <si>
    <t>GAL-1</t>
  </si>
  <si>
    <t>GAL-2</t>
  </si>
  <si>
    <t>ESP-T1</t>
  </si>
  <si>
    <t>ESP-T2a</t>
  </si>
  <si>
    <t>ESP-T2b</t>
  </si>
  <si>
    <t>ESP-T2c</t>
  </si>
  <si>
    <t>ESP-T3</t>
  </si>
  <si>
    <t>Esperia Tseri</t>
  </si>
  <si>
    <t>Esperia Tseri 2a</t>
  </si>
  <si>
    <t>Esperia Tseri 2b</t>
  </si>
  <si>
    <t>Esperia Tseri 2c</t>
  </si>
  <si>
    <t>Esperia Tseri 3</t>
  </si>
  <si>
    <t>G2 Total</t>
  </si>
  <si>
    <t>G3 Total</t>
  </si>
  <si>
    <t>Cyprus BESS Portfolio - Project List</t>
  </si>
  <si>
    <t>TOTAL GRUPE</t>
  </si>
  <si>
    <t>TOTAL ALL</t>
  </si>
  <si>
    <t>SCADA GRUPE (System + Configuration) without Hardware</t>
  </si>
  <si>
    <t>SCADA local (System, Configuration, Hardware IPC)</t>
  </si>
  <si>
    <t xml:space="preserve">SCADA GRUPE   Maintenance and subscription </t>
  </si>
  <si>
    <t>Total</t>
  </si>
  <si>
    <t>Price euro/MWh</t>
  </si>
  <si>
    <t>ALL</t>
  </si>
  <si>
    <t>ABIO</t>
  </si>
  <si>
    <t>Esperia Energy Dino</t>
  </si>
  <si>
    <t>SCADA local `</t>
  </si>
  <si>
    <t xml:space="preserve">EMS Maintenance and subscription </t>
  </si>
  <si>
    <t>EMS Maintenance</t>
  </si>
  <si>
    <t>Total EMS. SCADA Maintance</t>
  </si>
  <si>
    <t>SCADA Local   Maintenance</t>
  </si>
  <si>
    <t>Timotheous</t>
  </si>
  <si>
    <t xml:space="preserve">SCADA GRUPE   Maintenance </t>
  </si>
  <si>
    <t>SCADA Local  Maintenance</t>
  </si>
  <si>
    <t>Grupe 1</t>
  </si>
  <si>
    <t>Grupe 2</t>
  </si>
  <si>
    <t>Grupe 3</t>
  </si>
  <si>
    <t>Total Price/MWh</t>
  </si>
  <si>
    <t>Total SCADA Maintance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</si>
</sst>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EUR]"/>
  </numFmts>
  <fonts count="29">
    <font>
      <sz val="10"/>
      <color rgb="FF000000"/>
      <name val="Arial"/>
      <scheme val="minor"/>
    </font>
    <font>
      <b/>
      <sz val="10"/>
      <color theme="1"/>
      <name val="-apple-system"/>
    </font>
    <font>
      <sz val="10"/>
      <color theme="1"/>
      <name val="-apple-system"/>
    </font>
    <font>
      <sz val="10"/>
      <color rgb="FFE4E4E4"/>
      <name val="-apple-system"/>
    </font>
    <font>
      <sz val="10"/>
      <color rgb="FF000000"/>
      <name val="Arial"/>
      <family val="2"/>
      <charset val="238"/>
      <scheme val="minor"/>
    </font>
    <font>
      <b/>
      <sz val="11"/>
      <color theme="1"/>
      <name val="Arial"/>
      <family val="2"/>
      <charset val="238"/>
      <scheme val="minor"/>
    </font>
    <font>
      <b/>
      <sz val="11"/>
      <name val="Calibri"/>
      <family val="2"/>
      <charset val="238"/>
    </font>
    <font>
      <sz val="10"/>
      <color rgb="FF000000"/>
      <name val="Calibri"/>
      <family val="2"/>
      <charset val="238"/>
    </font>
    <font>
      <sz val="10"/>
      <color rgb="FF000000"/>
      <name val="Arial"/>
      <family val="2"/>
      <charset val="238"/>
      <scheme val="major"/>
    </font>
    <font>
      <sz val="10"/>
      <color theme="1"/>
      <name val="Arial"/>
      <family val="2"/>
      <charset val="238"/>
      <scheme val="major"/>
    </font>
    <font>
      <b/>
      <sz val="10"/>
      <color theme="1"/>
      <name val="Arial"/>
      <family val="2"/>
      <charset val="238"/>
      <scheme val="major"/>
    </font>
    <font>
      <b/>
      <sz val="10"/>
      <color rgb="FF000000"/>
      <name val="Arial"/>
      <family val="2"/>
      <charset val="238"/>
      <scheme val="minor"/>
    </font>
    <font>
      <sz val="10"/>
      <name val="Arial"/>
      <family val="2"/>
      <charset val="238"/>
      <scheme val="minor"/>
    </font>
    <font>
      <b/>
      <sz val="10"/>
      <color rgb="FF000000"/>
      <name val="Calibri"/>
      <family val="2"/>
      <charset val="238"/>
    </font>
    <font>
      <b/>
      <sz val="11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  <font>
      <b/>
      <sz val="14"/>
      <color theme="0"/>
      <name val="Calibri"/>
      <family val="2"/>
      <charset val="238"/>
    </font>
    <font>
      <b/>
      <sz val="11"/>
      <color rgb="FF00B050"/>
      <name val="Arial"/>
      <family val="2"/>
      <charset val="238"/>
      <scheme val="minor"/>
    </font>
    <font>
      <b/>
      <sz val="11"/>
      <color theme="0" tint="-0.499984740745262"/>
      <name val="Arial"/>
      <family val="2"/>
      <charset val="238"/>
      <scheme val="minor"/>
    </font>
    <font>
      <b/>
      <sz val="11"/>
      <color rgb="FFFFC000"/>
      <name val="Arial"/>
      <family val="2"/>
      <charset val="238"/>
      <scheme val="minor"/>
    </font>
    <font>
      <sz val="10"/>
      <color rgb="FF1F2937"/>
      <name val="Arial"/>
      <family val="2"/>
      <charset val="238"/>
    </font>
    <font>
      <b/>
      <sz val="10"/>
      <color theme="1"/>
      <name val="-apple-system"/>
      <charset val="238"/>
    </font>
    <font>
      <sz val="10"/>
      <color theme="1"/>
      <name val="-apple-system"/>
      <charset val="238"/>
    </font>
    <font>
      <b/>
      <sz val="10"/>
      <color rgb="FF434343"/>
      <name val="Arial"/>
      <family val="2"/>
      <charset val="238"/>
    </font>
    <font>
      <b/>
      <sz val="11"/>
      <color rgb="FFFF0000"/>
      <name val="Calibri"/>
      <family val="2"/>
      <charset val="238"/>
    </font>
    <font>
      <sz val="10"/>
      <color rgb="FFFF0000"/>
      <name val="Arial"/>
      <family val="2"/>
      <charset val="238"/>
      <scheme val="major"/>
    </font>
    <font>
      <sz val="10"/>
      <color rgb="FFFF0000"/>
      <name val="Arial"/>
      <family val="2"/>
      <charset val="238"/>
      <scheme val="minor"/>
    </font>
    <font>
      <b/>
      <sz val="10"/>
      <color rgb="FFFF0000"/>
      <name val="Arial"/>
      <family val="2"/>
      <charset val="238"/>
      <scheme val="minor"/>
    </font>
    <font>
      <sz val="8"/>
      <name val="Arial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7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0" fillId="3" borderId="0" xfId="0" applyFill="1"/>
    <xf numFmtId="164" fontId="0" fillId="0" borderId="0" xfId="0" applyNumberFormat="1"/>
    <xf numFmtId="0" fontId="2" fillId="2" borderId="4" xfId="0" applyFont="1" applyFill="1" applyBorder="1" applyAlignment="1">
      <alignment horizontal="left"/>
    </xf>
    <xf numFmtId="164" fontId="9" fillId="2" borderId="4" xfId="0" applyNumberFormat="1" applyFont="1" applyFill="1" applyBorder="1"/>
    <xf numFmtId="1" fontId="9" fillId="2" borderId="4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left"/>
    </xf>
    <xf numFmtId="164" fontId="9" fillId="2" borderId="6" xfId="0" applyNumberFormat="1" applyFont="1" applyFill="1" applyBorder="1"/>
    <xf numFmtId="1" fontId="9" fillId="2" borderId="6" xfId="0" applyNumberFormat="1" applyFont="1" applyFill="1" applyBorder="1" applyAlignment="1">
      <alignment horizontal="center"/>
    </xf>
    <xf numFmtId="164" fontId="0" fillId="2" borderId="6" xfId="0" applyNumberFormat="1" applyFill="1" applyBorder="1"/>
    <xf numFmtId="164" fontId="0" fillId="2" borderId="4" xfId="0" applyNumberFormat="1" applyFill="1" applyBorder="1"/>
    <xf numFmtId="0" fontId="0" fillId="0" borderId="4" xfId="0" applyBorder="1"/>
    <xf numFmtId="0" fontId="0" fillId="0" borderId="0" xfId="0" applyAlignment="1">
      <alignment horizontal="right"/>
    </xf>
    <xf numFmtId="0" fontId="14" fillId="6" borderId="5" xfId="0" applyFont="1" applyFill="1" applyBorder="1" applyAlignment="1">
      <alignment vertical="center" wrapText="1" readingOrder="1"/>
    </xf>
    <xf numFmtId="0" fontId="15" fillId="0" borderId="0" xfId="0" applyFont="1" applyAlignment="1">
      <alignment vertical="center" wrapText="1" readingOrder="1"/>
    </xf>
    <xf numFmtId="0" fontId="15" fillId="0" borderId="4" xfId="0" applyFont="1" applyBorder="1" applyAlignment="1">
      <alignment vertical="center" wrapText="1" readingOrder="1"/>
    </xf>
    <xf numFmtId="0" fontId="14" fillId="6" borderId="0" xfId="0" applyFont="1" applyFill="1" applyAlignment="1">
      <alignment vertical="center" wrapText="1" readingOrder="1"/>
    </xf>
    <xf numFmtId="0" fontId="7" fillId="0" borderId="0" xfId="0" applyFont="1" applyAlignment="1">
      <alignment vertical="center" wrapText="1" readingOrder="1"/>
    </xf>
    <xf numFmtId="0" fontId="13" fillId="6" borderId="5" xfId="0" applyFont="1" applyFill="1" applyBorder="1" applyAlignment="1">
      <alignment vertical="center" wrapText="1" readingOrder="1"/>
    </xf>
    <xf numFmtId="0" fontId="7" fillId="0" borderId="4" xfId="0" applyFont="1" applyBorder="1" applyAlignment="1">
      <alignment vertical="center" wrapText="1" readingOrder="1"/>
    </xf>
    <xf numFmtId="0" fontId="13" fillId="6" borderId="0" xfId="0" applyFont="1" applyFill="1" applyAlignment="1">
      <alignment vertical="center" wrapText="1" readingOrder="1"/>
    </xf>
    <xf numFmtId="49" fontId="16" fillId="5" borderId="0" xfId="0" applyNumberFormat="1" applyFont="1" applyFill="1" applyAlignment="1">
      <alignment horizont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17" fillId="0" borderId="1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7" fillId="0" borderId="14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17" fillId="0" borderId="10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64" fontId="11" fillId="0" borderId="8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1" fillId="2" borderId="6" xfId="0" applyFont="1" applyFill="1" applyBorder="1" applyAlignment="1">
      <alignment horizontal="left" vertical="center"/>
    </xf>
    <xf numFmtId="0" fontId="2" fillId="0" borderId="17" xfId="0" applyFont="1" applyBorder="1" applyAlignment="1">
      <alignment horizontal="left"/>
    </xf>
    <xf numFmtId="0" fontId="2" fillId="2" borderId="17" xfId="0" applyFont="1" applyFill="1" applyBorder="1" applyAlignment="1">
      <alignment horizontal="left"/>
    </xf>
    <xf numFmtId="164" fontId="9" fillId="2" borderId="17" xfId="0" applyNumberFormat="1" applyFont="1" applyFill="1" applyBorder="1"/>
    <xf numFmtId="1" fontId="9" fillId="2" borderId="17" xfId="0" applyNumberFormat="1" applyFont="1" applyFill="1" applyBorder="1" applyAlignment="1">
      <alignment horizontal="center"/>
    </xf>
    <xf numFmtId="164" fontId="0" fillId="2" borderId="17" xfId="0" applyNumberFormat="1" applyFill="1" applyBorder="1"/>
    <xf numFmtId="164" fontId="0" fillId="0" borderId="17" xfId="0" applyNumberFormat="1" applyBorder="1"/>
    <xf numFmtId="0" fontId="0" fillId="0" borderId="16" xfId="0" applyBorder="1"/>
    <xf numFmtId="0" fontId="0" fillId="0" borderId="16" xfId="0" applyBorder="1" applyAlignment="1">
      <alignment horizontal="right"/>
    </xf>
    <xf numFmtId="164" fontId="0" fillId="0" borderId="16" xfId="0" applyNumberFormat="1" applyBorder="1"/>
    <xf numFmtId="164" fontId="9" fillId="0" borderId="16" xfId="0" applyNumberFormat="1" applyFont="1" applyBorder="1"/>
    <xf numFmtId="1" fontId="9" fillId="0" borderId="16" xfId="0" applyNumberFormat="1" applyFont="1" applyBorder="1" applyAlignment="1">
      <alignment horizontal="center"/>
    </xf>
    <xf numFmtId="0" fontId="0" fillId="6" borderId="6" xfId="0" applyFill="1" applyBorder="1"/>
    <xf numFmtId="0" fontId="2" fillId="6" borderId="6" xfId="0" applyFont="1" applyFill="1" applyBorder="1" applyAlignment="1">
      <alignment horizontal="left"/>
    </xf>
    <xf numFmtId="164" fontId="9" fillId="6" borderId="6" xfId="0" applyNumberFormat="1" applyFont="1" applyFill="1" applyBorder="1"/>
    <xf numFmtId="1" fontId="9" fillId="6" borderId="6" xfId="0" applyNumberFormat="1" applyFont="1" applyFill="1" applyBorder="1" applyAlignment="1">
      <alignment horizontal="center"/>
    </xf>
    <xf numFmtId="164" fontId="0" fillId="6" borderId="6" xfId="0" applyNumberFormat="1" applyFill="1" applyBorder="1"/>
    <xf numFmtId="0" fontId="0" fillId="2" borderId="6" xfId="0" applyFill="1" applyBorder="1"/>
    <xf numFmtId="0" fontId="22" fillId="2" borderId="6" xfId="0" applyFont="1" applyFill="1" applyBorder="1" applyAlignment="1">
      <alignment horizontal="left"/>
    </xf>
    <xf numFmtId="0" fontId="2" fillId="6" borderId="0" xfId="0" applyFont="1" applyFill="1" applyAlignment="1">
      <alignment horizontal="left"/>
    </xf>
    <xf numFmtId="164" fontId="8" fillId="6" borderId="6" xfId="0" applyNumberFormat="1" applyFont="1" applyFill="1" applyBorder="1"/>
    <xf numFmtId="0" fontId="8" fillId="6" borderId="6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/>
    </xf>
    <xf numFmtId="164" fontId="9" fillId="6" borderId="4" xfId="0" applyNumberFormat="1" applyFont="1" applyFill="1" applyBorder="1"/>
    <xf numFmtId="1" fontId="9" fillId="6" borderId="4" xfId="0" applyNumberFormat="1" applyFont="1" applyFill="1" applyBorder="1" applyAlignment="1">
      <alignment horizontal="center"/>
    </xf>
    <xf numFmtId="164" fontId="0" fillId="6" borderId="4" xfId="0" applyNumberFormat="1" applyFill="1" applyBorder="1"/>
    <xf numFmtId="0" fontId="11" fillId="4" borderId="0" xfId="0" applyFont="1" applyFill="1"/>
    <xf numFmtId="0" fontId="0" fillId="4" borderId="0" xfId="0" applyFill="1"/>
    <xf numFmtId="164" fontId="0" fillId="4" borderId="0" xfId="0" applyNumberFormat="1" applyFill="1"/>
    <xf numFmtId="0" fontId="20" fillId="2" borderId="6" xfId="0" applyFont="1" applyFill="1" applyBorder="1" applyAlignment="1">
      <alignment vertical="center" wrapText="1"/>
    </xf>
    <xf numFmtId="164" fontId="11" fillId="0" borderId="4" xfId="0" applyNumberFormat="1" applyFont="1" applyBorder="1" applyAlignment="1">
      <alignment horizontal="right" wrapText="1"/>
    </xf>
    <xf numFmtId="0" fontId="4" fillId="0" borderId="0" xfId="0" applyFont="1"/>
    <xf numFmtId="164" fontId="0" fillId="2" borderId="0" xfId="0" applyNumberFormat="1" applyFill="1"/>
    <xf numFmtId="0" fontId="11" fillId="0" borderId="16" xfId="0" applyFont="1" applyBorder="1"/>
    <xf numFmtId="0" fontId="11" fillId="0" borderId="16" xfId="0" applyFont="1" applyBorder="1" applyAlignment="1">
      <alignment horizontal="right"/>
    </xf>
    <xf numFmtId="164" fontId="11" fillId="0" borderId="0" xfId="0" applyNumberFormat="1" applyFont="1"/>
    <xf numFmtId="0" fontId="0" fillId="0" borderId="8" xfId="0" applyBorder="1"/>
    <xf numFmtId="164" fontId="11" fillId="0" borderId="5" xfId="0" applyNumberFormat="1" applyFont="1" applyBorder="1" applyAlignment="1">
      <alignment horizontal="right" wrapText="1"/>
    </xf>
    <xf numFmtId="0" fontId="21" fillId="4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164" fontId="11" fillId="4" borderId="0" xfId="0" applyNumberFormat="1" applyFont="1" applyFill="1"/>
    <xf numFmtId="164" fontId="10" fillId="4" borderId="0" xfId="0" applyNumberFormat="1" applyFont="1" applyFill="1"/>
    <xf numFmtId="0" fontId="12" fillId="0" borderId="0" xfId="0" applyFont="1"/>
    <xf numFmtId="164" fontId="0" fillId="0" borderId="0" xfId="0" applyNumberFormat="1" applyAlignment="1">
      <alignment horizontal="center"/>
    </xf>
    <xf numFmtId="0" fontId="11" fillId="0" borderId="0" xfId="0" applyFont="1"/>
    <xf numFmtId="164" fontId="11" fillId="0" borderId="19" xfId="0" applyNumberFormat="1" applyFont="1" applyBorder="1" applyAlignment="1">
      <alignment horizontal="center" vertical="center" wrapText="1"/>
    </xf>
    <xf numFmtId="164" fontId="9" fillId="2" borderId="8" xfId="0" applyNumberFormat="1" applyFont="1" applyFill="1" applyBorder="1"/>
    <xf numFmtId="164" fontId="9" fillId="6" borderId="8" xfId="0" applyNumberFormat="1" applyFont="1" applyFill="1" applyBorder="1"/>
    <xf numFmtId="164" fontId="9" fillId="2" borderId="9" xfId="0" applyNumberFormat="1" applyFont="1" applyFill="1" applyBorder="1"/>
    <xf numFmtId="164" fontId="9" fillId="6" borderId="9" xfId="0" applyNumberFormat="1" applyFont="1" applyFill="1" applyBorder="1"/>
    <xf numFmtId="164" fontId="9" fillId="2" borderId="7" xfId="0" applyNumberFormat="1" applyFont="1" applyFill="1" applyBorder="1"/>
    <xf numFmtId="164" fontId="8" fillId="2" borderId="7" xfId="0" applyNumberFormat="1" applyFont="1" applyFill="1" applyBorder="1" applyAlignment="1">
      <alignment vertical="center"/>
    </xf>
    <xf numFmtId="164" fontId="8" fillId="2" borderId="0" xfId="0" applyNumberFormat="1" applyFont="1" applyFill="1"/>
    <xf numFmtId="0" fontId="8" fillId="2" borderId="0" xfId="0" applyFont="1" applyFill="1" applyAlignment="1">
      <alignment horizontal="center" vertical="center"/>
    </xf>
    <xf numFmtId="164" fontId="8" fillId="6" borderId="9" xfId="0" applyNumberFormat="1" applyFont="1" applyFill="1" applyBorder="1" applyAlignment="1">
      <alignment vertical="center"/>
    </xf>
    <xf numFmtId="164" fontId="9" fillId="2" borderId="21" xfId="0" applyNumberFormat="1" applyFont="1" applyFill="1" applyBorder="1"/>
    <xf numFmtId="164" fontId="9" fillId="2" borderId="22" xfId="0" applyNumberFormat="1" applyFont="1" applyFill="1" applyBorder="1"/>
    <xf numFmtId="164" fontId="9" fillId="6" borderId="7" xfId="0" applyNumberFormat="1" applyFont="1" applyFill="1" applyBorder="1"/>
    <xf numFmtId="164" fontId="0" fillId="2" borderId="9" xfId="0" applyNumberFormat="1" applyFill="1" applyBorder="1"/>
    <xf numFmtId="164" fontId="0" fillId="6" borderId="8" xfId="0" applyNumberFormat="1" applyFill="1" applyBorder="1"/>
    <xf numFmtId="164" fontId="0" fillId="6" borderId="9" xfId="0" applyNumberFormat="1" applyFill="1" applyBorder="1"/>
    <xf numFmtId="164" fontId="0" fillId="2" borderId="7" xfId="0" applyNumberFormat="1" applyFill="1" applyBorder="1"/>
    <xf numFmtId="164" fontId="0" fillId="2" borderId="21" xfId="0" applyNumberFormat="1" applyFill="1" applyBorder="1"/>
    <xf numFmtId="164" fontId="0" fillId="2" borderId="22" xfId="0" applyNumberFormat="1" applyFill="1" applyBorder="1"/>
    <xf numFmtId="164" fontId="0" fillId="6" borderId="7" xfId="0" applyNumberFormat="1" applyFill="1" applyBorder="1"/>
    <xf numFmtId="164" fontId="0" fillId="0" borderId="7" xfId="0" applyNumberFormat="1" applyBorder="1"/>
    <xf numFmtId="164" fontId="9" fillId="6" borderId="18" xfId="0" applyNumberFormat="1" applyFont="1" applyFill="1" applyBorder="1"/>
    <xf numFmtId="164" fontId="9" fillId="2" borderId="18" xfId="0" applyNumberFormat="1" applyFont="1" applyFill="1" applyBorder="1"/>
    <xf numFmtId="164" fontId="8" fillId="2" borderId="9" xfId="0" applyNumberFormat="1" applyFont="1" applyFill="1" applyBorder="1" applyAlignment="1">
      <alignment vertical="center"/>
    </xf>
    <xf numFmtId="164" fontId="8" fillId="2" borderId="6" xfId="0" applyNumberFormat="1" applyFont="1" applyFill="1" applyBorder="1"/>
    <xf numFmtId="0" fontId="8" fillId="2" borderId="6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left"/>
    </xf>
    <xf numFmtId="164" fontId="9" fillId="6" borderId="21" xfId="0" applyNumberFormat="1" applyFont="1" applyFill="1" applyBorder="1"/>
    <xf numFmtId="164" fontId="9" fillId="6" borderId="17" xfId="0" applyNumberFormat="1" applyFont="1" applyFill="1" applyBorder="1"/>
    <xf numFmtId="1" fontId="9" fillId="6" borderId="17" xfId="0" applyNumberFormat="1" applyFont="1" applyFill="1" applyBorder="1" applyAlignment="1">
      <alignment horizontal="center"/>
    </xf>
    <xf numFmtId="164" fontId="9" fillId="2" borderId="20" xfId="0" applyNumberFormat="1" applyFont="1" applyFill="1" applyBorder="1"/>
    <xf numFmtId="164" fontId="9" fillId="2" borderId="16" xfId="0" applyNumberFormat="1" applyFont="1" applyFill="1" applyBorder="1"/>
    <xf numFmtId="0" fontId="2" fillId="2" borderId="0" xfId="0" applyFont="1" applyFill="1" applyAlignment="1">
      <alignment horizontal="left"/>
    </xf>
    <xf numFmtId="0" fontId="11" fillId="0" borderId="4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0" fillId="2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1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17" xfId="0" applyFont="1" applyBorder="1" applyAlignment="1">
      <alignment horizontal="center"/>
    </xf>
    <xf numFmtId="0" fontId="0" fillId="0" borderId="0" xfId="0" applyAlignment="1">
      <alignment horizontal="center"/>
    </xf>
    <xf numFmtId="0" fontId="11" fillId="0" borderId="16" xfId="0" applyFont="1" applyBorder="1" applyAlignment="1">
      <alignment horizontal="center" vertical="center"/>
    </xf>
    <xf numFmtId="164" fontId="11" fillId="0" borderId="0" xfId="0" applyNumberFormat="1" applyFont="1" applyAlignment="1">
      <alignment horizontal="center"/>
    </xf>
    <xf numFmtId="164" fontId="11" fillId="4" borderId="0" xfId="0" applyNumberFormat="1" applyFont="1" applyFill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/>
    </xf>
    <xf numFmtId="164" fontId="11" fillId="0" borderId="16" xfId="0" applyNumberFormat="1" applyFont="1" applyBorder="1" applyAlignment="1">
      <alignment horizontal="center" vertical="center"/>
    </xf>
    <xf numFmtId="0" fontId="11" fillId="0" borderId="4" xfId="0" applyFont="1" applyBorder="1"/>
    <xf numFmtId="164" fontId="0" fillId="0" borderId="7" xfId="0" applyNumberFormat="1" applyBorder="1" applyAlignment="1">
      <alignment horizontal="right" vertical="center"/>
    </xf>
    <xf numFmtId="164" fontId="0" fillId="0" borderId="20" xfId="0" applyNumberFormat="1" applyBorder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0" fillId="0" borderId="16" xfId="0" applyNumberFormat="1" applyBorder="1" applyAlignment="1">
      <alignment horizontal="right" vertical="center"/>
    </xf>
    <xf numFmtId="0" fontId="23" fillId="0" borderId="4" xfId="0" applyFont="1" applyBorder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164" fontId="11" fillId="0" borderId="8" xfId="0" applyNumberFormat="1" applyFont="1" applyBorder="1" applyAlignment="1">
      <alignment horizontal="center" vertical="center"/>
    </xf>
    <xf numFmtId="164" fontId="11" fillId="0" borderId="11" xfId="0" applyNumberFormat="1" applyFont="1" applyBorder="1" applyAlignment="1">
      <alignment horizontal="center" vertical="center"/>
    </xf>
    <xf numFmtId="164" fontId="0" fillId="0" borderId="19" xfId="0" applyNumberFormat="1" applyBorder="1" applyAlignment="1">
      <alignment horizontal="right" vertical="center"/>
    </xf>
    <xf numFmtId="1" fontId="6" fillId="0" borderId="5" xfId="0" applyNumberFormat="1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 wrapText="1"/>
    </xf>
    <xf numFmtId="164" fontId="6" fillId="0" borderId="5" xfId="0" applyNumberFormat="1" applyFont="1" applyBorder="1" applyAlignment="1">
      <alignment horizontal="center" vertical="center" wrapText="1"/>
    </xf>
    <xf numFmtId="164" fontId="6" fillId="0" borderId="4" xfId="0" applyNumberFormat="1" applyFont="1" applyBorder="1" applyAlignment="1">
      <alignment horizontal="center" vertical="center" wrapText="1"/>
    </xf>
    <xf numFmtId="164" fontId="6" fillId="0" borderId="19" xfId="0" applyNumberFormat="1" applyFont="1" applyBorder="1" applyAlignment="1">
      <alignment horizontal="center" vertical="center" wrapText="1"/>
    </xf>
    <xf numFmtId="164" fontId="6" fillId="0" borderId="8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64" fontId="25" fillId="2" borderId="9" xfId="0" applyNumberFormat="1" applyFont="1" applyFill="1" applyBorder="1"/>
    <xf numFmtId="0" fontId="0" fillId="0" borderId="0" xfId="0" applyBorder="1"/>
    <xf numFmtId="164" fontId="0" fillId="2" borderId="8" xfId="0" applyNumberFormat="1" applyFill="1" applyBorder="1"/>
    <xf numFmtId="164" fontId="0" fillId="0" borderId="0" xfId="0" applyNumberFormat="1" applyBorder="1"/>
    <xf numFmtId="0" fontId="0" fillId="0" borderId="0" xfId="0" applyFill="1" applyBorder="1"/>
    <xf numFmtId="164" fontId="25" fillId="0" borderId="0" xfId="0" applyNumberFormat="1" applyFont="1" applyFill="1" applyBorder="1"/>
    <xf numFmtId="164" fontId="0" fillId="0" borderId="0" xfId="0" applyNumberFormat="1" applyFill="1" applyBorder="1"/>
    <xf numFmtId="1" fontId="24" fillId="0" borderId="12" xfId="0" applyNumberFormat="1" applyFont="1" applyBorder="1" applyAlignment="1">
      <alignment horizontal="center" vertical="center" wrapText="1"/>
    </xf>
    <xf numFmtId="1" fontId="24" fillId="0" borderId="10" xfId="0" applyNumberFormat="1" applyFont="1" applyBorder="1" applyAlignment="1">
      <alignment horizontal="center" vertical="center" wrapText="1"/>
    </xf>
    <xf numFmtId="164" fontId="9" fillId="2" borderId="10" xfId="0" applyNumberFormat="1" applyFont="1" applyFill="1" applyBorder="1"/>
    <xf numFmtId="164" fontId="25" fillId="2" borderId="8" xfId="0" applyNumberFormat="1" applyFont="1" applyFill="1" applyBorder="1"/>
    <xf numFmtId="0" fontId="2" fillId="6" borderId="0" xfId="0" applyFont="1" applyFill="1" applyBorder="1" applyAlignment="1">
      <alignment horizontal="left"/>
    </xf>
    <xf numFmtId="0" fontId="2" fillId="6" borderId="0" xfId="0" applyFont="1" applyFill="1" applyBorder="1" applyAlignment="1">
      <alignment horizontal="center"/>
    </xf>
    <xf numFmtId="164" fontId="0" fillId="6" borderId="0" xfId="0" applyNumberFormat="1" applyFill="1" applyBorder="1"/>
    <xf numFmtId="164" fontId="9" fillId="6" borderId="0" xfId="0" applyNumberFormat="1" applyFont="1" applyFill="1" applyBorder="1"/>
    <xf numFmtId="1" fontId="9" fillId="6" borderId="0" xfId="0" applyNumberFormat="1" applyFont="1" applyFill="1" applyBorder="1" applyAlignment="1">
      <alignment horizontal="center"/>
    </xf>
    <xf numFmtId="164" fontId="25" fillId="2" borderId="21" xfId="0" applyNumberFormat="1" applyFont="1" applyFill="1" applyBorder="1"/>
    <xf numFmtId="164" fontId="25" fillId="0" borderId="16" xfId="0" applyNumberFormat="1" applyFont="1" applyFill="1" applyBorder="1"/>
    <xf numFmtId="0" fontId="11" fillId="0" borderId="5" xfId="0" applyFont="1" applyBorder="1" applyAlignment="1">
      <alignment horizontal="center" vertical="center" wrapText="1"/>
    </xf>
    <xf numFmtId="164" fontId="11" fillId="0" borderId="0" xfId="0" applyNumberFormat="1" applyFont="1" applyBorder="1" applyAlignment="1">
      <alignment horizontal="center" vertical="center"/>
    </xf>
    <xf numFmtId="164" fontId="26" fillId="0" borderId="0" xfId="0" applyNumberFormat="1" applyFont="1" applyBorder="1"/>
    <xf numFmtId="0" fontId="11" fillId="0" borderId="0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164" fontId="11" fillId="0" borderId="0" xfId="0" applyNumberFormat="1" applyFont="1" applyBorder="1" applyAlignment="1">
      <alignment horizontal="center" vertical="center" wrapText="1"/>
    </xf>
    <xf numFmtId="0" fontId="0" fillId="0" borderId="0" xfId="0" applyFill="1"/>
    <xf numFmtId="0" fontId="11" fillId="0" borderId="0" xfId="0" applyFont="1" applyFill="1"/>
    <xf numFmtId="0" fontId="11" fillId="0" borderId="0" xfId="0" applyFont="1" applyFill="1" applyAlignment="1">
      <alignment horizontal="center"/>
    </xf>
    <xf numFmtId="164" fontId="11" fillId="0" borderId="0" xfId="0" applyNumberFormat="1" applyFont="1" applyFill="1"/>
    <xf numFmtId="164" fontId="11" fillId="0" borderId="0" xfId="0" applyNumberFormat="1" applyFont="1" applyFill="1" applyAlignment="1">
      <alignment horizontal="center"/>
    </xf>
    <xf numFmtId="1" fontId="24" fillId="0" borderId="16" xfId="0" applyNumberFormat="1" applyFont="1" applyBorder="1" applyAlignment="1">
      <alignment vertical="center" wrapText="1"/>
    </xf>
    <xf numFmtId="164" fontId="11" fillId="0" borderId="0" xfId="0" applyNumberFormat="1" applyFont="1" applyAlignment="1">
      <alignment horizontal="center" vertical="center"/>
    </xf>
    <xf numFmtId="164" fontId="11" fillId="0" borderId="5" xfId="0" applyNumberFormat="1" applyFont="1" applyBorder="1" applyAlignment="1">
      <alignment horizontal="center" vertical="center"/>
    </xf>
    <xf numFmtId="164" fontId="11" fillId="0" borderId="16" xfId="0" applyNumberFormat="1" applyFont="1" applyBorder="1" applyAlignment="1">
      <alignment horizontal="center" vertical="center"/>
    </xf>
    <xf numFmtId="164" fontId="0" fillId="2" borderId="23" xfId="0" applyNumberFormat="1" applyFill="1" applyBorder="1"/>
    <xf numFmtId="0" fontId="0" fillId="0" borderId="16" xfId="0" applyFill="1" applyBorder="1"/>
    <xf numFmtId="164" fontId="0" fillId="0" borderId="16" xfId="0" applyNumberFormat="1" applyFill="1" applyBorder="1"/>
    <xf numFmtId="164" fontId="25" fillId="6" borderId="9" xfId="0" applyNumberFormat="1" applyFont="1" applyFill="1" applyBorder="1"/>
    <xf numFmtId="164" fontId="27" fillId="0" borderId="0" xfId="0" applyNumberFormat="1" applyFont="1" applyBorder="1"/>
    <xf numFmtId="0" fontId="0" fillId="0" borderId="4" xfId="0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25" fillId="6" borderId="8" xfId="0" applyNumberFormat="1" applyFont="1" applyFill="1" applyBorder="1"/>
    <xf numFmtId="164" fontId="25" fillId="6" borderId="20" xfId="0" applyNumberFormat="1" applyFont="1" applyFill="1" applyBorder="1"/>
    <xf numFmtId="164" fontId="25" fillId="2" borderId="22" xfId="0" applyNumberFormat="1" applyFont="1" applyFill="1" applyBorder="1"/>
    <xf numFmtId="164" fontId="9" fillId="6" borderId="20" xfId="0" applyNumberFormat="1" applyFont="1" applyFill="1" applyBorder="1"/>
    <xf numFmtId="164" fontId="0" fillId="6" borderId="20" xfId="0" applyNumberFormat="1" applyFill="1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164" fontId="0" fillId="0" borderId="14" xfId="0" applyNumberFormat="1" applyBorder="1"/>
    <xf numFmtId="0" fontId="4" fillId="0" borderId="4" xfId="0" applyFont="1" applyBorder="1"/>
    <xf numFmtId="164" fontId="0" fillId="0" borderId="10" xfId="0" applyNumberFormat="1" applyBorder="1"/>
    <xf numFmtId="164" fontId="0" fillId="0" borderId="8" xfId="0" applyNumberFormat="1" applyBorder="1"/>
    <xf numFmtId="0" fontId="11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26" fillId="0" borderId="0" xfId="0" applyFont="1"/>
    <xf numFmtId="164" fontId="26" fillId="0" borderId="14" xfId="0" applyNumberFormat="1" applyFont="1" applyBorder="1"/>
    <xf numFmtId="164" fontId="26" fillId="0" borderId="7" xfId="0" applyNumberFormat="1" applyFont="1" applyBorder="1"/>
    <xf numFmtId="0" fontId="26" fillId="0" borderId="4" xfId="0" applyFont="1" applyBorder="1"/>
    <xf numFmtId="164" fontId="26" fillId="0" borderId="10" xfId="0" applyNumberFormat="1" applyFont="1" applyBorder="1"/>
    <xf numFmtId="164" fontId="26" fillId="0" borderId="8" xfId="0" applyNumberFormat="1" applyFont="1" applyBorder="1"/>
    <xf numFmtId="164" fontId="26" fillId="0" borderId="0" xfId="0" applyNumberFormat="1" applyFont="1"/>
  </cellXfs>
  <cellStyles count="1">
    <cellStyle name="Normalny" xfId="0" builtinId="0"/>
  </cellStyles>
  <dxfs count="5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drzej Lechowicz" id="{C8C3F913-2E55-43DF-B025-D063F3386CED}" userId="S::a.lechowicz@voltusenergy.pl::45635d0a-b55b-4b51-8154-4e57b47b324c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3" dT="2026-02-15T11:57:38.12" personId="{C8C3F913-2E55-43DF-B025-D063F3386CED}" id="{F15B8E66-D93D-4709-BBD0-B608D1F47D17}">
    <text>&lt;10MWH - 15 000 euro, &gt; 10MWh - 30 000 euro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518"/>
  <sheetViews>
    <sheetView tabSelected="1" topLeftCell="L51" workbookViewId="0">
      <selection activeCell="O71" sqref="O71"/>
    </sheetView>
  </sheetViews>
  <sheetFormatPr defaultColWidth="12.5703125" defaultRowHeight="15.75" customHeight="1"/>
  <cols>
    <col min="2" max="2" width="9.140625" customWidth="1"/>
    <col min="3" max="3" width="24.28515625" customWidth="1"/>
    <col min="4" max="4" width="8.28515625" customWidth="1"/>
    <col min="5" max="5" width="8.140625" customWidth="1"/>
    <col min="6" max="6" width="8" customWidth="1"/>
    <col min="7" max="7" width="9.85546875" customWidth="1"/>
    <col min="8" max="8" width="7.5703125" style="8" customWidth="1"/>
    <col min="9" max="9" width="10.5703125" customWidth="1"/>
    <col min="10" max="10" width="14" customWidth="1"/>
    <col min="11" max="11" width="16.42578125" customWidth="1"/>
    <col min="12" max="12" width="16.85546875" customWidth="1"/>
    <col min="13" max="13" width="12.5703125" style="19" customWidth="1"/>
    <col min="14" max="15" width="15.7109375" customWidth="1"/>
    <col min="16" max="16" width="21.140625" style="9" customWidth="1"/>
    <col min="17" max="17" width="22.28515625" style="9" customWidth="1"/>
    <col min="18" max="18" width="19.85546875" customWidth="1"/>
    <col min="19" max="19" width="16.85546875" customWidth="1"/>
    <col min="20" max="20" width="16.42578125" customWidth="1"/>
    <col min="21" max="21" width="15.28515625" customWidth="1"/>
    <col min="22" max="23" width="14.5703125" customWidth="1"/>
    <col min="24" max="24" width="15.28515625" customWidth="1"/>
    <col min="25" max="25" width="12.85546875" style="136" customWidth="1"/>
    <col min="27" max="27" width="17.42578125" customWidth="1"/>
  </cols>
  <sheetData>
    <row r="1" spans="1:27" ht="24.75" customHeight="1">
      <c r="B1" s="18"/>
      <c r="C1" s="148" t="s">
        <v>272</v>
      </c>
      <c r="D1" s="148"/>
      <c r="E1" s="148"/>
      <c r="F1" s="18"/>
      <c r="G1" s="18"/>
      <c r="H1" s="18"/>
      <c r="I1" s="18"/>
      <c r="J1" s="149" t="s">
        <v>81</v>
      </c>
      <c r="K1" s="150"/>
      <c r="L1" s="150"/>
      <c r="M1" s="150"/>
      <c r="N1" s="151"/>
      <c r="O1" s="123"/>
      <c r="P1" s="152" t="s">
        <v>83</v>
      </c>
      <c r="Q1" s="153"/>
      <c r="R1" s="81"/>
      <c r="S1" s="18"/>
      <c r="T1" s="150" t="s">
        <v>279</v>
      </c>
      <c r="U1" s="150"/>
      <c r="V1" s="150"/>
      <c r="W1" s="18"/>
      <c r="X1" s="18"/>
      <c r="Y1" s="211"/>
      <c r="Z1" s="18"/>
      <c r="AA1" s="18"/>
    </row>
    <row r="2" spans="1:27" ht="47.25" customHeight="1">
      <c r="A2" s="214" t="s">
        <v>281</v>
      </c>
      <c r="B2" s="161" t="s">
        <v>1</v>
      </c>
      <c r="C2" s="161" t="s">
        <v>0</v>
      </c>
      <c r="D2" s="161" t="s">
        <v>2</v>
      </c>
      <c r="E2" s="161" t="s">
        <v>3</v>
      </c>
      <c r="F2" s="161" t="s">
        <v>235</v>
      </c>
      <c r="G2" s="161" t="s">
        <v>5</v>
      </c>
      <c r="H2" s="161" t="s">
        <v>4</v>
      </c>
      <c r="I2" s="161" t="s">
        <v>6</v>
      </c>
      <c r="J2" s="159" t="s">
        <v>77</v>
      </c>
      <c r="K2" s="157" t="s">
        <v>82</v>
      </c>
      <c r="L2" s="157" t="s">
        <v>78</v>
      </c>
      <c r="M2" s="155" t="s">
        <v>79</v>
      </c>
      <c r="N2" s="155" t="s">
        <v>80</v>
      </c>
      <c r="O2" s="180" t="s">
        <v>284</v>
      </c>
      <c r="P2" s="90" t="s">
        <v>276</v>
      </c>
      <c r="Q2" s="82" t="s">
        <v>283</v>
      </c>
      <c r="R2" s="163" t="s">
        <v>275</v>
      </c>
      <c r="S2" s="165" t="s">
        <v>277</v>
      </c>
      <c r="T2" s="89"/>
      <c r="U2" s="168" t="s">
        <v>280</v>
      </c>
      <c r="V2" s="167" t="s">
        <v>165</v>
      </c>
      <c r="W2" s="168" t="s">
        <v>83</v>
      </c>
      <c r="X2" s="191" t="s">
        <v>287</v>
      </c>
      <c r="Y2" s="165" t="s">
        <v>289</v>
      </c>
      <c r="Z2" s="191" t="s">
        <v>285</v>
      </c>
      <c r="AA2" s="191" t="s">
        <v>286</v>
      </c>
    </row>
    <row r="3" spans="1:27" ht="18.75" customHeight="1">
      <c r="A3" s="215"/>
      <c r="B3" s="162"/>
      <c r="C3" s="162"/>
      <c r="D3" s="162"/>
      <c r="E3" s="162"/>
      <c r="F3" s="162"/>
      <c r="G3" s="162"/>
      <c r="H3" s="162"/>
      <c r="I3" s="162"/>
      <c r="J3" s="160"/>
      <c r="K3" s="158"/>
      <c r="L3" s="158"/>
      <c r="M3" s="156"/>
      <c r="N3" s="156"/>
      <c r="O3" s="181"/>
      <c r="P3" s="43"/>
      <c r="Q3" s="75">
        <f>P3*0.2</f>
        <v>0</v>
      </c>
      <c r="R3" s="164"/>
      <c r="S3" s="166"/>
      <c r="T3" s="143"/>
      <c r="U3" s="150"/>
      <c r="V3" s="150"/>
      <c r="W3" s="150"/>
      <c r="X3" s="166"/>
      <c r="Y3" s="166"/>
      <c r="Z3" s="166"/>
      <c r="AA3" s="166"/>
    </row>
    <row r="4" spans="1:27" ht="18" customHeight="1">
      <c r="A4">
        <v>1</v>
      </c>
      <c r="B4" s="62" t="s">
        <v>231</v>
      </c>
      <c r="C4" s="63" t="s">
        <v>230</v>
      </c>
      <c r="D4" s="124">
        <v>0.75</v>
      </c>
      <c r="E4" s="124">
        <v>3</v>
      </c>
      <c r="F4" s="124">
        <v>2</v>
      </c>
      <c r="G4" s="124">
        <v>1</v>
      </c>
      <c r="H4" s="124">
        <v>1</v>
      </c>
      <c r="I4" s="45"/>
      <c r="J4" s="93">
        <v>12380</v>
      </c>
      <c r="K4" s="14">
        <v>9912</v>
      </c>
      <c r="L4" s="14">
        <v>4012</v>
      </c>
      <c r="M4" s="15">
        <v>4</v>
      </c>
      <c r="N4" s="93">
        <f t="shared" ref="N4:N23" si="0">J4+K4+L4</f>
        <v>26304</v>
      </c>
      <c r="O4" s="173">
        <f>J4*0.1</f>
        <v>1238</v>
      </c>
      <c r="P4" s="103">
        <v>12000</v>
      </c>
      <c r="Q4" s="16">
        <f t="shared" ref="Q4:Q28" si="1">P4*0.2</f>
        <v>2400</v>
      </c>
      <c r="R4" s="154">
        <v>60000</v>
      </c>
      <c r="S4" s="146">
        <f>R4*0.2</f>
        <v>12000</v>
      </c>
      <c r="V4" s="141">
        <f t="shared" ref="V4:V28" si="2">N4/$E4</f>
        <v>8768</v>
      </c>
      <c r="W4" s="141">
        <f t="shared" ref="W4:W28" si="3">P4/$E4</f>
        <v>4000</v>
      </c>
      <c r="X4" s="141">
        <f>Q4/$E4</f>
        <v>800</v>
      </c>
      <c r="Y4" s="212">
        <f>R4/E29</f>
        <v>139.44408292274798</v>
      </c>
      <c r="Z4" s="9">
        <f>O4/E4</f>
        <v>412.66666666666669</v>
      </c>
      <c r="AA4" s="9">
        <f>X4+Z4</f>
        <v>1212.6666666666667</v>
      </c>
    </row>
    <row r="5" spans="1:27" ht="15.75" customHeight="1">
      <c r="A5">
        <v>2</v>
      </c>
      <c r="B5" s="57" t="s">
        <v>232</v>
      </c>
      <c r="C5" s="58" t="s">
        <v>35</v>
      </c>
      <c r="D5" s="125">
        <v>1.25</v>
      </c>
      <c r="E5" s="125">
        <v>5</v>
      </c>
      <c r="F5" s="125">
        <v>2</v>
      </c>
      <c r="G5" s="125">
        <v>1</v>
      </c>
      <c r="H5" s="125">
        <v>1</v>
      </c>
      <c r="I5" s="58" t="s">
        <v>21</v>
      </c>
      <c r="J5" s="92">
        <v>12380</v>
      </c>
      <c r="K5" s="68">
        <v>9912</v>
      </c>
      <c r="L5" s="68">
        <v>4012</v>
      </c>
      <c r="M5" s="69">
        <v>4</v>
      </c>
      <c r="N5" s="92">
        <f t="shared" si="0"/>
        <v>26304</v>
      </c>
      <c r="O5" s="209">
        <f t="shared" ref="O5:O28" si="4">J5*0.1</f>
        <v>1238</v>
      </c>
      <c r="P5" s="109">
        <v>15000</v>
      </c>
      <c r="Q5" s="70">
        <f t="shared" si="1"/>
        <v>3000</v>
      </c>
      <c r="R5" s="144"/>
      <c r="S5" s="146"/>
      <c r="V5" s="141">
        <f t="shared" si="2"/>
        <v>5260.8</v>
      </c>
      <c r="W5" s="141">
        <f t="shared" si="3"/>
        <v>3000</v>
      </c>
      <c r="X5" s="141">
        <f>Q5/$E5</f>
        <v>600</v>
      </c>
      <c r="Y5" s="212"/>
      <c r="Z5" s="9">
        <f>O5/E5</f>
        <v>247.6</v>
      </c>
      <c r="AA5" s="9">
        <f>X5+Z5</f>
        <v>847.6</v>
      </c>
    </row>
    <row r="6" spans="1:27" ht="15.75" customHeight="1">
      <c r="A6">
        <v>3</v>
      </c>
      <c r="B6" s="62" t="s">
        <v>233</v>
      </c>
      <c r="C6" s="13" t="s">
        <v>36</v>
      </c>
      <c r="D6" s="126">
        <v>1</v>
      </c>
      <c r="E6" s="126">
        <v>5</v>
      </c>
      <c r="F6" s="126">
        <v>2</v>
      </c>
      <c r="G6" s="126">
        <v>1</v>
      </c>
      <c r="H6" s="126">
        <v>1</v>
      </c>
      <c r="I6" s="13">
        <v>2025</v>
      </c>
      <c r="J6" s="91">
        <v>12380</v>
      </c>
      <c r="K6" s="11">
        <v>9912</v>
      </c>
      <c r="L6" s="11">
        <v>4012</v>
      </c>
      <c r="M6" s="12">
        <v>4</v>
      </c>
      <c r="N6" s="93">
        <f t="shared" si="0"/>
        <v>26304</v>
      </c>
      <c r="O6" s="173">
        <f t="shared" si="4"/>
        <v>1238</v>
      </c>
      <c r="P6" s="103">
        <v>15000</v>
      </c>
      <c r="Q6" s="16">
        <f t="shared" si="1"/>
        <v>3000</v>
      </c>
      <c r="R6" s="144"/>
      <c r="S6" s="146"/>
      <c r="V6" s="141">
        <f t="shared" si="2"/>
        <v>5260.8</v>
      </c>
      <c r="W6" s="141">
        <f t="shared" si="3"/>
        <v>3000</v>
      </c>
      <c r="X6" s="141">
        <f>Q6/$E6</f>
        <v>600</v>
      </c>
      <c r="Y6" s="212"/>
      <c r="Z6" s="176">
        <f>O6/E6</f>
        <v>247.6</v>
      </c>
      <c r="AA6" s="176">
        <f>X6+Z6</f>
        <v>847.6</v>
      </c>
    </row>
    <row r="7" spans="1:27" ht="15.75" customHeight="1">
      <c r="A7">
        <v>4</v>
      </c>
      <c r="B7" s="57" t="s">
        <v>234</v>
      </c>
      <c r="C7" s="58" t="s">
        <v>34</v>
      </c>
      <c r="D7" s="125">
        <v>1.8</v>
      </c>
      <c r="E7" s="125">
        <v>8</v>
      </c>
      <c r="F7" s="125">
        <v>3</v>
      </c>
      <c r="G7" s="125">
        <v>1</v>
      </c>
      <c r="H7" s="125">
        <v>2</v>
      </c>
      <c r="I7" s="58">
        <v>2025</v>
      </c>
      <c r="J7" s="94">
        <v>15960</v>
      </c>
      <c r="K7" s="59">
        <v>11352</v>
      </c>
      <c r="L7" s="59">
        <v>6062</v>
      </c>
      <c r="M7" s="60">
        <v>6</v>
      </c>
      <c r="N7" s="94">
        <f t="shared" si="0"/>
        <v>33374</v>
      </c>
      <c r="O7" s="209">
        <f t="shared" si="4"/>
        <v>1596</v>
      </c>
      <c r="P7" s="109">
        <v>20000</v>
      </c>
      <c r="Q7" s="61">
        <f t="shared" si="1"/>
        <v>4000</v>
      </c>
      <c r="R7" s="144"/>
      <c r="S7" s="146"/>
      <c r="V7" s="141">
        <f t="shared" si="2"/>
        <v>4171.75</v>
      </c>
      <c r="W7" s="141">
        <f t="shared" si="3"/>
        <v>2500</v>
      </c>
      <c r="X7" s="141">
        <f>Q7/$E7</f>
        <v>500</v>
      </c>
      <c r="Y7" s="212"/>
      <c r="Z7" s="176">
        <f>O7/E7</f>
        <v>199.5</v>
      </c>
      <c r="AA7" s="176">
        <f>X7+Z7</f>
        <v>699.5</v>
      </c>
    </row>
    <row r="8" spans="1:27" ht="15.75" customHeight="1">
      <c r="A8">
        <v>5</v>
      </c>
      <c r="B8" s="62" t="s">
        <v>236</v>
      </c>
      <c r="C8" s="74" t="s">
        <v>237</v>
      </c>
      <c r="D8" s="127">
        <v>6</v>
      </c>
      <c r="E8" s="127">
        <v>25</v>
      </c>
      <c r="F8" s="127">
        <v>6</v>
      </c>
      <c r="G8" s="127">
        <v>1</v>
      </c>
      <c r="H8" s="127">
        <v>5</v>
      </c>
      <c r="I8" s="62"/>
      <c r="J8" s="93">
        <v>26699</v>
      </c>
      <c r="K8" s="14">
        <v>15672</v>
      </c>
      <c r="L8" s="14">
        <v>12212</v>
      </c>
      <c r="M8" s="15">
        <v>12</v>
      </c>
      <c r="N8" s="93">
        <f t="shared" si="0"/>
        <v>54583</v>
      </c>
      <c r="O8" s="173">
        <f t="shared" si="4"/>
        <v>2669.9</v>
      </c>
      <c r="P8" s="103">
        <v>30000</v>
      </c>
      <c r="Q8" s="16">
        <f t="shared" si="1"/>
        <v>6000</v>
      </c>
      <c r="R8" s="144"/>
      <c r="S8" s="146"/>
      <c r="V8" s="141">
        <f t="shared" si="2"/>
        <v>2183.3200000000002</v>
      </c>
      <c r="W8" s="141">
        <f t="shared" si="3"/>
        <v>1200</v>
      </c>
      <c r="X8" s="141">
        <f>Q8/$E8</f>
        <v>240</v>
      </c>
      <c r="Y8" s="212"/>
      <c r="Z8" s="176">
        <f>O8/E8</f>
        <v>106.79600000000001</v>
      </c>
      <c r="AA8" s="176">
        <f>X8+Z8</f>
        <v>346.79599999999999</v>
      </c>
    </row>
    <row r="9" spans="1:27" ht="15.75" customHeight="1">
      <c r="A9">
        <v>6</v>
      </c>
      <c r="B9" s="58" t="s">
        <v>238</v>
      </c>
      <c r="C9" s="58" t="s">
        <v>19</v>
      </c>
      <c r="D9" s="125">
        <v>2.5</v>
      </c>
      <c r="E9" s="125">
        <v>10</v>
      </c>
      <c r="F9" s="125">
        <v>3</v>
      </c>
      <c r="G9" s="125">
        <v>1</v>
      </c>
      <c r="H9" s="125">
        <v>2</v>
      </c>
      <c r="I9" s="58">
        <v>2025</v>
      </c>
      <c r="J9" s="94">
        <v>15960</v>
      </c>
      <c r="K9" s="59">
        <v>11352</v>
      </c>
      <c r="L9" s="59">
        <v>6062</v>
      </c>
      <c r="M9" s="60">
        <v>6</v>
      </c>
      <c r="N9" s="94">
        <f t="shared" ref="N9:N10" si="5">J9+K9+L9</f>
        <v>33374</v>
      </c>
      <c r="O9" s="209">
        <f t="shared" si="4"/>
        <v>1596</v>
      </c>
      <c r="P9" s="105">
        <v>30000</v>
      </c>
      <c r="Q9" s="61">
        <f t="shared" si="1"/>
        <v>6000</v>
      </c>
      <c r="R9" s="144"/>
      <c r="S9" s="146"/>
      <c r="V9" s="141">
        <f t="shared" si="2"/>
        <v>3337.4</v>
      </c>
      <c r="W9" s="141">
        <f t="shared" si="3"/>
        <v>3000</v>
      </c>
      <c r="X9" s="141">
        <f>Q9/$E9</f>
        <v>600</v>
      </c>
      <c r="Y9" s="212"/>
      <c r="Z9" s="176">
        <f>O9/E9</f>
        <v>159.6</v>
      </c>
      <c r="AA9" s="176">
        <f>X9+Z9</f>
        <v>759.6</v>
      </c>
    </row>
    <row r="10" spans="1:27" ht="15.75" customHeight="1">
      <c r="A10">
        <v>7</v>
      </c>
      <c r="B10" s="122" t="s">
        <v>239</v>
      </c>
      <c r="C10" s="122" t="s">
        <v>20</v>
      </c>
      <c r="D10" s="128">
        <v>2.5</v>
      </c>
      <c r="E10" s="128">
        <v>10</v>
      </c>
      <c r="F10" s="128">
        <v>3</v>
      </c>
      <c r="G10" s="128">
        <v>1</v>
      </c>
      <c r="H10" s="128">
        <v>2</v>
      </c>
      <c r="I10" s="122" t="s">
        <v>21</v>
      </c>
      <c r="J10" s="93">
        <v>15960</v>
      </c>
      <c r="K10" s="14">
        <v>11352</v>
      </c>
      <c r="L10" s="14">
        <v>6062</v>
      </c>
      <c r="M10" s="15">
        <v>6</v>
      </c>
      <c r="N10" s="93">
        <f t="shared" si="5"/>
        <v>33374</v>
      </c>
      <c r="O10" s="173">
        <f t="shared" si="4"/>
        <v>1596</v>
      </c>
      <c r="P10" s="106">
        <v>30000</v>
      </c>
      <c r="Q10" s="77">
        <f t="shared" si="1"/>
        <v>6000</v>
      </c>
      <c r="R10" s="144"/>
      <c r="S10" s="146"/>
      <c r="V10" s="141">
        <f t="shared" si="2"/>
        <v>3337.4</v>
      </c>
      <c r="W10" s="141">
        <f t="shared" si="3"/>
        <v>3000</v>
      </c>
      <c r="X10" s="141">
        <f>Q10/$E10</f>
        <v>600</v>
      </c>
      <c r="Y10" s="212"/>
      <c r="Z10" s="176">
        <f>O10/E10</f>
        <v>159.6</v>
      </c>
      <c r="AA10" s="176">
        <f>X10+Z10</f>
        <v>759.6</v>
      </c>
    </row>
    <row r="11" spans="1:27" ht="15.75" customHeight="1">
      <c r="A11">
        <v>8</v>
      </c>
      <c r="B11" s="58" t="s">
        <v>240</v>
      </c>
      <c r="C11" s="58" t="s">
        <v>22</v>
      </c>
      <c r="D11" s="125">
        <v>8</v>
      </c>
      <c r="E11" s="125">
        <v>35</v>
      </c>
      <c r="F11" s="125">
        <v>9</v>
      </c>
      <c r="G11" s="125">
        <v>2</v>
      </c>
      <c r="H11" s="125">
        <v>7</v>
      </c>
      <c r="I11" s="58" t="s">
        <v>21</v>
      </c>
      <c r="J11" s="94">
        <v>33858</v>
      </c>
      <c r="K11" s="59">
        <v>18552</v>
      </c>
      <c r="L11" s="59">
        <v>16312</v>
      </c>
      <c r="M11" s="60">
        <v>16</v>
      </c>
      <c r="N11" s="94">
        <f t="shared" si="0"/>
        <v>68722</v>
      </c>
      <c r="O11" s="209">
        <f t="shared" si="4"/>
        <v>3385.8</v>
      </c>
      <c r="P11" s="105">
        <v>30000</v>
      </c>
      <c r="Q11" s="61">
        <f t="shared" si="1"/>
        <v>6000</v>
      </c>
      <c r="R11" s="144"/>
      <c r="S11" s="146"/>
      <c r="V11" s="141">
        <f t="shared" si="2"/>
        <v>1963.4857142857143</v>
      </c>
      <c r="W11" s="141">
        <f t="shared" si="3"/>
        <v>857.14285714285711</v>
      </c>
      <c r="X11" s="141">
        <f>Q11/$E11</f>
        <v>171.42857142857142</v>
      </c>
      <c r="Y11" s="212"/>
      <c r="Z11" s="176">
        <f>O11/E11</f>
        <v>96.737142857142857</v>
      </c>
      <c r="AA11" s="176">
        <f>X11+Z11</f>
        <v>268.16571428571427</v>
      </c>
    </row>
    <row r="12" spans="1:27" ht="15.75" customHeight="1">
      <c r="A12">
        <v>9</v>
      </c>
      <c r="B12" s="122" t="s">
        <v>241</v>
      </c>
      <c r="C12" s="122" t="s">
        <v>7</v>
      </c>
      <c r="D12" s="128">
        <v>12</v>
      </c>
      <c r="E12" s="128">
        <v>40</v>
      </c>
      <c r="F12" s="128">
        <v>10</v>
      </c>
      <c r="G12" s="128">
        <v>2</v>
      </c>
      <c r="H12" s="128">
        <v>8</v>
      </c>
      <c r="I12" s="13" t="s">
        <v>8</v>
      </c>
      <c r="J12" s="113">
        <v>37438</v>
      </c>
      <c r="K12" s="114">
        <v>19992</v>
      </c>
      <c r="L12" s="114">
        <v>18362</v>
      </c>
      <c r="M12" s="115">
        <v>18</v>
      </c>
      <c r="N12" s="93">
        <f t="shared" si="0"/>
        <v>75792</v>
      </c>
      <c r="O12" s="173">
        <f t="shared" si="4"/>
        <v>3743.8</v>
      </c>
      <c r="P12" s="103">
        <v>30000</v>
      </c>
      <c r="Q12" s="77">
        <f t="shared" si="1"/>
        <v>6000</v>
      </c>
      <c r="R12" s="144"/>
      <c r="S12" s="146"/>
      <c r="V12" s="141">
        <f t="shared" si="2"/>
        <v>1894.8</v>
      </c>
      <c r="W12" s="141">
        <f t="shared" si="3"/>
        <v>750</v>
      </c>
      <c r="X12" s="141">
        <f>Q12/$E12</f>
        <v>150</v>
      </c>
      <c r="Y12" s="212"/>
      <c r="Z12" s="176">
        <f>O12/E12</f>
        <v>93.594999999999999</v>
      </c>
      <c r="AA12" s="176">
        <f>X12+Z12</f>
        <v>243.595</v>
      </c>
    </row>
    <row r="13" spans="1:27" ht="15.75" customHeight="1">
      <c r="A13">
        <v>10</v>
      </c>
      <c r="B13" s="58" t="s">
        <v>242</v>
      </c>
      <c r="C13" s="58" t="s">
        <v>9</v>
      </c>
      <c r="D13" s="125">
        <v>12</v>
      </c>
      <c r="E13" s="125">
        <v>40</v>
      </c>
      <c r="F13" s="125">
        <v>10</v>
      </c>
      <c r="G13" s="125">
        <v>2</v>
      </c>
      <c r="H13" s="125">
        <v>8</v>
      </c>
      <c r="I13" s="58" t="s">
        <v>8</v>
      </c>
      <c r="J13" s="99">
        <v>37438</v>
      </c>
      <c r="K13" s="65">
        <v>19992</v>
      </c>
      <c r="L13" s="65">
        <v>18362</v>
      </c>
      <c r="M13" s="66">
        <v>18</v>
      </c>
      <c r="N13" s="94">
        <f t="shared" ref="N13:N16" si="6">J13+K13+L13</f>
        <v>75792</v>
      </c>
      <c r="O13" s="209">
        <f t="shared" si="4"/>
        <v>3743.8</v>
      </c>
      <c r="P13" s="105">
        <v>30000</v>
      </c>
      <c r="Q13" s="61">
        <f t="shared" si="1"/>
        <v>6000</v>
      </c>
      <c r="R13" s="144"/>
      <c r="S13" s="146"/>
      <c r="V13" s="141">
        <f t="shared" si="2"/>
        <v>1894.8</v>
      </c>
      <c r="W13" s="141">
        <f t="shared" si="3"/>
        <v>750</v>
      </c>
      <c r="X13" s="141">
        <f>Q13/$E13</f>
        <v>150</v>
      </c>
      <c r="Y13" s="212"/>
      <c r="Z13" s="176">
        <f>O13/E13</f>
        <v>93.594999999999999</v>
      </c>
      <c r="AA13" s="176">
        <f>X13+Z13</f>
        <v>243.595</v>
      </c>
    </row>
    <row r="14" spans="1:27" ht="15.75" customHeight="1">
      <c r="A14">
        <v>11</v>
      </c>
      <c r="B14" s="122" t="s">
        <v>243</v>
      </c>
      <c r="C14" s="122" t="s">
        <v>10</v>
      </c>
      <c r="D14" s="128">
        <v>12</v>
      </c>
      <c r="E14" s="128">
        <v>40</v>
      </c>
      <c r="F14" s="128">
        <v>10</v>
      </c>
      <c r="G14" s="128">
        <v>2</v>
      </c>
      <c r="H14" s="128">
        <v>8</v>
      </c>
      <c r="I14" s="13" t="s">
        <v>8</v>
      </c>
      <c r="J14" s="113">
        <v>37438</v>
      </c>
      <c r="K14" s="114">
        <v>19992</v>
      </c>
      <c r="L14" s="114">
        <v>18362</v>
      </c>
      <c r="M14" s="115">
        <v>18</v>
      </c>
      <c r="N14" s="93">
        <f t="shared" si="6"/>
        <v>75792</v>
      </c>
      <c r="O14" s="173">
        <f t="shared" si="4"/>
        <v>3743.8</v>
      </c>
      <c r="P14" s="103">
        <v>30000</v>
      </c>
      <c r="Q14" s="77">
        <f t="shared" si="1"/>
        <v>6000</v>
      </c>
      <c r="R14" s="144"/>
      <c r="S14" s="146"/>
      <c r="V14" s="141">
        <f t="shared" si="2"/>
        <v>1894.8</v>
      </c>
      <c r="W14" s="141">
        <f t="shared" si="3"/>
        <v>750</v>
      </c>
      <c r="X14" s="141">
        <f>Q14/$E14</f>
        <v>150</v>
      </c>
      <c r="Y14" s="212"/>
      <c r="Z14" s="176">
        <f>O14/E14</f>
        <v>93.594999999999999</v>
      </c>
      <c r="AA14" s="176">
        <f>X14+Z14</f>
        <v>243.595</v>
      </c>
    </row>
    <row r="15" spans="1:27" ht="15.75" customHeight="1">
      <c r="A15">
        <v>12</v>
      </c>
      <c r="B15" s="58" t="s">
        <v>244</v>
      </c>
      <c r="C15" s="58" t="s">
        <v>11</v>
      </c>
      <c r="D15" s="125">
        <v>12</v>
      </c>
      <c r="E15" s="125">
        <v>40</v>
      </c>
      <c r="F15" s="125">
        <v>10</v>
      </c>
      <c r="G15" s="125">
        <v>2</v>
      </c>
      <c r="H15" s="125">
        <v>8</v>
      </c>
      <c r="I15" s="58" t="s">
        <v>8</v>
      </c>
      <c r="J15" s="99">
        <v>37438</v>
      </c>
      <c r="K15" s="65">
        <v>19992</v>
      </c>
      <c r="L15" s="65">
        <v>18362</v>
      </c>
      <c r="M15" s="66">
        <v>18</v>
      </c>
      <c r="N15" s="94">
        <f t="shared" si="6"/>
        <v>75792</v>
      </c>
      <c r="O15" s="209">
        <f t="shared" si="4"/>
        <v>3743.8</v>
      </c>
      <c r="P15" s="105">
        <v>30000</v>
      </c>
      <c r="Q15" s="61">
        <f t="shared" si="1"/>
        <v>6000</v>
      </c>
      <c r="R15" s="144"/>
      <c r="S15" s="146"/>
      <c r="V15" s="141">
        <f t="shared" si="2"/>
        <v>1894.8</v>
      </c>
      <c r="W15" s="141">
        <f t="shared" si="3"/>
        <v>750</v>
      </c>
      <c r="X15" s="141">
        <f>Q15/$E15</f>
        <v>150</v>
      </c>
      <c r="Y15" s="212"/>
      <c r="Z15" s="176">
        <f>O15/E15</f>
        <v>93.594999999999999</v>
      </c>
      <c r="AA15" s="176">
        <f>X15+Z15</f>
        <v>243.595</v>
      </c>
    </row>
    <row r="16" spans="1:27" ht="15.75" customHeight="1">
      <c r="A16">
        <v>13</v>
      </c>
      <c r="B16" s="122" t="s">
        <v>245</v>
      </c>
      <c r="C16" s="122" t="s">
        <v>12</v>
      </c>
      <c r="D16" s="128">
        <v>12</v>
      </c>
      <c r="E16" s="128">
        <v>40</v>
      </c>
      <c r="F16" s="128">
        <v>10</v>
      </c>
      <c r="G16" s="128">
        <v>2</v>
      </c>
      <c r="H16" s="128">
        <v>8</v>
      </c>
      <c r="I16" s="122" t="s">
        <v>8</v>
      </c>
      <c r="J16" s="96">
        <v>37438</v>
      </c>
      <c r="K16" s="97">
        <v>19992</v>
      </c>
      <c r="L16" s="97">
        <v>18362</v>
      </c>
      <c r="M16" s="98">
        <v>18</v>
      </c>
      <c r="N16" s="95">
        <f t="shared" si="6"/>
        <v>75792</v>
      </c>
      <c r="O16" s="173">
        <f t="shared" si="4"/>
        <v>3743.8</v>
      </c>
      <c r="P16" s="106">
        <v>30000</v>
      </c>
      <c r="Q16" s="77">
        <f t="shared" si="1"/>
        <v>6000</v>
      </c>
      <c r="R16" s="144"/>
      <c r="S16" s="146"/>
      <c r="V16" s="141">
        <f t="shared" si="2"/>
        <v>1894.8</v>
      </c>
      <c r="W16" s="141">
        <f t="shared" si="3"/>
        <v>750</v>
      </c>
      <c r="X16" s="141">
        <f>Q16/$E16</f>
        <v>150</v>
      </c>
      <c r="Y16" s="212"/>
      <c r="Z16" s="176">
        <f>O16/E16</f>
        <v>93.594999999999999</v>
      </c>
      <c r="AA16" s="176">
        <f>X16+Z16</f>
        <v>243.595</v>
      </c>
    </row>
    <row r="17" spans="1:27" ht="15.75" customHeight="1">
      <c r="A17">
        <v>14</v>
      </c>
      <c r="B17" s="58" t="s">
        <v>27</v>
      </c>
      <c r="C17" s="58" t="s">
        <v>26</v>
      </c>
      <c r="D17" s="125">
        <v>5</v>
      </c>
      <c r="E17" s="125">
        <v>10</v>
      </c>
      <c r="F17" s="125">
        <v>3</v>
      </c>
      <c r="G17" s="125">
        <v>1</v>
      </c>
      <c r="H17" s="125">
        <v>2</v>
      </c>
      <c r="I17" s="58">
        <v>2025</v>
      </c>
      <c r="J17" s="94">
        <v>15960</v>
      </c>
      <c r="K17" s="59">
        <v>11352</v>
      </c>
      <c r="L17" s="59">
        <v>6062</v>
      </c>
      <c r="M17" s="60">
        <v>6</v>
      </c>
      <c r="N17" s="94">
        <f t="shared" ref="N17:N18" si="7">J17+K17+L17</f>
        <v>33374</v>
      </c>
      <c r="O17" s="209">
        <f t="shared" si="4"/>
        <v>1596</v>
      </c>
      <c r="P17" s="105">
        <v>30000</v>
      </c>
      <c r="Q17" s="61">
        <f t="shared" si="1"/>
        <v>6000</v>
      </c>
      <c r="R17" s="144"/>
      <c r="S17" s="146"/>
      <c r="V17" s="141">
        <f t="shared" si="2"/>
        <v>3337.4</v>
      </c>
      <c r="W17" s="141">
        <f t="shared" si="3"/>
        <v>3000</v>
      </c>
      <c r="X17" s="141">
        <f>Q17/$E17</f>
        <v>600</v>
      </c>
      <c r="Y17" s="212"/>
      <c r="Z17" s="176">
        <f>O17/E17</f>
        <v>159.6</v>
      </c>
      <c r="AA17" s="176">
        <f>X17+Z17</f>
        <v>759.6</v>
      </c>
    </row>
    <row r="18" spans="1:27" ht="15.75" customHeight="1">
      <c r="A18">
        <v>15</v>
      </c>
      <c r="B18" s="122" t="s">
        <v>27</v>
      </c>
      <c r="C18" s="122" t="s">
        <v>28</v>
      </c>
      <c r="D18" s="128">
        <v>4.5</v>
      </c>
      <c r="E18" s="128">
        <v>10</v>
      </c>
      <c r="F18" s="128">
        <v>3</v>
      </c>
      <c r="G18" s="128">
        <v>1</v>
      </c>
      <c r="H18" s="128">
        <v>2</v>
      </c>
      <c r="I18" s="122">
        <v>2025</v>
      </c>
      <c r="J18" s="93">
        <v>15960</v>
      </c>
      <c r="K18" s="14">
        <v>11352</v>
      </c>
      <c r="L18" s="14">
        <v>6062</v>
      </c>
      <c r="M18" s="15">
        <v>6</v>
      </c>
      <c r="N18" s="93">
        <f t="shared" si="7"/>
        <v>33374</v>
      </c>
      <c r="O18" s="173">
        <f t="shared" si="4"/>
        <v>1596</v>
      </c>
      <c r="P18" s="106">
        <v>30000</v>
      </c>
      <c r="Q18" s="77">
        <f t="shared" si="1"/>
        <v>6000</v>
      </c>
      <c r="R18" s="144"/>
      <c r="S18" s="146"/>
      <c r="V18" s="141">
        <f t="shared" si="2"/>
        <v>3337.4</v>
      </c>
      <c r="W18" s="141">
        <f t="shared" si="3"/>
        <v>3000</v>
      </c>
      <c r="X18" s="141">
        <f>Q18/$E18</f>
        <v>600</v>
      </c>
      <c r="Y18" s="212"/>
      <c r="Z18" s="176">
        <f>O18/E18</f>
        <v>159.6</v>
      </c>
      <c r="AA18" s="176">
        <f>X18+Z18</f>
        <v>759.6</v>
      </c>
    </row>
    <row r="19" spans="1:27" ht="15.75" customHeight="1">
      <c r="A19">
        <v>16</v>
      </c>
      <c r="B19" s="58" t="s">
        <v>27</v>
      </c>
      <c r="C19" s="58" t="s">
        <v>29</v>
      </c>
      <c r="D19" s="125">
        <v>5</v>
      </c>
      <c r="E19" s="125">
        <v>10</v>
      </c>
      <c r="F19" s="125">
        <v>5</v>
      </c>
      <c r="G19" s="125">
        <v>2</v>
      </c>
      <c r="H19" s="125">
        <v>3</v>
      </c>
      <c r="I19" s="58"/>
      <c r="J19" s="94">
        <v>19540</v>
      </c>
      <c r="K19" s="59">
        <v>12792</v>
      </c>
      <c r="L19" s="59">
        <v>8112</v>
      </c>
      <c r="M19" s="60">
        <v>8</v>
      </c>
      <c r="N19" s="94">
        <f t="shared" si="0"/>
        <v>40444</v>
      </c>
      <c r="O19" s="209">
        <f t="shared" si="4"/>
        <v>1954</v>
      </c>
      <c r="P19" s="105">
        <v>30000</v>
      </c>
      <c r="Q19" s="61">
        <f t="shared" si="1"/>
        <v>6000</v>
      </c>
      <c r="R19" s="144"/>
      <c r="S19" s="146"/>
      <c r="V19" s="141">
        <f t="shared" si="2"/>
        <v>4044.4</v>
      </c>
      <c r="W19" s="141">
        <f t="shared" si="3"/>
        <v>3000</v>
      </c>
      <c r="X19" s="141">
        <f>Q19/$E19</f>
        <v>600</v>
      </c>
      <c r="Y19" s="212"/>
      <c r="Z19" s="176">
        <f>O19/E19</f>
        <v>195.4</v>
      </c>
      <c r="AA19" s="176">
        <f>X19+Z19</f>
        <v>795.4</v>
      </c>
    </row>
    <row r="20" spans="1:27" ht="15.75" customHeight="1">
      <c r="A20">
        <v>17</v>
      </c>
      <c r="B20" s="122" t="s">
        <v>27</v>
      </c>
      <c r="C20" s="122" t="s">
        <v>30</v>
      </c>
      <c r="D20" s="128">
        <v>1.8</v>
      </c>
      <c r="E20" s="128">
        <v>8</v>
      </c>
      <c r="F20" s="128">
        <v>3</v>
      </c>
      <c r="G20" s="128">
        <v>1</v>
      </c>
      <c r="H20" s="128">
        <v>2</v>
      </c>
      <c r="I20" s="122"/>
      <c r="J20" s="93">
        <v>15960</v>
      </c>
      <c r="K20" s="14">
        <v>11352</v>
      </c>
      <c r="L20" s="14">
        <v>6062</v>
      </c>
      <c r="M20" s="15">
        <v>6</v>
      </c>
      <c r="N20" s="93">
        <f t="shared" ref="N20:N22" si="8">J20+K20+L20</f>
        <v>33374</v>
      </c>
      <c r="O20" s="173">
        <f t="shared" si="4"/>
        <v>1596</v>
      </c>
      <c r="P20" s="103">
        <v>15000</v>
      </c>
      <c r="Q20" s="16">
        <f t="shared" si="1"/>
        <v>3000</v>
      </c>
      <c r="R20" s="144"/>
      <c r="S20" s="146"/>
      <c r="V20" s="141">
        <f t="shared" si="2"/>
        <v>4171.75</v>
      </c>
      <c r="W20" s="141">
        <f t="shared" si="3"/>
        <v>1875</v>
      </c>
      <c r="X20" s="141">
        <f>Q20/$E20</f>
        <v>375</v>
      </c>
      <c r="Y20" s="212"/>
      <c r="Z20" s="176">
        <f>O20/E20</f>
        <v>199.5</v>
      </c>
      <c r="AA20" s="176">
        <f>X20+Z20</f>
        <v>574.5</v>
      </c>
    </row>
    <row r="21" spans="1:27" ht="15.75" customHeight="1">
      <c r="A21">
        <v>18</v>
      </c>
      <c r="B21" s="58" t="s">
        <v>45</v>
      </c>
      <c r="C21" s="58" t="s">
        <v>253</v>
      </c>
      <c r="D21" s="125">
        <v>1.25</v>
      </c>
      <c r="E21" s="125">
        <v>10</v>
      </c>
      <c r="F21" s="125">
        <v>4</v>
      </c>
      <c r="G21" s="125">
        <v>1</v>
      </c>
      <c r="H21" s="125">
        <v>3</v>
      </c>
      <c r="I21" s="58" t="s">
        <v>41</v>
      </c>
      <c r="J21" s="94">
        <v>19540</v>
      </c>
      <c r="K21" s="59">
        <v>12792</v>
      </c>
      <c r="L21" s="59">
        <v>8112</v>
      </c>
      <c r="M21" s="60">
        <v>8</v>
      </c>
      <c r="N21" s="94">
        <f t="shared" si="8"/>
        <v>40444</v>
      </c>
      <c r="O21" s="209">
        <f t="shared" si="4"/>
        <v>1954</v>
      </c>
      <c r="P21" s="105">
        <v>30000</v>
      </c>
      <c r="Q21" s="61">
        <f t="shared" si="1"/>
        <v>6000</v>
      </c>
      <c r="R21" s="144"/>
      <c r="S21" s="146"/>
      <c r="V21" s="141">
        <f t="shared" si="2"/>
        <v>4044.4</v>
      </c>
      <c r="W21" s="141">
        <f t="shared" si="3"/>
        <v>3000</v>
      </c>
      <c r="X21" s="141">
        <f>Q21/$E21</f>
        <v>600</v>
      </c>
      <c r="Y21" s="212"/>
      <c r="Z21" s="176">
        <f>O21/E21</f>
        <v>195.4</v>
      </c>
      <c r="AA21" s="176">
        <f>X21+Z21</f>
        <v>795.4</v>
      </c>
    </row>
    <row r="22" spans="1:27" ht="15.75" customHeight="1">
      <c r="A22">
        <v>19</v>
      </c>
      <c r="B22" s="122" t="s">
        <v>252</v>
      </c>
      <c r="C22" s="122" t="s">
        <v>46</v>
      </c>
      <c r="D22" s="128">
        <v>1.25</v>
      </c>
      <c r="E22" s="128">
        <v>10</v>
      </c>
      <c r="F22" s="128">
        <v>4</v>
      </c>
      <c r="G22" s="128">
        <v>1</v>
      </c>
      <c r="H22" s="128">
        <v>3</v>
      </c>
      <c r="I22" s="122" t="s">
        <v>41</v>
      </c>
      <c r="J22" s="93">
        <v>19540</v>
      </c>
      <c r="K22" s="14">
        <v>12792</v>
      </c>
      <c r="L22" s="14">
        <v>8112</v>
      </c>
      <c r="M22" s="15">
        <v>8</v>
      </c>
      <c r="N22" s="93">
        <f t="shared" si="8"/>
        <v>40444</v>
      </c>
      <c r="O22" s="173">
        <f t="shared" si="4"/>
        <v>1954</v>
      </c>
      <c r="P22" s="106">
        <v>30000</v>
      </c>
      <c r="Q22" s="77">
        <f t="shared" si="1"/>
        <v>6000</v>
      </c>
      <c r="R22" s="144"/>
      <c r="S22" s="146"/>
      <c r="V22" s="141">
        <f t="shared" si="2"/>
        <v>4044.4</v>
      </c>
      <c r="W22" s="141">
        <f t="shared" si="3"/>
        <v>3000</v>
      </c>
      <c r="X22" s="141">
        <f>Q22/$E22</f>
        <v>600</v>
      </c>
      <c r="Y22" s="212"/>
      <c r="Z22" s="176">
        <f>O22/E22</f>
        <v>195.4</v>
      </c>
      <c r="AA22" s="176">
        <f>X22+Z22</f>
        <v>795.4</v>
      </c>
    </row>
    <row r="23" spans="1:27" ht="15.75" customHeight="1">
      <c r="A23">
        <v>20</v>
      </c>
      <c r="B23" s="58" t="s">
        <v>251</v>
      </c>
      <c r="C23" s="58" t="s">
        <v>47</v>
      </c>
      <c r="D23" s="125">
        <v>4.5</v>
      </c>
      <c r="E23" s="125">
        <v>20</v>
      </c>
      <c r="F23" s="125">
        <v>8</v>
      </c>
      <c r="G23" s="125">
        <v>2</v>
      </c>
      <c r="H23" s="125">
        <v>6</v>
      </c>
      <c r="I23" s="58" t="s">
        <v>41</v>
      </c>
      <c r="J23" s="94">
        <v>30278</v>
      </c>
      <c r="K23" s="65">
        <v>17112</v>
      </c>
      <c r="L23" s="65">
        <v>14262</v>
      </c>
      <c r="M23" s="67">
        <v>14</v>
      </c>
      <c r="N23" s="94">
        <f t="shared" si="0"/>
        <v>61652</v>
      </c>
      <c r="O23" s="209">
        <f t="shared" si="4"/>
        <v>3027.8</v>
      </c>
      <c r="P23" s="105">
        <v>30000</v>
      </c>
      <c r="Q23" s="61">
        <f t="shared" si="1"/>
        <v>6000</v>
      </c>
      <c r="R23" s="144"/>
      <c r="S23" s="146"/>
      <c r="V23" s="141">
        <f t="shared" si="2"/>
        <v>3082.6</v>
      </c>
      <c r="W23" s="141">
        <f t="shared" si="3"/>
        <v>1500</v>
      </c>
      <c r="X23" s="141">
        <f>Q23/$E23</f>
        <v>300</v>
      </c>
      <c r="Y23" s="212"/>
      <c r="Z23" s="176">
        <f>O23/E23</f>
        <v>151.39000000000001</v>
      </c>
      <c r="AA23" s="176">
        <f>X23+Z23</f>
        <v>451.39</v>
      </c>
    </row>
    <row r="24" spans="1:27" ht="15.75" customHeight="1">
      <c r="A24">
        <v>21</v>
      </c>
      <c r="B24" s="122" t="s">
        <v>246</v>
      </c>
      <c r="C24" s="122" t="s">
        <v>33</v>
      </c>
      <c r="D24" s="128">
        <v>5</v>
      </c>
      <c r="E24" s="128">
        <v>10</v>
      </c>
      <c r="F24" s="128">
        <v>3</v>
      </c>
      <c r="G24" s="128">
        <v>1</v>
      </c>
      <c r="H24" s="128">
        <v>2</v>
      </c>
      <c r="I24" s="122" t="s">
        <v>8</v>
      </c>
      <c r="J24" s="93">
        <v>15960</v>
      </c>
      <c r="K24" s="14">
        <v>11352</v>
      </c>
      <c r="L24" s="14">
        <v>6062</v>
      </c>
      <c r="M24" s="15">
        <v>6</v>
      </c>
      <c r="N24" s="93">
        <f t="shared" ref="N24:N28" si="9">J24+K24+L24</f>
        <v>33374</v>
      </c>
      <c r="O24" s="173">
        <f t="shared" si="4"/>
        <v>1596</v>
      </c>
      <c r="P24" s="106">
        <v>30000</v>
      </c>
      <c r="Q24" s="77">
        <f t="shared" si="1"/>
        <v>6000</v>
      </c>
      <c r="R24" s="144"/>
      <c r="S24" s="146"/>
      <c r="V24" s="141">
        <f t="shared" si="2"/>
        <v>3337.4</v>
      </c>
      <c r="W24" s="141">
        <f t="shared" si="3"/>
        <v>3000</v>
      </c>
      <c r="X24" s="141">
        <f>Q24/$E24</f>
        <v>600</v>
      </c>
      <c r="Y24" s="212"/>
      <c r="Z24" s="176">
        <f>O24/E24</f>
        <v>159.6</v>
      </c>
      <c r="AA24" s="176">
        <f>X24+Z24</f>
        <v>759.6</v>
      </c>
    </row>
    <row r="25" spans="1:27" ht="15.75" customHeight="1">
      <c r="A25">
        <v>22</v>
      </c>
      <c r="B25" s="58" t="s">
        <v>247</v>
      </c>
      <c r="C25" s="58" t="s">
        <v>33</v>
      </c>
      <c r="D25" s="125">
        <v>2.4</v>
      </c>
      <c r="E25" s="125">
        <v>10</v>
      </c>
      <c r="F25" s="125">
        <v>3</v>
      </c>
      <c r="G25" s="125">
        <v>1</v>
      </c>
      <c r="H25" s="125">
        <v>2</v>
      </c>
      <c r="I25" s="58"/>
      <c r="J25" s="94">
        <v>15960</v>
      </c>
      <c r="K25" s="59">
        <v>11352</v>
      </c>
      <c r="L25" s="59">
        <v>6062</v>
      </c>
      <c r="M25" s="60">
        <v>6</v>
      </c>
      <c r="N25" s="94">
        <f t="shared" si="9"/>
        <v>33374</v>
      </c>
      <c r="O25" s="209">
        <f t="shared" si="4"/>
        <v>1596</v>
      </c>
      <c r="P25" s="105">
        <v>30000</v>
      </c>
      <c r="Q25" s="61">
        <f t="shared" si="1"/>
        <v>6000</v>
      </c>
      <c r="R25" s="144"/>
      <c r="S25" s="146"/>
      <c r="V25" s="141">
        <f t="shared" si="2"/>
        <v>3337.4</v>
      </c>
      <c r="W25" s="141">
        <f t="shared" si="3"/>
        <v>3000</v>
      </c>
      <c r="X25" s="141">
        <f>Q25/$E25</f>
        <v>600</v>
      </c>
      <c r="Y25" s="212"/>
      <c r="Z25" s="176">
        <f>O25/E25</f>
        <v>159.6</v>
      </c>
      <c r="AA25" s="176">
        <f>X25+Z25</f>
        <v>759.6</v>
      </c>
    </row>
    <row r="26" spans="1:27" ht="15.75" customHeight="1">
      <c r="A26">
        <v>23</v>
      </c>
      <c r="B26" s="122" t="s">
        <v>38</v>
      </c>
      <c r="C26" s="122" t="s">
        <v>37</v>
      </c>
      <c r="D26" s="128">
        <v>5</v>
      </c>
      <c r="E26" s="128">
        <v>10</v>
      </c>
      <c r="F26" s="128">
        <v>3</v>
      </c>
      <c r="G26" s="128">
        <v>1</v>
      </c>
      <c r="H26" s="128">
        <v>2</v>
      </c>
      <c r="I26" s="122" t="s">
        <v>15</v>
      </c>
      <c r="J26" s="93">
        <v>15960</v>
      </c>
      <c r="K26" s="14">
        <v>11352</v>
      </c>
      <c r="L26" s="14">
        <v>6062</v>
      </c>
      <c r="M26" s="15">
        <v>6</v>
      </c>
      <c r="N26" s="93">
        <f t="shared" si="9"/>
        <v>33374</v>
      </c>
      <c r="O26" s="173">
        <f t="shared" si="4"/>
        <v>1596</v>
      </c>
      <c r="P26" s="106">
        <v>30000</v>
      </c>
      <c r="Q26" s="77">
        <f t="shared" si="1"/>
        <v>6000</v>
      </c>
      <c r="R26" s="144"/>
      <c r="S26" s="146"/>
      <c r="V26" s="141">
        <f t="shared" si="2"/>
        <v>3337.4</v>
      </c>
      <c r="W26" s="141">
        <f t="shared" si="3"/>
        <v>3000</v>
      </c>
      <c r="X26" s="141">
        <f>Q26/$E26</f>
        <v>600</v>
      </c>
      <c r="Y26" s="212"/>
      <c r="Z26" s="176">
        <f>O26/E26</f>
        <v>159.6</v>
      </c>
      <c r="AA26" s="176">
        <f>X26+Z26</f>
        <v>759.6</v>
      </c>
    </row>
    <row r="27" spans="1:27" ht="15.75" customHeight="1">
      <c r="A27">
        <v>24</v>
      </c>
      <c r="B27" s="58" t="s">
        <v>250</v>
      </c>
      <c r="C27" s="58" t="s">
        <v>249</v>
      </c>
      <c r="D27" s="125">
        <v>2.5</v>
      </c>
      <c r="E27" s="125">
        <v>10</v>
      </c>
      <c r="F27" s="125">
        <v>3</v>
      </c>
      <c r="G27" s="125">
        <v>1</v>
      </c>
      <c r="H27" s="125">
        <v>2</v>
      </c>
      <c r="I27" s="58"/>
      <c r="J27" s="94">
        <v>15960</v>
      </c>
      <c r="K27" s="59">
        <v>11352</v>
      </c>
      <c r="L27" s="59">
        <v>6062</v>
      </c>
      <c r="M27" s="60">
        <v>6</v>
      </c>
      <c r="N27" s="94">
        <f t="shared" si="9"/>
        <v>33374</v>
      </c>
      <c r="O27" s="209">
        <f t="shared" si="4"/>
        <v>1596</v>
      </c>
      <c r="P27" s="105">
        <v>30000</v>
      </c>
      <c r="Q27" s="61">
        <f t="shared" si="1"/>
        <v>6000</v>
      </c>
      <c r="R27" s="144"/>
      <c r="S27" s="146"/>
      <c r="V27" s="141">
        <f t="shared" si="2"/>
        <v>3337.4</v>
      </c>
      <c r="W27" s="141">
        <f t="shared" si="3"/>
        <v>3000</v>
      </c>
      <c r="X27" s="141">
        <f>Q27/$E27</f>
        <v>600</v>
      </c>
      <c r="Y27" s="212"/>
      <c r="Z27" s="176">
        <f>O27/E27</f>
        <v>159.6</v>
      </c>
      <c r="AA27" s="176">
        <f>X27+Z27</f>
        <v>759.6</v>
      </c>
    </row>
    <row r="28" spans="1:27" ht="15.75" customHeight="1" thickBot="1">
      <c r="A28" s="52">
        <v>25</v>
      </c>
      <c r="B28" s="47" t="s">
        <v>44</v>
      </c>
      <c r="C28" s="47" t="s">
        <v>43</v>
      </c>
      <c r="D28" s="129">
        <v>3</v>
      </c>
      <c r="E28" s="129">
        <v>11.28</v>
      </c>
      <c r="F28" s="129">
        <v>3</v>
      </c>
      <c r="G28" s="129">
        <v>1</v>
      </c>
      <c r="H28" s="129">
        <v>2</v>
      </c>
      <c r="I28" s="47" t="s">
        <v>41</v>
      </c>
      <c r="J28" s="100">
        <v>15960</v>
      </c>
      <c r="K28" s="48">
        <v>11352</v>
      </c>
      <c r="L28" s="48">
        <v>6062</v>
      </c>
      <c r="M28" s="49">
        <v>6</v>
      </c>
      <c r="N28" s="100">
        <f t="shared" si="9"/>
        <v>33374</v>
      </c>
      <c r="O28" s="173">
        <f t="shared" si="4"/>
        <v>1596</v>
      </c>
      <c r="P28" s="107">
        <v>30000</v>
      </c>
      <c r="Q28" s="50">
        <f t="shared" si="1"/>
        <v>6000</v>
      </c>
      <c r="R28" s="145"/>
      <c r="S28" s="147"/>
      <c r="T28" s="137" t="s">
        <v>273</v>
      </c>
      <c r="U28" s="137"/>
      <c r="V28" s="142">
        <f t="shared" si="2"/>
        <v>2958.6879432624114</v>
      </c>
      <c r="W28" s="142">
        <f t="shared" si="3"/>
        <v>2659.5744680851067</v>
      </c>
      <c r="X28" s="142">
        <f>Q28/$E28</f>
        <v>531.91489361702133</v>
      </c>
      <c r="Y28" s="213"/>
      <c r="Z28" s="54">
        <f>O28/E28</f>
        <v>141.48936170212767</v>
      </c>
      <c r="AA28" s="54">
        <f>X28+Z28</f>
        <v>673.404255319149</v>
      </c>
    </row>
    <row r="29" spans="1:27" ht="15.75" customHeight="1">
      <c r="C29" s="71" t="s">
        <v>248</v>
      </c>
      <c r="D29" s="130">
        <f>SUM(D4:D28)</f>
        <v>125</v>
      </c>
      <c r="E29" s="130">
        <f>SUM(E4:E28)</f>
        <v>430.28</v>
      </c>
      <c r="F29" s="130">
        <f>SUM(F4:F28)</f>
        <v>125</v>
      </c>
      <c r="G29" s="130">
        <f>SUM(G4:G28)</f>
        <v>33</v>
      </c>
      <c r="H29" s="130">
        <f>SUM(H4:H28)</f>
        <v>92</v>
      </c>
      <c r="I29" s="72"/>
      <c r="J29" s="85">
        <f t="shared" ref="J29:M29" si="10">SUM(J4:J28)</f>
        <v>549345</v>
      </c>
      <c r="K29" s="85">
        <f t="shared" si="10"/>
        <v>344280</v>
      </c>
      <c r="L29" s="85">
        <f t="shared" si="10"/>
        <v>237650</v>
      </c>
      <c r="M29" s="85">
        <f t="shared" si="10"/>
        <v>234</v>
      </c>
      <c r="N29" s="85">
        <f>SUM(N4:N28)</f>
        <v>1131275</v>
      </c>
      <c r="O29" s="85">
        <f>SUM(O4:O28)</f>
        <v>54934.5</v>
      </c>
      <c r="P29" s="85">
        <f>SUM(P4:P28)</f>
        <v>677000</v>
      </c>
      <c r="Q29" s="85">
        <f>SUM(Q4:Q28)</f>
        <v>135400</v>
      </c>
      <c r="R29" s="85">
        <f>R4</f>
        <v>60000</v>
      </c>
      <c r="S29" s="85">
        <f>S4</f>
        <v>12000</v>
      </c>
      <c r="T29" s="139">
        <f>N29+P29+R29+O29</f>
        <v>1923209.5</v>
      </c>
      <c r="U29" s="138"/>
      <c r="V29" s="141">
        <f>N29/$E29</f>
        <v>2629.1600818071956</v>
      </c>
      <c r="W29" s="141">
        <f>P29/$E29</f>
        <v>1573.3940689783399</v>
      </c>
      <c r="X29" s="141">
        <f>Q29/$E29</f>
        <v>314.67881379566796</v>
      </c>
      <c r="Y29" s="141">
        <f>Y4</f>
        <v>139.44408292274798</v>
      </c>
      <c r="Z29" s="176">
        <f>O29/E29</f>
        <v>127.67151622199499</v>
      </c>
      <c r="AA29" s="210">
        <f>X29+Y29+Z29</f>
        <v>581.79441294041101</v>
      </c>
    </row>
    <row r="30" spans="1:27" ht="15.75" customHeight="1">
      <c r="A30" s="197"/>
      <c r="B30" s="197"/>
      <c r="C30" s="198"/>
      <c r="D30" s="199"/>
      <c r="E30" s="199"/>
      <c r="F30" s="199"/>
      <c r="G30" s="199"/>
      <c r="H30" s="199"/>
      <c r="I30" s="197"/>
      <c r="J30" s="200"/>
      <c r="K30" s="200"/>
      <c r="L30" s="200"/>
      <c r="M30" s="200"/>
      <c r="N30" s="200"/>
      <c r="O30" s="200"/>
      <c r="P30" s="200"/>
      <c r="Q30" s="200"/>
      <c r="R30" s="200"/>
      <c r="S30" s="200"/>
      <c r="T30" s="201"/>
      <c r="U30" s="138"/>
      <c r="V30" s="141"/>
      <c r="W30" s="141"/>
      <c r="X30" s="141"/>
      <c r="Y30" s="141"/>
      <c r="Z30" s="176"/>
      <c r="AA30" s="193"/>
    </row>
    <row r="31" spans="1:27" ht="49.5" customHeight="1" thickBot="1">
      <c r="A31" t="s">
        <v>282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3"/>
      <c r="N31" s="52"/>
      <c r="O31" s="202"/>
      <c r="P31" s="54"/>
      <c r="Q31" s="54"/>
      <c r="V31" s="123" t="s">
        <v>165</v>
      </c>
      <c r="W31" s="123" t="s">
        <v>83</v>
      </c>
      <c r="X31" s="140" t="s">
        <v>290</v>
      </c>
      <c r="Y31" s="140" t="s">
        <v>289</v>
      </c>
      <c r="Z31" s="140" t="s">
        <v>285</v>
      </c>
      <c r="AA31" s="140" t="s">
        <v>286</v>
      </c>
    </row>
    <row r="32" spans="1:27" ht="15.75" customHeight="1">
      <c r="A32">
        <v>1</v>
      </c>
      <c r="B32" s="10" t="s">
        <v>254</v>
      </c>
      <c r="C32" s="10" t="s">
        <v>13</v>
      </c>
      <c r="D32" s="131">
        <v>6.5</v>
      </c>
      <c r="E32" s="131">
        <v>20</v>
      </c>
      <c r="F32" s="131">
        <v>5</v>
      </c>
      <c r="G32" s="131">
        <v>1</v>
      </c>
      <c r="H32" s="131">
        <v>4</v>
      </c>
      <c r="I32" s="10" t="s">
        <v>8</v>
      </c>
      <c r="J32" s="91">
        <v>23119</v>
      </c>
      <c r="K32" s="11">
        <v>14232</v>
      </c>
      <c r="L32" s="11">
        <v>10162</v>
      </c>
      <c r="M32" s="12">
        <v>10</v>
      </c>
      <c r="N32" s="182">
        <f t="shared" ref="N32:N37" si="11">J32+K32+L32</f>
        <v>47513</v>
      </c>
      <c r="O32" s="183">
        <f>J32*0.1</f>
        <v>2311.9</v>
      </c>
      <c r="P32" s="175">
        <v>30000</v>
      </c>
      <c r="Q32" s="17">
        <f t="shared" ref="Q32:Q38" si="12">P32*0.2</f>
        <v>6000</v>
      </c>
      <c r="R32" s="144">
        <v>60000</v>
      </c>
      <c r="S32" s="146">
        <v>12000</v>
      </c>
      <c r="V32" s="141">
        <f t="shared" ref="V32:V42" si="13">N32/$E32</f>
        <v>2375.65</v>
      </c>
      <c r="W32" s="141">
        <f t="shared" ref="W32:W42" si="14">P32/$E32</f>
        <v>1500</v>
      </c>
      <c r="X32" s="141">
        <f>Q32/$E32</f>
        <v>300</v>
      </c>
      <c r="Y32" s="196">
        <f>S32/E43</f>
        <v>38.647342995169083</v>
      </c>
      <c r="Z32" s="176">
        <f>O32/E32</f>
        <v>115.595</v>
      </c>
      <c r="AA32" s="176">
        <f>X32+Z32</f>
        <v>415.59500000000003</v>
      </c>
    </row>
    <row r="33" spans="1:27" ht="15.75" customHeight="1">
      <c r="A33">
        <v>2</v>
      </c>
      <c r="B33" s="64" t="s">
        <v>255</v>
      </c>
      <c r="C33" s="184" t="s">
        <v>17</v>
      </c>
      <c r="D33" s="185">
        <v>5</v>
      </c>
      <c r="E33" s="185">
        <v>20</v>
      </c>
      <c r="F33" s="185">
        <v>5</v>
      </c>
      <c r="G33" s="185">
        <v>1</v>
      </c>
      <c r="H33" s="185">
        <v>4</v>
      </c>
      <c r="I33" s="184" t="s">
        <v>18</v>
      </c>
      <c r="J33" s="92">
        <v>23119</v>
      </c>
      <c r="K33" s="68">
        <v>14232</v>
      </c>
      <c r="L33" s="68">
        <v>10162</v>
      </c>
      <c r="M33" s="69">
        <v>10</v>
      </c>
      <c r="N33" s="92">
        <f t="shared" ref="N33" si="15">J33+K33+L33</f>
        <v>47513</v>
      </c>
      <c r="O33" s="216">
        <f t="shared" ref="O33:O42" si="16">J33*0.1</f>
        <v>2311.9</v>
      </c>
      <c r="P33" s="109">
        <v>30000</v>
      </c>
      <c r="Q33" s="186">
        <f t="shared" si="12"/>
        <v>6000</v>
      </c>
      <c r="R33" s="144"/>
      <c r="S33" s="146"/>
      <c r="V33" s="141">
        <f t="shared" si="13"/>
        <v>2375.65</v>
      </c>
      <c r="W33" s="141">
        <f t="shared" si="14"/>
        <v>1500</v>
      </c>
      <c r="X33" s="141">
        <f>Q33/$E33</f>
        <v>300</v>
      </c>
      <c r="Y33" s="194"/>
      <c r="Z33" s="176">
        <f>O33/E33</f>
        <v>115.595</v>
      </c>
      <c r="AA33" s="176">
        <f>X33+Z33</f>
        <v>415.59500000000003</v>
      </c>
    </row>
    <row r="34" spans="1:27" ht="15.75" customHeight="1">
      <c r="A34">
        <v>3</v>
      </c>
      <c r="B34" s="13" t="s">
        <v>256</v>
      </c>
      <c r="C34" s="13" t="s">
        <v>16</v>
      </c>
      <c r="D34" s="126">
        <v>25</v>
      </c>
      <c r="E34" s="126">
        <v>100</v>
      </c>
      <c r="F34" s="126">
        <v>23</v>
      </c>
      <c r="G34" s="126">
        <v>3</v>
      </c>
      <c r="H34" s="126">
        <v>20</v>
      </c>
      <c r="I34" s="13" t="s">
        <v>15</v>
      </c>
      <c r="J34" s="93">
        <v>84018</v>
      </c>
      <c r="K34" s="14">
        <v>40152</v>
      </c>
      <c r="L34" s="14">
        <v>42962</v>
      </c>
      <c r="M34" s="15">
        <v>42</v>
      </c>
      <c r="N34" s="93">
        <f t="shared" si="11"/>
        <v>167132</v>
      </c>
      <c r="O34" s="183">
        <f t="shared" si="16"/>
        <v>8401.8000000000011</v>
      </c>
      <c r="P34" s="103">
        <v>80000</v>
      </c>
      <c r="Q34" s="16">
        <f t="shared" si="12"/>
        <v>16000</v>
      </c>
      <c r="R34" s="144"/>
      <c r="S34" s="146"/>
      <c r="V34" s="141">
        <f t="shared" si="13"/>
        <v>1671.32</v>
      </c>
      <c r="W34" s="141">
        <f t="shared" si="14"/>
        <v>800</v>
      </c>
      <c r="X34" s="141">
        <f>Q34/$E34</f>
        <v>160</v>
      </c>
      <c r="Y34" s="194"/>
      <c r="Z34" s="176">
        <f>O34/E34</f>
        <v>84.018000000000015</v>
      </c>
      <c r="AA34" s="176">
        <f>X34+Z34</f>
        <v>244.01800000000003</v>
      </c>
    </row>
    <row r="35" spans="1:27" ht="15.75" customHeight="1">
      <c r="A35">
        <v>4</v>
      </c>
      <c r="B35" s="64" t="s">
        <v>257</v>
      </c>
      <c r="C35" s="184" t="s">
        <v>14</v>
      </c>
      <c r="D35" s="185">
        <v>8</v>
      </c>
      <c r="E35" s="185">
        <v>60</v>
      </c>
      <c r="F35" s="185">
        <v>14</v>
      </c>
      <c r="G35" s="185">
        <v>2</v>
      </c>
      <c r="H35" s="185">
        <v>12</v>
      </c>
      <c r="I35" s="184" t="s">
        <v>15</v>
      </c>
      <c r="J35" s="102">
        <v>53569</v>
      </c>
      <c r="K35" s="187">
        <v>27192</v>
      </c>
      <c r="L35" s="187">
        <v>26562</v>
      </c>
      <c r="M35" s="188">
        <v>26</v>
      </c>
      <c r="N35" s="102">
        <f t="shared" si="11"/>
        <v>107323</v>
      </c>
      <c r="O35" s="216">
        <f t="shared" si="16"/>
        <v>5356.9000000000005</v>
      </c>
      <c r="P35" s="109">
        <v>80000</v>
      </c>
      <c r="Q35" s="186">
        <f t="shared" si="12"/>
        <v>16000</v>
      </c>
      <c r="R35" s="144"/>
      <c r="S35" s="146"/>
      <c r="V35" s="141">
        <f t="shared" si="13"/>
        <v>1788.7166666666667</v>
      </c>
      <c r="W35" s="141">
        <f t="shared" si="14"/>
        <v>1333.3333333333333</v>
      </c>
      <c r="X35" s="141">
        <f>Q35/$E35</f>
        <v>266.66666666666669</v>
      </c>
      <c r="Y35" s="194"/>
      <c r="Z35" s="176">
        <f>O35/E35</f>
        <v>89.28166666666668</v>
      </c>
      <c r="AA35" s="176">
        <f>X35+Z35</f>
        <v>355.94833333333338</v>
      </c>
    </row>
    <row r="36" spans="1:27" ht="15.75" customHeight="1">
      <c r="A36">
        <v>5</v>
      </c>
      <c r="B36" s="13" t="s">
        <v>258</v>
      </c>
      <c r="C36" s="13" t="s">
        <v>23</v>
      </c>
      <c r="D36" s="126">
        <v>5</v>
      </c>
      <c r="E36" s="126">
        <v>15</v>
      </c>
      <c r="F36" s="126">
        <v>5</v>
      </c>
      <c r="G36" s="126">
        <v>2</v>
      </c>
      <c r="H36" s="126">
        <v>3</v>
      </c>
      <c r="I36" s="13" t="s">
        <v>24</v>
      </c>
      <c r="J36" s="94">
        <v>19540</v>
      </c>
      <c r="K36" s="59">
        <v>12792</v>
      </c>
      <c r="L36" s="59">
        <v>8112</v>
      </c>
      <c r="M36" s="60">
        <v>8</v>
      </c>
      <c r="N36" s="94">
        <f t="shared" si="11"/>
        <v>40444</v>
      </c>
      <c r="O36" s="183">
        <f t="shared" si="16"/>
        <v>1954</v>
      </c>
      <c r="P36" s="103">
        <v>30000</v>
      </c>
      <c r="Q36" s="16">
        <f t="shared" si="12"/>
        <v>6000</v>
      </c>
      <c r="R36" s="144"/>
      <c r="S36" s="146"/>
      <c r="V36" s="141">
        <f t="shared" si="13"/>
        <v>2696.2666666666669</v>
      </c>
      <c r="W36" s="141">
        <f t="shared" si="14"/>
        <v>2000</v>
      </c>
      <c r="X36" s="141">
        <f>Q36/$E36</f>
        <v>400</v>
      </c>
      <c r="Y36" s="194"/>
      <c r="Z36" s="176">
        <f>O36/E36</f>
        <v>130.26666666666668</v>
      </c>
      <c r="AA36" s="176">
        <f>X36+Z36</f>
        <v>530.26666666666665</v>
      </c>
    </row>
    <row r="37" spans="1:27" ht="15.75" customHeight="1">
      <c r="A37">
        <v>6</v>
      </c>
      <c r="B37" s="64" t="s">
        <v>259</v>
      </c>
      <c r="C37" s="184" t="s">
        <v>25</v>
      </c>
      <c r="D37" s="185">
        <v>2.5</v>
      </c>
      <c r="E37" s="185">
        <v>8</v>
      </c>
      <c r="F37" s="185">
        <v>3</v>
      </c>
      <c r="G37" s="185">
        <v>1</v>
      </c>
      <c r="H37" s="185">
        <v>2</v>
      </c>
      <c r="I37" s="184" t="s">
        <v>24</v>
      </c>
      <c r="J37" s="94">
        <v>15960</v>
      </c>
      <c r="K37" s="59">
        <v>11352</v>
      </c>
      <c r="L37" s="59">
        <v>6062</v>
      </c>
      <c r="M37" s="60">
        <v>6</v>
      </c>
      <c r="N37" s="111">
        <f t="shared" si="11"/>
        <v>33374</v>
      </c>
      <c r="O37" s="216">
        <f t="shared" si="16"/>
        <v>1596</v>
      </c>
      <c r="P37" s="109">
        <v>20000</v>
      </c>
      <c r="Q37" s="186">
        <f t="shared" si="12"/>
        <v>4000</v>
      </c>
      <c r="R37" s="144"/>
      <c r="S37" s="146"/>
      <c r="V37" s="141">
        <f t="shared" si="13"/>
        <v>4171.75</v>
      </c>
      <c r="W37" s="141">
        <f t="shared" si="14"/>
        <v>2500</v>
      </c>
      <c r="X37" s="141">
        <f>Q37/$E37</f>
        <v>500</v>
      </c>
      <c r="Y37" s="194"/>
      <c r="Z37" s="176">
        <f>O37/E37</f>
        <v>199.5</v>
      </c>
      <c r="AA37" s="176">
        <f>X37+Z37</f>
        <v>699.5</v>
      </c>
    </row>
    <row r="38" spans="1:27" ht="15.75" customHeight="1">
      <c r="A38">
        <v>7</v>
      </c>
      <c r="B38" s="13" t="s">
        <v>260</v>
      </c>
      <c r="C38" s="13" t="s">
        <v>265</v>
      </c>
      <c r="D38" s="126">
        <v>7</v>
      </c>
      <c r="E38" s="126">
        <v>20</v>
      </c>
      <c r="F38" s="126">
        <v>5</v>
      </c>
      <c r="G38" s="126">
        <v>1</v>
      </c>
      <c r="H38" s="126">
        <v>4</v>
      </c>
      <c r="I38" s="13">
        <v>2028</v>
      </c>
      <c r="J38" s="91">
        <v>23119</v>
      </c>
      <c r="K38" s="11">
        <v>14232</v>
      </c>
      <c r="L38" s="11">
        <v>10162</v>
      </c>
      <c r="M38" s="12">
        <v>10</v>
      </c>
      <c r="N38" s="91">
        <f t="shared" ref="N38" si="17">J38+K38+L38</f>
        <v>47513</v>
      </c>
      <c r="O38" s="183">
        <f t="shared" si="16"/>
        <v>2311.9</v>
      </c>
      <c r="P38" s="103">
        <v>30000</v>
      </c>
      <c r="Q38" s="16">
        <f t="shared" si="12"/>
        <v>6000</v>
      </c>
      <c r="R38" s="144"/>
      <c r="S38" s="146"/>
      <c r="V38" s="141">
        <f t="shared" si="13"/>
        <v>2375.65</v>
      </c>
      <c r="W38" s="141">
        <f t="shared" si="14"/>
        <v>1500</v>
      </c>
      <c r="X38" s="141">
        <f>Q38/$E38</f>
        <v>300</v>
      </c>
      <c r="Y38" s="194"/>
      <c r="Z38" s="176">
        <f>O38/E38</f>
        <v>115.595</v>
      </c>
      <c r="AA38" s="176">
        <f>X38+Z38</f>
        <v>415.59500000000003</v>
      </c>
    </row>
    <row r="39" spans="1:27" ht="15.75" customHeight="1">
      <c r="A39">
        <v>8</v>
      </c>
      <c r="B39" s="64" t="s">
        <v>261</v>
      </c>
      <c r="C39" s="184" t="s">
        <v>266</v>
      </c>
      <c r="D39" s="185">
        <v>2.5</v>
      </c>
      <c r="E39" s="185">
        <v>7.5</v>
      </c>
      <c r="F39" s="185">
        <v>3</v>
      </c>
      <c r="G39" s="185">
        <v>1</v>
      </c>
      <c r="H39" s="185">
        <v>2</v>
      </c>
      <c r="I39" s="184">
        <v>2028</v>
      </c>
      <c r="J39" s="94">
        <v>15960</v>
      </c>
      <c r="K39" s="59">
        <v>11352</v>
      </c>
      <c r="L39" s="59">
        <v>6062</v>
      </c>
      <c r="M39" s="60">
        <v>6</v>
      </c>
      <c r="N39" s="94">
        <f t="shared" ref="N39:N40" si="18">J39+K39+L39</f>
        <v>33374</v>
      </c>
      <c r="O39" s="216">
        <f t="shared" si="16"/>
        <v>1596</v>
      </c>
      <c r="P39" s="109">
        <v>20000</v>
      </c>
      <c r="Q39" s="61">
        <f>P39*0.2</f>
        <v>4000</v>
      </c>
      <c r="R39" s="144"/>
      <c r="S39" s="146"/>
      <c r="V39" s="141">
        <f t="shared" si="13"/>
        <v>4449.8666666666668</v>
      </c>
      <c r="W39" s="141">
        <f t="shared" si="14"/>
        <v>2666.6666666666665</v>
      </c>
      <c r="X39" s="141">
        <f>Q39/$E39</f>
        <v>533.33333333333337</v>
      </c>
      <c r="Y39" s="194"/>
      <c r="Z39" s="176">
        <f>O39/E39</f>
        <v>212.8</v>
      </c>
      <c r="AA39" s="176">
        <f>X39+Z39</f>
        <v>746.13333333333344</v>
      </c>
    </row>
    <row r="40" spans="1:27" ht="15.75" customHeight="1">
      <c r="A40">
        <v>9</v>
      </c>
      <c r="B40" s="13" t="s">
        <v>262</v>
      </c>
      <c r="C40" s="13" t="s">
        <v>267</v>
      </c>
      <c r="D40" s="126">
        <v>7.5</v>
      </c>
      <c r="E40" s="126">
        <v>25</v>
      </c>
      <c r="F40" s="126">
        <v>7</v>
      </c>
      <c r="G40" s="126">
        <v>2</v>
      </c>
      <c r="H40" s="126">
        <v>5</v>
      </c>
      <c r="I40" s="13">
        <v>2028</v>
      </c>
      <c r="J40" s="93">
        <v>26699</v>
      </c>
      <c r="K40" s="14">
        <v>15672</v>
      </c>
      <c r="L40" s="14">
        <v>12212</v>
      </c>
      <c r="M40" s="15">
        <v>12</v>
      </c>
      <c r="N40" s="112">
        <f t="shared" si="18"/>
        <v>54583</v>
      </c>
      <c r="O40" s="183">
        <f t="shared" si="16"/>
        <v>2669.9</v>
      </c>
      <c r="P40" s="103">
        <v>30000</v>
      </c>
      <c r="Q40" s="16">
        <f>P40*0.2</f>
        <v>6000</v>
      </c>
      <c r="R40" s="144"/>
      <c r="S40" s="146"/>
      <c r="V40" s="141">
        <f t="shared" si="13"/>
        <v>2183.3200000000002</v>
      </c>
      <c r="W40" s="141">
        <f t="shared" si="14"/>
        <v>1200</v>
      </c>
      <c r="X40" s="141">
        <f>Q40/$E40</f>
        <v>240</v>
      </c>
      <c r="Y40" s="194"/>
      <c r="Z40" s="176">
        <f>O40/E40</f>
        <v>106.79600000000001</v>
      </c>
      <c r="AA40" s="176">
        <f>X40+Z40</f>
        <v>346.79599999999999</v>
      </c>
    </row>
    <row r="41" spans="1:27" ht="15.75" customHeight="1">
      <c r="A41">
        <v>10</v>
      </c>
      <c r="B41" s="64" t="s">
        <v>263</v>
      </c>
      <c r="C41" s="184" t="s">
        <v>268</v>
      </c>
      <c r="D41" s="185">
        <v>6</v>
      </c>
      <c r="E41" s="185">
        <v>20</v>
      </c>
      <c r="F41" s="185">
        <v>5</v>
      </c>
      <c r="G41" s="185">
        <v>1</v>
      </c>
      <c r="H41" s="185">
        <v>4</v>
      </c>
      <c r="I41" s="184">
        <v>2028</v>
      </c>
      <c r="J41" s="92">
        <v>23119</v>
      </c>
      <c r="K41" s="68">
        <v>14232</v>
      </c>
      <c r="L41" s="68">
        <v>10162</v>
      </c>
      <c r="M41" s="69">
        <v>10</v>
      </c>
      <c r="N41" s="92">
        <f t="shared" ref="N41" si="19">J41+K41+L41</f>
        <v>47513</v>
      </c>
      <c r="O41" s="216">
        <f t="shared" si="16"/>
        <v>2311.9</v>
      </c>
      <c r="P41" s="109">
        <v>30000</v>
      </c>
      <c r="Q41" s="186">
        <f>P41*0.2</f>
        <v>6000</v>
      </c>
      <c r="R41" s="144"/>
      <c r="S41" s="146"/>
      <c r="V41" s="141">
        <f t="shared" si="13"/>
        <v>2375.65</v>
      </c>
      <c r="W41" s="141">
        <f t="shared" si="14"/>
        <v>1500</v>
      </c>
      <c r="X41" s="141">
        <f>Q41/$E41</f>
        <v>300</v>
      </c>
      <c r="Y41" s="194"/>
      <c r="Z41" s="176">
        <f>O41/E41</f>
        <v>115.595</v>
      </c>
      <c r="AA41" s="176">
        <f>X41+Z41</f>
        <v>415.59500000000003</v>
      </c>
    </row>
    <row r="42" spans="1:27" ht="15.75" customHeight="1" thickBot="1">
      <c r="A42">
        <v>11</v>
      </c>
      <c r="B42" s="47" t="s">
        <v>264</v>
      </c>
      <c r="C42" s="47" t="s">
        <v>269</v>
      </c>
      <c r="D42" s="129">
        <v>4.5</v>
      </c>
      <c r="E42" s="129">
        <v>15</v>
      </c>
      <c r="F42" s="129">
        <v>4</v>
      </c>
      <c r="G42" s="129">
        <v>1</v>
      </c>
      <c r="H42" s="129">
        <v>3</v>
      </c>
      <c r="I42" s="47">
        <v>2028</v>
      </c>
      <c r="J42" s="100">
        <v>19540</v>
      </c>
      <c r="K42" s="48">
        <v>12792</v>
      </c>
      <c r="L42" s="48">
        <v>8112</v>
      </c>
      <c r="M42" s="49">
        <v>8</v>
      </c>
      <c r="N42" s="100">
        <f t="shared" ref="N42" si="20">J42+K42+L42</f>
        <v>40444</v>
      </c>
      <c r="O42" s="183">
        <f t="shared" si="16"/>
        <v>1954</v>
      </c>
      <c r="P42" s="107">
        <v>30000</v>
      </c>
      <c r="Q42" s="50">
        <f>P42*0.2</f>
        <v>6000</v>
      </c>
      <c r="R42" s="145"/>
      <c r="S42" s="147"/>
      <c r="T42" s="79" t="s">
        <v>273</v>
      </c>
      <c r="U42" s="52"/>
      <c r="V42" s="142">
        <f t="shared" si="13"/>
        <v>2696.2666666666669</v>
      </c>
      <c r="W42" s="142">
        <f t="shared" si="14"/>
        <v>2000</v>
      </c>
      <c r="X42" s="142">
        <f>Q42/$E42</f>
        <v>400</v>
      </c>
      <c r="Y42" s="195"/>
      <c r="Z42" s="54">
        <f>O42/E42</f>
        <v>130.26666666666668</v>
      </c>
      <c r="AA42" s="54">
        <f>X42+Z42</f>
        <v>530.26666666666665</v>
      </c>
    </row>
    <row r="43" spans="1:27" ht="15.75" customHeight="1">
      <c r="B43" s="6"/>
      <c r="C43" s="83" t="s">
        <v>270</v>
      </c>
      <c r="D43" s="133">
        <f>SUM(D32:D42)</f>
        <v>79.5</v>
      </c>
      <c r="E43" s="133">
        <f>SUM(E32:E42)</f>
        <v>310.5</v>
      </c>
      <c r="F43" s="133">
        <f>SUM(F32:F42)</f>
        <v>79</v>
      </c>
      <c r="G43" s="133">
        <f>SUM(G32:G42)</f>
        <v>16</v>
      </c>
      <c r="H43" s="133">
        <f>SUM(H32:H42)</f>
        <v>63</v>
      </c>
      <c r="I43" s="84"/>
      <c r="J43" s="86">
        <f t="shared" ref="J43:M43" si="21">SUM(J32:J42)</f>
        <v>327762</v>
      </c>
      <c r="K43" s="86">
        <f t="shared" si="21"/>
        <v>188232</v>
      </c>
      <c r="L43" s="86">
        <f t="shared" si="21"/>
        <v>150732</v>
      </c>
      <c r="M43" s="86">
        <f t="shared" si="21"/>
        <v>148</v>
      </c>
      <c r="N43" s="86">
        <f>SUM(N32:N42)</f>
        <v>666726</v>
      </c>
      <c r="O43" s="86">
        <f>SUM(O32:O42)</f>
        <v>32776.200000000012</v>
      </c>
      <c r="P43" s="86">
        <f>SUM(P32:P42)</f>
        <v>410000</v>
      </c>
      <c r="Q43" s="86">
        <f>SUM(Q32:Q42)</f>
        <v>82000</v>
      </c>
      <c r="R43" s="86">
        <f t="shared" ref="R43:S43" si="22">SUM(R32:R42)</f>
        <v>60000</v>
      </c>
      <c r="S43" s="86">
        <f t="shared" si="22"/>
        <v>12000</v>
      </c>
      <c r="T43" s="85">
        <f>N43+P43+R43+O43</f>
        <v>1169502.2</v>
      </c>
      <c r="V43" s="141">
        <f>N43/$E43</f>
        <v>2147.2657004830917</v>
      </c>
      <c r="W43" s="141">
        <f>P43/$E43</f>
        <v>1320.4508856682769</v>
      </c>
      <c r="X43" s="141">
        <f>Q43/$E43</f>
        <v>264.0901771336554</v>
      </c>
      <c r="Y43" s="141">
        <f>Y32</f>
        <v>38.647342995169083</v>
      </c>
      <c r="Z43" s="176">
        <f>O43/E43</f>
        <v>105.55942028985511</v>
      </c>
      <c r="AA43" s="210">
        <f>X43+Y43+Z43</f>
        <v>408.29694041867958</v>
      </c>
    </row>
    <row r="44" spans="1:27" ht="15.75" customHeight="1">
      <c r="B44" s="6"/>
      <c r="C44" s="83"/>
      <c r="D44" s="133"/>
      <c r="E44" s="133"/>
      <c r="F44" s="133"/>
      <c r="G44" s="133"/>
      <c r="H44" s="133"/>
      <c r="I44" s="84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5"/>
      <c r="V44" s="141"/>
      <c r="W44" s="141"/>
      <c r="X44" s="141"/>
      <c r="Y44" s="141"/>
      <c r="Z44" s="176"/>
      <c r="AA44" s="176"/>
    </row>
    <row r="45" spans="1:27" ht="45" customHeight="1" thickBot="1">
      <c r="A45" s="76" t="s">
        <v>288</v>
      </c>
      <c r="B45" s="44"/>
      <c r="C45" s="44"/>
      <c r="D45" s="44"/>
      <c r="E45" s="44"/>
      <c r="F45" s="44"/>
      <c r="G45" s="44"/>
      <c r="H45" s="44"/>
      <c r="I45" s="44"/>
      <c r="J45" s="55"/>
      <c r="K45" s="55"/>
      <c r="L45" s="55"/>
      <c r="M45" s="56"/>
      <c r="N45" s="55"/>
      <c r="O45" s="190"/>
      <c r="P45" s="54"/>
      <c r="Q45" s="54"/>
      <c r="V45" s="123" t="s">
        <v>165</v>
      </c>
      <c r="W45" s="123" t="s">
        <v>83</v>
      </c>
      <c r="X45" s="140" t="s">
        <v>290</v>
      </c>
      <c r="Y45" s="140" t="s">
        <v>289</v>
      </c>
      <c r="Z45" s="140" t="s">
        <v>285</v>
      </c>
      <c r="AA45" s="140" t="s">
        <v>286</v>
      </c>
    </row>
    <row r="46" spans="1:27" ht="15.75" customHeight="1">
      <c r="A46">
        <v>1</v>
      </c>
      <c r="B46" s="10" t="s">
        <v>53</v>
      </c>
      <c r="C46" s="10" t="s">
        <v>55</v>
      </c>
      <c r="D46" s="131">
        <v>1</v>
      </c>
      <c r="E46" s="131">
        <v>4</v>
      </c>
      <c r="F46" s="131">
        <v>2</v>
      </c>
      <c r="G46" s="131">
        <v>1</v>
      </c>
      <c r="H46" s="131">
        <v>1</v>
      </c>
      <c r="I46" s="10" t="s">
        <v>41</v>
      </c>
      <c r="J46" s="91">
        <v>12380</v>
      </c>
      <c r="K46" s="11">
        <v>9912</v>
      </c>
      <c r="L46" s="11">
        <v>4012</v>
      </c>
      <c r="M46" s="12">
        <v>4</v>
      </c>
      <c r="N46" s="91">
        <f t="shared" ref="N46:N52" si="23">J46+K46+L46</f>
        <v>26304</v>
      </c>
      <c r="O46" s="183">
        <f>J46*0.1</f>
        <v>1238</v>
      </c>
      <c r="P46" s="103">
        <v>12000</v>
      </c>
      <c r="Q46" s="17">
        <f t="shared" ref="Q46:Q51" si="24">P46*0.2</f>
        <v>2400</v>
      </c>
      <c r="R46" s="144">
        <v>50000</v>
      </c>
      <c r="S46" s="146">
        <f>R46*0.2</f>
        <v>10000</v>
      </c>
      <c r="V46" s="141">
        <f t="shared" ref="V46:V64" si="25">N46/$E46</f>
        <v>6576</v>
      </c>
      <c r="W46" s="141">
        <f t="shared" ref="W46:W64" si="26">P46/$E46</f>
        <v>3000</v>
      </c>
      <c r="X46" s="141">
        <f t="shared" ref="X46:X63" si="27">Q46/$E46</f>
        <v>600</v>
      </c>
      <c r="Y46" s="204">
        <f>S46/E55</f>
        <v>123.45679012345678</v>
      </c>
      <c r="Z46" s="176">
        <f>O46/E46</f>
        <v>309.5</v>
      </c>
      <c r="AA46" s="176">
        <f>X46+Z46</f>
        <v>909.5</v>
      </c>
    </row>
    <row r="47" spans="1:27" ht="15.75" customHeight="1">
      <c r="A47">
        <v>2</v>
      </c>
      <c r="B47" s="6" t="s">
        <v>53</v>
      </c>
      <c r="C47" s="6" t="s">
        <v>54</v>
      </c>
      <c r="D47" s="134">
        <v>1.5</v>
      </c>
      <c r="E47" s="134">
        <v>5</v>
      </c>
      <c r="F47" s="134">
        <v>2</v>
      </c>
      <c r="G47" s="134">
        <v>1</v>
      </c>
      <c r="H47" s="132">
        <v>1</v>
      </c>
      <c r="I47" s="64" t="s">
        <v>41</v>
      </c>
      <c r="J47" s="92">
        <v>12380</v>
      </c>
      <c r="K47" s="68">
        <v>9912</v>
      </c>
      <c r="L47" s="68">
        <v>4012</v>
      </c>
      <c r="M47" s="69">
        <v>4</v>
      </c>
      <c r="N47" s="102">
        <f t="shared" si="23"/>
        <v>26304</v>
      </c>
      <c r="O47" s="209">
        <f>J47*0.1</f>
        <v>1238</v>
      </c>
      <c r="P47" s="109">
        <v>15000</v>
      </c>
      <c r="Q47" s="9">
        <f t="shared" si="24"/>
        <v>3000</v>
      </c>
      <c r="R47" s="144"/>
      <c r="S47" s="146"/>
      <c r="V47" s="141">
        <f t="shared" si="25"/>
        <v>5260.8</v>
      </c>
      <c r="W47" s="141">
        <f t="shared" si="26"/>
        <v>3000</v>
      </c>
      <c r="X47" s="141">
        <f t="shared" si="27"/>
        <v>600</v>
      </c>
      <c r="Y47" s="203"/>
      <c r="Z47" s="176">
        <f>O47/E47</f>
        <v>247.6</v>
      </c>
      <c r="AA47" s="176">
        <f>X47+Z47</f>
        <v>847.6</v>
      </c>
    </row>
    <row r="48" spans="1:27" ht="15.75" customHeight="1">
      <c r="A48">
        <v>3</v>
      </c>
      <c r="B48" s="13" t="s">
        <v>53</v>
      </c>
      <c r="C48" s="13" t="s">
        <v>52</v>
      </c>
      <c r="D48" s="126">
        <v>5</v>
      </c>
      <c r="E48" s="126">
        <v>15</v>
      </c>
      <c r="F48" s="126">
        <v>4</v>
      </c>
      <c r="G48" s="126">
        <v>1</v>
      </c>
      <c r="H48" s="126">
        <v>3</v>
      </c>
      <c r="I48" s="13" t="s">
        <v>41</v>
      </c>
      <c r="J48" s="93">
        <v>19540</v>
      </c>
      <c r="K48" s="14">
        <v>12792</v>
      </c>
      <c r="L48" s="14">
        <v>8112</v>
      </c>
      <c r="M48" s="15">
        <v>8</v>
      </c>
      <c r="N48" s="93">
        <f t="shared" si="23"/>
        <v>40444</v>
      </c>
      <c r="O48" s="173">
        <f t="shared" ref="O48:O54" si="28">J48*0.1</f>
        <v>1954</v>
      </c>
      <c r="P48" s="103">
        <v>30000</v>
      </c>
      <c r="Q48" s="16">
        <f t="shared" si="24"/>
        <v>6000</v>
      </c>
      <c r="R48" s="144"/>
      <c r="S48" s="146"/>
      <c r="V48" s="141">
        <f t="shared" si="25"/>
        <v>2696.2666666666669</v>
      </c>
      <c r="W48" s="141">
        <f t="shared" si="26"/>
        <v>2000</v>
      </c>
      <c r="X48" s="141">
        <f t="shared" si="27"/>
        <v>400</v>
      </c>
      <c r="Y48" s="203"/>
      <c r="Z48" s="176">
        <f>O48/E48</f>
        <v>130.26666666666668</v>
      </c>
      <c r="AA48" s="176">
        <f>X48+Z48</f>
        <v>530.26666666666665</v>
      </c>
    </row>
    <row r="49" spans="1:27" ht="15.75" customHeight="1">
      <c r="A49">
        <v>4</v>
      </c>
      <c r="B49" s="6" t="s">
        <v>53</v>
      </c>
      <c r="C49" s="6" t="s">
        <v>56</v>
      </c>
      <c r="D49" s="134">
        <v>1.5</v>
      </c>
      <c r="E49" s="134">
        <v>5</v>
      </c>
      <c r="F49" s="134">
        <v>2</v>
      </c>
      <c r="G49" s="134">
        <v>1</v>
      </c>
      <c r="H49" s="132">
        <v>1</v>
      </c>
      <c r="I49" s="64" t="s">
        <v>41</v>
      </c>
      <c r="J49" s="92">
        <v>12380</v>
      </c>
      <c r="K49" s="68">
        <v>9912</v>
      </c>
      <c r="L49" s="68">
        <v>4012</v>
      </c>
      <c r="M49" s="69">
        <v>4</v>
      </c>
      <c r="N49" s="102">
        <f t="shared" si="23"/>
        <v>26304</v>
      </c>
      <c r="O49" s="209">
        <f t="shared" si="28"/>
        <v>1238</v>
      </c>
      <c r="P49" s="109">
        <v>15000</v>
      </c>
      <c r="Q49" s="9">
        <f t="shared" si="24"/>
        <v>3000</v>
      </c>
      <c r="R49" s="144"/>
      <c r="S49" s="146"/>
      <c r="V49" s="141">
        <f t="shared" si="25"/>
        <v>5260.8</v>
      </c>
      <c r="W49" s="141">
        <f t="shared" si="26"/>
        <v>3000</v>
      </c>
      <c r="X49" s="141">
        <f t="shared" si="27"/>
        <v>600</v>
      </c>
      <c r="Y49" s="203"/>
      <c r="Z49" s="176">
        <f>O49/E49</f>
        <v>247.6</v>
      </c>
      <c r="AA49" s="176">
        <f>X49+Z49</f>
        <v>847.6</v>
      </c>
    </row>
    <row r="50" spans="1:27" ht="15.75" customHeight="1">
      <c r="A50">
        <v>5</v>
      </c>
      <c r="B50" s="13" t="s">
        <v>53</v>
      </c>
      <c r="C50" s="13" t="s">
        <v>57</v>
      </c>
      <c r="D50" s="126">
        <v>1</v>
      </c>
      <c r="E50" s="126">
        <v>4</v>
      </c>
      <c r="F50" s="126">
        <v>2</v>
      </c>
      <c r="G50" s="126">
        <v>1</v>
      </c>
      <c r="H50" s="126">
        <v>1</v>
      </c>
      <c r="I50" s="13" t="s">
        <v>41</v>
      </c>
      <c r="J50" s="91">
        <v>12380</v>
      </c>
      <c r="K50" s="11">
        <v>9912</v>
      </c>
      <c r="L50" s="11">
        <v>4012</v>
      </c>
      <c r="M50" s="12">
        <v>4</v>
      </c>
      <c r="N50" s="93">
        <f t="shared" si="23"/>
        <v>26304</v>
      </c>
      <c r="O50" s="173">
        <f t="shared" si="28"/>
        <v>1238</v>
      </c>
      <c r="P50" s="103">
        <v>12000</v>
      </c>
      <c r="Q50" s="16">
        <f t="shared" si="24"/>
        <v>2400</v>
      </c>
      <c r="R50" s="144"/>
      <c r="S50" s="146"/>
      <c r="V50" s="141">
        <f t="shared" si="25"/>
        <v>6576</v>
      </c>
      <c r="W50" s="141">
        <f t="shared" si="26"/>
        <v>3000</v>
      </c>
      <c r="X50" s="141">
        <f t="shared" si="27"/>
        <v>600</v>
      </c>
      <c r="Y50" s="203"/>
      <c r="Z50" s="176">
        <f>O50/E50</f>
        <v>309.5</v>
      </c>
      <c r="AA50" s="176">
        <f>X50+Z50</f>
        <v>909.5</v>
      </c>
    </row>
    <row r="51" spans="1:27" ht="15.75" customHeight="1">
      <c r="A51">
        <v>6</v>
      </c>
      <c r="B51" s="6" t="s">
        <v>59</v>
      </c>
      <c r="C51" s="6" t="s">
        <v>62</v>
      </c>
      <c r="D51" s="134">
        <v>8</v>
      </c>
      <c r="E51" s="134">
        <v>24</v>
      </c>
      <c r="F51" s="134">
        <v>7</v>
      </c>
      <c r="G51" s="134">
        <v>2</v>
      </c>
      <c r="H51" s="132">
        <v>5</v>
      </c>
      <c r="I51" s="64" t="s">
        <v>41</v>
      </c>
      <c r="J51" s="94">
        <v>26699</v>
      </c>
      <c r="K51" s="59">
        <v>15672</v>
      </c>
      <c r="L51" s="59">
        <v>12212</v>
      </c>
      <c r="M51" s="60">
        <v>12</v>
      </c>
      <c r="N51" s="94">
        <f t="shared" si="23"/>
        <v>54583</v>
      </c>
      <c r="O51" s="209">
        <f t="shared" si="28"/>
        <v>2669.9</v>
      </c>
      <c r="P51" s="109">
        <v>30000</v>
      </c>
      <c r="Q51" s="9">
        <f t="shared" si="24"/>
        <v>6000</v>
      </c>
      <c r="R51" s="144"/>
      <c r="S51" s="146"/>
      <c r="V51" s="141">
        <f t="shared" si="25"/>
        <v>2274.2916666666665</v>
      </c>
      <c r="W51" s="141">
        <f t="shared" si="26"/>
        <v>1250</v>
      </c>
      <c r="X51" s="141">
        <f t="shared" si="27"/>
        <v>250</v>
      </c>
      <c r="Y51" s="203"/>
      <c r="Z51" s="176">
        <f>O51/E51</f>
        <v>111.24583333333334</v>
      </c>
      <c r="AA51" s="176">
        <f>X51+Z51</f>
        <v>361.24583333333334</v>
      </c>
    </row>
    <row r="52" spans="1:27" ht="15.75" customHeight="1">
      <c r="A52">
        <v>7</v>
      </c>
      <c r="B52" s="13" t="s">
        <v>59</v>
      </c>
      <c r="C52" s="13" t="s">
        <v>58</v>
      </c>
      <c r="D52" s="126">
        <v>5</v>
      </c>
      <c r="E52" s="126">
        <v>15</v>
      </c>
      <c r="F52" s="126">
        <v>4</v>
      </c>
      <c r="G52" s="126">
        <v>1</v>
      </c>
      <c r="H52" s="126">
        <v>3</v>
      </c>
      <c r="I52" s="13" t="s">
        <v>41</v>
      </c>
      <c r="J52" s="93">
        <v>19540</v>
      </c>
      <c r="K52" s="14">
        <v>12792</v>
      </c>
      <c r="L52" s="14">
        <v>8112</v>
      </c>
      <c r="M52" s="15">
        <v>8</v>
      </c>
      <c r="N52" s="93">
        <f t="shared" si="23"/>
        <v>40444</v>
      </c>
      <c r="O52" s="173">
        <f t="shared" si="28"/>
        <v>1954</v>
      </c>
      <c r="P52" s="103">
        <v>30000</v>
      </c>
      <c r="Q52" s="16">
        <f t="shared" ref="Q52:Q54" si="29">P52*0.2</f>
        <v>6000</v>
      </c>
      <c r="R52" s="144"/>
      <c r="S52" s="146"/>
      <c r="V52" s="141">
        <f t="shared" si="25"/>
        <v>2696.2666666666669</v>
      </c>
      <c r="W52" s="141">
        <f t="shared" si="26"/>
        <v>2000</v>
      </c>
      <c r="X52" s="141">
        <f t="shared" si="27"/>
        <v>400</v>
      </c>
      <c r="Y52" s="203"/>
      <c r="Z52" s="176">
        <f>O52/E52</f>
        <v>130.26666666666668</v>
      </c>
      <c r="AA52" s="176">
        <f>X52+Z52</f>
        <v>530.26666666666665</v>
      </c>
    </row>
    <row r="53" spans="1:27" ht="15.75" customHeight="1">
      <c r="A53">
        <v>8</v>
      </c>
      <c r="B53" s="6" t="s">
        <v>59</v>
      </c>
      <c r="C53" s="6" t="s">
        <v>60</v>
      </c>
      <c r="D53" s="134">
        <v>1.5</v>
      </c>
      <c r="E53" s="134">
        <v>5</v>
      </c>
      <c r="F53" s="134">
        <v>2</v>
      </c>
      <c r="G53" s="134">
        <v>1</v>
      </c>
      <c r="H53" s="132">
        <v>1</v>
      </c>
      <c r="I53" s="64" t="s">
        <v>41</v>
      </c>
      <c r="J53" s="92">
        <v>12380</v>
      </c>
      <c r="K53" s="68">
        <v>9912</v>
      </c>
      <c r="L53" s="68">
        <v>4012</v>
      </c>
      <c r="M53" s="69">
        <v>4</v>
      </c>
      <c r="N53" s="102">
        <f t="shared" ref="N53:N54" si="30">J53+K53+L53</f>
        <v>26304</v>
      </c>
      <c r="O53" s="209">
        <f t="shared" si="28"/>
        <v>1238</v>
      </c>
      <c r="P53" s="109">
        <v>15000</v>
      </c>
      <c r="Q53" s="9">
        <f t="shared" si="29"/>
        <v>3000</v>
      </c>
      <c r="R53" s="144"/>
      <c r="S53" s="146"/>
      <c r="V53" s="141">
        <f t="shared" si="25"/>
        <v>5260.8</v>
      </c>
      <c r="W53" s="141">
        <f t="shared" si="26"/>
        <v>3000</v>
      </c>
      <c r="X53" s="141">
        <f t="shared" si="27"/>
        <v>600</v>
      </c>
      <c r="Y53" s="203"/>
      <c r="Z53" s="176">
        <f>O53/E53</f>
        <v>247.6</v>
      </c>
      <c r="AA53" s="176">
        <f>X53+Z53</f>
        <v>847.6</v>
      </c>
    </row>
    <row r="54" spans="1:27" ht="15.75" customHeight="1" thickBot="1">
      <c r="A54">
        <v>9</v>
      </c>
      <c r="B54" s="47" t="s">
        <v>59</v>
      </c>
      <c r="C54" s="47" t="s">
        <v>61</v>
      </c>
      <c r="D54" s="129">
        <v>1</v>
      </c>
      <c r="E54" s="129">
        <v>4</v>
      </c>
      <c r="F54" s="129">
        <v>2</v>
      </c>
      <c r="G54" s="129">
        <v>1</v>
      </c>
      <c r="H54" s="129">
        <v>1</v>
      </c>
      <c r="I54" s="47" t="s">
        <v>41</v>
      </c>
      <c r="J54" s="120">
        <v>12380</v>
      </c>
      <c r="K54" s="121">
        <v>9912</v>
      </c>
      <c r="L54" s="121">
        <v>4012</v>
      </c>
      <c r="M54" s="49">
        <v>4</v>
      </c>
      <c r="N54" s="100">
        <f t="shared" si="30"/>
        <v>26304</v>
      </c>
      <c r="O54" s="189">
        <f t="shared" si="28"/>
        <v>1238</v>
      </c>
      <c r="P54" s="107">
        <v>12000</v>
      </c>
      <c r="Q54" s="206">
        <f t="shared" si="29"/>
        <v>2400</v>
      </c>
      <c r="R54" s="145"/>
      <c r="S54" s="147"/>
      <c r="T54" s="79" t="s">
        <v>273</v>
      </c>
      <c r="V54" s="142">
        <f t="shared" si="25"/>
        <v>6576</v>
      </c>
      <c r="W54" s="142">
        <f t="shared" si="26"/>
        <v>3000</v>
      </c>
      <c r="X54" s="142">
        <f t="shared" si="27"/>
        <v>600</v>
      </c>
      <c r="Y54" s="205"/>
      <c r="Z54" s="54">
        <f>O54/E54</f>
        <v>309.5</v>
      </c>
      <c r="AA54" s="54">
        <f>X54+Z54</f>
        <v>909.5</v>
      </c>
    </row>
    <row r="55" spans="1:27" ht="15.75" customHeight="1">
      <c r="C55" s="71" t="s">
        <v>271</v>
      </c>
      <c r="D55" s="130">
        <f>SUM(D46:D54)</f>
        <v>25.5</v>
      </c>
      <c r="E55" s="130">
        <f>SUM(E46:E54)</f>
        <v>81</v>
      </c>
      <c r="F55" s="130">
        <f t="shared" ref="F55:H55" si="31">SUM(F46:F54)</f>
        <v>27</v>
      </c>
      <c r="G55" s="130">
        <f t="shared" si="31"/>
        <v>10</v>
      </c>
      <c r="H55" s="130">
        <f t="shared" si="31"/>
        <v>17</v>
      </c>
      <c r="I55" s="72"/>
      <c r="J55" s="85">
        <f t="shared" ref="J55:M55" si="32">SUM(J46:J54)</f>
        <v>140059</v>
      </c>
      <c r="K55" s="85">
        <f t="shared" si="32"/>
        <v>100728</v>
      </c>
      <c r="L55" s="85">
        <f t="shared" si="32"/>
        <v>52508</v>
      </c>
      <c r="M55" s="85">
        <f t="shared" si="32"/>
        <v>52</v>
      </c>
      <c r="N55" s="85">
        <f>SUM(N46:N54)</f>
        <v>293295</v>
      </c>
      <c r="O55" s="85">
        <f>SUM(O46:O54)</f>
        <v>14005.9</v>
      </c>
      <c r="P55" s="85">
        <f t="shared" ref="P55" si="33">SUM(P46:P54)</f>
        <v>171000</v>
      </c>
      <c r="Q55" s="86">
        <f>SUM(Q46:Q54)</f>
        <v>34200</v>
      </c>
      <c r="R55" s="85">
        <f>SUM(R46:R54)</f>
        <v>50000</v>
      </c>
      <c r="S55" s="85">
        <f>SUM(S46:S54)</f>
        <v>10000</v>
      </c>
      <c r="T55" s="85">
        <f>SUM(N55+O55+P55+R55)</f>
        <v>528300.9</v>
      </c>
      <c r="V55" s="141">
        <f t="shared" si="25"/>
        <v>3620.9259259259261</v>
      </c>
      <c r="W55" s="141">
        <f t="shared" si="26"/>
        <v>2111.1111111111113</v>
      </c>
      <c r="X55" s="141">
        <f t="shared" si="27"/>
        <v>422.22222222222223</v>
      </c>
      <c r="Y55" s="141">
        <f>Y46</f>
        <v>123.45679012345678</v>
      </c>
      <c r="Z55" s="176">
        <f>O55/E55</f>
        <v>172.91234567901233</v>
      </c>
      <c r="AA55" s="210">
        <f>X55+Y55+Z55</f>
        <v>718.59135802469132</v>
      </c>
    </row>
    <row r="56" spans="1:27" ht="15.75" customHeight="1">
      <c r="H56"/>
      <c r="N56" s="177"/>
      <c r="O56" s="178"/>
      <c r="P56" s="179"/>
      <c r="V56" s="141"/>
      <c r="W56" s="141"/>
      <c r="X56" s="141"/>
      <c r="Y56" s="141"/>
      <c r="Z56" s="176"/>
      <c r="AA56" s="176"/>
    </row>
    <row r="57" spans="1:27" ht="42.75" customHeight="1" thickBot="1"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3"/>
      <c r="N57" s="207"/>
      <c r="O57" s="190"/>
      <c r="P57" s="208"/>
      <c r="Q57" s="54"/>
      <c r="V57" s="123" t="s">
        <v>165</v>
      </c>
      <c r="W57" s="123" t="s">
        <v>83</v>
      </c>
      <c r="X57" s="140" t="s">
        <v>290</v>
      </c>
      <c r="Y57" s="140"/>
      <c r="Z57" s="140" t="s">
        <v>285</v>
      </c>
      <c r="AA57" s="140" t="s">
        <v>286</v>
      </c>
    </row>
    <row r="58" spans="1:27" ht="15.75" customHeight="1">
      <c r="B58" s="10" t="s">
        <v>40</v>
      </c>
      <c r="C58" s="10" t="s">
        <v>39</v>
      </c>
      <c r="D58" s="131">
        <v>1.5</v>
      </c>
      <c r="E58" s="131">
        <v>5</v>
      </c>
      <c r="F58" s="131"/>
      <c r="G58" s="131">
        <v>1</v>
      </c>
      <c r="H58" s="131">
        <v>1</v>
      </c>
      <c r="I58" s="10" t="s">
        <v>41</v>
      </c>
      <c r="J58" s="91">
        <v>12380</v>
      </c>
      <c r="K58" s="11">
        <v>9912</v>
      </c>
      <c r="L58" s="11">
        <v>4012</v>
      </c>
      <c r="M58" s="12">
        <v>4</v>
      </c>
      <c r="N58" s="101">
        <f t="shared" ref="N58:N63" si="34">J58+K58+L58</f>
        <v>26304</v>
      </c>
      <c r="O58" s="218">
        <f>J58*0.1</f>
        <v>1238</v>
      </c>
      <c r="P58" s="108">
        <v>12000</v>
      </c>
      <c r="Q58" s="17">
        <f t="shared" ref="Q58:Q63" si="35">P58*0.2</f>
        <v>2400</v>
      </c>
      <c r="V58" s="141">
        <f t="shared" si="25"/>
        <v>5260.8</v>
      </c>
      <c r="W58" s="141">
        <f t="shared" si="26"/>
        <v>2400</v>
      </c>
      <c r="X58" s="141">
        <f t="shared" si="27"/>
        <v>480</v>
      </c>
      <c r="Y58" s="141" t="s">
        <v>101</v>
      </c>
      <c r="Z58" s="176">
        <f>O58/E58</f>
        <v>247.6</v>
      </c>
      <c r="AA58" s="176">
        <f>X58+Z58</f>
        <v>727.6</v>
      </c>
    </row>
    <row r="59" spans="1:27" ht="15.75" customHeight="1">
      <c r="B59" s="6" t="s">
        <v>40</v>
      </c>
      <c r="C59" s="6" t="s">
        <v>42</v>
      </c>
      <c r="D59" s="134">
        <v>3.3</v>
      </c>
      <c r="E59" s="134">
        <v>10</v>
      </c>
      <c r="F59" s="134"/>
      <c r="G59" s="134">
        <v>1</v>
      </c>
      <c r="H59" s="134">
        <v>2</v>
      </c>
      <c r="I59" s="64" t="s">
        <v>41</v>
      </c>
      <c r="J59" s="94">
        <v>15960</v>
      </c>
      <c r="K59" s="59">
        <v>11352</v>
      </c>
      <c r="L59" s="59">
        <v>6062</v>
      </c>
      <c r="M59" s="60">
        <v>6</v>
      </c>
      <c r="N59" s="94">
        <f t="shared" si="34"/>
        <v>33374</v>
      </c>
      <c r="O59" s="209">
        <f t="shared" ref="O59:O63" si="36">J59*0.1</f>
        <v>1596</v>
      </c>
      <c r="P59" s="105">
        <v>20000</v>
      </c>
      <c r="Q59" s="9">
        <f t="shared" si="35"/>
        <v>4000</v>
      </c>
      <c r="V59" s="141">
        <f t="shared" si="25"/>
        <v>3337.4</v>
      </c>
      <c r="W59" s="141">
        <f t="shared" si="26"/>
        <v>2000</v>
      </c>
      <c r="X59" s="141">
        <f t="shared" si="27"/>
        <v>400</v>
      </c>
      <c r="Y59" s="141" t="s">
        <v>101</v>
      </c>
      <c r="Z59" s="176">
        <f>O59/E59</f>
        <v>159.6</v>
      </c>
      <c r="AA59" s="176">
        <f>X59+Z59</f>
        <v>559.6</v>
      </c>
    </row>
    <row r="60" spans="1:27" ht="15.75" customHeight="1">
      <c r="B60" s="13" t="s">
        <v>49</v>
      </c>
      <c r="C60" s="13" t="s">
        <v>48</v>
      </c>
      <c r="D60" s="126">
        <v>2.5</v>
      </c>
      <c r="E60" s="126">
        <v>7.5</v>
      </c>
      <c r="F60" s="126"/>
      <c r="G60" s="126">
        <v>1</v>
      </c>
      <c r="H60" s="126">
        <v>2</v>
      </c>
      <c r="I60" s="13" t="s">
        <v>41</v>
      </c>
      <c r="J60" s="93">
        <v>15960</v>
      </c>
      <c r="K60" s="14">
        <v>11352</v>
      </c>
      <c r="L60" s="14">
        <v>6062</v>
      </c>
      <c r="M60" s="15">
        <v>6</v>
      </c>
      <c r="N60" s="93">
        <f t="shared" si="34"/>
        <v>33374</v>
      </c>
      <c r="O60" s="173">
        <f t="shared" si="36"/>
        <v>1596</v>
      </c>
      <c r="P60" s="103">
        <v>15000</v>
      </c>
      <c r="Q60" s="16">
        <f t="shared" si="35"/>
        <v>3000</v>
      </c>
      <c r="V60" s="141">
        <f t="shared" si="25"/>
        <v>4449.8666666666668</v>
      </c>
      <c r="W60" s="141">
        <f t="shared" si="26"/>
        <v>2000</v>
      </c>
      <c r="X60" s="141">
        <f t="shared" si="27"/>
        <v>400</v>
      </c>
      <c r="Y60" s="141" t="s">
        <v>101</v>
      </c>
      <c r="Z60" s="176">
        <f>O60/E60</f>
        <v>212.8</v>
      </c>
      <c r="AA60" s="176">
        <f>X60+Z60</f>
        <v>612.79999999999995</v>
      </c>
    </row>
    <row r="61" spans="1:27" ht="15.75" customHeight="1">
      <c r="B61" s="6" t="s">
        <v>49</v>
      </c>
      <c r="C61" s="6" t="s">
        <v>50</v>
      </c>
      <c r="D61" s="134">
        <v>2.5</v>
      </c>
      <c r="E61" s="134">
        <v>7.5</v>
      </c>
      <c r="F61" s="134"/>
      <c r="G61" s="134">
        <v>1</v>
      </c>
      <c r="H61" s="134">
        <v>2</v>
      </c>
      <c r="I61" s="64" t="s">
        <v>41</v>
      </c>
      <c r="J61" s="94">
        <v>15960</v>
      </c>
      <c r="K61" s="59">
        <v>11352</v>
      </c>
      <c r="L61" s="59">
        <v>6062</v>
      </c>
      <c r="M61" s="60">
        <v>6</v>
      </c>
      <c r="N61" s="92">
        <f t="shared" si="34"/>
        <v>33374</v>
      </c>
      <c r="O61" s="216">
        <f t="shared" si="36"/>
        <v>1596</v>
      </c>
      <c r="P61" s="104">
        <v>20000</v>
      </c>
      <c r="Q61" s="9">
        <f t="shared" si="35"/>
        <v>4000</v>
      </c>
      <c r="V61" s="141">
        <f t="shared" si="25"/>
        <v>4449.8666666666668</v>
      </c>
      <c r="W61" s="141">
        <f t="shared" si="26"/>
        <v>2666.6666666666665</v>
      </c>
      <c r="X61" s="141">
        <f t="shared" si="27"/>
        <v>533.33333333333337</v>
      </c>
      <c r="Y61" s="141" t="s">
        <v>101</v>
      </c>
      <c r="Z61" s="176">
        <f>O61/E61</f>
        <v>212.8</v>
      </c>
      <c r="AA61" s="176">
        <f>X61+Z61</f>
        <v>746.13333333333344</v>
      </c>
    </row>
    <row r="62" spans="1:27" ht="15.75" customHeight="1">
      <c r="B62" s="13" t="s">
        <v>49</v>
      </c>
      <c r="C62" s="13" t="s">
        <v>51</v>
      </c>
      <c r="D62" s="126">
        <v>1.5</v>
      </c>
      <c r="E62" s="126">
        <v>5</v>
      </c>
      <c r="F62" s="126"/>
      <c r="G62" s="126">
        <v>1</v>
      </c>
      <c r="H62" s="126">
        <v>1</v>
      </c>
      <c r="I62" s="13" t="s">
        <v>41</v>
      </c>
      <c r="J62" s="91">
        <v>12380</v>
      </c>
      <c r="K62" s="11">
        <v>9912</v>
      </c>
      <c r="L62" s="11">
        <v>4012</v>
      </c>
      <c r="M62" s="12">
        <v>4</v>
      </c>
      <c r="N62" s="93">
        <f t="shared" si="34"/>
        <v>26304</v>
      </c>
      <c r="O62" s="173">
        <f t="shared" si="36"/>
        <v>1238</v>
      </c>
      <c r="P62" s="103">
        <v>12000</v>
      </c>
      <c r="Q62" s="16">
        <f t="shared" si="35"/>
        <v>2400</v>
      </c>
      <c r="V62" s="192">
        <f t="shared" si="25"/>
        <v>5260.8</v>
      </c>
      <c r="W62" s="192">
        <f t="shared" si="26"/>
        <v>2400</v>
      </c>
      <c r="X62" s="192">
        <f t="shared" si="27"/>
        <v>480</v>
      </c>
      <c r="Y62" s="141" t="s">
        <v>101</v>
      </c>
      <c r="Z62" s="176">
        <f>O62/E62</f>
        <v>247.6</v>
      </c>
      <c r="AA62" s="176">
        <f>X62+Z62</f>
        <v>727.6</v>
      </c>
    </row>
    <row r="63" spans="1:27" ht="15.75" customHeight="1" thickBot="1">
      <c r="B63" s="46" t="s">
        <v>32</v>
      </c>
      <c r="C63" s="46" t="s">
        <v>31</v>
      </c>
      <c r="D63" s="135">
        <v>7.7</v>
      </c>
      <c r="E63" s="135">
        <v>25</v>
      </c>
      <c r="F63" s="135"/>
      <c r="G63" s="135">
        <v>2</v>
      </c>
      <c r="H63" s="135">
        <v>5</v>
      </c>
      <c r="I63" s="116" t="s">
        <v>8</v>
      </c>
      <c r="J63" s="117">
        <v>26699</v>
      </c>
      <c r="K63" s="118">
        <v>15672</v>
      </c>
      <c r="L63" s="118">
        <v>12212</v>
      </c>
      <c r="M63" s="119">
        <v>12</v>
      </c>
      <c r="N63" s="219">
        <f t="shared" si="34"/>
        <v>54583</v>
      </c>
      <c r="O63" s="217">
        <f t="shared" si="36"/>
        <v>2669.9</v>
      </c>
      <c r="P63" s="220">
        <v>30000</v>
      </c>
      <c r="Q63" s="51">
        <f t="shared" si="35"/>
        <v>6000</v>
      </c>
      <c r="R63" s="52"/>
      <c r="S63" s="52"/>
      <c r="T63" s="52"/>
      <c r="V63" s="142">
        <f t="shared" si="25"/>
        <v>2183.3200000000002</v>
      </c>
      <c r="W63" s="142">
        <f t="shared" si="26"/>
        <v>1200</v>
      </c>
      <c r="X63" s="142">
        <f t="shared" si="27"/>
        <v>240</v>
      </c>
      <c r="Y63" s="142" t="s">
        <v>101</v>
      </c>
      <c r="Z63" s="54">
        <f>O63/E63</f>
        <v>106.79600000000001</v>
      </c>
      <c r="AA63" s="54">
        <f>X63+Z63</f>
        <v>346.79599999999999</v>
      </c>
    </row>
    <row r="64" spans="1:27" ht="15.75" customHeight="1">
      <c r="C64" s="76" t="s">
        <v>278</v>
      </c>
      <c r="D64" s="136">
        <f>SUM(D58:D63)</f>
        <v>19</v>
      </c>
      <c r="E64" s="136">
        <f>SUM(E58:E63)</f>
        <v>60</v>
      </c>
      <c r="F64" s="136">
        <f t="shared" ref="F64:H64" si="37">SUM(F58:F63)</f>
        <v>0</v>
      </c>
      <c r="G64" s="136">
        <f t="shared" si="37"/>
        <v>7</v>
      </c>
      <c r="H64" s="136">
        <f t="shared" si="37"/>
        <v>13</v>
      </c>
      <c r="N64" s="85">
        <f>SUM(N58:N63)</f>
        <v>207313</v>
      </c>
      <c r="O64" s="85">
        <f>SUM(O58:O63)</f>
        <v>9933.9</v>
      </c>
      <c r="P64" s="85">
        <f t="shared" ref="P64:Q64" si="38">SUM(P58:P63)</f>
        <v>109000</v>
      </c>
      <c r="Q64" s="85">
        <f t="shared" si="38"/>
        <v>21800</v>
      </c>
      <c r="R64" s="73"/>
      <c r="S64" s="72"/>
      <c r="T64" s="85">
        <f>N64+O64+P64+Q64</f>
        <v>348046.9</v>
      </c>
      <c r="V64" s="141">
        <f t="shared" si="25"/>
        <v>3455.2166666666667</v>
      </c>
      <c r="W64" s="141">
        <f t="shared" si="26"/>
        <v>1816.6666666666667</v>
      </c>
      <c r="X64" s="141">
        <f>Q64/$E64</f>
        <v>363.33333333333331</v>
      </c>
      <c r="Y64" s="141"/>
      <c r="Z64" s="141"/>
      <c r="AA64" s="141"/>
    </row>
    <row r="65" spans="2:24" ht="15.75" customHeight="1">
      <c r="H65"/>
      <c r="O65" s="174"/>
    </row>
    <row r="66" spans="2:24" ht="15.75" customHeight="1">
      <c r="C66" s="7" t="s">
        <v>63</v>
      </c>
      <c r="H66" s="87"/>
    </row>
    <row r="67" spans="2:24" ht="15.75" customHeight="1" thickBot="1">
      <c r="B67" s="2" t="s">
        <v>65</v>
      </c>
      <c r="C67" s="1" t="s">
        <v>64</v>
      </c>
      <c r="H67"/>
      <c r="S67" s="52"/>
      <c r="T67" s="78"/>
    </row>
    <row r="68" spans="2:24" ht="15.75" customHeight="1">
      <c r="B68" s="4">
        <f>D64+D55+D43+D29</f>
        <v>249</v>
      </c>
      <c r="C68" s="3" t="s">
        <v>66</v>
      </c>
      <c r="H68"/>
      <c r="S68" s="89" t="s">
        <v>274</v>
      </c>
      <c r="T68" s="80">
        <f>T29+T43+T55+T64</f>
        <v>3969059.5</v>
      </c>
      <c r="V68" s="174"/>
      <c r="W68" s="228" t="s">
        <v>286</v>
      </c>
      <c r="X68" s="229" t="s">
        <v>294</v>
      </c>
    </row>
    <row r="69" spans="2:24" ht="15.75" customHeight="1">
      <c r="B69" s="4">
        <f>E64+E55+E43+E29</f>
        <v>881.78</v>
      </c>
      <c r="C69" s="3" t="s">
        <v>67</v>
      </c>
      <c r="H69"/>
      <c r="I69" s="76"/>
      <c r="J69" s="9"/>
      <c r="K69" s="9"/>
      <c r="L69" s="9"/>
      <c r="M69" s="88"/>
      <c r="N69" s="9"/>
      <c r="V69" s="174"/>
      <c r="W69" s="223"/>
      <c r="X69" s="221"/>
    </row>
    <row r="70" spans="2:24" ht="15.75" customHeight="1">
      <c r="B70" s="4" t="s">
        <v>69</v>
      </c>
      <c r="C70" s="3" t="s">
        <v>68</v>
      </c>
      <c r="H70"/>
      <c r="V70" s="18"/>
      <c r="W70" s="223"/>
      <c r="X70" s="222"/>
    </row>
    <row r="71" spans="2:24" ht="15.75" customHeight="1">
      <c r="B71" s="4" t="s">
        <v>71</v>
      </c>
      <c r="C71" s="3" t="s">
        <v>70</v>
      </c>
      <c r="H71"/>
      <c r="V71" s="230" t="s">
        <v>291</v>
      </c>
      <c r="W71" s="231">
        <f>O29+Q29+S29</f>
        <v>202334.5</v>
      </c>
      <c r="X71" s="232">
        <f>W71/E29</f>
        <v>470.23914660221254</v>
      </c>
    </row>
    <row r="72" spans="2:24" ht="15.75" customHeight="1">
      <c r="B72" s="6" t="s">
        <v>73</v>
      </c>
      <c r="C72" s="5" t="s">
        <v>72</v>
      </c>
      <c r="H72"/>
      <c r="V72" s="230" t="s">
        <v>292</v>
      </c>
      <c r="W72" s="231">
        <f>O43+Q43+S43</f>
        <v>126776.20000000001</v>
      </c>
      <c r="X72" s="232">
        <f>W72/E43</f>
        <v>408.29694041867958</v>
      </c>
    </row>
    <row r="73" spans="2:24" ht="15.75" customHeight="1">
      <c r="C73" s="7" t="s">
        <v>74</v>
      </c>
      <c r="H73"/>
      <c r="V73" s="233" t="s">
        <v>293</v>
      </c>
      <c r="W73" s="234">
        <f>O55+Q55+S55</f>
        <v>58205.9</v>
      </c>
      <c r="X73" s="235">
        <f>W73/E55</f>
        <v>718.59135802469143</v>
      </c>
    </row>
    <row r="74" spans="2:24" ht="12.75">
      <c r="C74" s="7" t="s">
        <v>75</v>
      </c>
      <c r="H74"/>
      <c r="V74" s="230" t="s">
        <v>278</v>
      </c>
      <c r="W74" s="236">
        <f>SUM(W71:W73)</f>
        <v>387316.60000000003</v>
      </c>
      <c r="X74" s="236">
        <f>SUM(X71:X73)/3</f>
        <v>532.37581501519446</v>
      </c>
    </row>
    <row r="75" spans="2:24" ht="12.75">
      <c r="C75" s="7" t="s">
        <v>76</v>
      </c>
      <c r="H75"/>
    </row>
    <row r="76" spans="2:24" ht="15.75" customHeight="1">
      <c r="H76"/>
      <c r="V76" s="174"/>
      <c r="W76" s="228" t="s">
        <v>295</v>
      </c>
      <c r="X76" s="229" t="s">
        <v>294</v>
      </c>
    </row>
    <row r="77" spans="2:24" ht="15.75" customHeight="1">
      <c r="H77"/>
      <c r="V77" s="174"/>
      <c r="W77" s="223"/>
      <c r="X77" s="221"/>
    </row>
    <row r="78" spans="2:24" ht="15.75" customHeight="1">
      <c r="H78"/>
      <c r="V78" s="18"/>
      <c r="W78" s="223"/>
      <c r="X78" s="222"/>
    </row>
    <row r="79" spans="2:24" ht="15.75" customHeight="1">
      <c r="H79"/>
      <c r="V79" s="76" t="s">
        <v>291</v>
      </c>
      <c r="W79" s="224">
        <f>Q29+S29</f>
        <v>147400</v>
      </c>
      <c r="X79" s="110">
        <f>W79/E29</f>
        <v>342.56763038021757</v>
      </c>
    </row>
    <row r="80" spans="2:24" ht="15.75" customHeight="1">
      <c r="H80"/>
      <c r="V80" s="76" t="s">
        <v>292</v>
      </c>
      <c r="W80" s="224">
        <f>Q43+S43</f>
        <v>94000</v>
      </c>
      <c r="X80" s="110">
        <f>W80/E43</f>
        <v>302.73752012882449</v>
      </c>
    </row>
    <row r="81" spans="8:24" ht="15.75" customHeight="1">
      <c r="H81"/>
      <c r="V81" s="225" t="s">
        <v>293</v>
      </c>
      <c r="W81" s="226">
        <f>Q55+S55</f>
        <v>44200</v>
      </c>
      <c r="X81" s="227">
        <f>W81/E55</f>
        <v>545.67901234567898</v>
      </c>
    </row>
    <row r="82" spans="8:24" ht="15.75" customHeight="1">
      <c r="H82"/>
      <c r="V82" s="76" t="s">
        <v>278</v>
      </c>
      <c r="W82" s="9">
        <f>SUM(W79:W81)</f>
        <v>285600</v>
      </c>
      <c r="X82" s="236">
        <f>SUM(X79:X81)/3</f>
        <v>396.9947209515737</v>
      </c>
    </row>
    <row r="83" spans="8:24" ht="15.75" customHeight="1">
      <c r="H83"/>
    </row>
    <row r="84" spans="8:24" ht="15.75" customHeight="1">
      <c r="H84"/>
    </row>
    <row r="85" spans="8:24" ht="15.75" customHeight="1">
      <c r="H85"/>
    </row>
    <row r="86" spans="8:24" ht="15.75" customHeight="1">
      <c r="H86"/>
    </row>
    <row r="87" spans="8:24" ht="15.75" customHeight="1">
      <c r="H87"/>
    </row>
    <row r="88" spans="8:24" ht="15.75" customHeight="1">
      <c r="H88"/>
    </row>
    <row r="89" spans="8:24" ht="15.75" customHeight="1">
      <c r="H89"/>
    </row>
    <row r="90" spans="8:24" ht="15.75" customHeight="1">
      <c r="H90"/>
    </row>
    <row r="91" spans="8:24" ht="15.75" customHeight="1">
      <c r="H91"/>
    </row>
    <row r="92" spans="8:24" ht="15.75" customHeight="1">
      <c r="H92"/>
    </row>
    <row r="93" spans="8:24" ht="15.75" customHeight="1">
      <c r="H93"/>
    </row>
    <row r="94" spans="8:24" ht="15.75" customHeight="1">
      <c r="H94"/>
    </row>
    <row r="95" spans="8:24" ht="15.75" customHeight="1">
      <c r="H95"/>
    </row>
    <row r="96" spans="8:24" ht="15.75" customHeight="1">
      <c r="H96"/>
    </row>
    <row r="97" spans="8:8" ht="15.75" customHeight="1">
      <c r="H97"/>
    </row>
    <row r="98" spans="8:8" ht="15.75" customHeight="1">
      <c r="H98"/>
    </row>
    <row r="99" spans="8:8" ht="15.75" customHeight="1">
      <c r="H99"/>
    </row>
    <row r="100" spans="8:8" ht="15.75" customHeight="1">
      <c r="H100"/>
    </row>
    <row r="101" spans="8:8" ht="15.75" customHeight="1">
      <c r="H101"/>
    </row>
    <row r="102" spans="8:8" ht="15.75" customHeight="1">
      <c r="H102"/>
    </row>
    <row r="103" spans="8:8" ht="15.75" customHeight="1">
      <c r="H103"/>
    </row>
    <row r="104" spans="8:8" ht="15.75" customHeight="1">
      <c r="H104"/>
    </row>
    <row r="105" spans="8:8" ht="15.75" customHeight="1">
      <c r="H105"/>
    </row>
    <row r="106" spans="8:8" ht="15.75" customHeight="1">
      <c r="H106"/>
    </row>
    <row r="107" spans="8:8" ht="15.75" customHeight="1">
      <c r="H107"/>
    </row>
    <row r="108" spans="8:8" ht="15.75" customHeight="1">
      <c r="H108"/>
    </row>
    <row r="109" spans="8:8" ht="15.75" customHeight="1">
      <c r="H109"/>
    </row>
    <row r="110" spans="8:8" ht="15.75" customHeight="1">
      <c r="H110"/>
    </row>
    <row r="111" spans="8:8" ht="15.75" customHeight="1">
      <c r="H111"/>
    </row>
    <row r="112" spans="8:8" ht="15.75" customHeight="1">
      <c r="H112"/>
    </row>
    <row r="113" spans="8:8" ht="15.75" customHeight="1">
      <c r="H113"/>
    </row>
    <row r="114" spans="8:8" ht="15.75" customHeight="1">
      <c r="H114"/>
    </row>
    <row r="115" spans="8:8" ht="15.75" customHeight="1">
      <c r="H115"/>
    </row>
    <row r="116" spans="8:8" ht="15.75" customHeight="1">
      <c r="H116"/>
    </row>
    <row r="117" spans="8:8" ht="15.75" customHeight="1">
      <c r="H117"/>
    </row>
    <row r="118" spans="8:8" ht="15.75" customHeight="1">
      <c r="H118"/>
    </row>
    <row r="119" spans="8:8" ht="15.75" customHeight="1">
      <c r="H119"/>
    </row>
    <row r="120" spans="8:8" ht="15.75" customHeight="1">
      <c r="H120"/>
    </row>
    <row r="121" spans="8:8" ht="15.75" customHeight="1">
      <c r="H121"/>
    </row>
    <row r="122" spans="8:8" ht="15.75" customHeight="1">
      <c r="H122"/>
    </row>
    <row r="123" spans="8:8" ht="15.75" customHeight="1">
      <c r="H123"/>
    </row>
    <row r="124" spans="8:8" ht="15.75" customHeight="1">
      <c r="H124"/>
    </row>
    <row r="125" spans="8:8" ht="15.75" customHeight="1">
      <c r="H125"/>
    </row>
    <row r="126" spans="8:8" ht="15.75" customHeight="1">
      <c r="H126"/>
    </row>
    <row r="127" spans="8:8" ht="15.75" customHeight="1">
      <c r="H127"/>
    </row>
    <row r="128" spans="8:8" ht="15.75" customHeight="1">
      <c r="H128"/>
    </row>
    <row r="129" spans="8:8" ht="15.75" customHeight="1">
      <c r="H129"/>
    </row>
    <row r="130" spans="8:8" ht="15.75" customHeight="1">
      <c r="H130"/>
    </row>
    <row r="131" spans="8:8" ht="15.75" customHeight="1">
      <c r="H131"/>
    </row>
    <row r="132" spans="8:8" ht="15.75" customHeight="1">
      <c r="H132"/>
    </row>
    <row r="133" spans="8:8" ht="15.75" customHeight="1">
      <c r="H133"/>
    </row>
    <row r="134" spans="8:8" ht="15.75" customHeight="1">
      <c r="H134"/>
    </row>
    <row r="135" spans="8:8" ht="15.75" customHeight="1">
      <c r="H135"/>
    </row>
    <row r="136" spans="8:8" ht="15.75" customHeight="1">
      <c r="H136"/>
    </row>
    <row r="137" spans="8:8" ht="15.75" customHeight="1">
      <c r="H137"/>
    </row>
    <row r="138" spans="8:8" ht="15.75" customHeight="1">
      <c r="H138"/>
    </row>
    <row r="139" spans="8:8" ht="15.75" customHeight="1">
      <c r="H139"/>
    </row>
    <row r="140" spans="8:8" ht="15.75" customHeight="1">
      <c r="H140"/>
    </row>
    <row r="141" spans="8:8" ht="15.75" customHeight="1">
      <c r="H141"/>
    </row>
    <row r="142" spans="8:8" ht="15.75" customHeight="1">
      <c r="H142"/>
    </row>
    <row r="143" spans="8:8" ht="15.75" customHeight="1">
      <c r="H143"/>
    </row>
    <row r="144" spans="8:8" ht="15.75" customHeight="1">
      <c r="H144"/>
    </row>
    <row r="145" spans="8:8" ht="15.75" customHeight="1">
      <c r="H145"/>
    </row>
    <row r="146" spans="8:8" ht="15.75" customHeight="1">
      <c r="H146"/>
    </row>
    <row r="147" spans="8:8" ht="15.75" customHeight="1">
      <c r="H147"/>
    </row>
    <row r="148" spans="8:8" ht="15.75" customHeight="1">
      <c r="H148"/>
    </row>
    <row r="149" spans="8:8" ht="15.75" customHeight="1">
      <c r="H149"/>
    </row>
    <row r="150" spans="8:8" ht="15.75" customHeight="1">
      <c r="H150"/>
    </row>
    <row r="151" spans="8:8" ht="15.75" customHeight="1">
      <c r="H151"/>
    </row>
    <row r="152" spans="8:8" ht="15.75" customHeight="1">
      <c r="H152"/>
    </row>
    <row r="153" spans="8:8" ht="15.75" customHeight="1">
      <c r="H153"/>
    </row>
    <row r="154" spans="8:8" ht="15.75" customHeight="1">
      <c r="H154"/>
    </row>
    <row r="155" spans="8:8" ht="15.75" customHeight="1">
      <c r="H155"/>
    </row>
    <row r="156" spans="8:8" ht="15.75" customHeight="1">
      <c r="H156"/>
    </row>
    <row r="157" spans="8:8" ht="15.75" customHeight="1">
      <c r="H157"/>
    </row>
    <row r="158" spans="8:8" ht="15.75" customHeight="1">
      <c r="H158"/>
    </row>
    <row r="159" spans="8:8" ht="15.75" customHeight="1">
      <c r="H159"/>
    </row>
    <row r="160" spans="8:8" ht="15.75" customHeight="1">
      <c r="H160"/>
    </row>
    <row r="161" spans="8:8" ht="15.75" customHeight="1">
      <c r="H161"/>
    </row>
    <row r="162" spans="8:8" ht="15.75" customHeight="1">
      <c r="H162"/>
    </row>
    <row r="163" spans="8:8" ht="15.75" customHeight="1">
      <c r="H163"/>
    </row>
    <row r="164" spans="8:8" ht="15.75" customHeight="1">
      <c r="H164"/>
    </row>
    <row r="165" spans="8:8" ht="15.75" customHeight="1">
      <c r="H165"/>
    </row>
    <row r="166" spans="8:8" ht="15.75" customHeight="1">
      <c r="H166"/>
    </row>
    <row r="167" spans="8:8" ht="15.75" customHeight="1">
      <c r="H167"/>
    </row>
    <row r="168" spans="8:8" ht="15.75" customHeight="1">
      <c r="H168"/>
    </row>
    <row r="169" spans="8:8" ht="15.75" customHeight="1">
      <c r="H169"/>
    </row>
    <row r="170" spans="8:8" ht="15.75" customHeight="1">
      <c r="H170"/>
    </row>
    <row r="171" spans="8:8" ht="15.75" customHeight="1">
      <c r="H171"/>
    </row>
    <row r="172" spans="8:8" ht="15.75" customHeight="1">
      <c r="H172"/>
    </row>
    <row r="173" spans="8:8" ht="15.75" customHeight="1">
      <c r="H173"/>
    </row>
    <row r="174" spans="8:8" ht="15.75" customHeight="1">
      <c r="H174"/>
    </row>
    <row r="175" spans="8:8" ht="15.75" customHeight="1">
      <c r="H175"/>
    </row>
    <row r="176" spans="8:8" ht="15.75" customHeight="1">
      <c r="H176"/>
    </row>
    <row r="177" spans="8:8" ht="15.75" customHeight="1">
      <c r="H177"/>
    </row>
    <row r="178" spans="8:8" ht="15.75" customHeight="1">
      <c r="H178"/>
    </row>
    <row r="179" spans="8:8" ht="15.75" customHeight="1">
      <c r="H179"/>
    </row>
    <row r="180" spans="8:8" ht="15.75" customHeight="1">
      <c r="H180"/>
    </row>
    <row r="181" spans="8:8" ht="15.75" customHeight="1">
      <c r="H181"/>
    </row>
    <row r="182" spans="8:8" ht="15.75" customHeight="1">
      <c r="H182"/>
    </row>
    <row r="183" spans="8:8" ht="15.75" customHeight="1">
      <c r="H183"/>
    </row>
    <row r="184" spans="8:8" ht="15.75" customHeight="1">
      <c r="H184"/>
    </row>
    <row r="185" spans="8:8" ht="15.75" customHeight="1">
      <c r="H185"/>
    </row>
    <row r="186" spans="8:8" ht="15.75" customHeight="1">
      <c r="H186"/>
    </row>
    <row r="187" spans="8:8" ht="15.75" customHeight="1">
      <c r="H187"/>
    </row>
    <row r="188" spans="8:8" ht="15.75" customHeight="1">
      <c r="H188"/>
    </row>
    <row r="189" spans="8:8" ht="15.75" customHeight="1">
      <c r="H189"/>
    </row>
    <row r="190" spans="8:8" ht="15.75" customHeight="1">
      <c r="H190"/>
    </row>
    <row r="191" spans="8:8" ht="15.75" customHeight="1">
      <c r="H191"/>
    </row>
    <row r="192" spans="8:8" ht="15.75" customHeight="1">
      <c r="H192"/>
    </row>
    <row r="193" spans="8:8" ht="15.75" customHeight="1">
      <c r="H193"/>
    </row>
    <row r="194" spans="8:8" ht="15.75" customHeight="1">
      <c r="H194"/>
    </row>
    <row r="195" spans="8:8" ht="15.75" customHeight="1">
      <c r="H195"/>
    </row>
    <row r="196" spans="8:8" ht="15.75" customHeight="1">
      <c r="H196"/>
    </row>
    <row r="197" spans="8:8" ht="15.75" customHeight="1">
      <c r="H197"/>
    </row>
    <row r="198" spans="8:8" ht="15.75" customHeight="1">
      <c r="H198"/>
    </row>
    <row r="199" spans="8:8" ht="15.75" customHeight="1">
      <c r="H199"/>
    </row>
    <row r="200" spans="8:8" ht="15.75" customHeight="1">
      <c r="H200"/>
    </row>
    <row r="201" spans="8:8" ht="15.75" customHeight="1">
      <c r="H201"/>
    </row>
    <row r="202" spans="8:8" ht="15.75" customHeight="1">
      <c r="H202"/>
    </row>
    <row r="203" spans="8:8" ht="15.75" customHeight="1">
      <c r="H203"/>
    </row>
    <row r="204" spans="8:8" ht="15.75" customHeight="1">
      <c r="H204"/>
    </row>
    <row r="205" spans="8:8" ht="15.75" customHeight="1">
      <c r="H205"/>
    </row>
    <row r="206" spans="8:8" ht="15.75" customHeight="1">
      <c r="H206"/>
    </row>
    <row r="207" spans="8:8" ht="15.75" customHeight="1">
      <c r="H207"/>
    </row>
    <row r="208" spans="8:8" ht="15.75" customHeight="1">
      <c r="H208"/>
    </row>
    <row r="209" spans="8:8" ht="15.75" customHeight="1">
      <c r="H209"/>
    </row>
    <row r="210" spans="8:8" ht="15.75" customHeight="1">
      <c r="H210"/>
    </row>
    <row r="211" spans="8:8" ht="15.75" customHeight="1">
      <c r="H211"/>
    </row>
    <row r="212" spans="8:8" ht="15.75" customHeight="1">
      <c r="H212"/>
    </row>
    <row r="213" spans="8:8" ht="15.75" customHeight="1">
      <c r="H213"/>
    </row>
    <row r="214" spans="8:8" ht="15.75" customHeight="1">
      <c r="H214"/>
    </row>
    <row r="215" spans="8:8" ht="15.75" customHeight="1">
      <c r="H215"/>
    </row>
    <row r="216" spans="8:8" ht="15.75" customHeight="1">
      <c r="H216"/>
    </row>
    <row r="217" spans="8:8" ht="15.75" customHeight="1">
      <c r="H217"/>
    </row>
    <row r="218" spans="8:8" ht="15.75" customHeight="1">
      <c r="H218"/>
    </row>
    <row r="219" spans="8:8" ht="15.75" customHeight="1">
      <c r="H219"/>
    </row>
    <row r="220" spans="8:8" ht="15.75" customHeight="1">
      <c r="H220"/>
    </row>
    <row r="221" spans="8:8" ht="15.75" customHeight="1">
      <c r="H221"/>
    </row>
    <row r="222" spans="8:8" ht="15.75" customHeight="1">
      <c r="H222"/>
    </row>
    <row r="223" spans="8:8" ht="15.75" customHeight="1">
      <c r="H223"/>
    </row>
    <row r="224" spans="8:8" ht="15.75" customHeight="1">
      <c r="H224"/>
    </row>
    <row r="225" spans="8:8" ht="15.75" customHeight="1">
      <c r="H225"/>
    </row>
    <row r="226" spans="8:8" ht="15.75" customHeight="1">
      <c r="H226"/>
    </row>
    <row r="227" spans="8:8" ht="15.75" customHeight="1">
      <c r="H227"/>
    </row>
    <row r="228" spans="8:8" ht="15.75" customHeight="1">
      <c r="H228"/>
    </row>
    <row r="229" spans="8:8" ht="15.75" customHeight="1">
      <c r="H229"/>
    </row>
    <row r="230" spans="8:8" ht="15.75" customHeight="1">
      <c r="H230"/>
    </row>
    <row r="231" spans="8:8" ht="15.75" customHeight="1">
      <c r="H231"/>
    </row>
    <row r="232" spans="8:8" ht="15.75" customHeight="1">
      <c r="H232"/>
    </row>
    <row r="233" spans="8:8" ht="15.75" customHeight="1">
      <c r="H233"/>
    </row>
    <row r="234" spans="8:8" ht="15.75" customHeight="1">
      <c r="H234"/>
    </row>
    <row r="235" spans="8:8" ht="15.75" customHeight="1">
      <c r="H235"/>
    </row>
    <row r="236" spans="8:8" ht="15.75" customHeight="1">
      <c r="H236"/>
    </row>
    <row r="237" spans="8:8" ht="15.75" customHeight="1">
      <c r="H237"/>
    </row>
    <row r="238" spans="8:8" ht="15.75" customHeight="1">
      <c r="H238"/>
    </row>
    <row r="239" spans="8:8" ht="15.75" customHeight="1">
      <c r="H239"/>
    </row>
    <row r="240" spans="8:8" ht="15.75" customHeight="1">
      <c r="H240"/>
    </row>
    <row r="241" spans="8:8" ht="15.75" customHeight="1">
      <c r="H241"/>
    </row>
    <row r="242" spans="8:8" ht="15.75" customHeight="1">
      <c r="H242"/>
    </row>
    <row r="243" spans="8:8" ht="15.75" customHeight="1">
      <c r="H243"/>
    </row>
    <row r="244" spans="8:8" ht="15.75" customHeight="1">
      <c r="H244"/>
    </row>
    <row r="245" spans="8:8" ht="15.75" customHeight="1">
      <c r="H245"/>
    </row>
    <row r="246" spans="8:8" ht="15.75" customHeight="1">
      <c r="H246"/>
    </row>
    <row r="247" spans="8:8" ht="15.75" customHeight="1">
      <c r="H247"/>
    </row>
    <row r="248" spans="8:8" ht="15.75" customHeight="1">
      <c r="H248"/>
    </row>
    <row r="249" spans="8:8" ht="15.75" customHeight="1">
      <c r="H249"/>
    </row>
    <row r="250" spans="8:8" ht="15.75" customHeight="1">
      <c r="H250"/>
    </row>
    <row r="251" spans="8:8" ht="15.75" customHeight="1">
      <c r="H251"/>
    </row>
    <row r="252" spans="8:8" ht="15.75" customHeight="1">
      <c r="H252"/>
    </row>
    <row r="253" spans="8:8" ht="15.75" customHeight="1">
      <c r="H253"/>
    </row>
    <row r="254" spans="8:8" ht="15.75" customHeight="1">
      <c r="H254"/>
    </row>
    <row r="255" spans="8:8" ht="15.75" customHeight="1">
      <c r="H255"/>
    </row>
    <row r="256" spans="8:8" ht="15.75" customHeight="1">
      <c r="H256"/>
    </row>
    <row r="257" spans="8:8" ht="15.75" customHeight="1">
      <c r="H257"/>
    </row>
    <row r="258" spans="8:8" ht="15.75" customHeight="1">
      <c r="H258"/>
    </row>
    <row r="259" spans="8:8" ht="15.75" customHeight="1">
      <c r="H259"/>
    </row>
    <row r="260" spans="8:8" ht="15.75" customHeight="1">
      <c r="H260"/>
    </row>
    <row r="261" spans="8:8" ht="15.75" customHeight="1">
      <c r="H261"/>
    </row>
    <row r="262" spans="8:8" ht="15.75" customHeight="1">
      <c r="H262"/>
    </row>
    <row r="263" spans="8:8" ht="15.75" customHeight="1">
      <c r="H263"/>
    </row>
    <row r="264" spans="8:8" ht="15.75" customHeight="1">
      <c r="H264"/>
    </row>
    <row r="265" spans="8:8" ht="15.75" customHeight="1">
      <c r="H265"/>
    </row>
    <row r="266" spans="8:8" ht="15.75" customHeight="1">
      <c r="H266"/>
    </row>
    <row r="267" spans="8:8" ht="15.75" customHeight="1">
      <c r="H267"/>
    </row>
    <row r="268" spans="8:8" ht="15.75" customHeight="1">
      <c r="H268"/>
    </row>
    <row r="269" spans="8:8" ht="15.75" customHeight="1">
      <c r="H269"/>
    </row>
    <row r="270" spans="8:8" ht="15.75" customHeight="1">
      <c r="H270"/>
    </row>
    <row r="271" spans="8:8" ht="15.75" customHeight="1">
      <c r="H271"/>
    </row>
    <row r="272" spans="8:8" ht="15.75" customHeight="1">
      <c r="H272"/>
    </row>
    <row r="273" spans="8:8" ht="15.75" customHeight="1">
      <c r="H273"/>
    </row>
    <row r="274" spans="8:8" ht="15.75" customHeight="1">
      <c r="H274"/>
    </row>
    <row r="275" spans="8:8" ht="15.75" customHeight="1">
      <c r="H275"/>
    </row>
    <row r="276" spans="8:8" ht="15.75" customHeight="1">
      <c r="H276"/>
    </row>
    <row r="277" spans="8:8" ht="15.75" customHeight="1">
      <c r="H277"/>
    </row>
    <row r="278" spans="8:8" ht="15.75" customHeight="1">
      <c r="H278"/>
    </row>
    <row r="279" spans="8:8" ht="15.75" customHeight="1">
      <c r="H279"/>
    </row>
    <row r="280" spans="8:8" ht="15.75" customHeight="1">
      <c r="H280"/>
    </row>
    <row r="281" spans="8:8" ht="15.75" customHeight="1">
      <c r="H281"/>
    </row>
    <row r="282" spans="8:8" ht="15.75" customHeight="1">
      <c r="H282"/>
    </row>
    <row r="283" spans="8:8" ht="15.75" customHeight="1">
      <c r="H283"/>
    </row>
    <row r="284" spans="8:8" ht="15.75" customHeight="1">
      <c r="H284"/>
    </row>
    <row r="285" spans="8:8" ht="15.75" customHeight="1">
      <c r="H285"/>
    </row>
    <row r="286" spans="8:8" ht="15.75" customHeight="1">
      <c r="H286"/>
    </row>
    <row r="287" spans="8:8" ht="15.75" customHeight="1">
      <c r="H287"/>
    </row>
    <row r="288" spans="8:8" ht="15.75" customHeight="1">
      <c r="H288"/>
    </row>
    <row r="289" spans="8:8" ht="15.75" customHeight="1">
      <c r="H289"/>
    </row>
    <row r="290" spans="8:8" ht="15.75" customHeight="1">
      <c r="H290"/>
    </row>
    <row r="291" spans="8:8" ht="15.75" customHeight="1">
      <c r="H291"/>
    </row>
    <row r="292" spans="8:8" ht="15.75" customHeight="1">
      <c r="H292"/>
    </row>
    <row r="293" spans="8:8" ht="15.75" customHeight="1">
      <c r="H293"/>
    </row>
    <row r="294" spans="8:8" ht="15.75" customHeight="1">
      <c r="H294"/>
    </row>
    <row r="295" spans="8:8" ht="15.75" customHeight="1">
      <c r="H295"/>
    </row>
    <row r="296" spans="8:8" ht="15.75" customHeight="1">
      <c r="H296"/>
    </row>
    <row r="297" spans="8:8" ht="15.75" customHeight="1">
      <c r="H297"/>
    </row>
    <row r="298" spans="8:8" ht="15.75" customHeight="1">
      <c r="H298"/>
    </row>
    <row r="299" spans="8:8" ht="15.75" customHeight="1">
      <c r="H299"/>
    </row>
    <row r="300" spans="8:8" ht="15.75" customHeight="1">
      <c r="H300"/>
    </row>
    <row r="301" spans="8:8" ht="15.75" customHeight="1">
      <c r="H301"/>
    </row>
    <row r="302" spans="8:8" ht="15.75" customHeight="1">
      <c r="H302"/>
    </row>
    <row r="303" spans="8:8" ht="15.75" customHeight="1">
      <c r="H303"/>
    </row>
    <row r="304" spans="8:8" ht="15.75" customHeight="1">
      <c r="H304"/>
    </row>
    <row r="305" spans="8:8" ht="15.75" customHeight="1">
      <c r="H305"/>
    </row>
    <row r="306" spans="8:8" ht="15.75" customHeight="1">
      <c r="H306"/>
    </row>
    <row r="307" spans="8:8" ht="15.75" customHeight="1">
      <c r="H307"/>
    </row>
    <row r="308" spans="8:8" ht="15.75" customHeight="1">
      <c r="H308"/>
    </row>
    <row r="309" spans="8:8" ht="15.75" customHeight="1">
      <c r="H309"/>
    </row>
    <row r="310" spans="8:8" ht="15.75" customHeight="1">
      <c r="H310"/>
    </row>
    <row r="311" spans="8:8" ht="15.75" customHeight="1">
      <c r="H311"/>
    </row>
    <row r="312" spans="8:8" ht="15.75" customHeight="1">
      <c r="H312"/>
    </row>
    <row r="313" spans="8:8" ht="15.75" customHeight="1">
      <c r="H313"/>
    </row>
    <row r="314" spans="8:8" ht="15.75" customHeight="1">
      <c r="H314"/>
    </row>
    <row r="315" spans="8:8" ht="15.75" customHeight="1">
      <c r="H315"/>
    </row>
    <row r="316" spans="8:8" ht="15.75" customHeight="1">
      <c r="H316"/>
    </row>
    <row r="317" spans="8:8" ht="15.75" customHeight="1">
      <c r="H317"/>
    </row>
    <row r="318" spans="8:8" ht="15.75" customHeight="1">
      <c r="H318"/>
    </row>
    <row r="319" spans="8:8" ht="15.75" customHeight="1">
      <c r="H319"/>
    </row>
    <row r="320" spans="8:8" ht="15.75" customHeight="1">
      <c r="H320"/>
    </row>
    <row r="321" spans="8:8" ht="15.75" customHeight="1">
      <c r="H321"/>
    </row>
    <row r="322" spans="8:8" ht="15.75" customHeight="1">
      <c r="H322"/>
    </row>
    <row r="323" spans="8:8" ht="15.75" customHeight="1">
      <c r="H323"/>
    </row>
    <row r="324" spans="8:8" ht="15.75" customHeight="1">
      <c r="H324"/>
    </row>
    <row r="325" spans="8:8" ht="15.75" customHeight="1">
      <c r="H325"/>
    </row>
    <row r="326" spans="8:8" ht="15.75" customHeight="1">
      <c r="H326"/>
    </row>
    <row r="327" spans="8:8" ht="15.75" customHeight="1">
      <c r="H327"/>
    </row>
    <row r="328" spans="8:8" ht="15.75" customHeight="1">
      <c r="H328"/>
    </row>
    <row r="329" spans="8:8" ht="15.75" customHeight="1">
      <c r="H329"/>
    </row>
    <row r="330" spans="8:8" ht="15.75" customHeight="1">
      <c r="H330"/>
    </row>
    <row r="331" spans="8:8" ht="15.75" customHeight="1">
      <c r="H331"/>
    </row>
    <row r="332" spans="8:8" ht="15.75" customHeight="1">
      <c r="H332"/>
    </row>
    <row r="333" spans="8:8" ht="15.75" customHeight="1">
      <c r="H333"/>
    </row>
    <row r="334" spans="8:8" ht="15.75" customHeight="1">
      <c r="H334"/>
    </row>
    <row r="335" spans="8:8" ht="15.75" customHeight="1">
      <c r="H335"/>
    </row>
    <row r="336" spans="8:8" ht="15.75" customHeight="1">
      <c r="H336"/>
    </row>
    <row r="337" spans="8:8" ht="15.75" customHeight="1">
      <c r="H337"/>
    </row>
    <row r="338" spans="8:8" ht="15.75" customHeight="1">
      <c r="H338"/>
    </row>
    <row r="339" spans="8:8" ht="15.75" customHeight="1">
      <c r="H339"/>
    </row>
    <row r="340" spans="8:8" ht="15.75" customHeight="1">
      <c r="H340"/>
    </row>
    <row r="341" spans="8:8" ht="15.75" customHeight="1">
      <c r="H341"/>
    </row>
    <row r="342" spans="8:8" ht="15.75" customHeight="1">
      <c r="H342"/>
    </row>
    <row r="343" spans="8:8" ht="15.75" customHeight="1">
      <c r="H343"/>
    </row>
    <row r="344" spans="8:8" ht="15.75" customHeight="1">
      <c r="H344"/>
    </row>
    <row r="345" spans="8:8" ht="15.75" customHeight="1">
      <c r="H345"/>
    </row>
    <row r="346" spans="8:8" ht="15.75" customHeight="1">
      <c r="H346"/>
    </row>
    <row r="347" spans="8:8" ht="15.75" customHeight="1">
      <c r="H347"/>
    </row>
    <row r="348" spans="8:8" ht="15.75" customHeight="1">
      <c r="H348"/>
    </row>
    <row r="349" spans="8:8" ht="15.75" customHeight="1">
      <c r="H349"/>
    </row>
    <row r="350" spans="8:8" ht="15.75" customHeight="1">
      <c r="H350"/>
    </row>
    <row r="351" spans="8:8" ht="15.75" customHeight="1">
      <c r="H351"/>
    </row>
    <row r="352" spans="8:8" ht="15.75" customHeight="1">
      <c r="H352"/>
    </row>
    <row r="353" spans="8:8" ht="15.75" customHeight="1">
      <c r="H353"/>
    </row>
    <row r="354" spans="8:8" ht="15.75" customHeight="1">
      <c r="H354"/>
    </row>
    <row r="355" spans="8:8" ht="15.75" customHeight="1">
      <c r="H355"/>
    </row>
    <row r="356" spans="8:8" ht="15.75" customHeight="1">
      <c r="H356"/>
    </row>
    <row r="357" spans="8:8" ht="15.75" customHeight="1">
      <c r="H357"/>
    </row>
    <row r="358" spans="8:8" ht="15.75" customHeight="1">
      <c r="H358"/>
    </row>
    <row r="359" spans="8:8" ht="15.75" customHeight="1">
      <c r="H359"/>
    </row>
    <row r="360" spans="8:8" ht="15.75" customHeight="1">
      <c r="H360"/>
    </row>
    <row r="361" spans="8:8" ht="15.75" customHeight="1">
      <c r="H361"/>
    </row>
    <row r="362" spans="8:8" ht="15.75" customHeight="1">
      <c r="H362"/>
    </row>
    <row r="363" spans="8:8" ht="15.75" customHeight="1">
      <c r="H363"/>
    </row>
    <row r="364" spans="8:8" ht="15.75" customHeight="1">
      <c r="H364"/>
    </row>
    <row r="365" spans="8:8" ht="15.75" customHeight="1">
      <c r="H365"/>
    </row>
    <row r="366" spans="8:8" ht="15.75" customHeight="1">
      <c r="H366"/>
    </row>
    <row r="367" spans="8:8" ht="15.75" customHeight="1">
      <c r="H367"/>
    </row>
    <row r="368" spans="8:8" ht="15.75" customHeight="1">
      <c r="H368"/>
    </row>
    <row r="369" spans="8:8" ht="15.75" customHeight="1">
      <c r="H369"/>
    </row>
    <row r="370" spans="8:8" ht="15.75" customHeight="1">
      <c r="H370"/>
    </row>
    <row r="371" spans="8:8" ht="15.75" customHeight="1">
      <c r="H371"/>
    </row>
    <row r="372" spans="8:8" ht="15.75" customHeight="1">
      <c r="H372"/>
    </row>
    <row r="373" spans="8:8" ht="15.75" customHeight="1">
      <c r="H373"/>
    </row>
    <row r="374" spans="8:8" ht="15.75" customHeight="1">
      <c r="H374"/>
    </row>
    <row r="375" spans="8:8" ht="15.75" customHeight="1">
      <c r="H375"/>
    </row>
    <row r="376" spans="8:8" ht="15.75" customHeight="1">
      <c r="H376"/>
    </row>
    <row r="377" spans="8:8" ht="15.75" customHeight="1">
      <c r="H377"/>
    </row>
    <row r="378" spans="8:8" ht="15.75" customHeight="1">
      <c r="H378"/>
    </row>
    <row r="379" spans="8:8" ht="15.75" customHeight="1">
      <c r="H379"/>
    </row>
    <row r="380" spans="8:8" ht="15.75" customHeight="1">
      <c r="H380"/>
    </row>
    <row r="381" spans="8:8" ht="15.75" customHeight="1">
      <c r="H381"/>
    </row>
    <row r="382" spans="8:8" ht="15.75" customHeight="1">
      <c r="H382"/>
    </row>
    <row r="383" spans="8:8" ht="15.75" customHeight="1">
      <c r="H383"/>
    </row>
    <row r="384" spans="8:8" ht="15.75" customHeight="1">
      <c r="H384"/>
    </row>
    <row r="385" spans="8:8" ht="15.75" customHeight="1">
      <c r="H385"/>
    </row>
    <row r="386" spans="8:8" ht="15.75" customHeight="1">
      <c r="H386"/>
    </row>
    <row r="387" spans="8:8" ht="15.75" customHeight="1">
      <c r="H387"/>
    </row>
    <row r="388" spans="8:8" ht="15.75" customHeight="1">
      <c r="H388"/>
    </row>
    <row r="389" spans="8:8" ht="15.75" customHeight="1">
      <c r="H389"/>
    </row>
    <row r="390" spans="8:8" ht="15.75" customHeight="1">
      <c r="H390"/>
    </row>
    <row r="391" spans="8:8" ht="15.75" customHeight="1">
      <c r="H391"/>
    </row>
    <row r="392" spans="8:8" ht="15.75" customHeight="1">
      <c r="H392"/>
    </row>
    <row r="393" spans="8:8" ht="15.75" customHeight="1">
      <c r="H393"/>
    </row>
    <row r="394" spans="8:8" ht="15.75" customHeight="1">
      <c r="H394"/>
    </row>
    <row r="395" spans="8:8" ht="15.75" customHeight="1">
      <c r="H395"/>
    </row>
    <row r="396" spans="8:8" ht="15.75" customHeight="1">
      <c r="H396"/>
    </row>
    <row r="397" spans="8:8" ht="15.75" customHeight="1">
      <c r="H397"/>
    </row>
    <row r="398" spans="8:8" ht="15.75" customHeight="1">
      <c r="H398"/>
    </row>
    <row r="399" spans="8:8" ht="15.75" customHeight="1">
      <c r="H399"/>
    </row>
    <row r="400" spans="8:8" ht="15.75" customHeight="1">
      <c r="H400"/>
    </row>
    <row r="401" spans="8:8" ht="15.75" customHeight="1">
      <c r="H401"/>
    </row>
    <row r="402" spans="8:8" ht="15.75" customHeight="1">
      <c r="H402"/>
    </row>
    <row r="403" spans="8:8" ht="15.75" customHeight="1">
      <c r="H403"/>
    </row>
    <row r="404" spans="8:8" ht="15.75" customHeight="1">
      <c r="H404"/>
    </row>
    <row r="405" spans="8:8" ht="15.75" customHeight="1">
      <c r="H405"/>
    </row>
    <row r="406" spans="8:8" ht="15.75" customHeight="1">
      <c r="H406"/>
    </row>
    <row r="407" spans="8:8" ht="15.75" customHeight="1">
      <c r="H407"/>
    </row>
    <row r="408" spans="8:8" ht="15.75" customHeight="1">
      <c r="H408"/>
    </row>
    <row r="409" spans="8:8" ht="15.75" customHeight="1">
      <c r="H409"/>
    </row>
    <row r="410" spans="8:8" ht="15.75" customHeight="1">
      <c r="H410"/>
    </row>
    <row r="411" spans="8:8" ht="15.75" customHeight="1">
      <c r="H411"/>
    </row>
    <row r="412" spans="8:8" ht="15.75" customHeight="1">
      <c r="H412"/>
    </row>
    <row r="413" spans="8:8" ht="15.75" customHeight="1">
      <c r="H413"/>
    </row>
    <row r="414" spans="8:8" ht="15.75" customHeight="1">
      <c r="H414"/>
    </row>
    <row r="415" spans="8:8" ht="15.75" customHeight="1">
      <c r="H415"/>
    </row>
    <row r="416" spans="8:8" ht="15.75" customHeight="1">
      <c r="H416"/>
    </row>
    <row r="417" spans="8:8" ht="15.75" customHeight="1">
      <c r="H417"/>
    </row>
    <row r="418" spans="8:8" ht="15.75" customHeight="1">
      <c r="H418"/>
    </row>
    <row r="419" spans="8:8" ht="15.75" customHeight="1">
      <c r="H419"/>
    </row>
    <row r="420" spans="8:8" ht="15.75" customHeight="1">
      <c r="H420"/>
    </row>
    <row r="421" spans="8:8" ht="15.75" customHeight="1">
      <c r="H421"/>
    </row>
    <row r="422" spans="8:8" ht="15.75" customHeight="1">
      <c r="H422"/>
    </row>
    <row r="423" spans="8:8" ht="15.75" customHeight="1">
      <c r="H423"/>
    </row>
    <row r="424" spans="8:8" ht="15.75" customHeight="1">
      <c r="H424"/>
    </row>
    <row r="425" spans="8:8" ht="15.75" customHeight="1">
      <c r="H425"/>
    </row>
    <row r="426" spans="8:8" ht="15.75" customHeight="1">
      <c r="H426"/>
    </row>
    <row r="427" spans="8:8" ht="15.75" customHeight="1">
      <c r="H427"/>
    </row>
    <row r="428" spans="8:8" ht="15.75" customHeight="1">
      <c r="H428"/>
    </row>
    <row r="429" spans="8:8" ht="15.75" customHeight="1">
      <c r="H429"/>
    </row>
    <row r="430" spans="8:8" ht="15.75" customHeight="1">
      <c r="H430"/>
    </row>
    <row r="431" spans="8:8" ht="15.75" customHeight="1">
      <c r="H431"/>
    </row>
    <row r="432" spans="8:8" ht="15.75" customHeight="1">
      <c r="H432"/>
    </row>
    <row r="433" spans="8:8" ht="15.75" customHeight="1">
      <c r="H433"/>
    </row>
    <row r="434" spans="8:8" ht="15.75" customHeight="1">
      <c r="H434"/>
    </row>
    <row r="435" spans="8:8" ht="15.75" customHeight="1">
      <c r="H435"/>
    </row>
    <row r="436" spans="8:8" ht="15.75" customHeight="1">
      <c r="H436"/>
    </row>
    <row r="437" spans="8:8" ht="15.75" customHeight="1">
      <c r="H437"/>
    </row>
    <row r="438" spans="8:8" ht="15.75" customHeight="1">
      <c r="H438"/>
    </row>
    <row r="439" spans="8:8" ht="15.75" customHeight="1">
      <c r="H439"/>
    </row>
    <row r="440" spans="8:8" ht="15.75" customHeight="1">
      <c r="H440"/>
    </row>
    <row r="441" spans="8:8" ht="15.75" customHeight="1">
      <c r="H441"/>
    </row>
    <row r="442" spans="8:8" ht="15.75" customHeight="1">
      <c r="H442"/>
    </row>
    <row r="443" spans="8:8" ht="15.75" customHeight="1">
      <c r="H443"/>
    </row>
    <row r="444" spans="8:8" ht="15.75" customHeight="1">
      <c r="H444"/>
    </row>
    <row r="445" spans="8:8" ht="15.75" customHeight="1">
      <c r="H445"/>
    </row>
    <row r="446" spans="8:8" ht="15.75" customHeight="1">
      <c r="H446"/>
    </row>
    <row r="447" spans="8:8" ht="15.75" customHeight="1">
      <c r="H447"/>
    </row>
    <row r="448" spans="8:8" ht="15.75" customHeight="1">
      <c r="H448"/>
    </row>
    <row r="449" spans="8:8" ht="15.75" customHeight="1">
      <c r="H449"/>
    </row>
    <row r="450" spans="8:8" ht="15.75" customHeight="1">
      <c r="H450"/>
    </row>
    <row r="451" spans="8:8" ht="15.75" customHeight="1">
      <c r="H451"/>
    </row>
    <row r="452" spans="8:8" ht="15.75" customHeight="1">
      <c r="H452"/>
    </row>
    <row r="453" spans="8:8" ht="15.75" customHeight="1">
      <c r="H453"/>
    </row>
    <row r="454" spans="8:8" ht="15.75" customHeight="1">
      <c r="H454"/>
    </row>
    <row r="455" spans="8:8" ht="15.75" customHeight="1">
      <c r="H455"/>
    </row>
    <row r="456" spans="8:8" ht="15.75" customHeight="1">
      <c r="H456"/>
    </row>
    <row r="457" spans="8:8" ht="15.75" customHeight="1">
      <c r="H457"/>
    </row>
    <row r="458" spans="8:8" ht="15.75" customHeight="1">
      <c r="H458"/>
    </row>
    <row r="459" spans="8:8" ht="15.75" customHeight="1">
      <c r="H459"/>
    </row>
    <row r="460" spans="8:8" ht="15.75" customHeight="1">
      <c r="H460"/>
    </row>
    <row r="461" spans="8:8" ht="15.75" customHeight="1">
      <c r="H461"/>
    </row>
    <row r="462" spans="8:8" ht="15.75" customHeight="1">
      <c r="H462"/>
    </row>
    <row r="463" spans="8:8" ht="15.75" customHeight="1">
      <c r="H463"/>
    </row>
    <row r="464" spans="8:8" ht="15.75" customHeight="1">
      <c r="H464"/>
    </row>
    <row r="465" spans="8:8" ht="15.75" customHeight="1">
      <c r="H465"/>
    </row>
    <row r="466" spans="8:8" ht="15.75" customHeight="1">
      <c r="H466"/>
    </row>
    <row r="467" spans="8:8" ht="15.75" customHeight="1">
      <c r="H467"/>
    </row>
    <row r="468" spans="8:8" ht="15.75" customHeight="1">
      <c r="H468"/>
    </row>
    <row r="469" spans="8:8" ht="15.75" customHeight="1">
      <c r="H469"/>
    </row>
    <row r="470" spans="8:8" ht="15.75" customHeight="1">
      <c r="H470"/>
    </row>
    <row r="471" spans="8:8" ht="15.75" customHeight="1">
      <c r="H471"/>
    </row>
    <row r="472" spans="8:8" ht="15.75" customHeight="1">
      <c r="H472"/>
    </row>
    <row r="473" spans="8:8" ht="15.75" customHeight="1">
      <c r="H473"/>
    </row>
    <row r="474" spans="8:8" ht="15.75" customHeight="1">
      <c r="H474"/>
    </row>
    <row r="475" spans="8:8" ht="15.75" customHeight="1">
      <c r="H475"/>
    </row>
    <row r="476" spans="8:8" ht="15.75" customHeight="1">
      <c r="H476"/>
    </row>
    <row r="477" spans="8:8" ht="15.75" customHeight="1">
      <c r="H477"/>
    </row>
    <row r="478" spans="8:8" ht="15.75" customHeight="1">
      <c r="H478"/>
    </row>
    <row r="479" spans="8:8" ht="15.75" customHeight="1">
      <c r="H479"/>
    </row>
    <row r="480" spans="8:8" ht="15.75" customHeight="1">
      <c r="H480"/>
    </row>
    <row r="481" spans="8:8" ht="15.75" customHeight="1">
      <c r="H481"/>
    </row>
    <row r="482" spans="8:8" ht="15.75" customHeight="1">
      <c r="H482"/>
    </row>
    <row r="483" spans="8:8" ht="15.75" customHeight="1">
      <c r="H483"/>
    </row>
    <row r="484" spans="8:8" ht="15.75" customHeight="1">
      <c r="H484"/>
    </row>
    <row r="485" spans="8:8" ht="15.75" customHeight="1">
      <c r="H485"/>
    </row>
    <row r="486" spans="8:8" ht="15.75" customHeight="1">
      <c r="H486"/>
    </row>
    <row r="487" spans="8:8" ht="15.75" customHeight="1">
      <c r="H487"/>
    </row>
    <row r="488" spans="8:8" ht="15.75" customHeight="1">
      <c r="H488"/>
    </row>
    <row r="489" spans="8:8" ht="15.75" customHeight="1">
      <c r="H489"/>
    </row>
    <row r="490" spans="8:8" ht="15.75" customHeight="1">
      <c r="H490"/>
    </row>
    <row r="491" spans="8:8" ht="15.75" customHeight="1">
      <c r="H491"/>
    </row>
    <row r="492" spans="8:8" ht="15.75" customHeight="1">
      <c r="H492"/>
    </row>
    <row r="493" spans="8:8" ht="15.75" customHeight="1">
      <c r="H493"/>
    </row>
    <row r="494" spans="8:8" ht="15.75" customHeight="1">
      <c r="H494"/>
    </row>
    <row r="495" spans="8:8" ht="15.75" customHeight="1">
      <c r="H495"/>
    </row>
    <row r="496" spans="8:8" ht="15.75" customHeight="1">
      <c r="H496"/>
    </row>
    <row r="497" spans="8:8" ht="15.75" customHeight="1">
      <c r="H497"/>
    </row>
    <row r="498" spans="8:8" ht="15.75" customHeight="1">
      <c r="H498"/>
    </row>
    <row r="499" spans="8:8" ht="15.75" customHeight="1">
      <c r="H499"/>
    </row>
    <row r="500" spans="8:8" ht="15.75" customHeight="1">
      <c r="H500"/>
    </row>
    <row r="501" spans="8:8" ht="15.75" customHeight="1">
      <c r="H501"/>
    </row>
    <row r="502" spans="8:8" ht="15.75" customHeight="1">
      <c r="H502"/>
    </row>
    <row r="503" spans="8:8" ht="15.75" customHeight="1">
      <c r="H503"/>
    </row>
    <row r="504" spans="8:8" ht="15.75" customHeight="1">
      <c r="H504"/>
    </row>
    <row r="505" spans="8:8" ht="15.75" customHeight="1">
      <c r="H505"/>
    </row>
    <row r="506" spans="8:8" ht="15.75" customHeight="1">
      <c r="H506"/>
    </row>
    <row r="507" spans="8:8" ht="15.75" customHeight="1">
      <c r="H507"/>
    </row>
    <row r="508" spans="8:8" ht="15.75" customHeight="1">
      <c r="H508"/>
    </row>
    <row r="509" spans="8:8" ht="15.75" customHeight="1">
      <c r="H509"/>
    </row>
    <row r="510" spans="8:8" ht="15.75" customHeight="1">
      <c r="H510"/>
    </row>
    <row r="511" spans="8:8" ht="15.75" customHeight="1">
      <c r="H511"/>
    </row>
    <row r="512" spans="8:8" ht="15.75" customHeight="1">
      <c r="H512"/>
    </row>
    <row r="513" spans="8:8" ht="15.75" customHeight="1">
      <c r="H513"/>
    </row>
    <row r="514" spans="8:8" ht="15.75" customHeight="1">
      <c r="H514"/>
    </row>
    <row r="515" spans="8:8" ht="15.75" customHeight="1">
      <c r="H515"/>
    </row>
    <row r="516" spans="8:8" ht="15.75" customHeight="1">
      <c r="H516"/>
    </row>
    <row r="517" spans="8:8" ht="15.75" customHeight="1">
      <c r="H517"/>
    </row>
    <row r="518" spans="8:8" ht="15.75" customHeight="1">
      <c r="H518"/>
    </row>
  </sheetData>
  <mergeCells count="41">
    <mergeCell ref="A2:A3"/>
    <mergeCell ref="X68:X70"/>
    <mergeCell ref="W76:W78"/>
    <mergeCell ref="X76:X78"/>
    <mergeCell ref="Y32:Y42"/>
    <mergeCell ref="Y46:Y54"/>
    <mergeCell ref="W68:W70"/>
    <mergeCell ref="Z2:Z3"/>
    <mergeCell ref="AA2:AA3"/>
    <mergeCell ref="Y2:Y3"/>
    <mergeCell ref="Y4:Y28"/>
    <mergeCell ref="O2:O3"/>
    <mergeCell ref="V2:V3"/>
    <mergeCell ref="W2:W3"/>
    <mergeCell ref="X2:X3"/>
    <mergeCell ref="U2:U3"/>
    <mergeCell ref="T1:V1"/>
    <mergeCell ref="B2:B3"/>
    <mergeCell ref="C2:C3"/>
    <mergeCell ref="R2:R3"/>
    <mergeCell ref="S2:S3"/>
    <mergeCell ref="R32:R42"/>
    <mergeCell ref="F2:F3"/>
    <mergeCell ref="E2:E3"/>
    <mergeCell ref="D2:D3"/>
    <mergeCell ref="R46:R54"/>
    <mergeCell ref="S32:S42"/>
    <mergeCell ref="S46:S54"/>
    <mergeCell ref="C1:E1"/>
    <mergeCell ref="J1:N1"/>
    <mergeCell ref="P1:Q1"/>
    <mergeCell ref="R4:R28"/>
    <mergeCell ref="S4:S28"/>
    <mergeCell ref="N2:N3"/>
    <mergeCell ref="M2:M3"/>
    <mergeCell ref="L2:L3"/>
    <mergeCell ref="K2:K3"/>
    <mergeCell ref="J2:J3"/>
    <mergeCell ref="I2:I3"/>
    <mergeCell ref="H2:H3"/>
    <mergeCell ref="G2:G3"/>
  </mergeCells>
  <phoneticPr fontId="28" type="noConversion"/>
  <conditionalFormatting sqref="J4:J6 J46:J47 J49:J50">
    <cfRule type="expression" dxfId="4" priority="14">
      <formula>$I$122</formula>
    </cfRule>
  </conditionalFormatting>
  <conditionalFormatting sqref="J34">
    <cfRule type="expression" dxfId="3" priority="16">
      <formula>$I$122</formula>
    </cfRule>
  </conditionalFormatting>
  <conditionalFormatting sqref="J53:J54">
    <cfRule type="expression" dxfId="2" priority="3">
      <formula>$I$122</formula>
    </cfRule>
  </conditionalFormatting>
  <conditionalFormatting sqref="J58">
    <cfRule type="expression" dxfId="1" priority="2">
      <formula>$I$122</formula>
    </cfRule>
  </conditionalFormatting>
  <conditionalFormatting sqref="J62">
    <cfRule type="expression" dxfId="0" priority="1">
      <formula>$I$122</formula>
    </cfRule>
  </conditionalFormatting>
  <pageMargins left="0.7" right="0.7" top="0.75" bottom="0.75" header="0.3" footer="0.3"/>
  <pageSetup paperSize="9" orientation="portrait" horizont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F997B-F2E6-4FE6-A247-103DF3A06083}">
  <dimension ref="A1:C73"/>
  <sheetViews>
    <sheetView workbookViewId="0">
      <selection activeCell="D10" sqref="D10"/>
    </sheetView>
  </sheetViews>
  <sheetFormatPr defaultRowHeight="12.75"/>
  <cols>
    <col min="1" max="1" width="60.7109375" customWidth="1"/>
    <col min="2" max="2" width="85.140625" customWidth="1"/>
    <col min="3" max="3" width="101.28515625" customWidth="1"/>
  </cols>
  <sheetData>
    <row r="1" spans="1:3" ht="22.5" customHeight="1">
      <c r="A1" s="28" t="s">
        <v>84</v>
      </c>
      <c r="B1" s="28" t="s">
        <v>85</v>
      </c>
      <c r="C1" s="28" t="s">
        <v>86</v>
      </c>
    </row>
    <row r="2" spans="1:3" ht="22.5" customHeight="1">
      <c r="A2" s="20" t="s">
        <v>87</v>
      </c>
      <c r="B2" s="20" t="s">
        <v>87</v>
      </c>
      <c r="C2" s="20" t="s">
        <v>87</v>
      </c>
    </row>
    <row r="3" spans="1:3" ht="22.5" customHeight="1">
      <c r="A3" s="21" t="s">
        <v>88</v>
      </c>
      <c r="B3" s="21" t="s">
        <v>88</v>
      </c>
      <c r="C3" s="21" t="s">
        <v>88</v>
      </c>
    </row>
    <row r="4" spans="1:3" ht="22.5" customHeight="1">
      <c r="A4" s="21" t="s">
        <v>89</v>
      </c>
      <c r="B4" s="21" t="s">
        <v>89</v>
      </c>
      <c r="C4" s="21" t="s">
        <v>89</v>
      </c>
    </row>
    <row r="5" spans="1:3" ht="22.5" customHeight="1">
      <c r="A5" s="21" t="str">
        <f>"-"</f>
        <v>-</v>
      </c>
      <c r="B5" s="21" t="s">
        <v>90</v>
      </c>
      <c r="C5" s="21" t="s">
        <v>90</v>
      </c>
    </row>
    <row r="6" spans="1:3" ht="22.5" customHeight="1">
      <c r="A6" s="20" t="s">
        <v>91</v>
      </c>
      <c r="B6" s="20" t="s">
        <v>91</v>
      </c>
      <c r="C6" s="20" t="s">
        <v>91</v>
      </c>
    </row>
    <row r="7" spans="1:3" ht="22.5" customHeight="1">
      <c r="A7" s="21" t="s">
        <v>92</v>
      </c>
      <c r="B7" s="21" t="s">
        <v>92</v>
      </c>
      <c r="C7" s="21" t="s">
        <v>92</v>
      </c>
    </row>
    <row r="8" spans="1:3" ht="22.5" customHeight="1">
      <c r="A8" s="21" t="s">
        <v>93</v>
      </c>
      <c r="B8" s="21" t="s">
        <v>93</v>
      </c>
      <c r="C8" s="21" t="s">
        <v>93</v>
      </c>
    </row>
    <row r="9" spans="1:3" ht="22.5" customHeight="1">
      <c r="A9" s="21" t="s">
        <v>94</v>
      </c>
      <c r="B9" s="21" t="s">
        <v>94</v>
      </c>
      <c r="C9" s="21" t="s">
        <v>94</v>
      </c>
    </row>
    <row r="10" spans="1:3" ht="22.5" customHeight="1">
      <c r="A10" s="21" t="str">
        <f>"-"</f>
        <v>-</v>
      </c>
      <c r="B10" s="21" t="s">
        <v>95</v>
      </c>
      <c r="C10" s="21" t="s">
        <v>95</v>
      </c>
    </row>
    <row r="11" spans="1:3" ht="22.5" customHeight="1">
      <c r="A11" s="21" t="str">
        <f>"-"</f>
        <v>-</v>
      </c>
      <c r="B11" s="21" t="s">
        <v>96</v>
      </c>
      <c r="C11" s="21" t="s">
        <v>96</v>
      </c>
    </row>
    <row r="12" spans="1:3" ht="22.5" customHeight="1">
      <c r="A12" s="20" t="s">
        <v>97</v>
      </c>
      <c r="B12" s="20" t="s">
        <v>97</v>
      </c>
      <c r="C12" s="20" t="s">
        <v>97</v>
      </c>
    </row>
    <row r="13" spans="1:3" ht="22.5" customHeight="1">
      <c r="A13" s="21" t="s">
        <v>98</v>
      </c>
      <c r="B13" s="21" t="s">
        <v>98</v>
      </c>
      <c r="C13" s="21" t="s">
        <v>98</v>
      </c>
    </row>
    <row r="14" spans="1:3" ht="22.5" customHeight="1">
      <c r="A14" s="21" t="s">
        <v>99</v>
      </c>
      <c r="B14" s="21" t="s">
        <v>99</v>
      </c>
      <c r="C14" s="21" t="s">
        <v>99</v>
      </c>
    </row>
    <row r="15" spans="1:3" ht="22.5" customHeight="1">
      <c r="A15" s="21" t="s">
        <v>100</v>
      </c>
      <c r="B15" s="21" t="s">
        <v>100</v>
      </c>
      <c r="C15" s="21" t="s">
        <v>100</v>
      </c>
    </row>
    <row r="16" spans="1:3" ht="22.5" customHeight="1">
      <c r="A16" s="21" t="str">
        <f>"-"</f>
        <v>-</v>
      </c>
      <c r="B16" s="21" t="s">
        <v>101</v>
      </c>
      <c r="C16" s="21" t="s">
        <v>102</v>
      </c>
    </row>
    <row r="17" spans="1:3" ht="22.5" customHeight="1">
      <c r="A17" s="20" t="s">
        <v>103</v>
      </c>
      <c r="B17" s="20" t="s">
        <v>103</v>
      </c>
      <c r="C17" s="20" t="s">
        <v>103</v>
      </c>
    </row>
    <row r="18" spans="1:3" ht="22.5" customHeight="1">
      <c r="A18" s="21" t="s">
        <v>104</v>
      </c>
      <c r="B18" s="21" t="s">
        <v>104</v>
      </c>
      <c r="C18" s="21" t="s">
        <v>104</v>
      </c>
    </row>
    <row r="19" spans="1:3" ht="22.5" customHeight="1">
      <c r="A19" s="21" t="s">
        <v>105</v>
      </c>
      <c r="B19" s="21" t="s">
        <v>105</v>
      </c>
      <c r="C19" s="21" t="s">
        <v>105</v>
      </c>
    </row>
    <row r="20" spans="1:3" ht="22.5" customHeight="1">
      <c r="A20" s="21" t="s">
        <v>101</v>
      </c>
      <c r="B20" s="21" t="s">
        <v>106</v>
      </c>
      <c r="C20" s="21" t="s">
        <v>106</v>
      </c>
    </row>
    <row r="21" spans="1:3" ht="22.5" customHeight="1">
      <c r="A21" s="21" t="s">
        <v>101</v>
      </c>
      <c r="B21" s="21" t="s">
        <v>107</v>
      </c>
      <c r="C21" s="21" t="s">
        <v>107</v>
      </c>
    </row>
    <row r="22" spans="1:3" ht="22.5" customHeight="1">
      <c r="A22" s="21" t="s">
        <v>101</v>
      </c>
      <c r="B22" s="21" t="s">
        <v>108</v>
      </c>
      <c r="C22" s="21" t="s">
        <v>108</v>
      </c>
    </row>
    <row r="23" spans="1:3" ht="22.5" customHeight="1">
      <c r="A23" s="21" t="s">
        <v>101</v>
      </c>
      <c r="B23" s="21" t="s">
        <v>101</v>
      </c>
      <c r="C23" s="21" t="s">
        <v>109</v>
      </c>
    </row>
    <row r="24" spans="1:3" ht="22.5" customHeight="1">
      <c r="A24" s="20" t="s">
        <v>110</v>
      </c>
      <c r="B24" s="20" t="s">
        <v>110</v>
      </c>
      <c r="C24" s="20" t="s">
        <v>110</v>
      </c>
    </row>
    <row r="25" spans="1:3" ht="22.5" customHeight="1">
      <c r="A25" s="21" t="s">
        <v>104</v>
      </c>
      <c r="B25" s="21" t="s">
        <v>104</v>
      </c>
      <c r="C25" s="21" t="s">
        <v>104</v>
      </c>
    </row>
    <row r="26" spans="1:3" ht="22.5" customHeight="1">
      <c r="A26" s="21" t="s">
        <v>111</v>
      </c>
      <c r="B26" s="21" t="s">
        <v>111</v>
      </c>
      <c r="C26" s="21" t="s">
        <v>111</v>
      </c>
    </row>
    <row r="27" spans="1:3" ht="22.5" customHeight="1">
      <c r="A27" s="21" t="s">
        <v>112</v>
      </c>
      <c r="B27" s="21" t="s">
        <v>112</v>
      </c>
      <c r="C27" s="21" t="s">
        <v>112</v>
      </c>
    </row>
    <row r="28" spans="1:3" ht="22.5" customHeight="1">
      <c r="A28" s="22" t="s">
        <v>113</v>
      </c>
      <c r="B28" s="22" t="s">
        <v>113</v>
      </c>
      <c r="C28" s="22" t="s">
        <v>113</v>
      </c>
    </row>
    <row r="29" spans="1:3" ht="22.5" customHeight="1">
      <c r="A29" s="20" t="s">
        <v>114</v>
      </c>
      <c r="B29" s="20" t="s">
        <v>114</v>
      </c>
      <c r="C29" s="20" t="s">
        <v>114</v>
      </c>
    </row>
    <row r="30" spans="1:3" ht="22.5" customHeight="1">
      <c r="A30" s="21" t="s">
        <v>115</v>
      </c>
      <c r="B30" s="21" t="s">
        <v>115</v>
      </c>
      <c r="C30" s="21" t="s">
        <v>115</v>
      </c>
    </row>
    <row r="31" spans="1:3" ht="22.5" customHeight="1">
      <c r="A31" s="22" t="s">
        <v>101</v>
      </c>
      <c r="B31" s="22" t="s">
        <v>101</v>
      </c>
      <c r="C31" s="22" t="s">
        <v>116</v>
      </c>
    </row>
    <row r="32" spans="1:3" ht="22.5" customHeight="1">
      <c r="A32" s="23" t="s">
        <v>117</v>
      </c>
      <c r="B32" s="23" t="s">
        <v>117</v>
      </c>
      <c r="C32" s="23" t="s">
        <v>117</v>
      </c>
    </row>
    <row r="33" spans="1:3" ht="22.5" customHeight="1">
      <c r="A33" s="21" t="s">
        <v>118</v>
      </c>
      <c r="B33" s="21" t="s">
        <v>118</v>
      </c>
      <c r="C33" s="21" t="s">
        <v>118</v>
      </c>
    </row>
    <row r="34" spans="1:3" ht="22.5" customHeight="1">
      <c r="A34" s="21" t="s">
        <v>119</v>
      </c>
      <c r="B34" s="21" t="s">
        <v>119</v>
      </c>
      <c r="C34" s="21" t="s">
        <v>120</v>
      </c>
    </row>
    <row r="35" spans="1:3" ht="22.5" customHeight="1">
      <c r="A35" s="21" t="s">
        <v>101</v>
      </c>
      <c r="B35" s="21" t="s">
        <v>121</v>
      </c>
      <c r="C35" s="21" t="s">
        <v>121</v>
      </c>
    </row>
    <row r="36" spans="1:3" ht="22.5" customHeight="1">
      <c r="A36" s="21" t="s">
        <v>101</v>
      </c>
      <c r="B36" s="21" t="s">
        <v>122</v>
      </c>
      <c r="C36" s="21" t="s">
        <v>122</v>
      </c>
    </row>
    <row r="37" spans="1:3" ht="22.5" customHeight="1">
      <c r="A37" s="20" t="s">
        <v>123</v>
      </c>
      <c r="B37" s="20" t="s">
        <v>123</v>
      </c>
      <c r="C37" s="20" t="s">
        <v>123</v>
      </c>
    </row>
    <row r="38" spans="1:3" ht="22.5" customHeight="1">
      <c r="A38" s="21" t="s">
        <v>124</v>
      </c>
      <c r="B38" s="21" t="s">
        <v>124</v>
      </c>
      <c r="C38" s="21" t="s">
        <v>124</v>
      </c>
    </row>
    <row r="39" spans="1:3" ht="22.5" customHeight="1">
      <c r="A39" s="21" t="s">
        <v>101</v>
      </c>
      <c r="B39" s="21" t="s">
        <v>125</v>
      </c>
      <c r="C39" s="21" t="s">
        <v>125</v>
      </c>
    </row>
    <row r="40" spans="1:3" ht="22.5" customHeight="1">
      <c r="A40" s="21" t="s">
        <v>101</v>
      </c>
      <c r="B40" s="21" t="s">
        <v>101</v>
      </c>
      <c r="C40" s="21" t="s">
        <v>126</v>
      </c>
    </row>
    <row r="41" spans="1:3" ht="22.5" customHeight="1">
      <c r="A41" s="22" t="s">
        <v>101</v>
      </c>
      <c r="B41" s="22" t="s">
        <v>101</v>
      </c>
      <c r="C41" s="22" t="s">
        <v>127</v>
      </c>
    </row>
    <row r="42" spans="1:3" ht="22.5" customHeight="1">
      <c r="A42" s="25" t="s">
        <v>128</v>
      </c>
      <c r="B42" s="25" t="s">
        <v>128</v>
      </c>
      <c r="C42" s="25" t="s">
        <v>128</v>
      </c>
    </row>
    <row r="43" spans="1:3" ht="22.5" customHeight="1">
      <c r="A43" s="24" t="s">
        <v>129</v>
      </c>
      <c r="B43" s="24" t="s">
        <v>129</v>
      </c>
      <c r="C43" s="24" t="s">
        <v>129</v>
      </c>
    </row>
    <row r="44" spans="1:3" ht="22.5" customHeight="1">
      <c r="A44" s="24" t="s">
        <v>130</v>
      </c>
      <c r="B44" s="24" t="s">
        <v>130</v>
      </c>
      <c r="C44" s="24" t="s">
        <v>130</v>
      </c>
    </row>
    <row r="45" spans="1:3" ht="22.5" customHeight="1">
      <c r="A45" s="24" t="s">
        <v>131</v>
      </c>
      <c r="B45" s="24" t="s">
        <v>131</v>
      </c>
      <c r="C45" s="24" t="s">
        <v>131</v>
      </c>
    </row>
    <row r="46" spans="1:3" ht="22.5" customHeight="1">
      <c r="A46" s="24" t="s">
        <v>101</v>
      </c>
      <c r="B46" s="24" t="s">
        <v>132</v>
      </c>
      <c r="C46" s="24" t="s">
        <v>132</v>
      </c>
    </row>
    <row r="47" spans="1:3" ht="22.5" customHeight="1">
      <c r="A47" s="25" t="s">
        <v>133</v>
      </c>
      <c r="B47" s="25" t="s">
        <v>133</v>
      </c>
      <c r="C47" s="25" t="s">
        <v>133</v>
      </c>
    </row>
    <row r="48" spans="1:3" ht="22.5" customHeight="1">
      <c r="A48" s="24" t="s">
        <v>134</v>
      </c>
      <c r="B48" s="24" t="s">
        <v>134</v>
      </c>
      <c r="C48" s="24" t="s">
        <v>134</v>
      </c>
    </row>
    <row r="49" spans="1:3" ht="22.5" customHeight="1">
      <c r="A49" s="24" t="s">
        <v>101</v>
      </c>
      <c r="B49" s="24" t="s">
        <v>135</v>
      </c>
      <c r="C49" s="24" t="s">
        <v>135</v>
      </c>
    </row>
    <row r="50" spans="1:3" ht="22.5" customHeight="1">
      <c r="A50" s="24" t="s">
        <v>101</v>
      </c>
      <c r="B50" s="24" t="s">
        <v>136</v>
      </c>
      <c r="C50" s="24" t="s">
        <v>136</v>
      </c>
    </row>
    <row r="51" spans="1:3" ht="22.5" customHeight="1">
      <c r="A51" s="24" t="s">
        <v>101</v>
      </c>
      <c r="B51" s="24" t="s">
        <v>137</v>
      </c>
      <c r="C51" s="24" t="s">
        <v>137</v>
      </c>
    </row>
    <row r="52" spans="1:3" ht="22.5" customHeight="1">
      <c r="A52" s="25" t="s">
        <v>138</v>
      </c>
      <c r="B52" s="25" t="s">
        <v>139</v>
      </c>
      <c r="C52" s="25" t="s">
        <v>139</v>
      </c>
    </row>
    <row r="53" spans="1:3" ht="22.5" customHeight="1">
      <c r="A53" s="24" t="s">
        <v>140</v>
      </c>
      <c r="B53" s="24" t="s">
        <v>141</v>
      </c>
      <c r="C53" s="24" t="s">
        <v>141</v>
      </c>
    </row>
    <row r="54" spans="1:3" ht="22.5" customHeight="1">
      <c r="A54" s="24" t="s">
        <v>142</v>
      </c>
      <c r="B54" s="24" t="s">
        <v>143</v>
      </c>
      <c r="C54" s="24" t="s">
        <v>143</v>
      </c>
    </row>
    <row r="55" spans="1:3" ht="22.5" customHeight="1">
      <c r="A55" s="24" t="s">
        <v>101</v>
      </c>
      <c r="B55" s="24" t="s">
        <v>101</v>
      </c>
      <c r="C55" s="24" t="s">
        <v>144</v>
      </c>
    </row>
    <row r="56" spans="1:3" ht="22.5" customHeight="1">
      <c r="A56" s="26" t="s">
        <v>101</v>
      </c>
      <c r="B56" s="26" t="s">
        <v>101</v>
      </c>
      <c r="C56" s="26" t="s">
        <v>145</v>
      </c>
    </row>
    <row r="57" spans="1:3" ht="22.5" customHeight="1">
      <c r="A57" s="25" t="s">
        <v>138</v>
      </c>
      <c r="B57" s="25" t="s">
        <v>138</v>
      </c>
      <c r="C57" s="25" t="s">
        <v>138</v>
      </c>
    </row>
    <row r="58" spans="1:3" ht="22.5" customHeight="1">
      <c r="A58" s="24" t="s">
        <v>101</v>
      </c>
      <c r="B58" s="24" t="s">
        <v>140</v>
      </c>
      <c r="C58" s="24" t="s">
        <v>140</v>
      </c>
    </row>
    <row r="59" spans="1:3" ht="22.5" customHeight="1">
      <c r="A59" s="24" t="s">
        <v>101</v>
      </c>
      <c r="B59" s="24" t="s">
        <v>142</v>
      </c>
      <c r="C59" s="24" t="s">
        <v>142</v>
      </c>
    </row>
    <row r="60" spans="1:3" ht="22.5" customHeight="1">
      <c r="A60" s="24" t="s">
        <v>101</v>
      </c>
      <c r="B60" s="24" t="s">
        <v>146</v>
      </c>
      <c r="C60" s="24" t="s">
        <v>146</v>
      </c>
    </row>
    <row r="61" spans="1:3" ht="22.5" customHeight="1">
      <c r="A61" s="25" t="s">
        <v>147</v>
      </c>
      <c r="B61" s="25" t="s">
        <v>147</v>
      </c>
      <c r="C61" s="25" t="s">
        <v>147</v>
      </c>
    </row>
    <row r="62" spans="1:3" ht="22.5" customHeight="1">
      <c r="A62" s="24" t="s">
        <v>101</v>
      </c>
      <c r="B62" s="24" t="s">
        <v>101</v>
      </c>
      <c r="C62" s="24" t="s">
        <v>148</v>
      </c>
    </row>
    <row r="63" spans="1:3" ht="22.5" customHeight="1">
      <c r="A63" s="27" t="s">
        <v>149</v>
      </c>
      <c r="B63" s="27" t="s">
        <v>149</v>
      </c>
      <c r="C63" s="27" t="s">
        <v>149</v>
      </c>
    </row>
    <row r="64" spans="1:3" ht="22.5" customHeight="1">
      <c r="A64" s="24" t="s">
        <v>101</v>
      </c>
      <c r="B64" s="24" t="s">
        <v>101</v>
      </c>
      <c r="C64" s="24" t="s">
        <v>150</v>
      </c>
    </row>
    <row r="65" spans="1:3" ht="22.5" customHeight="1">
      <c r="A65" s="24" t="s">
        <v>101</v>
      </c>
      <c r="B65" s="24" t="s">
        <v>101</v>
      </c>
      <c r="C65" s="24" t="s">
        <v>151</v>
      </c>
    </row>
    <row r="66" spans="1:3" ht="22.5" customHeight="1">
      <c r="A66" s="25" t="s">
        <v>152</v>
      </c>
      <c r="B66" s="25" t="s">
        <v>152</v>
      </c>
      <c r="C66" s="25" t="s">
        <v>152</v>
      </c>
    </row>
    <row r="67" spans="1:3" ht="22.5" customHeight="1">
      <c r="A67" s="24" t="s">
        <v>101</v>
      </c>
      <c r="B67" s="24" t="s">
        <v>101</v>
      </c>
      <c r="C67" s="24" t="s">
        <v>153</v>
      </c>
    </row>
    <row r="68" spans="1:3" ht="22.5" customHeight="1">
      <c r="A68" s="24" t="s">
        <v>101</v>
      </c>
      <c r="B68" s="24" t="s">
        <v>101</v>
      </c>
      <c r="C68" s="24" t="s">
        <v>154</v>
      </c>
    </row>
    <row r="69" spans="1:3" ht="22.5" customHeight="1">
      <c r="A69" s="24" t="s">
        <v>101</v>
      </c>
      <c r="B69" s="24" t="s">
        <v>101</v>
      </c>
      <c r="C69" s="26" t="s">
        <v>155</v>
      </c>
    </row>
    <row r="70" spans="1:3" ht="22.5" customHeight="1">
      <c r="A70" s="25" t="s">
        <v>156</v>
      </c>
      <c r="B70" s="25" t="s">
        <v>156</v>
      </c>
      <c r="C70" s="25" t="s">
        <v>156</v>
      </c>
    </row>
    <row r="71" spans="1:3" ht="22.5" customHeight="1">
      <c r="A71" s="24"/>
      <c r="B71" s="24" t="s">
        <v>101</v>
      </c>
      <c r="C71" s="24" t="s">
        <v>157</v>
      </c>
    </row>
    <row r="72" spans="1:3" ht="22.5" customHeight="1">
      <c r="A72" s="24"/>
      <c r="B72" s="24" t="s">
        <v>101</v>
      </c>
      <c r="C72" s="24" t="s">
        <v>158</v>
      </c>
    </row>
    <row r="73" spans="1:3" ht="22.5" customHeight="1">
      <c r="A73" s="24"/>
      <c r="B73" s="24" t="s">
        <v>101</v>
      </c>
      <c r="C73" s="24" t="s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F817C-FD4C-40F3-AF31-250BAAAD029E}">
  <dimension ref="A1:D50"/>
  <sheetViews>
    <sheetView workbookViewId="0">
      <selection activeCell="B12" sqref="B12"/>
    </sheetView>
  </sheetViews>
  <sheetFormatPr defaultRowHeight="12.75"/>
  <cols>
    <col min="1" max="1" width="46.5703125" customWidth="1"/>
    <col min="2" max="2" width="72.5703125" customWidth="1"/>
    <col min="3" max="3" width="29.85546875" customWidth="1"/>
    <col min="4" max="4" width="22.5703125" customWidth="1"/>
  </cols>
  <sheetData>
    <row r="1" spans="1:4" ht="15">
      <c r="A1" s="172" t="s">
        <v>160</v>
      </c>
      <c r="B1" s="172"/>
      <c r="C1" s="29" t="s">
        <v>161</v>
      </c>
      <c r="D1" s="29" t="s">
        <v>162</v>
      </c>
    </row>
    <row r="2" spans="1:4" ht="15">
      <c r="A2" s="169" t="s">
        <v>163</v>
      </c>
      <c r="B2" s="30" t="s">
        <v>164</v>
      </c>
      <c r="C2" s="31" t="s">
        <v>84</v>
      </c>
      <c r="D2" s="32" t="s">
        <v>165</v>
      </c>
    </row>
    <row r="3" spans="1:4" ht="15">
      <c r="A3" s="170"/>
      <c r="B3" s="33" t="s">
        <v>166</v>
      </c>
      <c r="C3" s="34" t="s">
        <v>84</v>
      </c>
      <c r="D3" s="35" t="s">
        <v>167</v>
      </c>
    </row>
    <row r="4" spans="1:4" ht="15">
      <c r="A4" s="170"/>
      <c r="B4" s="33" t="s">
        <v>168</v>
      </c>
      <c r="C4" s="34" t="s">
        <v>84</v>
      </c>
      <c r="D4" s="35" t="s">
        <v>169</v>
      </c>
    </row>
    <row r="5" spans="1:4" ht="15">
      <c r="A5" s="170"/>
      <c r="B5" s="33" t="s">
        <v>170</v>
      </c>
      <c r="C5" s="34" t="s">
        <v>84</v>
      </c>
      <c r="D5" s="35" t="s">
        <v>171</v>
      </c>
    </row>
    <row r="6" spans="1:4" ht="15">
      <c r="A6" s="170"/>
      <c r="B6" s="33" t="s">
        <v>172</v>
      </c>
      <c r="C6" s="34" t="s">
        <v>84</v>
      </c>
      <c r="D6" s="35" t="s">
        <v>169</v>
      </c>
    </row>
    <row r="7" spans="1:4" ht="15">
      <c r="A7" s="170"/>
      <c r="B7" s="33" t="s">
        <v>173</v>
      </c>
      <c r="C7" s="34" t="s">
        <v>84</v>
      </c>
      <c r="D7" s="35" t="s">
        <v>83</v>
      </c>
    </row>
    <row r="8" spans="1:4" ht="15">
      <c r="A8" s="170"/>
      <c r="B8" s="33" t="s">
        <v>174</v>
      </c>
      <c r="C8" s="34" t="s">
        <v>84</v>
      </c>
      <c r="D8" s="35" t="s">
        <v>83</v>
      </c>
    </row>
    <row r="9" spans="1:4" ht="15">
      <c r="A9" s="171"/>
      <c r="B9" s="36" t="s">
        <v>175</v>
      </c>
      <c r="C9" s="37" t="s">
        <v>84</v>
      </c>
      <c r="D9" s="38" t="s">
        <v>83</v>
      </c>
    </row>
    <row r="10" spans="1:4" ht="15">
      <c r="A10" s="169" t="s">
        <v>176</v>
      </c>
      <c r="B10" s="30" t="s">
        <v>177</v>
      </c>
      <c r="C10" s="31" t="s">
        <v>84</v>
      </c>
      <c r="D10" s="32" t="s">
        <v>165</v>
      </c>
    </row>
    <row r="11" spans="1:4" ht="15">
      <c r="A11" s="170"/>
      <c r="B11" s="33" t="s">
        <v>178</v>
      </c>
      <c r="C11" s="34" t="s">
        <v>84</v>
      </c>
      <c r="D11" s="35" t="s">
        <v>179</v>
      </c>
    </row>
    <row r="12" spans="1:4" ht="15">
      <c r="A12" s="170"/>
      <c r="B12" s="33" t="s">
        <v>180</v>
      </c>
      <c r="C12" s="34" t="s">
        <v>84</v>
      </c>
      <c r="D12" s="35" t="s">
        <v>181</v>
      </c>
    </row>
    <row r="13" spans="1:4" ht="15">
      <c r="A13" s="170"/>
      <c r="B13" s="33" t="s">
        <v>182</v>
      </c>
      <c r="C13" s="34" t="s">
        <v>84</v>
      </c>
      <c r="D13" s="35" t="s">
        <v>181</v>
      </c>
    </row>
    <row r="14" spans="1:4" ht="15">
      <c r="A14" s="170"/>
      <c r="B14" s="33" t="s">
        <v>183</v>
      </c>
      <c r="C14" s="34" t="s">
        <v>84</v>
      </c>
      <c r="D14" s="35" t="s">
        <v>165</v>
      </c>
    </row>
    <row r="15" spans="1:4" ht="15">
      <c r="A15" s="170"/>
      <c r="B15" s="33" t="s">
        <v>184</v>
      </c>
      <c r="C15" s="39" t="s">
        <v>85</v>
      </c>
      <c r="D15" s="35" t="s">
        <v>181</v>
      </c>
    </row>
    <row r="16" spans="1:4" ht="15">
      <c r="A16" s="170"/>
      <c r="B16" s="33" t="s">
        <v>185</v>
      </c>
      <c r="C16" s="39" t="s">
        <v>85</v>
      </c>
      <c r="D16" s="35" t="s">
        <v>181</v>
      </c>
    </row>
    <row r="17" spans="1:4" ht="15">
      <c r="A17" s="170"/>
      <c r="B17" s="33" t="s">
        <v>186</v>
      </c>
      <c r="C17" s="39" t="s">
        <v>85</v>
      </c>
      <c r="D17" s="35" t="s">
        <v>181</v>
      </c>
    </row>
    <row r="18" spans="1:4" ht="15">
      <c r="A18" s="170"/>
      <c r="B18" s="33" t="s">
        <v>187</v>
      </c>
      <c r="C18" s="40" t="s">
        <v>86</v>
      </c>
      <c r="D18" s="35" t="s">
        <v>188</v>
      </c>
    </row>
    <row r="19" spans="1:4" ht="15">
      <c r="A19" s="170"/>
      <c r="B19" s="33" t="s">
        <v>189</v>
      </c>
      <c r="C19" s="40" t="s">
        <v>86</v>
      </c>
      <c r="D19" s="35" t="s">
        <v>188</v>
      </c>
    </row>
    <row r="20" spans="1:4" ht="15">
      <c r="A20" s="170"/>
      <c r="B20" s="33" t="s">
        <v>190</v>
      </c>
      <c r="C20" s="40" t="s">
        <v>86</v>
      </c>
      <c r="D20" s="35" t="s">
        <v>181</v>
      </c>
    </row>
    <row r="21" spans="1:4" ht="15">
      <c r="A21" s="170"/>
      <c r="B21" s="33" t="s">
        <v>191</v>
      </c>
      <c r="C21" s="40" t="s">
        <v>86</v>
      </c>
      <c r="D21" s="35" t="s">
        <v>181</v>
      </c>
    </row>
    <row r="22" spans="1:4" ht="15">
      <c r="A22" s="170" t="s">
        <v>192</v>
      </c>
      <c r="B22" s="33" t="s">
        <v>193</v>
      </c>
      <c r="C22" s="34" t="s">
        <v>84</v>
      </c>
      <c r="D22" s="35" t="s">
        <v>194</v>
      </c>
    </row>
    <row r="23" spans="1:4" ht="15">
      <c r="A23" s="170"/>
      <c r="B23" s="33" t="s">
        <v>195</v>
      </c>
      <c r="C23" s="34" t="s">
        <v>84</v>
      </c>
      <c r="D23" s="35" t="s">
        <v>194</v>
      </c>
    </row>
    <row r="24" spans="1:4" ht="15">
      <c r="A24" s="171"/>
      <c r="B24" s="36" t="s">
        <v>182</v>
      </c>
      <c r="C24" s="37" t="s">
        <v>84</v>
      </c>
      <c r="D24" s="38" t="s">
        <v>194</v>
      </c>
    </row>
    <row r="25" spans="1:4" ht="15">
      <c r="A25" s="169" t="s">
        <v>196</v>
      </c>
      <c r="B25" s="30" t="s">
        <v>197</v>
      </c>
      <c r="C25" s="31" t="s">
        <v>84</v>
      </c>
      <c r="D25" s="32" t="s">
        <v>169</v>
      </c>
    </row>
    <row r="26" spans="1:4" ht="15">
      <c r="A26" s="170"/>
      <c r="B26" s="33" t="s">
        <v>198</v>
      </c>
      <c r="C26" s="34" t="s">
        <v>84</v>
      </c>
      <c r="D26" s="35" t="s">
        <v>169</v>
      </c>
    </row>
    <row r="27" spans="1:4" ht="15">
      <c r="A27" s="171"/>
      <c r="B27" s="36" t="s">
        <v>199</v>
      </c>
      <c r="C27" s="41" t="s">
        <v>85</v>
      </c>
      <c r="D27" s="38" t="s">
        <v>169</v>
      </c>
    </row>
    <row r="28" spans="1:4" ht="15">
      <c r="A28" s="170" t="s">
        <v>200</v>
      </c>
      <c r="B28" s="33" t="s">
        <v>201</v>
      </c>
      <c r="C28" s="40" t="s">
        <v>86</v>
      </c>
      <c r="D28" s="35" t="s">
        <v>169</v>
      </c>
    </row>
    <row r="29" spans="1:4" ht="15">
      <c r="A29" s="170"/>
      <c r="B29" s="33" t="s">
        <v>202</v>
      </c>
      <c r="C29" s="40" t="s">
        <v>86</v>
      </c>
      <c r="D29" s="35" t="s">
        <v>203</v>
      </c>
    </row>
    <row r="30" spans="1:4" ht="15">
      <c r="A30" s="171"/>
      <c r="B30" s="36" t="s">
        <v>204</v>
      </c>
      <c r="C30" s="42" t="s">
        <v>86</v>
      </c>
      <c r="D30" s="38" t="s">
        <v>203</v>
      </c>
    </row>
    <row r="31" spans="1:4" ht="15">
      <c r="A31" s="169" t="s">
        <v>205</v>
      </c>
      <c r="B31" s="30" t="s">
        <v>206</v>
      </c>
      <c r="C31" s="31" t="s">
        <v>84</v>
      </c>
      <c r="D31" s="32" t="s">
        <v>165</v>
      </c>
    </row>
    <row r="32" spans="1:4" ht="15">
      <c r="A32" s="170"/>
      <c r="B32" s="33" t="s">
        <v>207</v>
      </c>
      <c r="C32" s="34" t="s">
        <v>84</v>
      </c>
      <c r="D32" s="35" t="s">
        <v>167</v>
      </c>
    </row>
    <row r="33" spans="1:4" ht="15">
      <c r="A33" s="170"/>
      <c r="B33" s="33" t="s">
        <v>208</v>
      </c>
      <c r="C33" s="34" t="s">
        <v>84</v>
      </c>
      <c r="D33" s="35" t="s">
        <v>171</v>
      </c>
    </row>
    <row r="34" spans="1:4" ht="15">
      <c r="A34" s="170"/>
      <c r="B34" s="33" t="s">
        <v>209</v>
      </c>
      <c r="C34" s="34" t="s">
        <v>84</v>
      </c>
      <c r="D34" s="35" t="s">
        <v>169</v>
      </c>
    </row>
    <row r="35" spans="1:4" ht="15">
      <c r="A35" s="170"/>
      <c r="B35" s="33" t="s">
        <v>210</v>
      </c>
      <c r="C35" s="34" t="s">
        <v>84</v>
      </c>
      <c r="D35" s="35" t="s">
        <v>169</v>
      </c>
    </row>
    <row r="36" spans="1:4" ht="15">
      <c r="A36" s="170"/>
      <c r="B36" s="33" t="s">
        <v>211</v>
      </c>
      <c r="C36" s="34" t="s">
        <v>84</v>
      </c>
      <c r="D36" s="35" t="s">
        <v>169</v>
      </c>
    </row>
    <row r="37" spans="1:4" ht="15">
      <c r="A37" s="170"/>
      <c r="B37" s="33" t="s">
        <v>212</v>
      </c>
      <c r="C37" s="34" t="s">
        <v>84</v>
      </c>
      <c r="D37" s="35" t="s">
        <v>169</v>
      </c>
    </row>
    <row r="38" spans="1:4" ht="15">
      <c r="A38" s="170"/>
      <c r="B38" s="33" t="s">
        <v>213</v>
      </c>
      <c r="C38" s="34" t="s">
        <v>84</v>
      </c>
      <c r="D38" s="35" t="s">
        <v>169</v>
      </c>
    </row>
    <row r="39" spans="1:4" ht="15">
      <c r="A39" s="170"/>
      <c r="B39" s="33" t="s">
        <v>214</v>
      </c>
      <c r="C39" s="34" t="s">
        <v>84</v>
      </c>
      <c r="D39" s="35" t="s">
        <v>169</v>
      </c>
    </row>
    <row r="40" spans="1:4" ht="15">
      <c r="A40" s="170"/>
      <c r="B40" s="33" t="s">
        <v>215</v>
      </c>
      <c r="C40" s="34" t="s">
        <v>84</v>
      </c>
      <c r="D40" s="35" t="s">
        <v>169</v>
      </c>
    </row>
    <row r="41" spans="1:4" ht="15">
      <c r="A41" s="171"/>
      <c r="B41" s="36" t="s">
        <v>216</v>
      </c>
      <c r="C41" s="37" t="s">
        <v>84</v>
      </c>
      <c r="D41" s="38" t="s">
        <v>169</v>
      </c>
    </row>
    <row r="42" spans="1:4" ht="15">
      <c r="A42" s="169" t="s">
        <v>217</v>
      </c>
      <c r="B42" s="30" t="s">
        <v>218</v>
      </c>
      <c r="C42" s="31" t="s">
        <v>84</v>
      </c>
      <c r="D42" s="32" t="s">
        <v>83</v>
      </c>
    </row>
    <row r="43" spans="1:4" ht="15">
      <c r="A43" s="170"/>
      <c r="B43" s="33" t="s">
        <v>219</v>
      </c>
      <c r="C43" s="39" t="s">
        <v>85</v>
      </c>
      <c r="D43" s="35" t="s">
        <v>83</v>
      </c>
    </row>
    <row r="44" spans="1:4" ht="15">
      <c r="A44" s="170"/>
      <c r="B44" s="33" t="s">
        <v>220</v>
      </c>
      <c r="C44" s="39" t="s">
        <v>85</v>
      </c>
      <c r="D44" s="35" t="s">
        <v>83</v>
      </c>
    </row>
    <row r="45" spans="1:4" ht="15">
      <c r="A45" s="169" t="s">
        <v>221</v>
      </c>
      <c r="B45" s="30" t="s">
        <v>222</v>
      </c>
      <c r="C45" s="31" t="s">
        <v>84</v>
      </c>
      <c r="D45" s="32" t="s">
        <v>171</v>
      </c>
    </row>
    <row r="46" spans="1:4" ht="15">
      <c r="A46" s="170"/>
      <c r="B46" s="33" t="s">
        <v>223</v>
      </c>
      <c r="C46" s="40" t="s">
        <v>86</v>
      </c>
      <c r="D46" s="35" t="s">
        <v>171</v>
      </c>
    </row>
    <row r="47" spans="1:4" ht="15">
      <c r="A47" s="170" t="s">
        <v>224</v>
      </c>
      <c r="B47" s="33" t="s">
        <v>225</v>
      </c>
      <c r="C47" s="34" t="s">
        <v>84</v>
      </c>
      <c r="D47" s="35" t="s">
        <v>83</v>
      </c>
    </row>
    <row r="48" spans="1:4" ht="15">
      <c r="A48" s="170"/>
      <c r="B48" s="33" t="s">
        <v>226</v>
      </c>
      <c r="C48" s="34" t="s">
        <v>84</v>
      </c>
      <c r="D48" s="35" t="s">
        <v>227</v>
      </c>
    </row>
    <row r="49" spans="1:4" ht="15">
      <c r="A49" s="170"/>
      <c r="B49" s="33" t="s">
        <v>228</v>
      </c>
      <c r="C49" s="34" t="s">
        <v>84</v>
      </c>
      <c r="D49" s="35" t="s">
        <v>83</v>
      </c>
    </row>
    <row r="50" spans="1:4" ht="15">
      <c r="A50" s="171"/>
      <c r="B50" s="36" t="s">
        <v>229</v>
      </c>
      <c r="C50" s="37" t="s">
        <v>84</v>
      </c>
      <c r="D50" s="38" t="s">
        <v>83</v>
      </c>
    </row>
  </sheetData>
  <mergeCells count="10">
    <mergeCell ref="A31:A41"/>
    <mergeCell ref="A42:A44"/>
    <mergeCell ref="A45:A46"/>
    <mergeCell ref="A47:A50"/>
    <mergeCell ref="A1:B1"/>
    <mergeCell ref="A2:A9"/>
    <mergeCell ref="A10:A21"/>
    <mergeCell ref="A22:A24"/>
    <mergeCell ref="A25:A27"/>
    <mergeCell ref="A28:A3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1F3BBB711B4BE45A63189ACF0ADBC8A" ma:contentTypeVersion="12" ma:contentTypeDescription="Utwórz nowy dokument." ma:contentTypeScope="" ma:versionID="ece350e68d61dc0cfd5f39b4aeb07a6b">
  <xsd:schema xmlns:xsd="http://www.w3.org/2001/XMLSchema" xmlns:xs="http://www.w3.org/2001/XMLSchema" xmlns:p="http://schemas.microsoft.com/office/2006/metadata/properties" xmlns:ns2="ef353d20-e05d-4f43-b074-5080bc5588b5" xmlns:ns3="5922ac6d-6569-46c4-b721-5060ac1593f8" targetNamespace="http://schemas.microsoft.com/office/2006/metadata/properties" ma:root="true" ma:fieldsID="a4b9fc88e7435ac50c5199340938c735" ns2:_="" ns3:_="">
    <xsd:import namespace="ef353d20-e05d-4f43-b074-5080bc5588b5"/>
    <xsd:import namespace="5922ac6d-6569-46c4-b721-5060ac1593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353d20-e05d-4f43-b074-5080bc558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Tagi obrazów" ma:readOnly="false" ma:fieldId="{5cf76f15-5ced-4ddc-b409-7134ff3c332f}" ma:taxonomyMulti="true" ma:sspId="40524fe6-39e2-4a0e-b1ba-07a09aceac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2ac6d-6569-46c4-b721-5060ac1593f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c703cbd-f0b2-4168-94e5-14db9208c508}" ma:internalName="TaxCatchAll" ma:showField="CatchAllData" ma:web="5922ac6d-6569-46c4-b721-5060ac1593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922ac6d-6569-46c4-b721-5060ac1593f8" xsi:nil="true"/>
    <lcf76f155ced4ddcb4097134ff3c332f xmlns="ef353d20-e05d-4f43-b074-5080bc5588b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9A93FF-39E2-45E7-B3A6-8B0A115744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353d20-e05d-4f43-b074-5080bc5588b5"/>
    <ds:schemaRef ds:uri="5922ac6d-6569-46c4-b721-5060ac1593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814C2BC-4F76-4D8A-A0DA-D6CC6413C3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574A3D-3348-4841-8194-C44F306FCE0E}">
  <ds:schemaRefs>
    <ds:schemaRef ds:uri="http://schemas.microsoft.com/office/2006/metadata/properties"/>
    <ds:schemaRef ds:uri="http://schemas.microsoft.com/office/infopath/2007/PartnerControls"/>
    <ds:schemaRef ds:uri="5922ac6d-6569-46c4-b721-5060ac1593f8"/>
    <ds:schemaRef ds:uri="ef353d20-e05d-4f43-b074-5080bc5588b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Price</vt:lpstr>
      <vt:lpstr>Packages and functionalities</vt:lpstr>
      <vt:lpstr>Arkusz2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Andrzej Lechowicz</cp:lastModifiedBy>
  <dcterms:created xsi:type="dcterms:W3CDTF">2026-02-02T21:32:06Z</dcterms:created>
  <dcterms:modified xsi:type="dcterms:W3CDTF">2026-02-24T10:45:55Z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0x01010011F3BBB711B4BE45A63189ACF0ADBC8A</vt:lpwstr>
  </property>
  <property fmtid="{D5CDD505-2E9C-101B-9397-08002B2CF9AE}" pid="3" name="MediaServiceImageTags">
    <vt:lpwstr/>
  </property>
</Properties>
</file>