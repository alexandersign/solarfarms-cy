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icing_Model_All_Projects" sheetId="1" state="visible" r:id="rId1"/>
    <sheet name="Verif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€]#,##0.00"/>
    <numFmt numFmtId="165" formatCode="€#,##0"/>
    <numFmt numFmtId="166" formatCode="0.0"/>
    <numFmt numFmtId="167" formatCode="€#,##0.00"/>
  </numFmts>
  <fonts count="21">
    <font>
      <name val="Calibri"/>
      <color theme="1"/>
      <sz val="11"/>
      <scheme val="minor"/>
    </font>
    <font>
      <name val="Calibri"/>
      <b val="1"/>
      <color rgb="FF000000"/>
    </font>
    <font>
      <name val="Calibri"/>
      <b val="1"/>
      <color rgb="FF000000"/>
      <sz val="11"/>
    </font>
    <font>
      <name val="Calibri"/>
      <color theme="1"/>
      <sz val="8"/>
    </font>
    <font>
      <name val="Calibri"/>
      <color theme="1"/>
      <sz val="19"/>
    </font>
    <font>
      <name val="Calibri"/>
      <b val="1"/>
      <color theme="1"/>
      <sz val="10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rgb="FFFFFFFF"/>
      <sz val="12"/>
    </font>
    <font>
      <name val="Calibri"/>
      <color theme="1"/>
      <sz val="12"/>
      <scheme val="minor"/>
    </font>
    <font>
      <name val="Calibri"/>
      <color theme="1"/>
      <sz val="12"/>
    </font>
    <font>
      <b val="1"/>
      <color rgb="00FFFFFF"/>
    </font>
    <font>
      <b val="1"/>
      <color rgb="00FFFFFF"/>
      <sz val="9"/>
    </font>
    <font>
      <b val="1"/>
      <sz val="8"/>
    </font>
    <font>
      <b val="1"/>
    </font>
    <font>
      <b val="1"/>
      <sz val="11"/>
    </font>
    <font>
      <b val="1"/>
      <color rgb="00FFFFFF"/>
      <sz val="8"/>
    </font>
    <font>
      <b val="1"/>
      <color rgb="001F4E79"/>
    </font>
    <font>
      <b val="1"/>
      <color rgb="00548235"/>
    </font>
    <font>
      <b val="1"/>
      <color rgb="00C55A11"/>
    </font>
    <font>
      <b val="1"/>
      <color rgb="00FF0000"/>
    </font>
  </fonts>
  <fills count="35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4F81BD"/>
        <bgColor rgb="FF4F81BD"/>
      </patternFill>
    </fill>
    <fill>
      <patternFill patternType="solid">
        <fgColor rgb="FFFFF2CC"/>
        <bgColor rgb="FFFFF2CC"/>
      </patternFill>
    </fill>
    <fill>
      <patternFill patternType="solid">
        <fgColor rgb="FFB8CCE4"/>
        <bgColor rgb="FFB8CCE4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BE5F1"/>
        <bgColor rgb="FFDBE5F1"/>
      </patternFill>
    </fill>
    <fill>
      <patternFill patternType="solid">
        <fgColor rgb="FFFFD966"/>
        <bgColor rgb="FFFFD966"/>
      </patternFill>
    </fill>
    <fill>
      <patternFill patternType="solid">
        <fgColor rgb="FF2F5597"/>
        <bgColor rgb="FF2F5597"/>
      </patternFill>
    </fill>
    <fill>
      <patternFill patternType="solid">
        <fgColor rgb="001E3A5F"/>
        <bgColor rgb="001E3A5F"/>
      </patternFill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0000"/>
        <bgColor rgb="00FF0000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7030A0"/>
        <bgColor rgb="007030A0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FF6B6B"/>
        <bgColor rgb="00FF6B6B"/>
      </patternFill>
    </fill>
    <fill>
      <patternFill patternType="solid">
        <fgColor rgb="00D9E2F3"/>
        <bgColor rgb="00D9E2F3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FFFF00"/>
        <bgColor rgb="00FFFF00"/>
      </patternFill>
    </fill>
    <fill>
      <patternFill patternType="solid">
        <fgColor rgb="00DDEBF7"/>
        <bgColor rgb="00DDEBF7"/>
      </patternFill>
    </fill>
    <fill>
      <patternFill patternType="solid">
        <fgColor rgb="00E4DFEC"/>
        <bgColor rgb="00E4DFEC"/>
      </patternFill>
    </fill>
    <fill>
      <patternFill patternType="solid">
        <fgColor rgb="00D9EAD3"/>
        <bgColor rgb="00D9EAD3"/>
      </patternFill>
    </fill>
  </fills>
  <borders count="4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1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4" fontId="1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wrapText="1"/>
    </xf>
    <xf numFmtId="2" fontId="3" fillId="0" borderId="1" applyAlignment="1" pivotButton="0" quotePrefix="0" xfId="0">
      <alignment wrapText="1"/>
    </xf>
    <xf numFmtId="2" fontId="3" fillId="5" borderId="1" applyAlignment="1" pivotButton="0" quotePrefix="0" xfId="0">
      <alignment horizontal="right" vertical="bottom" wrapText="1"/>
    </xf>
    <xf numFmtId="10" fontId="3" fillId="5" borderId="1" applyAlignment="1" pivotButton="0" quotePrefix="0" xfId="0">
      <alignment horizontal="right" vertical="bottom" wrapText="1"/>
    </xf>
    <xf numFmtId="3" fontId="3" fillId="5" borderId="1" applyAlignment="1" pivotButton="0" quotePrefix="0" xfId="0">
      <alignment horizontal="right" vertical="bottom" wrapText="1"/>
    </xf>
    <xf numFmtId="0" fontId="3" fillId="0" borderId="1" applyAlignment="1" pivotButton="0" quotePrefix="0" xfId="0">
      <alignment wrapText="1"/>
    </xf>
    <xf numFmtId="3" fontId="3" fillId="0" borderId="1" applyAlignment="1" pivotButton="0" quotePrefix="0" xfId="0">
      <alignment wrapText="1"/>
    </xf>
    <xf numFmtId="3" fontId="3" fillId="0" borderId="1" applyAlignment="1" pivotButton="0" quotePrefix="0" xfId="0">
      <alignment wrapText="1"/>
    </xf>
    <xf numFmtId="10" fontId="3" fillId="0" borderId="1" applyAlignment="1" pivotButton="0" quotePrefix="0" xfId="0">
      <alignment wrapText="1"/>
    </xf>
    <xf numFmtId="3" fontId="3" fillId="0" borderId="1" applyAlignment="1" pivotButton="0" quotePrefix="0" xfId="0">
      <alignment wrapText="1"/>
    </xf>
    <xf numFmtId="164" fontId="3" fillId="0" borderId="1" applyAlignment="1" pivotButton="0" quotePrefix="0" xfId="0">
      <alignment wrapText="1"/>
    </xf>
    <xf numFmtId="2" fontId="4" fillId="6" borderId="0" applyAlignment="1" pivotButton="0" quotePrefix="0" xfId="0">
      <alignment wrapText="1"/>
    </xf>
    <xf numFmtId="0" fontId="5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wrapText="1"/>
    </xf>
    <xf numFmtId="3" fontId="3" fillId="7" borderId="1" applyAlignment="1" pivotButton="0" quotePrefix="0" xfId="0">
      <alignment wrapText="1"/>
    </xf>
    <xf numFmtId="3" fontId="3" fillId="8" borderId="1" applyAlignment="1" pivotButton="0" quotePrefix="0" xfId="0">
      <alignment wrapText="1"/>
    </xf>
    <xf numFmtId="3" fontId="3" fillId="4" borderId="1" applyAlignment="1" pivotButton="0" quotePrefix="0" xfId="0">
      <alignment wrapText="1"/>
    </xf>
    <xf numFmtId="3" fontId="3" fillId="8" borderId="1" applyAlignment="1" pivotButton="0" quotePrefix="0" xfId="0">
      <alignment wrapText="1"/>
    </xf>
    <xf numFmtId="3" fontId="3" fillId="9" borderId="1" applyAlignment="1" pivotButton="0" quotePrefix="0" xfId="0">
      <alignment wrapText="1"/>
    </xf>
    <xf numFmtId="3" fontId="3" fillId="10" borderId="1" applyAlignment="1" pivotButton="0" quotePrefix="0" xfId="0">
      <alignment wrapText="1"/>
    </xf>
    <xf numFmtId="2" fontId="3" fillId="0" borderId="0" applyAlignment="1" pivotButton="0" quotePrefix="0" xfId="0">
      <alignment wrapText="1"/>
    </xf>
    <xf numFmtId="0" fontId="6" fillId="0" borderId="1" pivotButton="0" quotePrefix="0" xfId="0"/>
    <xf numFmtId="2" fontId="6" fillId="0" borderId="1" pivotButton="0" quotePrefix="0" xfId="0"/>
    <xf numFmtId="2" fontId="6" fillId="5" borderId="1" applyAlignment="1" pivotButton="0" quotePrefix="0" xfId="0">
      <alignment horizontal="right" vertical="bottom"/>
    </xf>
    <xf numFmtId="10" fontId="6" fillId="5" borderId="1" applyAlignment="1" pivotButton="0" quotePrefix="0" xfId="0">
      <alignment horizontal="right" vertical="bottom"/>
    </xf>
    <xf numFmtId="3" fontId="6" fillId="5" borderId="1" applyAlignment="1" pivotButton="0" quotePrefix="0" xfId="0">
      <alignment horizontal="right" vertical="bottom"/>
    </xf>
    <xf numFmtId="3" fontId="6" fillId="0" borderId="1" pivotButton="0" quotePrefix="0" xfId="0"/>
    <xf numFmtId="3" fontId="6" fillId="0" borderId="1" pivotButton="0" quotePrefix="0" xfId="0"/>
    <xf numFmtId="3" fontId="6" fillId="0" borderId="1" pivotButton="0" quotePrefix="0" xfId="0"/>
    <xf numFmtId="164" fontId="6" fillId="0" borderId="1" pivotButton="0" quotePrefix="0" xfId="0"/>
    <xf numFmtId="2" fontId="6" fillId="0" borderId="0" pivotButton="0" quotePrefix="0" xfId="0"/>
    <xf numFmtId="2" fontId="6" fillId="11" borderId="1" applyAlignment="1" pivotButton="0" quotePrefix="0" xfId="0">
      <alignment horizontal="right" vertical="bottom"/>
    </xf>
    <xf numFmtId="3" fontId="6" fillId="11" borderId="1" applyAlignment="1" pivotButton="0" quotePrefix="0" xfId="0">
      <alignment horizontal="right" vertical="bottom"/>
    </xf>
    <xf numFmtId="3" fontId="6" fillId="5" borderId="1" applyAlignment="1" pivotButton="0" quotePrefix="0" xfId="0">
      <alignment horizontal="right" vertical="bottom"/>
    </xf>
    <xf numFmtId="0" fontId="6" fillId="12" borderId="1" pivotButton="0" quotePrefix="0" xfId="0"/>
    <xf numFmtId="2" fontId="6" fillId="12" borderId="1" pivotButton="0" quotePrefix="0" xfId="0"/>
    <xf numFmtId="2" fontId="6" fillId="12" borderId="1" applyAlignment="1" pivotButton="0" quotePrefix="0" xfId="0">
      <alignment horizontal="right" vertical="bottom"/>
    </xf>
    <xf numFmtId="10" fontId="6" fillId="12" borderId="1" applyAlignment="1" pivotButton="0" quotePrefix="0" xfId="0">
      <alignment horizontal="right" vertical="bottom"/>
    </xf>
    <xf numFmtId="3" fontId="6" fillId="12" borderId="1" applyAlignment="1" pivotButton="0" quotePrefix="0" xfId="0">
      <alignment horizontal="right" vertical="bottom"/>
    </xf>
    <xf numFmtId="3" fontId="6" fillId="12" borderId="1" pivotButton="0" quotePrefix="0" xfId="0"/>
    <xf numFmtId="3" fontId="6" fillId="12" borderId="1" pivotButton="0" quotePrefix="0" xfId="0"/>
    <xf numFmtId="164" fontId="6" fillId="12" borderId="1" pivotButton="0" quotePrefix="0" xfId="0"/>
    <xf numFmtId="2" fontId="6" fillId="12" borderId="0" pivotButton="0" quotePrefix="0" xfId="0"/>
    <xf numFmtId="2" fontId="6" fillId="11" borderId="1" applyAlignment="1" pivotButton="0" quotePrefix="0" xfId="0">
      <alignment horizontal="right" vertical="bottom"/>
    </xf>
    <xf numFmtId="2" fontId="6" fillId="0" borderId="1" pivotButton="0" quotePrefix="0" xfId="0"/>
    <xf numFmtId="0" fontId="6" fillId="0" borderId="0" pivotButton="0" quotePrefix="0" xfId="0"/>
    <xf numFmtId="0" fontId="6" fillId="11" borderId="0" applyAlignment="1" pivotButton="0" quotePrefix="0" xfId="0">
      <alignment vertical="bottom"/>
    </xf>
    <xf numFmtId="10" fontId="6" fillId="0" borderId="0" pivotButton="0" quotePrefix="0" xfId="0"/>
    <xf numFmtId="3" fontId="6" fillId="0" borderId="0" pivotButton="0" quotePrefix="0" xfId="0"/>
    <xf numFmtId="164" fontId="6" fillId="0" borderId="0" pivotButton="0" quotePrefix="0" xfId="0"/>
    <xf numFmtId="164" fontId="6" fillId="0" borderId="1" pivotButton="0" quotePrefix="0" xfId="0"/>
    <xf numFmtId="0" fontId="7" fillId="0" borderId="0" pivotButton="0" quotePrefix="0" xfId="0"/>
    <xf numFmtId="164" fontId="7" fillId="0" borderId="0" pivotButton="0" quotePrefix="0" xfId="0"/>
    <xf numFmtId="2" fontId="6" fillId="11" borderId="0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6" fillId="0" borderId="0" pivotButton="0" quotePrefix="0" xfId="0"/>
    <xf numFmtId="0" fontId="8" fillId="13" borderId="2" pivotButton="0" quotePrefix="0" xfId="0"/>
    <xf numFmtId="0" fontId="9" fillId="0" borderId="0" pivotButton="0" quotePrefix="0" xfId="0"/>
    <xf numFmtId="0" fontId="10" fillId="0" borderId="1" pivotButton="0" quotePrefix="0" xfId="0"/>
    <xf numFmtId="0" fontId="9" fillId="0" borderId="0" pivotButton="0" quotePrefix="0" xfId="0"/>
    <xf numFmtId="0" fontId="0" fillId="0" borderId="0" pivotButton="0" quotePrefix="0" xfId="0"/>
    <xf numFmtId="0" fontId="11" fillId="14" borderId="0" applyAlignment="1" pivotButton="0" quotePrefix="0" xfId="0">
      <alignment horizontal="center" wrapText="1"/>
    </xf>
    <xf numFmtId="165" fontId="6" fillId="0" borderId="1" pivotButton="0" quotePrefix="0" xfId="0"/>
    <xf numFmtId="165" fontId="0" fillId="0" borderId="0" pivotButton="0" quotePrefix="0" xfId="0"/>
    <xf numFmtId="165" fontId="6" fillId="12" borderId="1" pivotButton="0" quotePrefix="0" xfId="0"/>
    <xf numFmtId="0" fontId="12" fillId="15" borderId="3" applyAlignment="1" pivotButton="0" quotePrefix="0" xfId="0">
      <alignment horizontal="center" wrapText="1"/>
    </xf>
    <xf numFmtId="0" fontId="13" fillId="0" borderId="0" applyAlignment="1" pivotButton="0" quotePrefix="0" xfId="0">
      <alignment horizontal="center" wrapText="1"/>
    </xf>
    <xf numFmtId="0" fontId="12" fillId="15" borderId="0" pivotButton="0" quotePrefix="0" xfId="0"/>
    <xf numFmtId="2" fontId="6" fillId="16" borderId="1" pivotButton="0" quotePrefix="0" xfId="0"/>
    <xf numFmtId="3" fontId="0" fillId="0" borderId="0" pivotButton="0" quotePrefix="0" xfId="0"/>
    <xf numFmtId="0" fontId="0" fillId="16" borderId="0" pivotButton="0" quotePrefix="0" xfId="0"/>
    <xf numFmtId="2" fontId="6" fillId="17" borderId="1" pivotButton="0" quotePrefix="0" xfId="0"/>
    <xf numFmtId="0" fontId="0" fillId="17" borderId="0" pivotButton="0" quotePrefix="0" xfId="0"/>
    <xf numFmtId="0" fontId="6" fillId="16" borderId="1" pivotButton="0" quotePrefix="0" xfId="0"/>
    <xf numFmtId="0" fontId="12" fillId="15" borderId="1" applyAlignment="1" pivotButton="0" quotePrefix="0" xfId="0">
      <alignment horizontal="center" wrapText="1"/>
    </xf>
    <xf numFmtId="0" fontId="12" fillId="15" borderId="0" applyAlignment="1" pivotButton="0" quotePrefix="0" xfId="0">
      <alignment horizontal="center" wrapText="1"/>
    </xf>
    <xf numFmtId="10" fontId="12" fillId="15" borderId="1" applyAlignment="1" pivotButton="0" quotePrefix="0" xfId="0">
      <alignment horizontal="center" wrapText="1"/>
    </xf>
    <xf numFmtId="164" fontId="12" fillId="15" borderId="1" applyAlignment="1" pivotButton="0" quotePrefix="0" xfId="0">
      <alignment horizontal="center" wrapText="1"/>
    </xf>
    <xf numFmtId="0" fontId="14" fillId="0" borderId="0" pivotButton="0" quotePrefix="0" xfId="0"/>
    <xf numFmtId="3" fontId="14" fillId="0" borderId="0" pivotButton="0" quotePrefix="0" xfId="0"/>
    <xf numFmtId="0" fontId="15" fillId="0" borderId="0" pivotButton="0" quotePrefix="0" xfId="0"/>
    <xf numFmtId="0" fontId="6" fillId="16" borderId="0" pivotButton="0" quotePrefix="0" xfId="0"/>
    <xf numFmtId="3" fontId="0" fillId="16" borderId="0" pivotButton="0" quotePrefix="0" xfId="0"/>
    <xf numFmtId="166" fontId="0" fillId="16" borderId="0" pivotButton="0" quotePrefix="0" xfId="0"/>
    <xf numFmtId="166" fontId="14" fillId="0" borderId="0" pivotButton="0" quotePrefix="0" xfId="0"/>
    <xf numFmtId="166" fontId="0" fillId="0" borderId="0" pivotButton="0" quotePrefix="0" xfId="0"/>
    <xf numFmtId="0" fontId="0" fillId="18" borderId="0" pivotButton="0" quotePrefix="0" xfId="0"/>
    <xf numFmtId="3" fontId="0" fillId="18" borderId="0" pivotButton="0" quotePrefix="0" xfId="0"/>
    <xf numFmtId="0" fontId="12" fillId="22" borderId="1" applyAlignment="1" pivotButton="0" quotePrefix="0" xfId="0">
      <alignment horizontal="center" wrapText="1"/>
    </xf>
    <xf numFmtId="0" fontId="12" fillId="22" borderId="0" applyAlignment="1" pivotButton="0" quotePrefix="0" xfId="0">
      <alignment horizontal="center" wrapText="1"/>
    </xf>
    <xf numFmtId="0" fontId="12" fillId="23" borderId="1" applyAlignment="1" pivotButton="0" quotePrefix="0" xfId="0">
      <alignment horizontal="center" wrapText="1"/>
    </xf>
    <xf numFmtId="0" fontId="12" fillId="24" borderId="1" applyAlignment="1" pivotButton="0" quotePrefix="0" xfId="0">
      <alignment horizontal="center" wrapText="1"/>
    </xf>
    <xf numFmtId="164" fontId="12" fillId="24" borderId="1" applyAlignment="1" pivotButton="0" quotePrefix="0" xfId="0">
      <alignment horizontal="center" wrapText="1"/>
    </xf>
    <xf numFmtId="0" fontId="12" fillId="24" borderId="3" applyAlignment="1" pivotButton="0" quotePrefix="0" xfId="0">
      <alignment horizontal="center" wrapText="1"/>
    </xf>
    <xf numFmtId="0" fontId="12" fillId="25" borderId="0" applyAlignment="1" pivotButton="0" quotePrefix="0" xfId="0">
      <alignment horizontal="center" wrapText="1"/>
    </xf>
    <xf numFmtId="0" fontId="12" fillId="26" borderId="0" applyAlignment="1" pivotButton="0" quotePrefix="0" xfId="0">
      <alignment horizontal="center" wrapText="1"/>
    </xf>
    <xf numFmtId="0" fontId="12" fillId="21" borderId="0" applyAlignment="1" pivotButton="0" quotePrefix="0" xfId="0">
      <alignment horizontal="center" wrapText="1"/>
    </xf>
    <xf numFmtId="0" fontId="16" fillId="27" borderId="1" applyAlignment="1" pivotButton="0" quotePrefix="0" xfId="0">
      <alignment wrapText="1"/>
    </xf>
    <xf numFmtId="3" fontId="16" fillId="27" borderId="1" applyAlignment="1" pivotButton="0" quotePrefix="0" xfId="0">
      <alignment wrapText="1"/>
    </xf>
    <xf numFmtId="0" fontId="17" fillId="28" borderId="0" pivotButton="0" quotePrefix="0" xfId="0"/>
    <xf numFmtId="0" fontId="18" fillId="29" borderId="0" pivotButton="0" quotePrefix="0" xfId="0"/>
    <xf numFmtId="0" fontId="19" fillId="30" borderId="0" pivotButton="0" quotePrefix="0" xfId="0"/>
    <xf numFmtId="0" fontId="0" fillId="20" borderId="0" pivotButton="0" quotePrefix="0" xfId="0"/>
    <xf numFmtId="0" fontId="11" fillId="19" borderId="0" pivotButton="0" quotePrefix="0" xfId="0"/>
    <xf numFmtId="0" fontId="20" fillId="31" borderId="0" pivotButton="0" quotePrefix="0" xfId="0"/>
    <xf numFmtId="0" fontId="11" fillId="21" borderId="0" applyAlignment="1" pivotButton="0" quotePrefix="0" xfId="0">
      <alignment horizontal="center" wrapText="1"/>
    </xf>
    <xf numFmtId="0" fontId="0" fillId="29" borderId="0" applyAlignment="1" pivotButton="0" quotePrefix="0" xfId="0">
      <alignment vertical="bottom"/>
    </xf>
    <xf numFmtId="2" fontId="6" fillId="29" borderId="1" pivotButton="0" quotePrefix="0" xfId="0"/>
    <xf numFmtId="0" fontId="0" fillId="30" borderId="0" applyAlignment="1" pivotButton="0" quotePrefix="0" xfId="0">
      <alignment vertical="bottom"/>
    </xf>
    <xf numFmtId="2" fontId="6" fillId="30" borderId="1" pivotButton="0" quotePrefix="0" xfId="0"/>
    <xf numFmtId="0" fontId="0" fillId="32" borderId="0" applyAlignment="1" pivotButton="0" quotePrefix="0" xfId="0">
      <alignment vertical="bottom"/>
    </xf>
    <xf numFmtId="2" fontId="6" fillId="32" borderId="1" pivotButton="0" quotePrefix="0" xfId="0"/>
    <xf numFmtId="0" fontId="0" fillId="20" borderId="0" applyAlignment="1" pivotButton="0" quotePrefix="0" xfId="0">
      <alignment vertical="bottom"/>
    </xf>
    <xf numFmtId="2" fontId="6" fillId="20" borderId="1" pivotButton="0" quotePrefix="0" xfId="0"/>
    <xf numFmtId="0" fontId="0" fillId="33" borderId="0" applyAlignment="1" pivotButton="0" quotePrefix="0" xfId="0">
      <alignment vertical="bottom"/>
    </xf>
    <xf numFmtId="2" fontId="6" fillId="33" borderId="1" pivotButton="0" quotePrefix="0" xfId="0"/>
    <xf numFmtId="0" fontId="0" fillId="34" borderId="0" applyAlignment="1" pivotButton="0" quotePrefix="0" xfId="0">
      <alignment vertical="bottom"/>
    </xf>
    <xf numFmtId="2" fontId="6" fillId="34" borderId="1" pivotButton="0" quotePrefix="0" xfId="0"/>
    <xf numFmtId="2" fontId="0" fillId="29" borderId="0" applyAlignment="1" pivotButton="0" quotePrefix="0" xfId="0">
      <alignment vertical="bottom"/>
    </xf>
    <xf numFmtId="2" fontId="0" fillId="0" borderId="0" applyAlignment="1" pivotButton="0" quotePrefix="0" xfId="0">
      <alignment vertical="bottom"/>
    </xf>
    <xf numFmtId="167" fontId="6" fillId="5" borderId="1" applyAlignment="1" pivotButton="0" quotePrefix="0" xfId="0">
      <alignment horizontal="right" vertical="bottom"/>
    </xf>
    <xf numFmtId="167" fontId="6" fillId="0" borderId="1" pivotButton="0" quotePrefix="0" xfId="0"/>
    <xf numFmtId="167" fontId="0" fillId="0" borderId="0" pivotButton="0" quotePrefix="0" xfId="0"/>
    <xf numFmtId="167" fontId="0" fillId="16" borderId="0" pivotButton="0" quotePrefix="0" xfId="0"/>
    <xf numFmtId="10" fontId="0" fillId="16" borderId="0" pivotButton="0" quotePrefix="0" xfId="0"/>
    <xf numFmtId="10" fontId="0" fillId="0" borderId="0" pivotButton="0" quotePrefix="0" xfId="0"/>
    <xf numFmtId="167" fontId="0" fillId="0" borderId="0" applyAlignment="1" pivotButton="0" quotePrefix="0" xfId="0">
      <alignment vertical="bottom"/>
    </xf>
    <xf numFmtId="167" fontId="6" fillId="11" borderId="1" applyAlignment="1" pivotButton="0" quotePrefix="0" xfId="0">
      <alignment horizontal="right" vertical="bottom"/>
    </xf>
    <xf numFmtId="167" fontId="0" fillId="20" borderId="0" pivotButton="0" quotePrefix="0" xfId="0"/>
    <xf numFmtId="10" fontId="0" fillId="0" borderId="0" applyAlignment="1" pivotButton="0" quotePrefix="0" xfId="0">
      <alignment vertical="bottom"/>
    </xf>
    <xf numFmtId="167" fontId="0" fillId="18" borderId="0" pivotButton="0" quotePrefix="0" xfId="0"/>
    <xf numFmtId="2" fontId="0" fillId="32" borderId="0" applyAlignment="1" pivotButton="0" quotePrefix="0" xfId="0">
      <alignment vertical="bottom"/>
    </xf>
    <xf numFmtId="167" fontId="6" fillId="12" borderId="1" applyAlignment="1" pivotButton="0" quotePrefix="0" xfId="0">
      <alignment horizontal="right" vertical="bottom"/>
    </xf>
    <xf numFmtId="167" fontId="6" fillId="12" borderId="1" pivotButton="0" quotePrefix="0" xfId="0"/>
    <xf numFmtId="2" fontId="0" fillId="30" borderId="0" applyAlignment="1" pivotButton="0" quotePrefix="0" xfId="0">
      <alignment vertical="bottom"/>
    </xf>
    <xf numFmtId="2" fontId="0" fillId="20" borderId="0" applyAlignment="1" pivotButton="0" quotePrefix="0" xfId="0">
      <alignment vertical="bottom"/>
    </xf>
    <xf numFmtId="2" fontId="0" fillId="33" borderId="0" applyAlignment="1" pivotButton="0" quotePrefix="0" xfId="0">
      <alignment vertical="bottom"/>
    </xf>
    <xf numFmtId="2" fontId="0" fillId="34" borderId="0" applyAlignment="1" pivotButton="0" quotePrefix="0" xfId="0">
      <alignment vertical="bottom"/>
    </xf>
    <xf numFmtId="2" fontId="0" fillId="0" borderId="0" pivotButton="0" quotePrefix="0" xfId="0"/>
    <xf numFmtId="167" fontId="6" fillId="11" borderId="0" applyAlignment="1" pivotButton="0" quotePrefix="0" xfId="0">
      <alignment vertical="bottom"/>
    </xf>
    <xf numFmtId="167" fontId="6" fillId="0" borderId="0" pivotButton="0" quotePrefix="0" xfId="0"/>
    <xf numFmtId="2" fontId="14" fillId="0" borderId="0" pivotButton="0" quotePrefix="0" xfId="0"/>
    <xf numFmtId="167" fontId="7" fillId="0" borderId="0" pivotButton="0" quotePrefix="0" xfId="0"/>
    <xf numFmtId="167" fontId="14" fillId="0" borderId="0" pivotButton="0" quotePrefix="0" xfId="0"/>
    <xf numFmtId="10" fontId="14" fillId="0" borderId="0" pivotButton="0" quotePrefix="0" xfId="0"/>
    <xf numFmtId="0" fontId="14" fillId="22" borderId="1" applyAlignment="1" pivotButton="0" quotePrefix="0" xfId="0">
      <alignment horizontal="center" wrapText="1"/>
    </xf>
    <xf numFmtId="0" fontId="14" fillId="15" borderId="1" applyAlignment="1" pivotButton="0" quotePrefix="0" xfId="0">
      <alignment horizontal="center" wrapText="1"/>
    </xf>
    <xf numFmtId="0" fontId="14" fillId="24" borderId="1" applyAlignment="1" pivotButton="0" quotePrefix="0" xfId="0">
      <alignment horizontal="center" wrapText="1"/>
    </xf>
    <xf numFmtId="164" fontId="14" fillId="24" borderId="1" applyAlignment="1" pivotButton="0" quotePrefix="0" xfId="0">
      <alignment horizontal="center" wrapText="1"/>
    </xf>
    <xf numFmtId="0" fontId="14" fillId="24" borderId="3" applyAlignment="1" pivotButton="0" quotePrefix="0" xfId="0">
      <alignment horizontal="center" wrapText="1"/>
    </xf>
    <xf numFmtId="0" fontId="14" fillId="25" borderId="0" applyAlignment="1" pivotButton="0" quotePrefix="0" xfId="0">
      <alignment horizontal="center" wrapText="1"/>
    </xf>
  </cellXfs>
  <cellStyles count="1">
    <cellStyle name="Normal" xfId="0" builtinId="0"/>
  </cellStyles>
  <dxfs count="7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</dxfs>
  <tableStyles count="2" defaultTableStyle="TableStyleMedium9" defaultPivotStyle="PivotStyleLight16">
    <tableStyle name="Pricing_Model_All_Projects-style" pivot="0" count="3">
      <tableStyleElement type="headerRow" dxfId="1"/>
      <tableStyleElement type="firstRowStripe" dxfId="2"/>
      <tableStyleElement type="secondRowStripe" dxfId="3"/>
    </tableStyle>
    <tableStyle name="Verify-style" pivot="0" count="3">
      <tableStyleElement type="headerRow" dxfId="4"/>
      <tableStyleElement type="firstRowStripe" dxfId="5"/>
      <tableStyleElement type="secondRowStripe" dxfId="6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_1" displayName="Table_1" ref="A1:AS55" headerRowCount="1">
  <tableColumns count="45">
    <tableColumn id="1" name="No"/>
    <tableColumn id="2" name="Project"/>
    <tableColumn id="3" name="Group "/>
    <tableColumn id="4" name="Project Name"/>
    <tableColumn id="5" name="MW"/>
    <tableColumn id="6" name="MWh"/>
    <tableColumn id="7" name="Battery Sets"/>
    <tableColumn id="8" name="MV SKID SETs"/>
    <tableColumn id="9" name="Containers"/>
    <tableColumn id="10" name="OLD"/>
    <tableColumn id="11" name="Unit/kwh cif"/>
    <tableColumn id="12" name="Price Hike"/>
    <tableColumn id="13" name="CIF_EUR"/>
    <tableColumn id="14" name="Unit_EUR_per_kWh_calc_from_MWh"/>
    <tableColumn id="15" name="Implied_MWh_from_Unit"/>
    <tableColumn id="16" name="ImportDuty"/>
    <tableColumn id="17" name="PortCustoms"/>
    <tableColumn id="18" name="A Soulis / Crane + Inland Interfreight"/>
    <tableColumn id="19" name="Inland Trnansport if separate from Crane"/>
    <tableColumn id="20" name="LV_Cabling"/>
    <tableColumn id="21" name="MV_Cabling"/>
    <tableColumn id="22" name="MV_Terminations"/>
    <tableColumn id="23" name="Protection_Eng"/>
    <tableColumn id="24" name="RemoteTrip"/>
    <tableColumn id="25" name="UPS_Aux"/>
    <tableColumn id="26" name="LPS External lightning Protection"/>
    <tableColumn id="27" name="SPDs Surge Protection"/>
    <tableColumn id="28" name="Earthing Sytem"/>
    <tableColumn id="29" name="Erthing Enchancement"/>
    <tableColumn id="30" name="Protection Testing &amp; DSO Witnessing"/>
    <tableColumn id="31" name="SCADA EMS HARDWARE"/>
    <tableColumn id="32" name="VOLTUS EMS"/>
    <tableColumn id="33" name="Cypersecurity hardening SCADA"/>
    <tableColumn id="34" name="Cement Platforms (4000 per platform)"/>
    <tableColumn id="35" name="Drainage &amp; Water Management"/>
    <tableColumn id="36" name="Commissioning"/>
    <tableColumn id="37" name="Docs_Compliance"/>
    <tableColumn id="38" name="Insurance"/>
    <tableColumn id="39" name="PCC_Bay_Extension_EUR"/>
    <tableColumn id="40" name="Adders_Total_EUR"/>
    <tableColumn id="41" name="Installed COST incl EPC"/>
    <tableColumn id="42" name="Installed Cost per MWh"/>
    <tableColumn id="43" name="Client Price 13% Markup"/>
    <tableColumn id="44" name="Client Price per MWh"/>
    <tableColumn id="45" name="Notes"/>
  </tableColumns>
  <tableStyleInfo name="Pricing_Model_All_Projects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B23" headerRowCount="1">
  <tableColumns count="2">
    <tableColumn id="1" name="No"/>
    <tableColumn id="2" name="Checked"/>
  </tableColumns>
  <tableStyleInfo name="Verif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U67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 outlineLevelRow="1"/>
  <cols>
    <col width="9" customWidth="1" style="69" min="1" max="1"/>
    <col width="22" customWidth="1" style="69" min="2" max="2"/>
    <col width="12" customWidth="1" style="69" min="3" max="3"/>
    <col width="14" customWidth="1" style="69" min="4" max="4"/>
    <col width="10" customWidth="1" style="69" min="5" max="6"/>
    <col width="9.57" customWidth="1" style="69" min="7" max="7"/>
    <col width="10.43" customWidth="1" style="69" min="8" max="8"/>
    <col width="11.57" customWidth="1" style="69" min="9" max="9"/>
    <col width="9" customWidth="1" style="69" min="10" max="10"/>
    <col width="13.57" customWidth="1" style="69" min="11" max="11"/>
    <col width="10.71" customWidth="1" style="69" min="12" max="12"/>
    <col width="11.29" customWidth="1" style="69" min="13" max="13"/>
    <col width="20.86" customWidth="1" style="69" min="14" max="14"/>
    <col width="15.29" customWidth="1" style="69" min="15" max="15"/>
    <col width="13.43" customWidth="1" style="69" min="16" max="16"/>
    <col width="22.29" customWidth="1" style="69" min="17" max="17"/>
    <col width="27.29" customWidth="1" style="69" min="18" max="18"/>
    <col width="23" customWidth="1" style="69" min="19" max="20"/>
    <col width="22.43" customWidth="1" style="69" min="21" max="21"/>
    <col width="21" customWidth="1" style="69" min="22" max="22"/>
    <col width="18.43" customWidth="1" style="69" min="23" max="23"/>
    <col width="14" customWidth="1" style="69" min="24" max="24"/>
    <col width="13" customWidth="1" style="69" min="25" max="25"/>
    <col width="14.14" customWidth="1" style="69" min="26" max="26"/>
    <col width="16.29" customWidth="1" style="69" min="27" max="27"/>
    <col width="13.29" customWidth="1" style="69" min="28" max="28"/>
    <col width="17.86" customWidth="1" style="69" min="29" max="30"/>
    <col width="19" customWidth="1" style="69" min="31" max="36"/>
    <col width="22.14" customWidth="1" style="69" min="37" max="37"/>
    <col width="23.57" customWidth="1" style="69" min="38" max="38"/>
    <col width="25.14" customWidth="1" style="69" min="39" max="39"/>
    <col width="25.29" customWidth="1" style="69" min="40" max="40"/>
    <col width="19" customWidth="1" style="69" min="41" max="41"/>
    <col width="16.29" customWidth="1" style="69" min="42" max="42"/>
    <col width="20" customWidth="1" style="69" min="43" max="43"/>
    <col width="25" customWidth="1" style="69" min="44" max="45"/>
  </cols>
  <sheetData>
    <row r="1" outlineLevel="1" s="69">
      <c r="A1" s="97" t="inlineStr">
        <is>
          <t>No</t>
        </is>
      </c>
      <c r="E1" s="97" t="inlineStr">
        <is>
          <t>Project</t>
        </is>
      </c>
      <c r="F1" s="97" t="inlineStr">
        <is>
          <t>Group Code</t>
        </is>
      </c>
      <c r="G1" s="97" t="inlineStr">
        <is>
          <t>Client Name</t>
        </is>
      </c>
      <c r="H1" s="154" t="inlineStr">
        <is>
          <t>BESS MW</t>
        </is>
      </c>
      <c r="I1" s="154" t="inlineStr">
        <is>
          <t>MWh</t>
        </is>
      </c>
      <c r="J1" s="98" t="inlineStr">
        <is>
          <t>PV MWp</t>
        </is>
      </c>
      <c r="K1" s="97" t="inlineStr">
        <is>
          <t>Battery Sets</t>
        </is>
      </c>
      <c r="L1" s="97" t="inlineStr">
        <is>
          <t>MV SKID SETs</t>
        </is>
      </c>
      <c r="M1" s="97" t="inlineStr">
        <is>
          <t>Containers</t>
        </is>
      </c>
      <c r="N1" s="83" t="inlineStr">
        <is>
          <t>OLD</t>
        </is>
      </c>
      <c r="O1" s="83" t="inlineStr">
        <is>
          <t>Unit/kwh cif</t>
        </is>
      </c>
      <c r="P1" s="85" t="inlineStr">
        <is>
          <t>Price Hike</t>
        </is>
      </c>
      <c r="Q1" s="155" t="inlineStr">
        <is>
          <t>CIF (EUR)</t>
        </is>
      </c>
      <c r="R1" s="83" t="inlineStr">
        <is>
          <t>Unit_EUR_per_kWh_calc_from_MWh</t>
        </is>
      </c>
      <c r="S1" s="83" t="inlineStr">
        <is>
          <t>Implied_MWh_from_Unit</t>
        </is>
      </c>
      <c r="T1" s="99" t="inlineStr">
        <is>
          <t>ImportDuty</t>
        </is>
      </c>
      <c r="U1" s="99" t="inlineStr">
        <is>
          <t>PortCustoms</t>
        </is>
      </c>
      <c r="V1" s="99" t="inlineStr">
        <is>
          <t>A Soulis / Crane + Inland Interfreight</t>
        </is>
      </c>
      <c r="W1" s="99" t="inlineStr">
        <is>
          <t>Inland Trnansport if separate from Crane</t>
        </is>
      </c>
      <c r="X1" s="99" t="inlineStr">
        <is>
          <t>LV_Cabling</t>
        </is>
      </c>
      <c r="Y1" s="99" t="inlineStr">
        <is>
          <t>MV_Cabling</t>
        </is>
      </c>
      <c r="Z1" s="99" t="inlineStr">
        <is>
          <t>MV_Terminations</t>
        </is>
      </c>
      <c r="AA1" s="99" t="inlineStr">
        <is>
          <t>Protection_Eng</t>
        </is>
      </c>
      <c r="AB1" s="99" t="inlineStr">
        <is>
          <t>RemoteTrip</t>
        </is>
      </c>
      <c r="AC1" s="99" t="inlineStr">
        <is>
          <t>UPS_Aux</t>
        </is>
      </c>
      <c r="AD1" s="99" t="inlineStr">
        <is>
          <t>LPS External lightning Protection</t>
        </is>
      </c>
      <c r="AE1" s="99" t="inlineStr">
        <is>
          <t>SPDs Surge Protection</t>
        </is>
      </c>
      <c r="AF1" s="99" t="inlineStr">
        <is>
          <t>Earthing Sytem</t>
        </is>
      </c>
      <c r="AG1" s="99" t="inlineStr">
        <is>
          <t>Erthing Enchancement</t>
        </is>
      </c>
      <c r="AH1" s="99" t="inlineStr">
        <is>
          <t>Protection Testing &amp; DSO Witnessing</t>
        </is>
      </c>
      <c r="AI1" s="100" t="inlineStr">
        <is>
          <t>VOLTUS EMS</t>
        </is>
      </c>
      <c r="AJ1" s="100" t="inlineStr">
        <is>
          <t>Cement Platforms (4000 per platform)</t>
        </is>
      </c>
      <c r="AK1" s="100" t="inlineStr">
        <is>
          <t>Drainage &amp; Water Management</t>
        </is>
      </c>
      <c r="AL1" s="100" t="inlineStr">
        <is>
          <t>Commissioning</t>
        </is>
      </c>
      <c r="AM1" s="100" t="inlineStr">
        <is>
          <t>Docs_Compliance</t>
        </is>
      </c>
      <c r="AN1" s="100" t="inlineStr">
        <is>
          <t>Insurance</t>
        </is>
      </c>
      <c r="AO1" s="100" t="inlineStr">
        <is>
          <t>PCC_Bay_Extension_EUR</t>
        </is>
      </c>
      <c r="AP1" s="156" t="inlineStr">
        <is>
          <t>Adders Total (excl EMS)</t>
        </is>
      </c>
      <c r="AQ1" s="156" t="inlineStr">
        <is>
          <t>Installed Cost (EUR)</t>
        </is>
      </c>
      <c r="AR1" s="156" t="inlineStr">
        <is>
          <t>Cost per MWh</t>
        </is>
      </c>
      <c r="AS1" s="156" t="inlineStr">
        <is>
          <t>Client Revenue (EUR)</t>
        </is>
      </c>
      <c r="AT1" s="157" t="inlineStr">
        <is>
          <t>Client Price/MWh</t>
        </is>
      </c>
      <c r="AU1" s="98" t="inlineStr">
        <is>
          <t>Notes</t>
        </is>
      </c>
      <c r="AV1" s="102" t="inlineStr">
        <is>
          <t>Voltus Group</t>
        </is>
      </c>
      <c r="AW1" s="102" t="inlineStr">
        <is>
          <t>Parks in Group</t>
        </is>
      </c>
      <c r="AX1" s="102" t="inlineStr">
        <is>
          <t>Voltus EMS (Verified)</t>
        </is>
      </c>
      <c r="AY1" s="102" t="inlineStr">
        <is>
          <t>SCADA Local</t>
        </is>
      </c>
      <c r="AZ1" s="102" t="inlineStr">
        <is>
          <t>SCADA Global Share</t>
        </is>
      </c>
      <c r="BA1" s="158" t="inlineStr">
        <is>
          <t>Total EMS/SCADA</t>
        </is>
      </c>
      <c r="BB1" s="158" t="inlineStr">
        <is>
          <t>EMS per MWh</t>
        </is>
      </c>
      <c r="BC1" s="98" t="inlineStr">
        <is>
          <t>Status</t>
        </is>
      </c>
      <c r="BD1" s="103" t="inlineStr">
        <is>
          <t>Dino Price/MWh</t>
        </is>
      </c>
      <c r="BE1" s="103" t="inlineStr">
        <is>
          <t>Dino Total</t>
        </is>
      </c>
      <c r="BF1" s="159" t="inlineStr">
        <is>
          <t>Full EPC Cost</t>
        </is>
      </c>
      <c r="BG1" s="159" t="inlineStr">
        <is>
          <t>Margin (EUR)</t>
        </is>
      </c>
      <c r="BH1" s="159" t="inlineStr">
        <is>
          <t>Margin %</t>
        </is>
      </c>
      <c r="BI1" s="104" t="inlineStr">
        <is>
          <t>Price Type</t>
        </is>
      </c>
      <c r="BJ1" s="104" t="inlineStr">
        <is>
          <t>Target Price/MWh</t>
        </is>
      </c>
      <c r="BK1" s="104" t="inlineStr">
        <is>
          <t>Target Total</t>
        </is>
      </c>
      <c r="BL1" s="104" t="inlineStr">
        <is>
          <t>Target Margin %</t>
        </is>
      </c>
      <c r="BN1" s="105" t="inlineStr">
        <is>
          <t>IND ORDER PRICING &gt;&gt;</t>
        </is>
      </c>
      <c r="BO1" s="105" t="inlineStr">
        <is>
          <t>IND CIF (+15%)</t>
        </is>
      </c>
      <c r="BP1" s="105" t="inlineStr">
        <is>
          <t>IND Adders (+15%)</t>
        </is>
      </c>
      <c r="BQ1" s="105" t="inlineStr">
        <is>
          <t>IND EMS/SCADA</t>
        </is>
      </c>
      <c r="BR1" s="105" t="inlineStr">
        <is>
          <t>IND Total EPC</t>
        </is>
      </c>
      <c r="BS1" s="105" t="inlineStr">
        <is>
          <t>IND Client (13%)</t>
        </is>
      </c>
      <c r="BT1" s="105" t="inlineStr">
        <is>
          <t>IND €/MWh</t>
        </is>
      </c>
      <c r="BU1" s="105" t="inlineStr">
        <is>
          <t>IND vs Group Diff</t>
        </is>
      </c>
    </row>
    <row r="2" outlineLevel="1" ht="102.75" customHeight="1" s="69">
      <c r="A2" s="13" t="n"/>
      <c r="E2" s="13" t="n"/>
      <c r="F2" s="9" t="n"/>
      <c r="G2" s="9" t="n"/>
      <c r="H2" s="9" t="n"/>
      <c r="I2" s="9" t="n"/>
      <c r="K2" s="13" t="n"/>
      <c r="L2" s="13" t="n"/>
      <c r="M2" s="13" t="n"/>
      <c r="N2" s="10" t="n"/>
      <c r="O2" s="9" t="n"/>
      <c r="P2" s="11" t="n"/>
      <c r="Q2" s="12" t="n"/>
      <c r="R2" s="9" t="n"/>
      <c r="S2" s="9" t="n"/>
      <c r="T2" s="13" t="inlineStr">
        <is>
          <t>Weighted Average 2.66</t>
        </is>
      </c>
      <c r="U2" s="17" t="n"/>
      <c r="V2" s="17" t="inlineStr">
        <is>
          <t>based on 23k for 8 containers</t>
        </is>
      </c>
      <c r="W2" s="17" t="n"/>
      <c r="X2" s="17" t="n"/>
      <c r="Y2" s="17" t="n"/>
      <c r="Z2" s="17" t="n"/>
      <c r="AA2" s="17" t="n"/>
      <c r="AB2" s="17" t="n"/>
      <c r="AC2" s="17" t="n"/>
      <c r="AD2" s="17" t="inlineStr">
        <is>
          <t>Customer Paid</t>
        </is>
      </c>
      <c r="AE2" s="17" t="inlineStr">
        <is>
          <t>SPD = €700 × BESS_CONTAINERS + €400 × MV_SKIDS + €1,000</t>
        </is>
      </c>
      <c r="AF2" s="17" t="n"/>
      <c r="AG2" s="17" t="inlineStr">
        <is>
          <t>Purpose: Covers failure of initial earth resistance test
Scope:
Additional earth rods / pits
Extended copper grid
Chemical earth / bentonite
Re-testing and reporting
Pricing logic (pick one):
€500–€800 per container (portfolio average), or
€5,000 minimum per park (small sites)</t>
        </is>
      </c>
      <c r="AH2" s="17" t="inlineStr">
        <is>
          <t>Relay secondary injection testing
Protection functional tests
DSO/EAC witness test days
Re-tests if required
Pricing logic:
€1,000–€1,500 per container, or
€10,000–€15,000 per park (flat)</t>
        </is>
      </c>
      <c r="AI2" s="17" t="n"/>
      <c r="AJ2" s="17" t="n"/>
      <c r="AK2" s="17" t="n"/>
      <c r="AM2" s="17" t="inlineStr">
        <is>
          <t>Docs &amp; Statutory Compliance (EAC / CERA fees only) Estimate 7000</t>
        </is>
      </c>
      <c r="AN2" s="16" t="n">
        <v>0.0075</v>
      </c>
      <c r="AO2" s="17" t="n"/>
      <c r="AP2" s="17" t="n"/>
      <c r="AQ2" s="17" t="n"/>
      <c r="AR2" s="17" t="n"/>
      <c r="AS2" s="17" t="n"/>
      <c r="AT2" s="18" t="n"/>
      <c r="AU2" s="19" t="inlineStr">
        <is>
          <t>Locked Price Presented Already</t>
        </is>
      </c>
    </row>
    <row r="3" outlineLevel="1" ht="42" customHeight="1" s="69">
      <c r="A3" s="20" t="inlineStr">
        <is>
          <t>Verified</t>
        </is>
      </c>
      <c r="B3" s="114" t="inlineStr">
        <is>
          <t>Client Name</t>
        </is>
      </c>
      <c r="C3" s="114" t="inlineStr">
        <is>
          <t>District</t>
        </is>
      </c>
      <c r="D3" s="114" t="inlineStr">
        <is>
          <t>PV Capacity (MW)</t>
        </is>
      </c>
      <c r="E3" s="13" t="n"/>
      <c r="F3" s="9" t="n"/>
      <c r="G3" s="9" t="inlineStr">
        <is>
          <t>Park Name</t>
        </is>
      </c>
      <c r="H3" s="9" t="n"/>
      <c r="I3" s="9" t="n"/>
      <c r="K3" s="13" t="n"/>
      <c r="L3" s="13" t="n"/>
      <c r="M3" s="13" t="n"/>
      <c r="N3" s="10" t="n"/>
      <c r="O3" s="9" t="n"/>
      <c r="P3" s="11" t="n"/>
      <c r="Q3" s="12" t="n"/>
      <c r="R3" s="9" t="n"/>
      <c r="S3" s="9" t="n"/>
      <c r="T3" s="106" t="inlineStr">
        <is>
          <t>partially confirmed</t>
        </is>
      </c>
      <c r="U3" s="107" t="inlineStr">
        <is>
          <t>Received notes from interface needs checking</t>
        </is>
      </c>
      <c r="V3" s="107" t="inlineStr">
        <is>
          <t>Has been in talks with dino no negotiation</t>
        </is>
      </c>
      <c r="W3" s="24" t="inlineStr">
        <is>
          <t>Qoute from Interfreigh. verifu if solis include or not</t>
        </is>
      </c>
      <c r="X3" s="25" t="n"/>
      <c r="Y3" s="25" t="n"/>
      <c r="Z3" s="17" t="n"/>
      <c r="AA3" s="17" t="n"/>
      <c r="AB3" s="17" t="n"/>
      <c r="AC3" s="17" t="n"/>
      <c r="AD3" s="107" t="inlineStr">
        <is>
          <t>In talks with Dhen</t>
        </is>
      </c>
      <c r="AE3" s="107" t="inlineStr">
        <is>
          <t>In talks with Dhen</t>
        </is>
      </c>
      <c r="AF3" s="107" t="inlineStr">
        <is>
          <t>talks with dhen</t>
        </is>
      </c>
      <c r="AG3" s="107" t="inlineStr">
        <is>
          <t>talks with dhen</t>
        </is>
      </c>
      <c r="AH3" s="107" t="inlineStr">
        <is>
          <t>Dino confirmed park owners pay this</t>
        </is>
      </c>
      <c r="AI3" s="17" t="n"/>
      <c r="AJ3" s="107" t="inlineStr">
        <is>
          <t>RFP done, need to send oto vendors</t>
        </is>
      </c>
      <c r="AK3" s="22" t="n"/>
      <c r="AL3" s="107" t="inlineStr">
        <is>
          <t xml:space="preserve">TBC Linyang Provide? We need to know exactly what is needed her, is this us or on others. </t>
        </is>
      </c>
      <c r="AM3" s="107" t="inlineStr">
        <is>
          <t>Confirmed from Dino this is on Clieent\</t>
        </is>
      </c>
      <c r="AN3" s="107" t="inlineStr">
        <is>
          <t>Need qoute. double check if RFP is properly allocating all needs</t>
        </is>
      </c>
      <c r="AO3" s="107" t="inlineStr">
        <is>
          <t>Confirm if under Voltus</t>
        </is>
      </c>
      <c r="AP3" s="17" t="n"/>
      <c r="AQ3" s="17" t="n"/>
      <c r="AR3" s="17" t="n"/>
      <c r="AS3" s="17" t="n"/>
      <c r="AT3" s="18" t="n"/>
      <c r="AU3" s="28" t="n"/>
      <c r="AV3" s="75" t="inlineStr">
        <is>
          <t>Voltus Group</t>
        </is>
      </c>
      <c r="AW3" s="75" t="inlineStr">
        <is>
          <t>Parks in Group</t>
        </is>
      </c>
      <c r="AX3" s="75" t="inlineStr">
        <is>
          <t>Voltus EMS (Quote)</t>
        </is>
      </c>
      <c r="AY3" s="75" t="inlineStr">
        <is>
          <t>SCADA Local</t>
        </is>
      </c>
      <c r="AZ3" s="75" t="inlineStr">
        <is>
          <t>SCADA Global Share</t>
        </is>
      </c>
      <c r="BA3" s="75" t="inlineStr">
        <is>
          <t>Total EMS/SCADA</t>
        </is>
      </c>
      <c r="BB3" s="75" t="inlineStr">
        <is>
          <t>EMS/SCADA per MWh</t>
        </is>
      </c>
    </row>
    <row r="4">
      <c r="A4" s="29" t="n">
        <v>50</v>
      </c>
      <c r="B4" s="115" t="inlineStr">
        <is>
          <t>ABIO Power</t>
        </is>
      </c>
      <c r="C4" s="115" t="inlineStr">
        <is>
          <t>Larnaca</t>
        </is>
      </c>
      <c r="D4" s="127" t="n">
        <v>0.75</v>
      </c>
      <c r="E4" s="29" t="inlineStr">
        <is>
          <t>Nicosia33</t>
        </is>
      </c>
      <c r="F4" s="52" t="inlineStr">
        <is>
          <t>ABIO</t>
        </is>
      </c>
      <c r="G4" s="116" t="inlineStr">
        <is>
          <t>Greendorado Agrivoltaic</t>
        </is>
      </c>
      <c r="H4" s="52" t="n">
        <v>0.75</v>
      </c>
      <c r="I4" s="52" t="n">
        <v>3</v>
      </c>
      <c r="J4" s="128" t="n">
        <v>0.75</v>
      </c>
      <c r="K4" s="82" t="n">
        <v>1</v>
      </c>
      <c r="L4" s="82" t="n">
        <v>1</v>
      </c>
      <c r="M4" s="29" t="n">
        <v>2</v>
      </c>
      <c r="N4" s="129" t="n">
        <v>110.6</v>
      </c>
      <c r="O4" s="52" t="n"/>
      <c r="P4" s="32" t="n"/>
      <c r="Q4" s="129" t="n"/>
      <c r="R4" s="130" t="n"/>
      <c r="S4" s="52" t="n"/>
      <c r="T4" s="130" t="n"/>
      <c r="U4" s="130" t="n">
        <v>4000</v>
      </c>
      <c r="V4" s="130" t="n">
        <v>4720</v>
      </c>
      <c r="W4" s="130" t="n"/>
      <c r="X4" s="130" t="n">
        <v>1400</v>
      </c>
      <c r="Y4" s="130" t="n">
        <v>3500</v>
      </c>
      <c r="Z4" s="130" t="n">
        <v>2200</v>
      </c>
      <c r="AA4" s="130" t="n">
        <v>5000</v>
      </c>
      <c r="AB4" s="130" t="n">
        <v>3000</v>
      </c>
      <c r="AC4" s="130" t="n">
        <v>2000</v>
      </c>
      <c r="AD4" s="130" t="n"/>
      <c r="AE4" s="130" t="n"/>
      <c r="AF4" s="130" t="n"/>
      <c r="AG4" s="130" t="n"/>
      <c r="AH4" s="130" t="n"/>
      <c r="AI4" s="130" t="n">
        <v>24254</v>
      </c>
      <c r="AJ4" s="130" t="n"/>
      <c r="AK4" s="130" t="n"/>
      <c r="AL4" s="130" t="n"/>
      <c r="AM4" s="130" t="n"/>
      <c r="AN4" s="130" t="n"/>
      <c r="AO4" s="130" t="n"/>
      <c r="AP4" s="130">
        <f>SUM(T4,U4,V4,W4,X4,Y4,Z4,AA4,AB4,AC4,AD4,AE4,AF4,AG4,AH4,AJ4,AK4,AL4,AM4,AN4,AO4)</f>
        <v/>
      </c>
      <c r="AQ4" s="130">
        <f>Q4+AP4+BA4</f>
        <v/>
      </c>
      <c r="AR4" s="130">
        <f>IF(I4&gt;0,AQ4/I4,0)</f>
        <v/>
      </c>
      <c r="AS4" s="130">
        <f>IF(BD4&gt;0,BD4*I4,BJ4*I4)</f>
        <v/>
      </c>
      <c r="AT4" s="130">
        <f>IF(BD4&gt;0,BD4,BJ4)</f>
        <v/>
      </c>
      <c r="AU4" s="38" t="inlineStr">
        <is>
          <t>NEW - Abio #3 - SMALLEST - NEEDS LINYANG QUOTE FOR 3MWh</t>
        </is>
      </c>
      <c r="AV4" s="0" t="inlineStr">
        <is>
          <t>ABIO</t>
        </is>
      </c>
      <c r="AW4" s="0" t="n">
        <v>4</v>
      </c>
      <c r="AX4" s="131" t="n">
        <v>24254</v>
      </c>
      <c r="AY4" s="131" t="n">
        <v>15000</v>
      </c>
      <c r="AZ4" s="131" t="n">
        <v>15000</v>
      </c>
      <c r="BA4" s="131">
        <f>AX4+AY4+AZ4</f>
        <v/>
      </c>
      <c r="BB4" s="131">
        <f>IF(I4&gt;0,BA4/I4,0)</f>
        <v/>
      </c>
      <c r="BC4" s="79" t="inlineStr">
        <is>
          <t>VERIFY - NEW</t>
        </is>
      </c>
      <c r="BD4" s="132" t="n">
        <v>174357</v>
      </c>
      <c r="BE4" s="131" t="n"/>
      <c r="BF4" s="131">
        <f>AQ4</f>
        <v/>
      </c>
      <c r="BG4" s="132">
        <f>AS4-BF4</f>
        <v/>
      </c>
      <c r="BH4" s="133">
        <f>IF(AS4&gt;0,BG4/AS4,0)</f>
        <v/>
      </c>
      <c r="BI4" s="108" t="inlineStr">
        <is>
          <t>NEW ABIO</t>
        </is>
      </c>
      <c r="BJ4" s="132" t="n">
        <v>174357</v>
      </c>
      <c r="BK4" s="131" t="n">
        <v>697428</v>
      </c>
      <c r="BL4" s="134" t="n">
        <v>0.1731965777931813</v>
      </c>
      <c r="BO4" s="135" t="n">
        <v>585832</v>
      </c>
      <c r="BP4" s="135" t="n">
        <v>29693</v>
      </c>
      <c r="BQ4" s="135" t="n">
        <v>54254</v>
      </c>
      <c r="BR4" s="0" t="n">
        <v>1970481</v>
      </c>
      <c r="BS4" s="0" t="n">
        <v>2226644</v>
      </c>
      <c r="BT4" s="0" t="n">
        <v>148443</v>
      </c>
      <c r="BU4" s="0" t="n">
        <v>264764</v>
      </c>
    </row>
    <row r="5">
      <c r="A5" s="29" t="n">
        <v>8</v>
      </c>
      <c r="B5" s="115" t="inlineStr">
        <is>
          <t>ABIO Power</t>
        </is>
      </c>
      <c r="C5" s="115" t="inlineStr">
        <is>
          <t>Larnaca</t>
        </is>
      </c>
      <c r="D5" s="127" t="n">
        <v>1.8</v>
      </c>
      <c r="E5" s="29" t="inlineStr">
        <is>
          <t>Larnaca1</t>
        </is>
      </c>
      <c r="F5" s="52" t="inlineStr">
        <is>
          <t>GRD</t>
        </is>
      </c>
      <c r="G5" s="116" t="inlineStr">
        <is>
          <t>Greendorado Larnaca 1</t>
        </is>
      </c>
      <c r="H5" s="52" t="n">
        <v>1.25</v>
      </c>
      <c r="I5" s="52" t="n">
        <v>5</v>
      </c>
      <c r="J5" s="128" t="n">
        <v>1.8</v>
      </c>
      <c r="K5" s="82" t="n">
        <v>1</v>
      </c>
      <c r="L5" s="82" t="n">
        <v>1</v>
      </c>
      <c r="M5" s="29" t="n">
        <v>2</v>
      </c>
      <c r="N5" s="136" t="n">
        <v>110.01</v>
      </c>
      <c r="O5" s="52">
        <f>N11/F11/1000</f>
        <v/>
      </c>
      <c r="P5" s="32">
        <f>L11/K11</f>
        <v/>
      </c>
      <c r="Q5" s="136" t="n"/>
      <c r="R5" s="130">
        <f>N11/F11/1000</f>
        <v/>
      </c>
      <c r="S5" s="52">
        <f>N11/K11/1000</f>
        <v/>
      </c>
      <c r="T5" s="130">
        <f>N11*0.0266</f>
        <v/>
      </c>
      <c r="U5" s="130" t="n">
        <v>4000</v>
      </c>
      <c r="V5" s="130" t="n">
        <v>4720</v>
      </c>
      <c r="W5" s="130" t="n"/>
      <c r="X5" s="130" t="n">
        <v>2800</v>
      </c>
      <c r="Y5" s="130" t="n">
        <v>3500</v>
      </c>
      <c r="Z5" s="130" t="n">
        <v>2200</v>
      </c>
      <c r="AA5" s="130" t="n">
        <v>5000</v>
      </c>
      <c r="AB5" s="130" t="n">
        <v>3000</v>
      </c>
      <c r="AC5" s="130" t="n">
        <v>2000</v>
      </c>
      <c r="AD5" s="130" t="n"/>
      <c r="AE5" s="130">
        <f>((700*H11)+(400*I11))+1000</f>
        <v/>
      </c>
      <c r="AF5" s="130" t="n"/>
      <c r="AG5" s="130" t="n"/>
      <c r="AH5" s="130" t="n"/>
      <c r="AI5" s="130" t="n">
        <v>24254</v>
      </c>
      <c r="AJ5" s="130">
        <f>J11*4000</f>
        <v/>
      </c>
      <c r="AK5" s="130">
        <f>1500*J11</f>
        <v/>
      </c>
      <c r="AL5" s="130" t="n">
        <v>0</v>
      </c>
      <c r="AM5" s="130" t="n"/>
      <c r="AN5" s="130">
        <f>N11*0.0075</f>
        <v/>
      </c>
      <c r="AO5" s="130" t="n">
        <v>0</v>
      </c>
      <c r="AP5" s="130">
        <f>SUM(T5,U5,V5,W5,X5,Y5,Z5,AA5,AB5,AC5,AD5,AE5,AF5,AG5,AH5,AJ5,AK5,AL5,AM5,AN5,AO5)</f>
        <v/>
      </c>
      <c r="AQ5" s="130">
        <f>Q5+AP5+BA5</f>
        <v/>
      </c>
      <c r="AR5" s="130">
        <f>IF(I5&gt;0,AQ5/I5,0)</f>
        <v/>
      </c>
      <c r="AS5" s="130">
        <f>IF(BD5&gt;0,BD5*I5,BJ5*I5)</f>
        <v/>
      </c>
      <c r="AT5" s="130">
        <f>IF(BD5&gt;0,BD5,BJ5)</f>
        <v/>
      </c>
      <c r="AU5" s="38" t="n"/>
      <c r="AV5" s="0" t="inlineStr">
        <is>
          <t>GRD</t>
        </is>
      </c>
      <c r="AW5" s="0" t="n">
        <v>3</v>
      </c>
      <c r="AX5" s="131" t="n">
        <v>24254</v>
      </c>
      <c r="AY5" s="131" t="n">
        <v>15000</v>
      </c>
      <c r="AZ5" s="131" t="n">
        <v>20000</v>
      </c>
      <c r="BA5" s="131">
        <f>AX5+AY5+AZ5</f>
        <v/>
      </c>
      <c r="BB5" s="131">
        <f>IF(I5&gt;0,BA5/I5,0)</f>
        <v/>
      </c>
      <c r="BC5" s="79" t="inlineStr">
        <is>
          <t>VERIFIED</t>
        </is>
      </c>
      <c r="BD5" s="132" t="n">
        <v>146560</v>
      </c>
      <c r="BE5" s="131">
        <f>BA11*F11</f>
        <v/>
      </c>
      <c r="BF5" s="131">
        <f>AQ5</f>
        <v/>
      </c>
      <c r="BG5" s="132">
        <f>AS5-BF5</f>
        <v/>
      </c>
      <c r="BH5" s="133">
        <f>IF(AS5&gt;0,BG5/AS5,0)</f>
        <v/>
      </c>
      <c r="BI5" s="108" t="inlineStr">
        <is>
          <t>9% MARGIN</t>
        </is>
      </c>
      <c r="BJ5" s="132" t="n">
        <v>157608</v>
      </c>
      <c r="BK5" s="131" t="n">
        <v>788040</v>
      </c>
      <c r="BL5" s="134" t="n">
        <v>0.1479342963011304</v>
      </c>
      <c r="BO5" s="135" t="n">
        <v>693272</v>
      </c>
      <c r="BP5" s="135" t="n">
        <v>31303</v>
      </c>
      <c r="BQ5" s="135" t="n">
        <v>59254</v>
      </c>
      <c r="BR5" s="0" t="n">
        <v>1114718</v>
      </c>
      <c r="BS5" s="0" t="n">
        <v>1259631</v>
      </c>
      <c r="BT5" s="0" t="n">
        <v>157454</v>
      </c>
      <c r="BU5" s="0" t="n">
        <v>175151</v>
      </c>
    </row>
    <row r="6">
      <c r="A6" s="0" t="n">
        <v>9</v>
      </c>
      <c r="B6" s="115" t="inlineStr">
        <is>
          <t>ABIO Power</t>
        </is>
      </c>
      <c r="C6" s="115" t="inlineStr">
        <is>
          <t>Larnaca</t>
        </is>
      </c>
      <c r="D6" s="127" t="n">
        <v>0.75</v>
      </c>
      <c r="E6" s="0" t="inlineStr">
        <is>
          <t>Larnaca2</t>
        </is>
      </c>
      <c r="F6" s="0" t="inlineStr">
        <is>
          <t>GRD</t>
        </is>
      </c>
      <c r="G6" s="115" t="inlineStr">
        <is>
          <t>Greendorado Larnaca 2</t>
        </is>
      </c>
      <c r="H6" s="128" t="n">
        <v>1</v>
      </c>
      <c r="I6" s="128" t="n">
        <v>5</v>
      </c>
      <c r="J6" s="128" t="n">
        <v>0.75</v>
      </c>
      <c r="K6" s="0" t="n">
        <v>1</v>
      </c>
      <c r="L6" s="0" t="n">
        <v>1</v>
      </c>
      <c r="M6" s="0" t="n">
        <v>2</v>
      </c>
      <c r="N6" s="135" t="n">
        <v>101.66</v>
      </c>
      <c r="O6" s="0">
        <f>N12/F12/1000</f>
        <v/>
      </c>
      <c r="P6" s="0">
        <f>L12/K12</f>
        <v/>
      </c>
      <c r="Q6" s="137" t="n">
        <v>560994</v>
      </c>
      <c r="R6" s="135">
        <f>N12/F12/1000</f>
        <v/>
      </c>
      <c r="S6" s="0">
        <f>N12/K12/1000</f>
        <v/>
      </c>
      <c r="T6" s="135">
        <f>N12*0.0266</f>
        <v/>
      </c>
      <c r="U6" s="137" t="n">
        <v>4000</v>
      </c>
      <c r="V6" s="137" t="n">
        <v>4720</v>
      </c>
      <c r="W6" s="131" t="n"/>
      <c r="X6" s="137" t="n">
        <v>1400</v>
      </c>
      <c r="Y6" s="137" t="n">
        <v>3500</v>
      </c>
      <c r="Z6" s="135" t="n">
        <v>2200</v>
      </c>
      <c r="AA6" s="135" t="n">
        <v>5000</v>
      </c>
      <c r="AB6" s="135" t="n">
        <v>3000</v>
      </c>
      <c r="AC6" s="135" t="n">
        <v>2000</v>
      </c>
      <c r="AD6" s="131" t="n"/>
      <c r="AE6" s="135">
        <f>((700*H12)+(400*I12))+1000</f>
        <v/>
      </c>
      <c r="AF6" s="131" t="n"/>
      <c r="AG6" s="131" t="n"/>
      <c r="AH6" s="131" t="n"/>
      <c r="AI6" s="135" t="n">
        <v>24254</v>
      </c>
      <c r="AJ6" s="135">
        <f>J12*4000</f>
        <v/>
      </c>
      <c r="AK6" s="135">
        <f>1500*J12</f>
        <v/>
      </c>
      <c r="AL6" s="135" t="n">
        <v>0</v>
      </c>
      <c r="AM6" s="131" t="n"/>
      <c r="AN6" s="135">
        <f>N12*0.0075</f>
        <v/>
      </c>
      <c r="AO6" s="135" t="n">
        <v>0</v>
      </c>
      <c r="AP6" s="135">
        <f>SUM(T6,U6,V6,W6,X6,Y6,Z6,AA6,AB6,AC6,AD6,AE6,AF6,AG6,AH6,AJ6,AK6,AL6,AM6,AN6,AO6)</f>
        <v/>
      </c>
      <c r="AQ6" s="135">
        <f>Q6+AP6+BA6</f>
        <v/>
      </c>
      <c r="AR6" s="135">
        <f>IF(I6&gt;0,AQ6/I6,0)</f>
        <v/>
      </c>
      <c r="AS6" s="135">
        <f>IF(BD6&gt;0,BD6*I6,BJ6*I6)</f>
        <v/>
      </c>
      <c r="AT6" s="135">
        <f>IF(BD6&gt;0,BD6,BJ6)</f>
        <v/>
      </c>
      <c r="AU6" s="0" t="n"/>
      <c r="AV6" s="0" t="inlineStr">
        <is>
          <t>GRD</t>
        </is>
      </c>
      <c r="AW6" s="0" t="n">
        <v>3</v>
      </c>
      <c r="AX6" s="135" t="n">
        <v>24254</v>
      </c>
      <c r="AY6" s="135" t="n">
        <v>15000</v>
      </c>
      <c r="AZ6" s="135" t="n">
        <v>20000</v>
      </c>
      <c r="BA6" s="135">
        <f>AX6+AY6+AZ6</f>
        <v/>
      </c>
      <c r="BB6" s="135">
        <f>IF(I6&gt;0,BA6/I6,0)</f>
        <v/>
      </c>
      <c r="BC6" s="112" t="inlineStr">
        <is>
          <t>VERIFIED</t>
        </is>
      </c>
      <c r="BD6" s="135" t="n">
        <v>165431</v>
      </c>
      <c r="BE6" s="135">
        <f>BA12*F12</f>
        <v/>
      </c>
      <c r="BF6" s="137">
        <f>AQ6</f>
        <v/>
      </c>
      <c r="BG6" s="135">
        <f>AS6-BF6</f>
        <v/>
      </c>
      <c r="BH6" s="138">
        <f>IF(AS6&gt;0,BG6/AS6,0)</f>
        <v/>
      </c>
      <c r="BI6" s="113" t="inlineStr">
        <is>
          <t>13% MARGIN</t>
        </is>
      </c>
      <c r="BJ6" s="137" t="n">
        <v>146011</v>
      </c>
      <c r="BK6" s="137" t="n">
        <v>730055</v>
      </c>
      <c r="BL6" s="138" t="n">
        <v>0.1395020140361244</v>
      </c>
      <c r="BO6" s="135" t="n">
        <v>645143</v>
      </c>
      <c r="BP6" s="135" t="n">
        <v>29693</v>
      </c>
      <c r="BQ6" s="135" t="n">
        <v>59254</v>
      </c>
      <c r="BR6" s="0" t="n">
        <v>669779</v>
      </c>
      <c r="BS6" s="0" t="n">
        <v>756850</v>
      </c>
      <c r="BT6" s="0" t="n">
        <v>189212</v>
      </c>
      <c r="BU6" s="0" t="n">
        <v>59422</v>
      </c>
    </row>
    <row r="7">
      <c r="A7" s="29" t="n">
        <v>49</v>
      </c>
      <c r="B7" s="115" t="inlineStr">
        <is>
          <t>ABIO Power</t>
        </is>
      </c>
      <c r="C7" s="115" t="inlineStr">
        <is>
          <t>Nicosia</t>
        </is>
      </c>
      <c r="D7" s="127" t="n">
        <v>6.1</v>
      </c>
      <c r="E7" s="29" t="inlineStr">
        <is>
          <t>Nicosia32</t>
        </is>
      </c>
      <c r="F7" s="52" t="inlineStr">
        <is>
          <t>ABIO</t>
        </is>
      </c>
      <c r="G7" s="116" t="inlineStr">
        <is>
          <t>Agios Sozomenos</t>
        </is>
      </c>
      <c r="H7" s="52" t="n">
        <v>6</v>
      </c>
      <c r="I7" s="52" t="n">
        <v>25</v>
      </c>
      <c r="J7" s="128" t="n">
        <v>6.1</v>
      </c>
      <c r="K7" s="82" t="n">
        <v>5</v>
      </c>
      <c r="L7" s="82" t="n">
        <v>1</v>
      </c>
      <c r="M7" s="29" t="n">
        <v>6</v>
      </c>
      <c r="N7" s="136" t="n">
        <v>90.20999999999999</v>
      </c>
      <c r="O7" s="52" t="n"/>
      <c r="P7" s="32" t="n"/>
      <c r="Q7" s="136" t="n">
        <v>2476649</v>
      </c>
      <c r="R7" s="130" t="n"/>
      <c r="S7" s="52" t="n"/>
      <c r="T7" s="130" t="n"/>
      <c r="U7" s="130" t="n">
        <v>7000</v>
      </c>
      <c r="V7" s="130" t="n">
        <v>14160</v>
      </c>
      <c r="W7" s="130" t="n"/>
      <c r="X7" s="130" t="n">
        <v>8400</v>
      </c>
      <c r="Y7" s="130" t="n">
        <v>3500</v>
      </c>
      <c r="Z7" s="130" t="n">
        <v>2200</v>
      </c>
      <c r="AA7" s="130" t="n">
        <v>6000</v>
      </c>
      <c r="AB7" s="130" t="n">
        <v>3000</v>
      </c>
      <c r="AC7" s="130" t="n">
        <v>2000</v>
      </c>
      <c r="AD7" s="130" t="n"/>
      <c r="AE7" s="130" t="n"/>
      <c r="AF7" s="130" t="n"/>
      <c r="AG7" s="130" t="n"/>
      <c r="AH7" s="130" t="n"/>
      <c r="AI7" s="130" t="n">
        <v>46718</v>
      </c>
      <c r="AJ7" s="130" t="n"/>
      <c r="AK7" s="130" t="n"/>
      <c r="AL7" s="130" t="n"/>
      <c r="AM7" s="130" t="n"/>
      <c r="AN7" s="130" t="n"/>
      <c r="AO7" s="130" t="n"/>
      <c r="AP7" s="130">
        <f>SUM(T7,U7,V7,W7,X7,Y7,Z7,AA7,AB7,AC7,AD7,AE7,AF7,AG7,AH7,AJ7,AK7,AL7,AM7,AN7,AO7)</f>
        <v/>
      </c>
      <c r="AQ7" s="130">
        <f>Q7+AP7+BA7</f>
        <v/>
      </c>
      <c r="AR7" s="130">
        <f>IF(I7&gt;0,AQ7/I7,0)</f>
        <v/>
      </c>
      <c r="AS7" s="130">
        <f>IF(BD7&gt;0,BD7*I7,BJ7*I7)</f>
        <v/>
      </c>
      <c r="AT7" s="130">
        <f>IF(BD7&gt;0,BD7,BJ7)</f>
        <v/>
      </c>
      <c r="AU7" s="38" t="inlineStr">
        <is>
          <t>NEW - Abio #2 - CIF ESTIMATE - NEEDS LINYANG QUOTE</t>
        </is>
      </c>
      <c r="AV7" s="0" t="inlineStr">
        <is>
          <t>ABIO</t>
        </is>
      </c>
      <c r="AW7" s="0" t="n">
        <v>4</v>
      </c>
      <c r="AX7" s="131" t="n">
        <v>46718</v>
      </c>
      <c r="AY7" s="131" t="n">
        <v>15000</v>
      </c>
      <c r="AZ7" s="131" t="n">
        <v>15000</v>
      </c>
      <c r="BA7" s="131">
        <f>AX7+AY7+AZ7</f>
        <v/>
      </c>
      <c r="BB7" s="131">
        <f>IF(I7&gt;0,BA7/I7,0)</f>
        <v/>
      </c>
      <c r="BC7" s="79" t="inlineStr">
        <is>
          <t>VERIFY - NEW</t>
        </is>
      </c>
      <c r="BD7" s="132" t="n">
        <v>123103</v>
      </c>
      <c r="BE7" s="131" t="n"/>
      <c r="BF7" s="131">
        <f>AQ7</f>
        <v/>
      </c>
      <c r="BG7" s="132">
        <f>AS7-BF7</f>
        <v/>
      </c>
      <c r="BH7" s="133">
        <f>IF(AS7&gt;0,BG7/AS7,0)</f>
        <v/>
      </c>
      <c r="BI7" s="110" t="inlineStr">
        <is>
          <t>NEW ABIO</t>
        </is>
      </c>
      <c r="BJ7" s="139" t="n">
        <v>123103</v>
      </c>
      <c r="BK7" s="131" t="n">
        <v>3077575</v>
      </c>
      <c r="BL7" s="134" t="n">
        <v>0.1594778820523116</v>
      </c>
      <c r="BO7" s="135" t="n">
        <v>2848146</v>
      </c>
      <c r="BP7" s="135" t="n">
        <v>53199</v>
      </c>
      <c r="BQ7" s="135" t="n">
        <v>76718</v>
      </c>
      <c r="BR7" s="0" t="n">
        <v>783829</v>
      </c>
      <c r="BS7" s="0" t="n">
        <v>885727</v>
      </c>
      <c r="BT7" s="0" t="n">
        <v>177145</v>
      </c>
      <c r="BU7" s="0" t="n">
        <v>106797</v>
      </c>
    </row>
    <row r="8">
      <c r="A8" s="29" t="n">
        <v>22</v>
      </c>
      <c r="B8" s="115" t="inlineStr">
        <is>
          <t>ABIO Power</t>
        </is>
      </c>
      <c r="C8" s="115" t="inlineStr">
        <is>
          <t>Nicosia</t>
        </is>
      </c>
      <c r="D8" s="127" t="n">
        <v>3.2</v>
      </c>
      <c r="E8" s="29" t="inlineStr">
        <is>
          <t>Nicosia8</t>
        </is>
      </c>
      <c r="F8" s="52" t="inlineStr">
        <is>
          <t>DIA</t>
        </is>
      </c>
      <c r="G8" s="116" t="inlineStr">
        <is>
          <t>Dianary 1</t>
        </is>
      </c>
      <c r="H8" s="52" t="n">
        <v>2.5</v>
      </c>
      <c r="I8" s="52" t="n">
        <v>10</v>
      </c>
      <c r="J8" s="128" t="n">
        <v>3.2</v>
      </c>
      <c r="K8" s="82" t="n">
        <v>2</v>
      </c>
      <c r="L8" s="82" t="n">
        <v>1</v>
      </c>
      <c r="M8" s="29" t="n">
        <v>3</v>
      </c>
      <c r="N8" s="129" t="n">
        <v>97.42</v>
      </c>
      <c r="O8" s="52">
        <f>N25/F25/1000</f>
        <v/>
      </c>
      <c r="P8" s="32">
        <f>L25/K25</f>
        <v/>
      </c>
      <c r="Q8" s="129" t="n"/>
      <c r="R8" s="130">
        <f>N25/F25/1000</f>
        <v/>
      </c>
      <c r="S8" s="52">
        <f>N25/K25/1000</f>
        <v/>
      </c>
      <c r="T8" s="130">
        <f>N25*0.0266</f>
        <v/>
      </c>
      <c r="U8" s="130" t="n">
        <v>5000</v>
      </c>
      <c r="V8" s="130" t="n">
        <v>7080</v>
      </c>
      <c r="W8" s="130" t="n"/>
      <c r="X8" s="130" t="n">
        <v>4900</v>
      </c>
      <c r="Y8" s="130" t="n">
        <v>3500</v>
      </c>
      <c r="Z8" s="130" t="n">
        <v>2200</v>
      </c>
      <c r="AA8" s="130" t="n">
        <v>5000</v>
      </c>
      <c r="AB8" s="130" t="n">
        <v>3000</v>
      </c>
      <c r="AC8" s="130" t="n">
        <v>2000</v>
      </c>
      <c r="AD8" s="130" t="n"/>
      <c r="AE8" s="130">
        <f>((700*H25)+(400*I25))+1000</f>
        <v/>
      </c>
      <c r="AF8" s="130" t="n"/>
      <c r="AG8" s="130" t="n"/>
      <c r="AH8" s="130" t="n"/>
      <c r="AI8" s="130" t="n">
        <v>31742</v>
      </c>
      <c r="AJ8" s="130">
        <f>J25*4000</f>
        <v/>
      </c>
      <c r="AK8" s="130">
        <f>1500*J25</f>
        <v/>
      </c>
      <c r="AL8" s="130" t="n">
        <v>0</v>
      </c>
      <c r="AM8" s="130" t="n"/>
      <c r="AN8" s="130">
        <f>N25*0.0075</f>
        <v/>
      </c>
      <c r="AO8" s="130" t="n">
        <v>0</v>
      </c>
      <c r="AP8" s="130">
        <f>SUM(T8,U8,V8,W8,X8,Y8,Z8,AA8,AB8,AC8,AD8,AE8,AF8,AG8,AH8,AJ8,AK8,AL8,AM8,AN8,AO8)</f>
        <v/>
      </c>
      <c r="AQ8" s="130">
        <f>Q8+AP8+BA8</f>
        <v/>
      </c>
      <c r="AR8" s="130">
        <f>IF(I8&gt;0,AQ8/I8,0)</f>
        <v/>
      </c>
      <c r="AS8" s="130">
        <f>IF(BD8&gt;0,BD8*I8,BJ8*I8)</f>
        <v/>
      </c>
      <c r="AT8" s="130">
        <f>IF(BD8&gt;0,BD8,BJ8)</f>
        <v/>
      </c>
      <c r="AU8" s="38" t="n"/>
      <c r="AV8" s="0" t="inlineStr">
        <is>
          <t>DIA</t>
        </is>
      </c>
      <c r="AW8" s="0" t="n">
        <v>3</v>
      </c>
      <c r="AX8" s="131" t="n">
        <v>31742</v>
      </c>
      <c r="AY8" s="131" t="n">
        <v>15000</v>
      </c>
      <c r="AZ8" s="131" t="n">
        <v>20000</v>
      </c>
      <c r="BA8" s="131">
        <f>AX8+AY8+AZ8</f>
        <v/>
      </c>
      <c r="BB8" s="131">
        <f>IF(I8&gt;0,BA8/I8,0)</f>
        <v/>
      </c>
      <c r="BC8" s="79" t="inlineStr">
        <is>
          <t>VERIFIED</t>
        </is>
      </c>
      <c r="BD8" s="132" t="n">
        <v>136106</v>
      </c>
      <c r="BE8" s="131">
        <f>BA25*F25</f>
        <v/>
      </c>
      <c r="BF8" s="131">
        <f>AQ8</f>
        <v/>
      </c>
      <c r="BG8" s="132">
        <f>AS8-BF8</f>
        <v/>
      </c>
      <c r="BH8" s="133">
        <f>IF(AS8&gt;0,BG8/AS8,0)</f>
        <v/>
      </c>
      <c r="BI8" s="109" t="inlineStr">
        <is>
          <t>13% MARGIN</t>
        </is>
      </c>
      <c r="BJ8" s="139" t="n">
        <v>131540</v>
      </c>
      <c r="BK8" s="131" t="n">
        <v>1315400</v>
      </c>
      <c r="BL8" s="134" t="n">
        <v>0.1286195399552554</v>
      </c>
      <c r="BO8" s="135" t="n">
        <v>1224346</v>
      </c>
      <c r="BP8" s="135" t="n">
        <v>37582</v>
      </c>
      <c r="BQ8" s="135" t="n">
        <v>66742</v>
      </c>
      <c r="BR8" s="0" t="n">
        <v>734090</v>
      </c>
      <c r="BS8" s="0" t="n">
        <v>829522</v>
      </c>
      <c r="BT8" s="0" t="n">
        <v>165904</v>
      </c>
      <c r="BU8" s="0" t="n">
        <v>99465</v>
      </c>
    </row>
    <row r="9">
      <c r="A9" s="29" t="n">
        <v>28</v>
      </c>
      <c r="B9" s="115" t="inlineStr">
        <is>
          <t>ABIO Power</t>
        </is>
      </c>
      <c r="C9" s="115" t="inlineStr">
        <is>
          <t>Nicosia</t>
        </is>
      </c>
      <c r="D9" s="127" t="n">
        <v>1.4</v>
      </c>
      <c r="E9" s="29" t="inlineStr">
        <is>
          <t>Nicosia14</t>
        </is>
      </c>
      <c r="F9" s="52" t="inlineStr">
        <is>
          <t>DIA</t>
        </is>
      </c>
      <c r="G9" s="116" t="inlineStr">
        <is>
          <t>Dianary 2</t>
        </is>
      </c>
      <c r="H9" s="52" t="n">
        <v>2.5</v>
      </c>
      <c r="I9" s="52" t="n">
        <v>10</v>
      </c>
      <c r="J9" s="128" t="n">
        <v>1.4</v>
      </c>
      <c r="K9" s="82" t="n">
        <v>2</v>
      </c>
      <c r="L9" s="82" t="n">
        <v>1</v>
      </c>
      <c r="M9" s="29" t="n">
        <v>3</v>
      </c>
      <c r="N9" s="129" t="n">
        <v>88.42</v>
      </c>
      <c r="O9" s="52">
        <f>N31/F31/1000</f>
        <v/>
      </c>
      <c r="P9" s="32">
        <f>L31/K31</f>
        <v/>
      </c>
      <c r="Q9" s="129" t="n">
        <v>974457</v>
      </c>
      <c r="R9" s="130">
        <f>N31/F31/1000</f>
        <v/>
      </c>
      <c r="S9" s="52">
        <f>N31/K31/1000</f>
        <v/>
      </c>
      <c r="T9" s="130">
        <f>N31*0.0266</f>
        <v/>
      </c>
      <c r="U9" s="130" t="n">
        <v>5000</v>
      </c>
      <c r="V9" s="130" t="n">
        <v>7080</v>
      </c>
      <c r="W9" s="130" t="n"/>
      <c r="X9" s="130" t="n">
        <v>3500</v>
      </c>
      <c r="Y9" s="130" t="n">
        <v>3500</v>
      </c>
      <c r="Z9" s="130" t="n">
        <v>2200</v>
      </c>
      <c r="AA9" s="130" t="n">
        <v>5000</v>
      </c>
      <c r="AB9" s="130" t="n">
        <v>3000</v>
      </c>
      <c r="AC9" s="130" t="n">
        <v>2000</v>
      </c>
      <c r="AD9" s="130" t="n"/>
      <c r="AE9" s="130">
        <f>((700*H31)+(400*I31))+1000</f>
        <v/>
      </c>
      <c r="AF9" s="130" t="n"/>
      <c r="AG9" s="130" t="n"/>
      <c r="AH9" s="130" t="n"/>
      <c r="AI9" s="130" t="n">
        <v>31742</v>
      </c>
      <c r="AJ9" s="130">
        <f>J31*4000</f>
        <v/>
      </c>
      <c r="AK9" s="130">
        <f>1500*J31</f>
        <v/>
      </c>
      <c r="AL9" s="130" t="n">
        <v>0</v>
      </c>
      <c r="AM9" s="130" t="n"/>
      <c r="AN9" s="130">
        <f>N31*0.0075</f>
        <v/>
      </c>
      <c r="AO9" s="130" t="n">
        <v>0</v>
      </c>
      <c r="AP9" s="130">
        <f>SUM(T9,U9,V9,W9,X9,Y9,Z9,AA9,AB9,AC9,AD9,AE9,AF9,AG9,AH9,AJ9,AK9,AL9,AM9,AN9,AO9)</f>
        <v/>
      </c>
      <c r="AQ9" s="130">
        <f>Q9+AP9+BA9</f>
        <v/>
      </c>
      <c r="AR9" s="130">
        <f>IF(I9&gt;0,AQ9/I9,0)</f>
        <v/>
      </c>
      <c r="AS9" s="130">
        <f>IF(BD9&gt;0,BD9*I9,BJ9*I9)</f>
        <v/>
      </c>
      <c r="AT9" s="130">
        <f>IF(BD9&gt;0,BD9,BJ9)</f>
        <v/>
      </c>
      <c r="AU9" s="38" t="n"/>
      <c r="AV9" s="0" t="inlineStr">
        <is>
          <t>DIA</t>
        </is>
      </c>
      <c r="AW9" s="0" t="n">
        <v>3</v>
      </c>
      <c r="AX9" s="131" t="n">
        <v>31742</v>
      </c>
      <c r="AY9" s="131" t="n">
        <v>15000</v>
      </c>
      <c r="AZ9" s="131" t="n">
        <v>20000</v>
      </c>
      <c r="BA9" s="131">
        <f>AX9+AY9+AZ9</f>
        <v/>
      </c>
      <c r="BB9" s="131">
        <f>IF(I9&gt;0,BA9/I9,0)</f>
        <v/>
      </c>
      <c r="BC9" s="79" t="inlineStr">
        <is>
          <t>VERIFIED</t>
        </is>
      </c>
      <c r="BD9" s="132" t="n">
        <v>120630</v>
      </c>
      <c r="BE9" s="131">
        <f>BA31*F31</f>
        <v/>
      </c>
      <c r="BF9" s="131">
        <f>AQ9</f>
        <v/>
      </c>
      <c r="BG9" s="132">
        <f>AS9-BF9</f>
        <v/>
      </c>
      <c r="BH9" s="133">
        <f>IF(AS9&gt;0,BG9/AS9,0)</f>
        <v/>
      </c>
      <c r="BI9" s="109" t="inlineStr">
        <is>
          <t>DINO LOCKED</t>
        </is>
      </c>
      <c r="BJ9" s="139" t="n">
        <v>120630</v>
      </c>
      <c r="BK9" s="131" t="n">
        <v>1206300</v>
      </c>
      <c r="BL9" s="134" t="n">
        <v>0.1257383261685675</v>
      </c>
      <c r="BO9" s="135" t="n">
        <v>1120626</v>
      </c>
      <c r="BP9" s="135" t="n">
        <v>35972</v>
      </c>
      <c r="BQ9" s="135" t="n">
        <v>66742</v>
      </c>
      <c r="BR9" s="0" t="n">
        <v>773640</v>
      </c>
      <c r="BS9" s="0" t="n">
        <v>874213</v>
      </c>
      <c r="BT9" s="0" t="n">
        <v>174843</v>
      </c>
      <c r="BU9" s="0" t="n">
        <v>103820</v>
      </c>
    </row>
    <row r="10">
      <c r="A10" s="29" t="n">
        <v>29</v>
      </c>
      <c r="B10" s="115" t="inlineStr">
        <is>
          <t>ABIO Power</t>
        </is>
      </c>
      <c r="C10" s="115" t="inlineStr">
        <is>
          <t>Nicosia</t>
        </is>
      </c>
      <c r="D10" s="127" t="n">
        <v>4.99</v>
      </c>
      <c r="E10" s="29" t="inlineStr">
        <is>
          <t>Nicosia15</t>
        </is>
      </c>
      <c r="F10" s="52" t="inlineStr">
        <is>
          <t>DIA</t>
        </is>
      </c>
      <c r="G10" s="116" t="inlineStr">
        <is>
          <t>Dianary 3</t>
        </is>
      </c>
      <c r="H10" s="52" t="n">
        <v>8</v>
      </c>
      <c r="I10" s="52" t="n">
        <v>35</v>
      </c>
      <c r="J10" s="128" t="n">
        <v>4.99</v>
      </c>
      <c r="K10" s="82" t="n">
        <v>7</v>
      </c>
      <c r="L10" s="82" t="n">
        <v>2</v>
      </c>
      <c r="M10" s="29" t="n">
        <v>9</v>
      </c>
      <c r="N10" s="136" t="n">
        <v>86</v>
      </c>
      <c r="O10" s="52">
        <f>N32/F32/1000</f>
        <v/>
      </c>
      <c r="P10" s="32">
        <f>L32/K32</f>
        <v/>
      </c>
      <c r="Q10" s="136" t="n">
        <v>3303521</v>
      </c>
      <c r="R10" s="130">
        <f>N32/F32/1000</f>
        <v/>
      </c>
      <c r="S10" s="52">
        <f>N32/K32/1000</f>
        <v/>
      </c>
      <c r="T10" s="130">
        <f>N32*0.0266</f>
        <v/>
      </c>
      <c r="U10" s="130" t="n">
        <v>11000</v>
      </c>
      <c r="V10" s="130" t="n">
        <v>21240</v>
      </c>
      <c r="W10" s="130" t="n"/>
      <c r="X10" s="130" t="n">
        <v>11200</v>
      </c>
      <c r="Y10" s="130" t="n">
        <v>7000</v>
      </c>
      <c r="Z10" s="130" t="n">
        <v>4400</v>
      </c>
      <c r="AA10" s="130" t="n">
        <v>6000</v>
      </c>
      <c r="AB10" s="130" t="n">
        <v>3000</v>
      </c>
      <c r="AC10" s="130" t="n">
        <v>2000</v>
      </c>
      <c r="AD10" s="130" t="n"/>
      <c r="AE10" s="130">
        <f>((700*H32)+(400*I32))+1000</f>
        <v/>
      </c>
      <c r="AF10" s="130" t="n"/>
      <c r="AG10" s="130" t="n"/>
      <c r="AH10" s="130" t="n"/>
      <c r="AI10" s="130" t="n">
        <v>69182</v>
      </c>
      <c r="AJ10" s="130">
        <f>J32*4000</f>
        <v/>
      </c>
      <c r="AK10" s="130">
        <f>1500*J32</f>
        <v/>
      </c>
      <c r="AL10" s="130" t="n">
        <v>0</v>
      </c>
      <c r="AM10" s="130" t="n"/>
      <c r="AN10" s="130">
        <f>N32*0.0075</f>
        <v/>
      </c>
      <c r="AO10" s="130" t="n">
        <v>0</v>
      </c>
      <c r="AP10" s="130">
        <f>SUM(T10,U10,V10,W10,X10,Y10,Z10,AA10,AB10,AC10,AD10,AE10,AF10,AG10,AH10,AJ10,AK10,AL10,AM10,AN10,AO10)</f>
        <v/>
      </c>
      <c r="AQ10" s="130">
        <f>Q10+AP10+BA10</f>
        <v/>
      </c>
      <c r="AR10" s="130">
        <f>IF(I10&gt;0,AQ10/I10,0)</f>
        <v/>
      </c>
      <c r="AS10" s="130">
        <f>IF(BD10&gt;0,BD10*I10,BJ10*I10)</f>
        <v/>
      </c>
      <c r="AT10" s="130">
        <f>IF(BD10&gt;0,BD10,BJ10)</f>
        <v/>
      </c>
      <c r="AU10" s="38" t="n"/>
      <c r="AV10" s="0" t="inlineStr">
        <is>
          <t>DIA</t>
        </is>
      </c>
      <c r="AW10" s="0" t="n">
        <v>3</v>
      </c>
      <c r="AX10" s="131" t="n">
        <v>69182</v>
      </c>
      <c r="AY10" s="131" t="n">
        <v>15000</v>
      </c>
      <c r="AZ10" s="131" t="n">
        <v>20000</v>
      </c>
      <c r="BA10" s="131">
        <f>AX10+AY10+AZ10</f>
        <v/>
      </c>
      <c r="BB10" s="131">
        <f>IF(I10&gt;0,BA10/I10,0)</f>
        <v/>
      </c>
      <c r="BC10" s="79" t="inlineStr">
        <is>
          <t>VERIFIED</t>
        </is>
      </c>
      <c r="BD10" s="132" t="n">
        <v>110895</v>
      </c>
      <c r="BE10" s="131">
        <f>BA32*F32</f>
        <v/>
      </c>
      <c r="BF10" s="131">
        <f>AQ10</f>
        <v/>
      </c>
      <c r="BG10" s="132">
        <f>AS10-BF10</f>
        <v/>
      </c>
      <c r="BH10" s="133">
        <f>IF(AS10&gt;0,BG10/AS10,0)</f>
        <v/>
      </c>
      <c r="BI10" s="109" t="inlineStr">
        <is>
          <t>13% MARGIN</t>
        </is>
      </c>
      <c r="BJ10" s="139" t="n">
        <v>112146</v>
      </c>
      <c r="BK10" s="131" t="n">
        <v>3925110</v>
      </c>
      <c r="BL10" s="134" t="n">
        <v>0.1195951560229249</v>
      </c>
      <c r="BO10" s="135" t="n">
        <v>3799049</v>
      </c>
      <c r="BP10" s="135" t="n">
        <v>75716</v>
      </c>
      <c r="BQ10" s="135" t="n">
        <v>104182</v>
      </c>
      <c r="BR10" s="0" t="n">
        <v>1272966</v>
      </c>
      <c r="BS10" s="0" t="n">
        <v>1438452</v>
      </c>
      <c r="BT10" s="0" t="n">
        <v>143845</v>
      </c>
      <c r="BU10" s="0" t="n">
        <v>176313</v>
      </c>
    </row>
    <row r="11">
      <c r="A11" s="29" t="n">
        <v>34</v>
      </c>
      <c r="B11" s="115" t="inlineStr">
        <is>
          <t>ABIO Power</t>
        </is>
      </c>
      <c r="C11" s="115" t="inlineStr">
        <is>
          <t>Nicosia</t>
        </is>
      </c>
      <c r="D11" s="127" t="n">
        <v>0</v>
      </c>
      <c r="E11" s="29" t="inlineStr">
        <is>
          <t>Nicosia20</t>
        </is>
      </c>
      <c r="F11" s="52" t="inlineStr">
        <is>
          <t>ELE</t>
        </is>
      </c>
      <c r="G11" s="116" t="inlineStr">
        <is>
          <t>ELESTORE 1</t>
        </is>
      </c>
      <c r="H11" s="52" t="n">
        <v>12</v>
      </c>
      <c r="I11" s="52" t="n">
        <v>40</v>
      </c>
      <c r="J11" s="128" t="inlineStr">
        <is>
          <t>Standalone</t>
        </is>
      </c>
      <c r="K11" s="82" t="n">
        <v>8</v>
      </c>
      <c r="L11" s="82" t="n">
        <v>2</v>
      </c>
      <c r="M11" s="29" t="n">
        <v>10</v>
      </c>
      <c r="N11" s="129" t="n">
        <v>86.15000000000001</v>
      </c>
      <c r="O11" s="52">
        <f>N37/F37/1000</f>
        <v/>
      </c>
      <c r="P11" s="32">
        <f>L37/K37</f>
        <v/>
      </c>
      <c r="Q11" s="129" t="n">
        <v>3781992</v>
      </c>
      <c r="R11" s="130">
        <f>N37/F37/1000</f>
        <v/>
      </c>
      <c r="S11" s="52">
        <f>N37/K37/1000</f>
        <v/>
      </c>
      <c r="T11" s="130">
        <f>N37*0.0266</f>
        <v/>
      </c>
      <c r="U11" s="130" t="n">
        <v>12000</v>
      </c>
      <c r="V11" s="130" t="n">
        <v>23600</v>
      </c>
      <c r="W11" s="130" t="n"/>
      <c r="X11" s="130" t="n">
        <v>16800</v>
      </c>
      <c r="Y11" s="130" t="n">
        <v>7000</v>
      </c>
      <c r="Z11" s="130" t="n">
        <v>4400</v>
      </c>
      <c r="AA11" s="130" t="n">
        <v>6000</v>
      </c>
      <c r="AB11" s="130" t="n">
        <v>3000</v>
      </c>
      <c r="AC11" s="130" t="n">
        <v>2000</v>
      </c>
      <c r="AD11" s="130" t="n"/>
      <c r="AE11" s="130">
        <f>((700*H37)+(400*I37))+1000</f>
        <v/>
      </c>
      <c r="AF11" s="130" t="n"/>
      <c r="AG11" s="130" t="n"/>
      <c r="AH11" s="130" t="n"/>
      <c r="AI11" s="130" t="n">
        <v>89424</v>
      </c>
      <c r="AJ11" s="130">
        <f>J37*4000</f>
        <v/>
      </c>
      <c r="AK11" s="130">
        <f>1500*J37</f>
        <v/>
      </c>
      <c r="AL11" s="130" t="n">
        <v>0</v>
      </c>
      <c r="AM11" s="130" t="n"/>
      <c r="AN11" s="130">
        <f>N37*0.0075</f>
        <v/>
      </c>
      <c r="AO11" s="130" t="n">
        <v>0</v>
      </c>
      <c r="AP11" s="130">
        <f>SUM(T11,U11,V11,W11,X11,Y11,Z11,AA11,AB11,AC11,AD11,AE11,AF11,AG11,AH11,AJ11,AK11,AL11,AM11,AN11,AO11)</f>
        <v/>
      </c>
      <c r="AQ11" s="130">
        <f>Q11+AP11+BA11</f>
        <v/>
      </c>
      <c r="AR11" s="130">
        <f>IF(I11&gt;0,AQ11/I11,0)</f>
        <v/>
      </c>
      <c r="AS11" s="130">
        <f>IF(BD11&gt;0,BD11*I11,BJ11*I11)</f>
        <v/>
      </c>
      <c r="AT11" s="130">
        <f>IF(BD11&gt;0,BD11,BJ11)</f>
        <v/>
      </c>
      <c r="AU11" s="38" t="n"/>
      <c r="AV11" s="0" t="inlineStr">
        <is>
          <t>ELE</t>
        </is>
      </c>
      <c r="AW11" s="0" t="n">
        <v>5</v>
      </c>
      <c r="AX11" s="131" t="n">
        <v>89424</v>
      </c>
      <c r="AY11" s="131" t="n">
        <v>15000</v>
      </c>
      <c r="AZ11" s="131" t="n">
        <v>12000</v>
      </c>
      <c r="BA11" s="131">
        <f>AX11+AY11+AZ11</f>
        <v/>
      </c>
      <c r="BB11" s="131">
        <f>IF(I11&gt;0,BA11/I11,0)</f>
        <v/>
      </c>
      <c r="BC11" s="79" t="inlineStr">
        <is>
          <t>VERIFIED</t>
        </is>
      </c>
      <c r="BD11" s="132" t="n">
        <v>114990</v>
      </c>
      <c r="BE11" s="131">
        <f>BA37*F37</f>
        <v/>
      </c>
      <c r="BF11" s="131">
        <f>AQ11</f>
        <v/>
      </c>
      <c r="BG11" s="132">
        <f>AS11-BF11</f>
        <v/>
      </c>
      <c r="BH11" s="133">
        <f>IF(AS11&gt;0,BG11/AS11,0)</f>
        <v/>
      </c>
      <c r="BI11" s="110" t="inlineStr">
        <is>
          <t>DINO LOCKED</t>
        </is>
      </c>
      <c r="BJ11" s="139" t="n">
        <v>114990</v>
      </c>
      <c r="BK11" s="131" t="n">
        <v>4599600</v>
      </c>
      <c r="BL11" s="134" t="n">
        <v>0.1361822767197148</v>
      </c>
      <c r="BO11" s="135" t="n">
        <v>4349291</v>
      </c>
      <c r="BP11" s="135" t="n">
        <v>86020</v>
      </c>
      <c r="BQ11" s="135" t="n">
        <v>116424</v>
      </c>
      <c r="BR11" s="0" t="n">
        <v>3098911</v>
      </c>
      <c r="BS11" s="0" t="n">
        <v>3501769</v>
      </c>
      <c r="BT11" s="0" t="n">
        <v>140071</v>
      </c>
      <c r="BU11" s="0" t="n">
        <v>437708</v>
      </c>
    </row>
    <row r="12">
      <c r="A12" s="0" t="n">
        <v>35</v>
      </c>
      <c r="B12" s="115" t="inlineStr">
        <is>
          <t>ABIO Power</t>
        </is>
      </c>
      <c r="C12" s="115" t="inlineStr">
        <is>
          <t>Nicosia</t>
        </is>
      </c>
      <c r="D12" s="127" t="n">
        <v>0</v>
      </c>
      <c r="E12" s="0" t="inlineStr">
        <is>
          <t>Nicosia21</t>
        </is>
      </c>
      <c r="F12" s="0" t="inlineStr">
        <is>
          <t>ELE</t>
        </is>
      </c>
      <c r="G12" s="115" t="inlineStr">
        <is>
          <t>ELESTORE 2</t>
        </is>
      </c>
      <c r="H12" s="128" t="n">
        <v>12</v>
      </c>
      <c r="I12" s="128" t="n">
        <v>40</v>
      </c>
      <c r="J12" s="128" t="inlineStr">
        <is>
          <t>Standalone</t>
        </is>
      </c>
      <c r="K12" s="0" t="n">
        <v>8</v>
      </c>
      <c r="L12" s="0" t="n">
        <v>2</v>
      </c>
      <c r="M12" s="0" t="n">
        <v>10</v>
      </c>
      <c r="N12" s="135" t="n">
        <v>86.15000000000001</v>
      </c>
      <c r="O12" s="0">
        <f>N38/F38/1000</f>
        <v/>
      </c>
      <c r="P12" s="0">
        <f>L38/K38</f>
        <v/>
      </c>
      <c r="Q12" s="137" t="n">
        <v>3781992</v>
      </c>
      <c r="R12" s="135">
        <f>N38/F38/1000</f>
        <v/>
      </c>
      <c r="S12" s="0">
        <f>N38/K38/1000</f>
        <v/>
      </c>
      <c r="T12" s="135">
        <f>N38*0.0266</f>
        <v/>
      </c>
      <c r="U12" s="137" t="n">
        <v>12000</v>
      </c>
      <c r="V12" s="137" t="n">
        <v>23600</v>
      </c>
      <c r="W12" s="131" t="n"/>
      <c r="X12" s="137" t="n">
        <v>16800</v>
      </c>
      <c r="Y12" s="137" t="n">
        <v>7000</v>
      </c>
      <c r="Z12" s="135" t="n">
        <v>4400</v>
      </c>
      <c r="AA12" s="135" t="n">
        <v>6000</v>
      </c>
      <c r="AB12" s="135" t="n">
        <v>3000</v>
      </c>
      <c r="AC12" s="135" t="n">
        <v>2000</v>
      </c>
      <c r="AD12" s="131" t="n"/>
      <c r="AE12" s="135">
        <f>((700*H38)+(400*I38))+1000</f>
        <v/>
      </c>
      <c r="AF12" s="131" t="n"/>
      <c r="AG12" s="131" t="n"/>
      <c r="AH12" s="131" t="n"/>
      <c r="AI12" s="135" t="n">
        <v>89424</v>
      </c>
      <c r="AJ12" s="135">
        <f>J38*4000</f>
        <v/>
      </c>
      <c r="AK12" s="135">
        <f>1500*J38</f>
        <v/>
      </c>
      <c r="AL12" s="135" t="n">
        <v>0</v>
      </c>
      <c r="AM12" s="131" t="n"/>
      <c r="AN12" s="135">
        <f>N38*0.0075</f>
        <v/>
      </c>
      <c r="AO12" s="135" t="n">
        <v>0</v>
      </c>
      <c r="AP12" s="135">
        <f>SUM(T12,U12,V12,W12,X12,Y12,Z12,AA12,AB12,AC12,AD12,AE12,AF12,AG12,AH12,AJ12,AK12,AL12,AM12,AN12,AO12)</f>
        <v/>
      </c>
      <c r="AQ12" s="135">
        <f>Q12+AP12+BA12</f>
        <v/>
      </c>
      <c r="AR12" s="135">
        <f>IF(I12&gt;0,AQ12/I12,0)</f>
        <v/>
      </c>
      <c r="AS12" s="135">
        <f>IF(BD12&gt;0,BD12*I12,BJ12*I12)</f>
        <v/>
      </c>
      <c r="AT12" s="135">
        <f>IF(BD12&gt;0,BD12,BJ12)</f>
        <v/>
      </c>
      <c r="AU12" s="0" t="n"/>
      <c r="AV12" s="0" t="inlineStr">
        <is>
          <t>ELE</t>
        </is>
      </c>
      <c r="AW12" s="0" t="n">
        <v>5</v>
      </c>
      <c r="AX12" s="135" t="n">
        <v>89424</v>
      </c>
      <c r="AY12" s="135" t="n">
        <v>15000</v>
      </c>
      <c r="AZ12" s="135" t="n">
        <v>12000</v>
      </c>
      <c r="BA12" s="135">
        <f>AX12+AY12+AZ12</f>
        <v/>
      </c>
      <c r="BB12" s="135">
        <f>IF(I12&gt;0,BA12/I12,0)</f>
        <v/>
      </c>
      <c r="BC12" s="112" t="inlineStr">
        <is>
          <t>VERIFIED</t>
        </is>
      </c>
      <c r="BD12" s="135" t="n">
        <v>114990</v>
      </c>
      <c r="BE12" s="135">
        <f>BA38*F38</f>
        <v/>
      </c>
      <c r="BF12" s="137">
        <f>AQ12</f>
        <v/>
      </c>
      <c r="BG12" s="135">
        <f>AS12-BF12</f>
        <v/>
      </c>
      <c r="BH12" s="138">
        <f>IF(AS12&gt;0,BG12/AS12,0)</f>
        <v/>
      </c>
      <c r="BI12" s="113" t="inlineStr">
        <is>
          <t>DINO LOCKED</t>
        </is>
      </c>
      <c r="BJ12" s="137" t="n">
        <v>114990</v>
      </c>
      <c r="BK12" s="137" t="n">
        <v>4599600</v>
      </c>
      <c r="BL12" s="138" t="n">
        <v>0.1361822767197148</v>
      </c>
      <c r="BO12" s="135" t="n">
        <v>4349291</v>
      </c>
      <c r="BP12" s="135" t="n">
        <v>86020</v>
      </c>
      <c r="BQ12" s="135" t="n">
        <v>116424</v>
      </c>
      <c r="BR12" s="0" t="n">
        <v>2978063</v>
      </c>
      <c r="BS12" s="0" t="n">
        <v>3365211</v>
      </c>
      <c r="BT12" s="0" t="n">
        <v>134608</v>
      </c>
      <c r="BU12" s="0" t="n">
        <v>287636</v>
      </c>
    </row>
    <row r="13">
      <c r="A13" s="29" t="n">
        <v>36</v>
      </c>
      <c r="B13" s="115" t="inlineStr">
        <is>
          <t>ABIO Power</t>
        </is>
      </c>
      <c r="C13" s="115" t="inlineStr">
        <is>
          <t>Nicosia</t>
        </is>
      </c>
      <c r="D13" s="127" t="n">
        <v>0</v>
      </c>
      <c r="E13" s="29" t="inlineStr">
        <is>
          <t>Nicosia22</t>
        </is>
      </c>
      <c r="F13" s="52" t="inlineStr">
        <is>
          <t>ELE</t>
        </is>
      </c>
      <c r="G13" s="116" t="inlineStr">
        <is>
          <t>ELESTORE 3</t>
        </is>
      </c>
      <c r="H13" s="52" t="n">
        <v>12</v>
      </c>
      <c r="I13" s="52" t="n">
        <v>40</v>
      </c>
      <c r="J13" s="128" t="inlineStr">
        <is>
          <t>Standalone</t>
        </is>
      </c>
      <c r="K13" s="82" t="n">
        <v>8</v>
      </c>
      <c r="L13" s="82" t="n">
        <v>2</v>
      </c>
      <c r="M13" s="29" t="n">
        <v>10</v>
      </c>
      <c r="N13" s="136" t="n">
        <v>86.15000000000001</v>
      </c>
      <c r="O13" s="52">
        <f>N39/F39/1000</f>
        <v/>
      </c>
      <c r="P13" s="32">
        <f>L39/K39</f>
        <v/>
      </c>
      <c r="Q13" s="136" t="n">
        <v>3781992</v>
      </c>
      <c r="R13" s="130">
        <f>N39/F39/1000</f>
        <v/>
      </c>
      <c r="S13" s="52">
        <f>N39/K39/1000</f>
        <v/>
      </c>
      <c r="T13" s="130">
        <f>N39*0.0266</f>
        <v/>
      </c>
      <c r="U13" s="130" t="n">
        <v>12000</v>
      </c>
      <c r="V13" s="130" t="n">
        <v>23600</v>
      </c>
      <c r="W13" s="130" t="n"/>
      <c r="X13" s="130" t="n">
        <v>16800</v>
      </c>
      <c r="Y13" s="130" t="n">
        <v>7000</v>
      </c>
      <c r="Z13" s="130" t="n">
        <v>4400</v>
      </c>
      <c r="AA13" s="130" t="n">
        <v>6000</v>
      </c>
      <c r="AB13" s="130" t="n">
        <v>3000</v>
      </c>
      <c r="AC13" s="130" t="n">
        <v>2000</v>
      </c>
      <c r="AD13" s="130" t="n"/>
      <c r="AE13" s="130">
        <f>((700*H39)+(400*I39))+1000</f>
        <v/>
      </c>
      <c r="AF13" s="130" t="n"/>
      <c r="AG13" s="130" t="n"/>
      <c r="AH13" s="130" t="n"/>
      <c r="AI13" s="130" t="n">
        <v>89424</v>
      </c>
      <c r="AJ13" s="130">
        <f>J39*4000</f>
        <v/>
      </c>
      <c r="AK13" s="130">
        <f>1500*J39</f>
        <v/>
      </c>
      <c r="AL13" s="130" t="n">
        <v>0</v>
      </c>
      <c r="AM13" s="130" t="n"/>
      <c r="AN13" s="130">
        <f>N39*0.0075</f>
        <v/>
      </c>
      <c r="AO13" s="130" t="n">
        <v>0</v>
      </c>
      <c r="AP13" s="130">
        <f>SUM(T13,U13,V13,W13,X13,Y13,Z13,AA13,AB13,AC13,AD13,AE13,AF13,AG13,AH13,AJ13,AK13,AL13,AM13,AN13,AO13)</f>
        <v/>
      </c>
      <c r="AQ13" s="130">
        <f>Q13+AP13+BA13</f>
        <v/>
      </c>
      <c r="AR13" s="130">
        <f>IF(I13&gt;0,AQ13/I13,0)</f>
        <v/>
      </c>
      <c r="AS13" s="130">
        <f>IF(BD13&gt;0,BD13*I13,BJ13*I13)</f>
        <v/>
      </c>
      <c r="AT13" s="130">
        <f>IF(BD13&gt;0,BD13,BJ13)</f>
        <v/>
      </c>
      <c r="AU13" s="38" t="n"/>
      <c r="AV13" s="0" t="inlineStr">
        <is>
          <t>ELE</t>
        </is>
      </c>
      <c r="AW13" s="0" t="n">
        <v>5</v>
      </c>
      <c r="AX13" s="131" t="n">
        <v>89424</v>
      </c>
      <c r="AY13" s="131" t="n">
        <v>15000</v>
      </c>
      <c r="AZ13" s="131" t="n">
        <v>12000</v>
      </c>
      <c r="BA13" s="131">
        <f>AX13+AY13+AZ13</f>
        <v/>
      </c>
      <c r="BB13" s="131">
        <f>IF(I13&gt;0,BA13/I13,0)</f>
        <v/>
      </c>
      <c r="BC13" s="79" t="inlineStr">
        <is>
          <t>VERIFIED</t>
        </is>
      </c>
      <c r="BD13" s="132" t="n">
        <v>114990</v>
      </c>
      <c r="BE13" s="131">
        <f>BA39*F39</f>
        <v/>
      </c>
      <c r="BF13" s="131">
        <f>AQ13</f>
        <v/>
      </c>
      <c r="BG13" s="132">
        <f>AS13-BF13</f>
        <v/>
      </c>
      <c r="BH13" s="133">
        <f>IF(AS13&gt;0,BG13/AS13,0)</f>
        <v/>
      </c>
      <c r="BI13" s="109" t="inlineStr">
        <is>
          <t>DINO LOCKED</t>
        </is>
      </c>
      <c r="BJ13" s="139" t="n">
        <v>114990</v>
      </c>
      <c r="BK13" s="131" t="n">
        <v>4599600</v>
      </c>
      <c r="BL13" s="134" t="n">
        <v>0.1361822767197148</v>
      </c>
      <c r="BO13" s="135" t="n">
        <v>4349291</v>
      </c>
      <c r="BP13" s="135" t="n">
        <v>86020</v>
      </c>
      <c r="BQ13" s="135" t="n">
        <v>116424</v>
      </c>
      <c r="BR13" s="0" t="n">
        <v>1328670</v>
      </c>
      <c r="BS13" s="0" t="n">
        <v>1501397</v>
      </c>
      <c r="BT13" s="0" t="n">
        <v>150140</v>
      </c>
      <c r="BU13" s="0" t="n">
        <v>185997</v>
      </c>
    </row>
    <row r="14">
      <c r="A14" s="29" t="n">
        <v>37</v>
      </c>
      <c r="B14" s="115" t="inlineStr">
        <is>
          <t>ABIO Power</t>
        </is>
      </c>
      <c r="C14" s="115" t="inlineStr">
        <is>
          <t>Nicosia</t>
        </is>
      </c>
      <c r="D14" s="127" t="n">
        <v>0</v>
      </c>
      <c r="E14" s="29" t="inlineStr">
        <is>
          <t>Nicosia23</t>
        </is>
      </c>
      <c r="F14" s="52" t="inlineStr">
        <is>
          <t>ELE</t>
        </is>
      </c>
      <c r="G14" s="116" t="inlineStr">
        <is>
          <t>ELESTORE 4</t>
        </is>
      </c>
      <c r="H14" s="52" t="n">
        <v>12</v>
      </c>
      <c r="I14" s="52" t="n">
        <v>40</v>
      </c>
      <c r="J14" s="128" t="inlineStr">
        <is>
          <t>Standalone</t>
        </is>
      </c>
      <c r="K14" s="82" t="n">
        <v>8</v>
      </c>
      <c r="L14" s="82" t="n">
        <v>2</v>
      </c>
      <c r="M14" s="29" t="n">
        <v>10</v>
      </c>
      <c r="N14" s="136" t="n">
        <v>86.15000000000001</v>
      </c>
      <c r="O14" s="52">
        <f>N40/F40/1000</f>
        <v/>
      </c>
      <c r="P14" s="32">
        <f>L40/K40</f>
        <v/>
      </c>
      <c r="Q14" s="136" t="n">
        <v>3781992</v>
      </c>
      <c r="R14" s="130">
        <f>N40/F40/1000</f>
        <v/>
      </c>
      <c r="S14" s="52">
        <f>N40/K40/1000</f>
        <v/>
      </c>
      <c r="T14" s="130">
        <f>N40*0.0266</f>
        <v/>
      </c>
      <c r="U14" s="130" t="n">
        <v>12000</v>
      </c>
      <c r="V14" s="130" t="n">
        <v>23600</v>
      </c>
      <c r="W14" s="130" t="n"/>
      <c r="X14" s="130" t="n">
        <v>16800</v>
      </c>
      <c r="Y14" s="130" t="n">
        <v>7000</v>
      </c>
      <c r="Z14" s="130" t="n">
        <v>4400</v>
      </c>
      <c r="AA14" s="130" t="n">
        <v>6000</v>
      </c>
      <c r="AB14" s="130" t="n">
        <v>3000</v>
      </c>
      <c r="AC14" s="130" t="n">
        <v>2000</v>
      </c>
      <c r="AD14" s="130" t="n"/>
      <c r="AE14" s="130">
        <f>((700*H40)+(400*I40))+1000</f>
        <v/>
      </c>
      <c r="AF14" s="130" t="n"/>
      <c r="AG14" s="130" t="n"/>
      <c r="AH14" s="130" t="n"/>
      <c r="AI14" s="130" t="n">
        <v>89424</v>
      </c>
      <c r="AJ14" s="130">
        <f>J40*4000</f>
        <v/>
      </c>
      <c r="AK14" s="130">
        <f>1500*J40</f>
        <v/>
      </c>
      <c r="AL14" s="130" t="n">
        <v>0</v>
      </c>
      <c r="AM14" s="130" t="n"/>
      <c r="AN14" s="130">
        <f>N40*0.0075</f>
        <v/>
      </c>
      <c r="AO14" s="130" t="n">
        <v>0</v>
      </c>
      <c r="AP14" s="130">
        <f>SUM(T14,U14,V14,W14,X14,Y14,Z14,AA14,AB14,AC14,AD14,AE14,AF14,AG14,AH14,AJ14,AK14,AL14,AM14,AN14,AO14)</f>
        <v/>
      </c>
      <c r="AQ14" s="130">
        <f>Q14+AP14+BA14</f>
        <v/>
      </c>
      <c r="AR14" s="130">
        <f>IF(I14&gt;0,AQ14/I14,0)</f>
        <v/>
      </c>
      <c r="AS14" s="130">
        <f>IF(BD14&gt;0,BD14*I14,BJ14*I14)</f>
        <v/>
      </c>
      <c r="AT14" s="130">
        <f>IF(BD14&gt;0,BD14,BJ14)</f>
        <v/>
      </c>
      <c r="AU14" s="38" t="n"/>
      <c r="AV14" s="0" t="inlineStr">
        <is>
          <t>ELE</t>
        </is>
      </c>
      <c r="AW14" s="0" t="n">
        <v>5</v>
      </c>
      <c r="AX14" s="131" t="n">
        <v>89424</v>
      </c>
      <c r="AY14" s="131" t="n">
        <v>15000</v>
      </c>
      <c r="AZ14" s="131" t="n">
        <v>12000</v>
      </c>
      <c r="BA14" s="131">
        <f>AX14+AY14+AZ14</f>
        <v/>
      </c>
      <c r="BB14" s="131">
        <f>IF(I14&gt;0,BA14/I14,0)</f>
        <v/>
      </c>
      <c r="BC14" s="79" t="inlineStr">
        <is>
          <t>VERIFIED</t>
        </is>
      </c>
      <c r="BD14" s="132" t="n">
        <v>114990</v>
      </c>
      <c r="BE14" s="131">
        <f>BA40*F40</f>
        <v/>
      </c>
      <c r="BF14" s="131">
        <f>AQ14</f>
        <v/>
      </c>
      <c r="BG14" s="132">
        <f>AS14-BF14</f>
        <v/>
      </c>
      <c r="BH14" s="133">
        <f>IF(AS14&gt;0,BG14/AS14,0)</f>
        <v/>
      </c>
      <c r="BI14" s="108" t="inlineStr">
        <is>
          <t>DINO LOCKED</t>
        </is>
      </c>
      <c r="BJ14" s="132" t="n">
        <v>114990</v>
      </c>
      <c r="BK14" s="131" t="n">
        <v>4599600</v>
      </c>
      <c r="BL14" s="134" t="n">
        <v>0.1361822767197148</v>
      </c>
      <c r="BO14" s="135" t="n">
        <v>4349291</v>
      </c>
      <c r="BP14" s="135" t="n">
        <v>86020</v>
      </c>
      <c r="BQ14" s="135" t="n">
        <v>116424</v>
      </c>
      <c r="BR14" s="0" t="n">
        <v>1223340</v>
      </c>
      <c r="BS14" s="0" t="n">
        <v>1382374</v>
      </c>
      <c r="BT14" s="0" t="n">
        <v>138237</v>
      </c>
      <c r="BU14" s="0" t="n">
        <v>176074</v>
      </c>
    </row>
    <row r="15">
      <c r="A15" s="29" t="n">
        <v>38</v>
      </c>
      <c r="B15" s="115" t="inlineStr">
        <is>
          <t>ABIO Power</t>
        </is>
      </c>
      <c r="C15" s="115" t="inlineStr">
        <is>
          <t>Nicosia</t>
        </is>
      </c>
      <c r="D15" s="127" t="n">
        <v>0</v>
      </c>
      <c r="E15" s="29" t="inlineStr">
        <is>
          <t>Nicosia24</t>
        </is>
      </c>
      <c r="F15" s="52" t="inlineStr">
        <is>
          <t>ELE</t>
        </is>
      </c>
      <c r="G15" s="116" t="inlineStr">
        <is>
          <t>ELESTORE 5</t>
        </is>
      </c>
      <c r="H15" s="52" t="n">
        <v>12</v>
      </c>
      <c r="I15" s="52" t="n">
        <v>40</v>
      </c>
      <c r="J15" s="128" t="inlineStr">
        <is>
          <t>Standalone</t>
        </is>
      </c>
      <c r="K15" s="82" t="n">
        <v>8</v>
      </c>
      <c r="L15" s="82" t="n">
        <v>2</v>
      </c>
      <c r="M15" s="29" t="n">
        <v>10</v>
      </c>
      <c r="N15" s="129" t="n">
        <v>86.15000000000001</v>
      </c>
      <c r="O15" s="52">
        <f>N41/F41/1000</f>
        <v/>
      </c>
      <c r="P15" s="32">
        <f>L41/K41</f>
        <v/>
      </c>
      <c r="Q15" s="129" t="n">
        <v>3781992</v>
      </c>
      <c r="R15" s="130">
        <f>N41/F41/1000</f>
        <v/>
      </c>
      <c r="S15" s="52">
        <f>N41/K41/1000</f>
        <v/>
      </c>
      <c r="T15" s="130">
        <f>N41*0.0266</f>
        <v/>
      </c>
      <c r="U15" s="130" t="n">
        <v>12000</v>
      </c>
      <c r="V15" s="130" t="n">
        <v>23600</v>
      </c>
      <c r="W15" s="130" t="n"/>
      <c r="X15" s="130" t="n">
        <v>16800</v>
      </c>
      <c r="Y15" s="130" t="n">
        <v>7000</v>
      </c>
      <c r="Z15" s="130" t="n">
        <v>4400</v>
      </c>
      <c r="AA15" s="130" t="n">
        <v>6000</v>
      </c>
      <c r="AB15" s="130" t="n">
        <v>3000</v>
      </c>
      <c r="AC15" s="130" t="n">
        <v>2000</v>
      </c>
      <c r="AD15" s="130" t="n"/>
      <c r="AE15" s="130">
        <f>((700*H41)+(400*I41))+1000</f>
        <v/>
      </c>
      <c r="AF15" s="130" t="n"/>
      <c r="AG15" s="130" t="n"/>
      <c r="AH15" s="130" t="n"/>
      <c r="AI15" s="130" t="n">
        <v>89424</v>
      </c>
      <c r="AJ15" s="130">
        <f>J41*4000</f>
        <v/>
      </c>
      <c r="AK15" s="130">
        <f>1500*J41</f>
        <v/>
      </c>
      <c r="AL15" s="130" t="n">
        <v>0</v>
      </c>
      <c r="AM15" s="130" t="n"/>
      <c r="AN15" s="130">
        <f>N41*0.0075</f>
        <v/>
      </c>
      <c r="AO15" s="130" t="n">
        <v>0</v>
      </c>
      <c r="AP15" s="130">
        <f>SUM(T15,U15,V15,W15,X15,Y15,Z15,AA15,AB15,AC15,AD15,AE15,AF15,AG15,AH15,AJ15,AK15,AL15,AM15,AN15,AO15)</f>
        <v/>
      </c>
      <c r="AQ15" s="130">
        <f>Q15+AP15+BA15</f>
        <v/>
      </c>
      <c r="AR15" s="130">
        <f>IF(I15&gt;0,AQ15/I15,0)</f>
        <v/>
      </c>
      <c r="AS15" s="130">
        <f>IF(BD15&gt;0,BD15*I15,BJ15*I15)</f>
        <v/>
      </c>
      <c r="AT15" s="130">
        <f>IF(BD15&gt;0,BD15,BJ15)</f>
        <v/>
      </c>
      <c r="AU15" s="38" t="n"/>
      <c r="AV15" s="0" t="inlineStr">
        <is>
          <t>ELE</t>
        </is>
      </c>
      <c r="AW15" s="0" t="n">
        <v>5</v>
      </c>
      <c r="AX15" s="131" t="n">
        <v>89424</v>
      </c>
      <c r="AY15" s="131" t="n">
        <v>15000</v>
      </c>
      <c r="AZ15" s="131" t="n">
        <v>12000</v>
      </c>
      <c r="BA15" s="131">
        <f>AX15+AY15+AZ15</f>
        <v/>
      </c>
      <c r="BB15" s="131">
        <f>IF(I15&gt;0,BA15/I15,0)</f>
        <v/>
      </c>
      <c r="BC15" s="79" t="inlineStr">
        <is>
          <t>VERIFIED</t>
        </is>
      </c>
      <c r="BD15" s="132" t="n">
        <v>114990</v>
      </c>
      <c r="BE15" s="131">
        <f>BA41*F41</f>
        <v/>
      </c>
      <c r="BF15" s="131">
        <f>AQ15</f>
        <v/>
      </c>
      <c r="BG15" s="132">
        <f>AS15-BF15</f>
        <v/>
      </c>
      <c r="BH15" s="133">
        <f>IF(AS15&gt;0,BG15/AS15,0)</f>
        <v/>
      </c>
      <c r="BI15" s="109" t="inlineStr">
        <is>
          <t>DINO LOCKED</t>
        </is>
      </c>
      <c r="BJ15" s="139" t="n">
        <v>114990</v>
      </c>
      <c r="BK15" s="131" t="n">
        <v>4599600</v>
      </c>
      <c r="BL15" s="134" t="n">
        <v>0.1361822767197148</v>
      </c>
      <c r="BO15" s="135" t="n">
        <v>4349291</v>
      </c>
      <c r="BP15" s="135" t="n">
        <v>86020</v>
      </c>
      <c r="BQ15" s="135" t="n">
        <v>116424</v>
      </c>
      <c r="BR15" s="0" t="n">
        <v>3978947</v>
      </c>
      <c r="BS15" s="0" t="n">
        <v>4496210</v>
      </c>
      <c r="BT15" s="0" t="n">
        <v>128463</v>
      </c>
      <c r="BU15" s="0" t="n">
        <v>571106</v>
      </c>
    </row>
    <row r="16">
      <c r="A16" s="29" t="n">
        <v>20</v>
      </c>
      <c r="B16" s="115" t="inlineStr">
        <is>
          <t>ABIO Power</t>
        </is>
      </c>
      <c r="C16" s="115" t="inlineStr">
        <is>
          <t>Nicosia</t>
        </is>
      </c>
      <c r="D16" s="127" t="n">
        <v>5.58</v>
      </c>
      <c r="E16" s="29" t="inlineStr">
        <is>
          <t>Nicosia6</t>
        </is>
      </c>
      <c r="F16" s="52" t="inlineStr">
        <is>
          <t>EAS</t>
        </is>
      </c>
      <c r="G16" s="116" t="inlineStr">
        <is>
          <t>Easy Power 1</t>
        </is>
      </c>
      <c r="H16" s="52" t="n">
        <v>5</v>
      </c>
      <c r="I16" s="52" t="n">
        <v>10</v>
      </c>
      <c r="J16" s="128" t="n">
        <v>5.58</v>
      </c>
      <c r="K16" s="82" t="n">
        <v>2</v>
      </c>
      <c r="L16" s="82" t="n">
        <v>1</v>
      </c>
      <c r="M16" s="29" t="n">
        <v>3</v>
      </c>
      <c r="N16" s="136" t="n">
        <v>101.4</v>
      </c>
      <c r="O16" s="52">
        <f>N23/F23/1000</f>
        <v/>
      </c>
      <c r="P16" s="32">
        <f>L23/K23</f>
        <v/>
      </c>
      <c r="Q16" s="136" t="n">
        <v>1104571</v>
      </c>
      <c r="R16" s="130">
        <f>N23/F23/1000</f>
        <v/>
      </c>
      <c r="S16" s="52">
        <f>N23/K23/1000</f>
        <v/>
      </c>
      <c r="T16" s="130">
        <f>N23*0.0266</f>
        <v/>
      </c>
      <c r="U16" s="130" t="n">
        <v>5000</v>
      </c>
      <c r="V16" s="130" t="n">
        <v>7080</v>
      </c>
      <c r="W16" s="130" t="n"/>
      <c r="X16" s="130" t="n">
        <v>7000</v>
      </c>
      <c r="Y16" s="130" t="n">
        <v>3500</v>
      </c>
      <c r="Z16" s="130" t="n">
        <v>2200</v>
      </c>
      <c r="AA16" s="130" t="n">
        <v>5000</v>
      </c>
      <c r="AB16" s="130" t="n">
        <v>3000</v>
      </c>
      <c r="AC16" s="130" t="n">
        <v>2000</v>
      </c>
      <c r="AD16" s="130" t="n"/>
      <c r="AE16" s="130">
        <f>((700*H23)+(400*I23))+1000</f>
        <v/>
      </c>
      <c r="AF16" s="130" t="n"/>
      <c r="AG16" s="130" t="n"/>
      <c r="AH16" s="130" t="n"/>
      <c r="AI16" s="130" t="n">
        <v>31742</v>
      </c>
      <c r="AJ16" s="130">
        <f>J23*4000</f>
        <v/>
      </c>
      <c r="AK16" s="130">
        <f>1500*J23</f>
        <v/>
      </c>
      <c r="AL16" s="130" t="n">
        <v>0</v>
      </c>
      <c r="AM16" s="130" t="n"/>
      <c r="AN16" s="130">
        <f>N23*0.0075</f>
        <v/>
      </c>
      <c r="AO16" s="130" t="n">
        <v>0</v>
      </c>
      <c r="AP16" s="130">
        <f>SUM(T16,U16,V16,W16,X16,Y16,Z16,AA16,AB16,AC16,AD16,AE16,AF16,AG16,AH16,AJ16,AK16,AL16,AM16,AN16,AO16)</f>
        <v/>
      </c>
      <c r="AQ16" s="130">
        <f>Q16+AP16+BA16</f>
        <v/>
      </c>
      <c r="AR16" s="130">
        <f>IF(I16&gt;0,AQ16/I16,0)</f>
        <v/>
      </c>
      <c r="AS16" s="130">
        <f>IF(BD16&gt;0,BD16*I16,BJ16*I16)</f>
        <v/>
      </c>
      <c r="AT16" s="130">
        <f>IF(BD16&gt;0,BD16,BJ16)</f>
        <v/>
      </c>
      <c r="AU16" s="38" t="n"/>
      <c r="AV16" s="0" t="inlineStr">
        <is>
          <t>EAS</t>
        </is>
      </c>
      <c r="AW16" s="0" t="n">
        <v>4</v>
      </c>
      <c r="AX16" s="131" t="n">
        <v>31742</v>
      </c>
      <c r="AY16" s="131" t="n">
        <v>15000</v>
      </c>
      <c r="AZ16" s="131" t="n">
        <v>15000</v>
      </c>
      <c r="BA16" s="131">
        <f>AX16+AY16+AZ16</f>
        <v/>
      </c>
      <c r="BB16" s="131">
        <f>IF(I16&gt;0,BA16/I16,0)</f>
        <v/>
      </c>
      <c r="BC16" s="79" t="inlineStr">
        <is>
          <t>VERIFIED</t>
        </is>
      </c>
      <c r="BD16" s="132" t="n">
        <v>136106</v>
      </c>
      <c r="BE16" s="131">
        <f>BA23*F23</f>
        <v/>
      </c>
      <c r="BF16" s="131">
        <f>AQ16</f>
        <v/>
      </c>
      <c r="BG16" s="132">
        <f>AS16-BF16</f>
        <v/>
      </c>
      <c r="BH16" s="133">
        <f>IF(AS16&gt;0,BG16/AS16,0)</f>
        <v/>
      </c>
      <c r="BI16" s="108" t="inlineStr">
        <is>
          <t>DINO LOCKED</t>
        </is>
      </c>
      <c r="BJ16" s="132" t="n">
        <v>136106</v>
      </c>
      <c r="BK16" s="131" t="n">
        <v>1361060</v>
      </c>
      <c r="BL16" s="134" t="n">
        <v>0.1269776077888873</v>
      </c>
      <c r="BO16" s="135" t="n">
        <v>1270257</v>
      </c>
      <c r="BP16" s="135" t="n">
        <v>39997</v>
      </c>
      <c r="BQ16" s="135" t="n">
        <v>61742</v>
      </c>
      <c r="BR16" s="0" t="n">
        <v>1371996</v>
      </c>
      <c r="BS16" s="0" t="n">
        <v>1550355</v>
      </c>
      <c r="BT16" s="0" t="n">
        <v>155036</v>
      </c>
      <c r="BU16" s="0" t="n">
        <v>189295</v>
      </c>
    </row>
    <row r="17">
      <c r="A17" s="29" t="n">
        <v>21</v>
      </c>
      <c r="B17" s="115" t="inlineStr">
        <is>
          <t>ABIO Power</t>
        </is>
      </c>
      <c r="C17" s="115" t="inlineStr">
        <is>
          <t>Nicosia</t>
        </is>
      </c>
      <c r="D17" s="127" t="n">
        <v>4.69</v>
      </c>
      <c r="E17" s="29" t="inlineStr">
        <is>
          <t>Nicosia7</t>
        </is>
      </c>
      <c r="F17" s="52" t="inlineStr">
        <is>
          <t>EAS</t>
        </is>
      </c>
      <c r="G17" s="116" t="inlineStr">
        <is>
          <t>Easy Power 2</t>
        </is>
      </c>
      <c r="H17" s="52" t="n">
        <v>4.5</v>
      </c>
      <c r="I17" s="52" t="n">
        <v>10</v>
      </c>
      <c r="J17" s="128" t="n">
        <v>4.69</v>
      </c>
      <c r="K17" s="82" t="n">
        <v>2</v>
      </c>
      <c r="L17" s="82" t="n">
        <v>1</v>
      </c>
      <c r="M17" s="29" t="n">
        <v>3</v>
      </c>
      <c r="N17" s="129" t="n">
        <v>90.17</v>
      </c>
      <c r="O17" s="52">
        <f>N24/F24/1000</f>
        <v/>
      </c>
      <c r="P17" s="32">
        <f>L24/K24</f>
        <v/>
      </c>
      <c r="Q17" s="129" t="n"/>
      <c r="R17" s="130">
        <f>N24/F24/1000</f>
        <v/>
      </c>
      <c r="S17" s="52">
        <f>N24/K24/1000</f>
        <v/>
      </c>
      <c r="T17" s="130">
        <f>N24*0.0266</f>
        <v/>
      </c>
      <c r="U17" s="130" t="n">
        <v>5000</v>
      </c>
      <c r="V17" s="130" t="n">
        <v>7080</v>
      </c>
      <c r="W17" s="130" t="n"/>
      <c r="X17" s="130" t="n">
        <v>4200</v>
      </c>
      <c r="Y17" s="130" t="n">
        <v>3500</v>
      </c>
      <c r="Z17" s="130" t="n">
        <v>2200</v>
      </c>
      <c r="AA17" s="130" t="n">
        <v>5000</v>
      </c>
      <c r="AB17" s="130" t="n">
        <v>3000</v>
      </c>
      <c r="AC17" s="130" t="n">
        <v>2000</v>
      </c>
      <c r="AD17" s="130" t="n"/>
      <c r="AE17" s="130">
        <f>((700*H24)+(400*I24))+1000</f>
        <v/>
      </c>
      <c r="AF17" s="130" t="n"/>
      <c r="AG17" s="130" t="n"/>
      <c r="AH17" s="130" t="n"/>
      <c r="AI17" s="130" t="n">
        <v>31742</v>
      </c>
      <c r="AJ17" s="130">
        <f>J24*4000</f>
        <v/>
      </c>
      <c r="AK17" s="130">
        <f>1500*J24</f>
        <v/>
      </c>
      <c r="AL17" s="130" t="n">
        <v>0</v>
      </c>
      <c r="AM17" s="130" t="n"/>
      <c r="AN17" s="130">
        <f>N24*0.0075</f>
        <v/>
      </c>
      <c r="AO17" s="130" t="n">
        <v>0</v>
      </c>
      <c r="AP17" s="130">
        <f>SUM(T17,U17,V17,W17,X17,Y17,Z17,AA17,AB17,AC17,AD17,AE17,AF17,AG17,AH17,AJ17,AK17,AL17,AM17,AN17,AO17)</f>
        <v/>
      </c>
      <c r="AQ17" s="130">
        <f>Q17+AP17+BA17</f>
        <v/>
      </c>
      <c r="AR17" s="130">
        <f>IF(I17&gt;0,AQ17/I17,0)</f>
        <v/>
      </c>
      <c r="AS17" s="130">
        <f>IF(BD17&gt;0,BD17*I17,BJ17*I17)</f>
        <v/>
      </c>
      <c r="AT17" s="130">
        <f>IF(BD17&gt;0,BD17,BJ17)</f>
        <v/>
      </c>
      <c r="AU17" s="38" t="n"/>
      <c r="AV17" s="0" t="inlineStr">
        <is>
          <t>EAS</t>
        </is>
      </c>
      <c r="AW17" s="0" t="n">
        <v>4</v>
      </c>
      <c r="AX17" s="131" t="n">
        <v>31742</v>
      </c>
      <c r="AY17" s="131" t="n">
        <v>15000</v>
      </c>
      <c r="AZ17" s="131" t="n">
        <v>15000</v>
      </c>
      <c r="BA17" s="131">
        <f>AX17+AY17+AZ17</f>
        <v/>
      </c>
      <c r="BB17" s="131">
        <f>IF(I17&gt;0,BA17/I17,0)</f>
        <v/>
      </c>
      <c r="BC17" s="79" t="inlineStr">
        <is>
          <t>VERIFIED</t>
        </is>
      </c>
      <c r="BD17" s="132" t="n">
        <v>120630</v>
      </c>
      <c r="BE17" s="131">
        <f>BA24*F24</f>
        <v/>
      </c>
      <c r="BF17" s="131">
        <f>AQ17</f>
        <v/>
      </c>
      <c r="BG17" s="132">
        <f>AS17-BF17</f>
        <v/>
      </c>
      <c r="BH17" s="133">
        <f>IF(AS17&gt;0,BG17/AS17,0)</f>
        <v/>
      </c>
      <c r="BI17" s="109" t="inlineStr">
        <is>
          <t>13% MARGIN</t>
        </is>
      </c>
      <c r="BJ17" s="139" t="n">
        <v>122823</v>
      </c>
      <c r="BK17" s="131" t="n">
        <v>1228230</v>
      </c>
      <c r="BL17" s="134" t="n">
        <v>0.125515695640998</v>
      </c>
      <c r="BO17" s="135" t="n">
        <v>1142183</v>
      </c>
      <c r="BP17" s="135" t="n">
        <v>36777</v>
      </c>
      <c r="BQ17" s="135" t="n">
        <v>61742</v>
      </c>
      <c r="BR17" s="0" t="n">
        <v>1240702</v>
      </c>
      <c r="BS17" s="0" t="n">
        <v>1401993</v>
      </c>
      <c r="BT17" s="0" t="n">
        <v>140199</v>
      </c>
      <c r="BU17" s="0" t="n">
        <v>173768</v>
      </c>
    </row>
    <row r="18">
      <c r="A18" s="29" t="n">
        <v>25</v>
      </c>
      <c r="B18" s="115" t="inlineStr">
        <is>
          <t>ABIO Power</t>
        </is>
      </c>
      <c r="C18" s="115" t="inlineStr">
        <is>
          <t>Nicosia</t>
        </is>
      </c>
      <c r="D18" s="127" t="n">
        <v>7.94</v>
      </c>
      <c r="E18" s="29" t="inlineStr">
        <is>
          <t>Nicosia11</t>
        </is>
      </c>
      <c r="F18" s="52" t="inlineStr">
        <is>
          <t>EAS</t>
        </is>
      </c>
      <c r="G18" s="116" t="inlineStr">
        <is>
          <t>Easy Power 3</t>
        </is>
      </c>
      <c r="H18" s="52" t="n">
        <v>5</v>
      </c>
      <c r="I18" s="52" t="n">
        <v>10</v>
      </c>
      <c r="J18" s="128" t="n">
        <v>7.94</v>
      </c>
      <c r="K18" s="82" t="n">
        <v>3</v>
      </c>
      <c r="L18" s="82" t="n">
        <v>2</v>
      </c>
      <c r="M18" s="29" t="n">
        <v>5</v>
      </c>
      <c r="N18" s="129" t="n">
        <v>96.48</v>
      </c>
      <c r="O18" s="52">
        <f>N28/F28/1000</f>
        <v/>
      </c>
      <c r="P18" s="32">
        <f>L28/K28</f>
        <v/>
      </c>
      <c r="Q18" s="129" t="n"/>
      <c r="R18" s="130">
        <f>N28/F28/1000</f>
        <v/>
      </c>
      <c r="S18" s="52">
        <f>N28/K28/1000</f>
        <v/>
      </c>
      <c r="T18" s="130">
        <f>N28*0.0266</f>
        <v/>
      </c>
      <c r="U18" s="130" t="n">
        <v>7000</v>
      </c>
      <c r="V18" s="130" t="n">
        <v>11800</v>
      </c>
      <c r="W18" s="130" t="n"/>
      <c r="X18" s="130" t="n">
        <v>7000</v>
      </c>
      <c r="Y18" s="130" t="n">
        <v>7000</v>
      </c>
      <c r="Z18" s="130" t="n">
        <v>4400</v>
      </c>
      <c r="AA18" s="130" t="n">
        <v>6000</v>
      </c>
      <c r="AB18" s="130" t="n">
        <v>3000</v>
      </c>
      <c r="AC18" s="130" t="n">
        <v>2000</v>
      </c>
      <c r="AD18" s="130" t="n"/>
      <c r="AE18" s="130">
        <f>((700*H28)+(400*I28))+1000</f>
        <v/>
      </c>
      <c r="AF18" s="130" t="n"/>
      <c r="AG18" s="130" t="n"/>
      <c r="AH18" s="130" t="n"/>
      <c r="AI18" s="130" t="n">
        <v>39230</v>
      </c>
      <c r="AJ18" s="130">
        <f>J28*4000</f>
        <v/>
      </c>
      <c r="AK18" s="130">
        <f>1500*J28</f>
        <v/>
      </c>
      <c r="AL18" s="130" t="n">
        <v>0</v>
      </c>
      <c r="AM18" s="130" t="n"/>
      <c r="AN18" s="130">
        <f>N28*0.0075</f>
        <v/>
      </c>
      <c r="AO18" s="130" t="n">
        <v>0</v>
      </c>
      <c r="AP18" s="130">
        <f>SUM(T18,U18,V18,W18,X18,Y18,Z18,AA18,AB18,AC18,AD18,AE18,AF18,AG18,AH18,AJ18,AK18,AL18,AM18,AN18,AO18)</f>
        <v/>
      </c>
      <c r="AQ18" s="130">
        <f>Q18+AP18+BA18</f>
        <v/>
      </c>
      <c r="AR18" s="130">
        <f>IF(I18&gt;0,AQ18/I18,0)</f>
        <v/>
      </c>
      <c r="AS18" s="130">
        <f>IF(BD18&gt;0,BD18*I18,BJ18*I18)</f>
        <v/>
      </c>
      <c r="AT18" s="130">
        <f>IF(BD18&gt;0,BD18,BJ18)</f>
        <v/>
      </c>
      <c r="AU18" s="38" t="n"/>
      <c r="AV18" s="0" t="inlineStr">
        <is>
          <t>EAS</t>
        </is>
      </c>
      <c r="AW18" s="0" t="n">
        <v>4</v>
      </c>
      <c r="AX18" s="131" t="n">
        <v>39230</v>
      </c>
      <c r="AY18" s="131" t="n">
        <v>15000</v>
      </c>
      <c r="AZ18" s="131" t="n">
        <v>15000</v>
      </c>
      <c r="BA18" s="131">
        <f>AX18+AY18+AZ18</f>
        <v/>
      </c>
      <c r="BB18" s="131">
        <f>IF(I18&gt;0,BA18/I18,0)</f>
        <v/>
      </c>
      <c r="BC18" s="79" t="inlineStr">
        <is>
          <t>VERIFIED</t>
        </is>
      </c>
      <c r="BD18" s="132" t="n">
        <v>130792</v>
      </c>
      <c r="BE18" s="131">
        <f>BA28*F28</f>
        <v/>
      </c>
      <c r="BF18" s="131">
        <f>AQ18</f>
        <v/>
      </c>
      <c r="BG18" s="132">
        <f>AS18-BF18</f>
        <v/>
      </c>
      <c r="BH18" s="133">
        <f>IF(AS18&gt;0,BG18/AS18,0)</f>
        <v/>
      </c>
      <c r="BI18" s="108" t="inlineStr">
        <is>
          <t>DINO LOCKED</t>
        </is>
      </c>
      <c r="BJ18" s="132" t="n">
        <v>130792</v>
      </c>
      <c r="BK18" s="131" t="n">
        <v>1961880</v>
      </c>
      <c r="BL18" s="134" t="n">
        <v>0.13518112364525</v>
      </c>
      <c r="BO18" s="135" t="n">
        <v>1830913</v>
      </c>
      <c r="BP18" s="135" t="n">
        <v>55430</v>
      </c>
      <c r="BQ18" s="135" t="n">
        <v>69230</v>
      </c>
      <c r="BR18" s="0" t="n">
        <v>1955573</v>
      </c>
      <c r="BS18" s="0" t="n">
        <v>2209797</v>
      </c>
      <c r="BT18" s="0" t="n">
        <v>147320</v>
      </c>
      <c r="BU18" s="0" t="n">
        <v>247917</v>
      </c>
    </row>
    <row r="19">
      <c r="A19" s="29" t="n">
        <v>26</v>
      </c>
      <c r="B19" s="115" t="inlineStr">
        <is>
          <t>ABIO Power</t>
        </is>
      </c>
      <c r="C19" s="115" t="inlineStr">
        <is>
          <t>Nicosia</t>
        </is>
      </c>
      <c r="D19" s="127" t="n">
        <v>1.83</v>
      </c>
      <c r="E19" s="29" t="inlineStr">
        <is>
          <t>Nicosia12</t>
        </is>
      </c>
      <c r="F19" s="52" t="inlineStr">
        <is>
          <t>EAS</t>
        </is>
      </c>
      <c r="G19" s="116" t="inlineStr">
        <is>
          <t>Easy Power 4</t>
        </is>
      </c>
      <c r="H19" s="52" t="n">
        <v>1.8</v>
      </c>
      <c r="I19" s="52" t="n">
        <v>8</v>
      </c>
      <c r="J19" s="128" t="n">
        <v>1.83</v>
      </c>
      <c r="K19" s="82" t="n">
        <v>2</v>
      </c>
      <c r="L19" s="82" t="n">
        <v>1</v>
      </c>
      <c r="M19" s="29" t="n">
        <v>3</v>
      </c>
      <c r="N19" s="136" t="n">
        <v>88.42</v>
      </c>
      <c r="O19" s="52">
        <f>N29/F29/1000</f>
        <v/>
      </c>
      <c r="P19" s="32">
        <f>L29/K29</f>
        <v/>
      </c>
      <c r="Q19" s="136" t="n"/>
      <c r="R19" s="130">
        <f>N29/F29/1000</f>
        <v/>
      </c>
      <c r="S19" s="52">
        <f>N29/K29/1000</f>
        <v/>
      </c>
      <c r="T19" s="130">
        <f>N29*0.0266</f>
        <v/>
      </c>
      <c r="U19" s="130" t="n">
        <v>5000</v>
      </c>
      <c r="V19" s="130" t="n">
        <v>7080</v>
      </c>
      <c r="W19" s="130" t="n"/>
      <c r="X19" s="130" t="n">
        <v>3500</v>
      </c>
      <c r="Y19" s="130" t="n">
        <v>3500</v>
      </c>
      <c r="Z19" s="130" t="n">
        <v>2200</v>
      </c>
      <c r="AA19" s="130" t="n">
        <v>5000</v>
      </c>
      <c r="AB19" s="130" t="n">
        <v>3000</v>
      </c>
      <c r="AC19" s="130" t="n">
        <v>2000</v>
      </c>
      <c r="AD19" s="130" t="n"/>
      <c r="AE19" s="130">
        <f>((700*H29)+(400*I29))+1000</f>
        <v/>
      </c>
      <c r="AF19" s="130" t="n"/>
      <c r="AG19" s="130" t="n"/>
      <c r="AH19" s="130" t="n"/>
      <c r="AI19" s="130" t="n">
        <v>31742</v>
      </c>
      <c r="AJ19" s="130">
        <f>J29*4000</f>
        <v/>
      </c>
      <c r="AK19" s="130">
        <f>1500*J29</f>
        <v/>
      </c>
      <c r="AL19" s="130" t="n">
        <v>0</v>
      </c>
      <c r="AM19" s="130" t="n"/>
      <c r="AN19" s="130">
        <f>N29*0.0075</f>
        <v/>
      </c>
      <c r="AO19" s="130" t="n">
        <v>0</v>
      </c>
      <c r="AP19" s="130">
        <f>SUM(T19,U19,V19,W19,X19,Y19,Z19,AA19,AB19,AC19,AD19,AE19,AF19,AG19,AH19,AJ19,AK19,AL19,AM19,AN19,AO19)</f>
        <v/>
      </c>
      <c r="AQ19" s="130">
        <f>Q19+AP19+BA19</f>
        <v/>
      </c>
      <c r="AR19" s="130">
        <f>IF(I19&gt;0,AQ19/I19,0)</f>
        <v/>
      </c>
      <c r="AS19" s="130">
        <f>IF(BD19&gt;0,BD19*I19,BJ19*I19)</f>
        <v/>
      </c>
      <c r="AT19" s="130">
        <f>IF(BD19&gt;0,BD19,BJ19)</f>
        <v/>
      </c>
      <c r="AU19" s="38" t="n"/>
      <c r="AV19" s="0" t="inlineStr">
        <is>
          <t>EAS</t>
        </is>
      </c>
      <c r="AW19" s="0" t="n">
        <v>4</v>
      </c>
      <c r="AX19" s="131" t="n">
        <v>31742</v>
      </c>
      <c r="AY19" s="131" t="n">
        <v>15000</v>
      </c>
      <c r="AZ19" s="131" t="n">
        <v>15000</v>
      </c>
      <c r="BA19" s="131">
        <f>AX19+AY19+AZ19</f>
        <v/>
      </c>
      <c r="BB19" s="131">
        <f>IF(I19&gt;0,BA19/I19,0)</f>
        <v/>
      </c>
      <c r="BC19" s="79" t="inlineStr">
        <is>
          <t>VERIFIED</t>
        </is>
      </c>
      <c r="BD19" s="132" t="n">
        <v>120630</v>
      </c>
      <c r="BE19" s="131">
        <f>BA29*F29</f>
        <v/>
      </c>
      <c r="BF19" s="131">
        <f>AQ19</f>
        <v/>
      </c>
      <c r="BG19" s="132">
        <f>AS19-BF19</f>
        <v/>
      </c>
      <c r="BH19" s="133">
        <f>IF(AS19&gt;0,BG19/AS19,0)</f>
        <v/>
      </c>
      <c r="BI19" s="108" t="inlineStr">
        <is>
          <t>DINO LOCKED</t>
        </is>
      </c>
      <c r="BJ19" s="132" t="n">
        <v>120630</v>
      </c>
      <c r="BK19" s="131" t="n">
        <v>1206300</v>
      </c>
      <c r="BL19" s="134" t="n">
        <v>0.1257383261685675</v>
      </c>
      <c r="BO19" s="135" t="n">
        <v>1120626</v>
      </c>
      <c r="BP19" s="135" t="n">
        <v>35972</v>
      </c>
      <c r="BQ19" s="135" t="n">
        <v>61742</v>
      </c>
      <c r="BR19" s="0" t="n">
        <v>1218340</v>
      </c>
      <c r="BS19" s="0" t="n">
        <v>1376724</v>
      </c>
      <c r="BT19" s="0" t="n">
        <v>137672</v>
      </c>
      <c r="BU19" s="0" t="n">
        <v>170424</v>
      </c>
    </row>
    <row r="20">
      <c r="A20" s="29" t="n">
        <v>24</v>
      </c>
      <c r="B20" s="115" t="inlineStr">
        <is>
          <t>ABIO Power</t>
        </is>
      </c>
      <c r="C20" s="115" t="inlineStr">
        <is>
          <t>Nicosia</t>
        </is>
      </c>
      <c r="D20" s="127" t="n">
        <v>2.1</v>
      </c>
      <c r="E20" s="29" t="inlineStr">
        <is>
          <t>Nicosia10</t>
        </is>
      </c>
      <c r="F20" s="52" t="inlineStr">
        <is>
          <t>GRD</t>
        </is>
      </c>
      <c r="G20" s="116" t="inlineStr">
        <is>
          <t>Greendorado 1</t>
        </is>
      </c>
      <c r="H20" s="52" t="n">
        <v>1.8</v>
      </c>
      <c r="I20" s="52" t="n">
        <v>8</v>
      </c>
      <c r="J20" s="128" t="n">
        <v>2.1</v>
      </c>
      <c r="K20" s="82" t="n">
        <v>2</v>
      </c>
      <c r="L20" s="82" t="n">
        <v>1</v>
      </c>
      <c r="M20" s="29" t="n">
        <v>3</v>
      </c>
      <c r="N20" s="136" t="n">
        <v>90.17</v>
      </c>
      <c r="O20" s="52">
        <f>N27/F27/1000</f>
        <v/>
      </c>
      <c r="P20" s="32">
        <f>L27/K27</f>
        <v/>
      </c>
      <c r="Q20" s="136" t="n"/>
      <c r="R20" s="130">
        <f>N27/F27/1000</f>
        <v/>
      </c>
      <c r="S20" s="52">
        <f>N27/K27/1000</f>
        <v/>
      </c>
      <c r="T20" s="130">
        <f>N27*0.0266</f>
        <v/>
      </c>
      <c r="U20" s="130" t="n">
        <v>5000</v>
      </c>
      <c r="V20" s="130" t="n">
        <v>7080</v>
      </c>
      <c r="W20" s="130" t="n"/>
      <c r="X20" s="130" t="n">
        <v>4200</v>
      </c>
      <c r="Y20" s="130" t="n">
        <v>3500</v>
      </c>
      <c r="Z20" s="130" t="n">
        <v>2200</v>
      </c>
      <c r="AA20" s="130" t="n">
        <v>5000</v>
      </c>
      <c r="AB20" s="130" t="n">
        <v>3000</v>
      </c>
      <c r="AC20" s="130" t="n">
        <v>2000</v>
      </c>
      <c r="AD20" s="130" t="n"/>
      <c r="AE20" s="130">
        <f>((700*H27)+(400*I27))+1000</f>
        <v/>
      </c>
      <c r="AF20" s="130" t="n"/>
      <c r="AG20" s="130" t="n"/>
      <c r="AH20" s="130" t="n"/>
      <c r="AI20" s="130" t="n">
        <v>31742</v>
      </c>
      <c r="AJ20" s="130">
        <f>J27*4000</f>
        <v/>
      </c>
      <c r="AK20" s="130">
        <f>1500*J27</f>
        <v/>
      </c>
      <c r="AL20" s="130" t="n">
        <v>0</v>
      </c>
      <c r="AM20" s="130" t="n"/>
      <c r="AN20" s="130">
        <f>N27*0.0075</f>
        <v/>
      </c>
      <c r="AO20" s="130" t="n">
        <v>0</v>
      </c>
      <c r="AP20" s="130">
        <f>SUM(T20,U20,V20,W20,X20,Y20,Z20,AA20,AB20,AC20,AD20,AE20,AF20,AG20,AH20,AJ20,AK20,AL20,AM20,AN20,AO20)</f>
        <v/>
      </c>
      <c r="AQ20" s="130">
        <f>Q20+AP20+BA20</f>
        <v/>
      </c>
      <c r="AR20" s="130">
        <f>IF(I20&gt;0,AQ20/I20,0)</f>
        <v/>
      </c>
      <c r="AS20" s="130">
        <f>IF(BD20&gt;0,BD20*I20,BJ20*I20)</f>
        <v/>
      </c>
      <c r="AT20" s="130">
        <f>IF(BD20&gt;0,BD20,BJ20)</f>
        <v/>
      </c>
      <c r="AU20" s="38" t="n"/>
      <c r="AV20" s="0" t="inlineStr">
        <is>
          <t>GRD</t>
        </is>
      </c>
      <c r="AW20" s="0" t="n">
        <v>3</v>
      </c>
      <c r="AX20" s="131" t="n">
        <v>31742</v>
      </c>
      <c r="AY20" s="131" t="n">
        <v>15000</v>
      </c>
      <c r="AZ20" s="131" t="n">
        <v>20000</v>
      </c>
      <c r="BA20" s="131">
        <f>AX20+AY20+AZ20</f>
        <v/>
      </c>
      <c r="BB20" s="131">
        <f>IF(I20&gt;0,BA20/I20,0)</f>
        <v/>
      </c>
      <c r="BC20" s="79" t="inlineStr">
        <is>
          <t>VERIFIED</t>
        </is>
      </c>
      <c r="BD20" s="132" t="n">
        <v>120630</v>
      </c>
      <c r="BE20" s="131">
        <f>BA27*F27</f>
        <v/>
      </c>
      <c r="BF20" s="131">
        <f>AQ20</f>
        <v/>
      </c>
      <c r="BG20" s="132">
        <f>AS20-BF20</f>
        <v/>
      </c>
      <c r="BH20" s="133">
        <f>IF(AS20&gt;0,BG20/AS20,0)</f>
        <v/>
      </c>
      <c r="BI20" s="109" t="inlineStr">
        <is>
          <t>13% MARGIN</t>
        </is>
      </c>
      <c r="BJ20" s="139" t="n">
        <v>123388</v>
      </c>
      <c r="BK20" s="131" t="n">
        <v>1233880</v>
      </c>
      <c r="BL20" s="134" t="n">
        <v>0.1295200042606598</v>
      </c>
      <c r="BO20" s="135" t="n">
        <v>1142183</v>
      </c>
      <c r="BP20" s="135" t="n">
        <v>36777</v>
      </c>
      <c r="BQ20" s="135" t="n">
        <v>66742</v>
      </c>
      <c r="BR20" s="0" t="n">
        <v>1245702</v>
      </c>
      <c r="BS20" s="0" t="n">
        <v>1407643</v>
      </c>
      <c r="BT20" s="0" t="n">
        <v>140764</v>
      </c>
      <c r="BU20" s="0" t="n">
        <v>173768</v>
      </c>
    </row>
    <row r="21">
      <c r="A21" s="29" t="n">
        <v>30</v>
      </c>
      <c r="B21" s="115" t="inlineStr">
        <is>
          <t>ABIO Power</t>
        </is>
      </c>
      <c r="C21" s="115" t="inlineStr">
        <is>
          <t>Nicosia</t>
        </is>
      </c>
      <c r="D21" s="127" t="n">
        <v>1.8</v>
      </c>
      <c r="E21" s="29" t="inlineStr">
        <is>
          <t>Nicosia16</t>
        </is>
      </c>
      <c r="F21" s="52" t="inlineStr">
        <is>
          <t>POL</t>
        </is>
      </c>
      <c r="G21" s="116" t="inlineStr">
        <is>
          <t>Polemi</t>
        </is>
      </c>
      <c r="H21" s="52" t="n">
        <v>1.25</v>
      </c>
      <c r="I21" s="52" t="n">
        <v>10</v>
      </c>
      <c r="J21" s="128" t="n">
        <v>1.8</v>
      </c>
      <c r="K21" s="82" t="n">
        <v>3</v>
      </c>
      <c r="L21" s="82" t="n">
        <v>1</v>
      </c>
      <c r="M21" s="29" t="n">
        <v>4</v>
      </c>
      <c r="N21" s="136" t="n">
        <v>94.51000000000001</v>
      </c>
      <c r="O21" s="52">
        <f>N33/F33/1000</f>
        <v/>
      </c>
      <c r="P21" s="32">
        <f>L33/K33</f>
        <v/>
      </c>
      <c r="Q21" s="136" t="n"/>
      <c r="R21" s="130">
        <f>N33/F33/1000</f>
        <v/>
      </c>
      <c r="S21" s="52">
        <f>N33/K33/1000</f>
        <v/>
      </c>
      <c r="T21" s="130">
        <f>N33*0.0266</f>
        <v/>
      </c>
      <c r="U21" s="130" t="n">
        <v>7000</v>
      </c>
      <c r="V21" s="130" t="n">
        <v>11800</v>
      </c>
      <c r="W21" s="130" t="n"/>
      <c r="X21" s="130" t="n">
        <v>5600</v>
      </c>
      <c r="Y21" s="130" t="n">
        <v>7000</v>
      </c>
      <c r="Z21" s="130" t="n">
        <v>4400</v>
      </c>
      <c r="AA21" s="130" t="n">
        <v>6000</v>
      </c>
      <c r="AB21" s="130" t="n">
        <v>3000</v>
      </c>
      <c r="AC21" s="130" t="n">
        <v>2000</v>
      </c>
      <c r="AD21" s="130" t="n"/>
      <c r="AE21" s="130">
        <f>((700*H33)+(400*I33))+1000</f>
        <v/>
      </c>
      <c r="AF21" s="130" t="n"/>
      <c r="AG21" s="130" t="n"/>
      <c r="AH21" s="130" t="n"/>
      <c r="AI21" s="130" t="n">
        <v>39230</v>
      </c>
      <c r="AJ21" s="130">
        <f>J33*4000</f>
        <v/>
      </c>
      <c r="AK21" s="130">
        <f>1500*J33</f>
        <v/>
      </c>
      <c r="AL21" s="130" t="n">
        <v>0</v>
      </c>
      <c r="AM21" s="130" t="n"/>
      <c r="AN21" s="130">
        <f>N33*0.0075</f>
        <v/>
      </c>
      <c r="AO21" s="130" t="n">
        <v>0</v>
      </c>
      <c r="AP21" s="130">
        <f>SUM(T21,U21,V21,W21,X21,Y21,Z21,AA21,AB21,AC21,AD21,AE21,AF21,AG21,AH21,AJ21,AK21,AL21,AM21,AN21,AO21)</f>
        <v/>
      </c>
      <c r="AQ21" s="130">
        <f>Q21+AP21+BA21</f>
        <v/>
      </c>
      <c r="AR21" s="130">
        <f>IF(I21&gt;0,AQ21/I21,0)</f>
        <v/>
      </c>
      <c r="AS21" s="130">
        <f>IF(BD21&gt;0,BD21*I21,BJ21*I21)</f>
        <v/>
      </c>
      <c r="AT21" s="130">
        <f>IF(BD21&gt;0,BD21,BJ21)</f>
        <v/>
      </c>
      <c r="AU21" s="38" t="n"/>
      <c r="AV21" s="0" t="inlineStr">
        <is>
          <t>POL</t>
        </is>
      </c>
      <c r="AW21" s="0" t="n">
        <v>3</v>
      </c>
      <c r="AX21" s="131" t="n">
        <v>39230</v>
      </c>
      <c r="AY21" s="131" t="n">
        <v>15000</v>
      </c>
      <c r="AZ21" s="131" t="n">
        <v>20000</v>
      </c>
      <c r="BA21" s="131">
        <f>AX21+AY21+AZ21</f>
        <v/>
      </c>
      <c r="BB21" s="131">
        <f>IF(I21&gt;0,BA21/I21,0)</f>
        <v/>
      </c>
      <c r="BC21" s="79" t="inlineStr">
        <is>
          <t>VERIFIED</t>
        </is>
      </c>
      <c r="BD21" s="132" t="n">
        <v>128128</v>
      </c>
      <c r="BE21" s="131">
        <f>BA33*F33</f>
        <v/>
      </c>
      <c r="BF21" s="131">
        <f>AQ21</f>
        <v/>
      </c>
      <c r="BG21" s="132">
        <f>AS21-BF21</f>
        <v/>
      </c>
      <c r="BH21" s="133">
        <f>IF(AS21&gt;0,BG21/AS21,0)</f>
        <v/>
      </c>
      <c r="BI21" s="109" t="inlineStr">
        <is>
          <t>13% MARGIN</t>
        </is>
      </c>
      <c r="BJ21" s="139" t="n">
        <v>126828</v>
      </c>
      <c r="BK21" s="131" t="n">
        <v>1902420</v>
      </c>
      <c r="BL21" s="134" t="n">
        <v>0.124427909114256</v>
      </c>
      <c r="BO21" s="135" t="n">
        <v>1796913</v>
      </c>
      <c r="BP21" s="135" t="n">
        <v>53820</v>
      </c>
      <c r="BQ21" s="135" t="n">
        <v>74230</v>
      </c>
      <c r="BR21" s="0" t="n">
        <v>1924963</v>
      </c>
      <c r="BS21" s="0" t="n">
        <v>2175208</v>
      </c>
      <c r="BT21" s="0" t="n">
        <v>145014</v>
      </c>
      <c r="BU21" s="0" t="n">
        <v>272782</v>
      </c>
    </row>
    <row r="22">
      <c r="A22" s="29" t="n">
        <v>31</v>
      </c>
      <c r="B22" s="115" t="inlineStr">
        <is>
          <t>ABIO Power</t>
        </is>
      </c>
      <c r="C22" s="115" t="inlineStr">
        <is>
          <t>Nicosia</t>
        </is>
      </c>
      <c r="D22" s="127" t="n">
        <v>1.57</v>
      </c>
      <c r="E22" s="29" t="inlineStr">
        <is>
          <t>Nicosia17</t>
        </is>
      </c>
      <c r="F22" s="52" t="inlineStr">
        <is>
          <t>POT</t>
        </is>
      </c>
      <c r="G22" s="116" t="inlineStr">
        <is>
          <t>Potamia p151</t>
        </is>
      </c>
      <c r="H22" s="52" t="n">
        <v>1.25</v>
      </c>
      <c r="I22" s="52" t="n">
        <v>10</v>
      </c>
      <c r="J22" s="128" t="n">
        <v>1.57</v>
      </c>
      <c r="K22" s="82" t="n">
        <v>3</v>
      </c>
      <c r="L22" s="82" t="n">
        <v>1</v>
      </c>
      <c r="M22" s="29" t="n">
        <v>4</v>
      </c>
      <c r="N22" s="129" t="n">
        <v>94.51000000000001</v>
      </c>
      <c r="O22" s="52">
        <f>N34/F34/1000</f>
        <v/>
      </c>
      <c r="P22" s="32">
        <f>L34/K34</f>
        <v/>
      </c>
      <c r="Q22" s="129" t="n"/>
      <c r="R22" s="130">
        <f>N34/F34/1000</f>
        <v/>
      </c>
      <c r="S22" s="52">
        <f>N34/K34/1000</f>
        <v/>
      </c>
      <c r="T22" s="130">
        <f>N34*0.0266</f>
        <v/>
      </c>
      <c r="U22" s="130" t="n">
        <v>7000</v>
      </c>
      <c r="V22" s="130" t="n">
        <v>11800</v>
      </c>
      <c r="W22" s="130" t="n"/>
      <c r="X22" s="130" t="n">
        <v>5600</v>
      </c>
      <c r="Y22" s="130" t="n">
        <v>7000</v>
      </c>
      <c r="Z22" s="130" t="n">
        <v>4400</v>
      </c>
      <c r="AA22" s="130" t="n">
        <v>6000</v>
      </c>
      <c r="AB22" s="130" t="n">
        <v>3000</v>
      </c>
      <c r="AC22" s="130" t="n">
        <v>2000</v>
      </c>
      <c r="AD22" s="130" t="n"/>
      <c r="AE22" s="130">
        <f>((700*H34)+(400*I34))+1000</f>
        <v/>
      </c>
      <c r="AF22" s="130" t="n"/>
      <c r="AG22" s="130" t="n"/>
      <c r="AH22" s="130" t="n"/>
      <c r="AI22" s="130" t="n">
        <v>39230</v>
      </c>
      <c r="AJ22" s="130">
        <f>J34*4000</f>
        <v/>
      </c>
      <c r="AK22" s="130">
        <f>1500*J34</f>
        <v/>
      </c>
      <c r="AL22" s="130" t="n">
        <v>0</v>
      </c>
      <c r="AM22" s="130" t="n"/>
      <c r="AN22" s="130">
        <f>N34*0.0075</f>
        <v/>
      </c>
      <c r="AO22" s="130" t="n">
        <v>0</v>
      </c>
      <c r="AP22" s="130">
        <f>SUM(T22,U22,V22,W22,X22,Y22,Z22,AA22,AB22,AC22,AD22,AE22,AF22,AG22,AH22,AJ22,AK22,AL22,AM22,AN22,AO22)</f>
        <v/>
      </c>
      <c r="AQ22" s="130">
        <f>Q22+AP22+BA22</f>
        <v/>
      </c>
      <c r="AR22" s="130">
        <f>IF(I22&gt;0,AQ22/I22,0)</f>
        <v/>
      </c>
      <c r="AS22" s="130">
        <f>IF(BD22&gt;0,BD22*I22,BJ22*I22)</f>
        <v/>
      </c>
      <c r="AT22" s="130">
        <f>IF(BD22&gt;0,BD22,BJ22)</f>
        <v/>
      </c>
      <c r="AU22" s="38" t="n"/>
      <c r="AV22" s="0" t="inlineStr">
        <is>
          <t>POT</t>
        </is>
      </c>
      <c r="AW22" s="0" t="n">
        <v>3</v>
      </c>
      <c r="AX22" s="131" t="n">
        <v>39230</v>
      </c>
      <c r="AY22" s="131" t="n">
        <v>15000</v>
      </c>
      <c r="AZ22" s="131" t="n">
        <v>20000</v>
      </c>
      <c r="BA22" s="131">
        <f>AX22+AY22+AZ22</f>
        <v/>
      </c>
      <c r="BB22" s="131">
        <f>IF(I22&gt;0,BA22/I22,0)</f>
        <v/>
      </c>
      <c r="BC22" s="79" t="inlineStr">
        <is>
          <t>VERIFIED</t>
        </is>
      </c>
      <c r="BD22" s="132" t="n">
        <v>128128</v>
      </c>
      <c r="BE22" s="131">
        <f>BA34*F34</f>
        <v/>
      </c>
      <c r="BF22" s="131">
        <f>AQ22</f>
        <v/>
      </c>
      <c r="BG22" s="132">
        <f>AS22-BF22</f>
        <v/>
      </c>
      <c r="BH22" s="133">
        <f>IF(AS22&gt;0,BG22/AS22,0)</f>
        <v/>
      </c>
      <c r="BI22" s="109" t="inlineStr">
        <is>
          <t>13% MARGIN</t>
        </is>
      </c>
      <c r="BJ22" s="139" t="n">
        <v>126828</v>
      </c>
      <c r="BK22" s="131" t="n">
        <v>1902420</v>
      </c>
      <c r="BL22" s="134" t="n">
        <v>0.124427909114256</v>
      </c>
      <c r="BO22" s="135" t="n">
        <v>1796913</v>
      </c>
      <c r="BP22" s="135" t="n">
        <v>53820</v>
      </c>
      <c r="BQ22" s="135" t="n">
        <v>74230</v>
      </c>
      <c r="BR22" s="0" t="n">
        <v>1924963</v>
      </c>
      <c r="BS22" s="0" t="n">
        <v>2175208</v>
      </c>
      <c r="BT22" s="0" t="n">
        <v>145014</v>
      </c>
      <c r="BU22" s="0" t="n">
        <v>272782</v>
      </c>
    </row>
    <row r="23" ht="15.75" customHeight="1" s="69">
      <c r="A23" s="29" t="n">
        <v>32</v>
      </c>
      <c r="B23" s="115" t="inlineStr">
        <is>
          <t>ABIO Power</t>
        </is>
      </c>
      <c r="C23" s="115" t="inlineStr">
        <is>
          <t>Nicosia</t>
        </is>
      </c>
      <c r="D23" s="127" t="n">
        <v>4.63</v>
      </c>
      <c r="E23" s="29" t="inlineStr">
        <is>
          <t>Nicosia18</t>
        </is>
      </c>
      <c r="F23" s="52" t="inlineStr">
        <is>
          <t>POT</t>
        </is>
      </c>
      <c r="G23" s="116" t="inlineStr">
        <is>
          <t>Potamia p208</t>
        </is>
      </c>
      <c r="H23" s="52" t="n">
        <v>4.5</v>
      </c>
      <c r="I23" s="52" t="n">
        <v>20</v>
      </c>
      <c r="J23" s="128" t="n">
        <v>4.63</v>
      </c>
      <c r="K23" s="82" t="n">
        <v>6</v>
      </c>
      <c r="L23" s="82" t="n">
        <v>2</v>
      </c>
      <c r="M23" s="29" t="n">
        <v>8</v>
      </c>
      <c r="N23" s="136" t="n">
        <v>83.03</v>
      </c>
      <c r="O23" s="52">
        <f>N35/F35/1000</f>
        <v/>
      </c>
      <c r="P23" s="32">
        <f>L35/K35</f>
        <v/>
      </c>
      <c r="Q23" s="136" t="n"/>
      <c r="R23" s="130">
        <f>N35/F35/1000</f>
        <v/>
      </c>
      <c r="S23" s="52">
        <f>N35/K35/1000</f>
        <v/>
      </c>
      <c r="T23" s="130">
        <f>N35*0.0266</f>
        <v/>
      </c>
      <c r="U23" s="130" t="n">
        <v>9000</v>
      </c>
      <c r="V23" s="130" t="n">
        <v>16520</v>
      </c>
      <c r="W23" s="130" t="n"/>
      <c r="X23" s="130" t="n">
        <v>9800</v>
      </c>
      <c r="Y23" s="130" t="n">
        <v>3500</v>
      </c>
      <c r="Z23" s="130" t="n">
        <v>2200</v>
      </c>
      <c r="AA23" s="130" t="n">
        <v>5000</v>
      </c>
      <c r="AB23" s="130" t="n">
        <v>3000</v>
      </c>
      <c r="AC23" s="130" t="n">
        <v>2000</v>
      </c>
      <c r="AD23" s="130" t="n"/>
      <c r="AE23" s="130">
        <f>((700*H35)+(400*I35))+1000</f>
        <v/>
      </c>
      <c r="AF23" s="130" t="n"/>
      <c r="AG23" s="130" t="n"/>
      <c r="AH23" s="130" t="n"/>
      <c r="AI23" s="130" t="n">
        <v>61694</v>
      </c>
      <c r="AJ23" s="130">
        <f>J35*4000</f>
        <v/>
      </c>
      <c r="AK23" s="130">
        <f>1500*J35</f>
        <v/>
      </c>
      <c r="AL23" s="130" t="n">
        <v>0</v>
      </c>
      <c r="AM23" s="130" t="n"/>
      <c r="AN23" s="130">
        <f>N35*0.0075</f>
        <v/>
      </c>
      <c r="AO23" s="130" t="n">
        <v>0</v>
      </c>
      <c r="AP23" s="130">
        <f>SUM(T23,U23,V23,W23,X23,Y23,Z23,AA23,AB23,AC23,AD23,AE23,AF23,AG23,AH23,AJ23,AK23,AL23,AM23,AN23,AO23)</f>
        <v/>
      </c>
      <c r="AQ23" s="130">
        <f>Q23+AP23+BA23</f>
        <v/>
      </c>
      <c r="AR23" s="130">
        <f>IF(I23&gt;0,AQ23/I23,0)</f>
        <v/>
      </c>
      <c r="AS23" s="130">
        <f>IF(BD23&gt;0,BD23*I23,BJ23*I23)</f>
        <v/>
      </c>
      <c r="AT23" s="130">
        <f>IF(BD23&gt;0,BD23,BJ23)</f>
        <v/>
      </c>
      <c r="AU23" s="38" t="n"/>
      <c r="AV23" s="0" t="inlineStr">
        <is>
          <t>POT</t>
        </is>
      </c>
      <c r="AW23" s="0" t="n">
        <v>3</v>
      </c>
      <c r="AX23" s="131" t="n">
        <v>61694</v>
      </c>
      <c r="AY23" s="131" t="n">
        <v>15000</v>
      </c>
      <c r="AZ23" s="131" t="n">
        <v>20000</v>
      </c>
      <c r="BA23" s="131">
        <f>AX23+AY23+AZ23</f>
        <v/>
      </c>
      <c r="BB23" s="131">
        <f>IF(I23&gt;0,BA23/I23,0)</f>
        <v/>
      </c>
      <c r="BC23" s="79" t="inlineStr">
        <is>
          <t>VERIFIED</t>
        </is>
      </c>
      <c r="BD23" s="132" t="n">
        <v>110895</v>
      </c>
      <c r="BE23" s="131">
        <f>BA35*F35</f>
        <v/>
      </c>
      <c r="BF23" s="131">
        <f>AQ23</f>
        <v/>
      </c>
      <c r="BG23" s="132">
        <f>AS23-BF23</f>
        <v/>
      </c>
      <c r="BH23" s="133">
        <f>IF(AS23&gt;0,BG23/AS23,0)</f>
        <v/>
      </c>
      <c r="BI23" s="109" t="inlineStr">
        <is>
          <t>13% MARGIN</t>
        </is>
      </c>
      <c r="BJ23" s="139" t="n">
        <v>108457</v>
      </c>
      <c r="BK23" s="131" t="n">
        <v>3253710</v>
      </c>
      <c r="BL23" s="134" t="n">
        <v>0.1205350639292201</v>
      </c>
      <c r="BO23" s="135" t="n">
        <v>3141417</v>
      </c>
      <c r="BP23" s="135" t="n">
        <v>58673</v>
      </c>
      <c r="BQ23" s="135" t="n">
        <v>96694</v>
      </c>
      <c r="BR23" s="0" t="n">
        <v>3296784</v>
      </c>
      <c r="BS23" s="0" t="n">
        <v>3725366</v>
      </c>
      <c r="BT23" s="0" t="n">
        <v>124179</v>
      </c>
      <c r="BU23" s="0" t="n">
        <v>471665</v>
      </c>
    </row>
    <row r="24" ht="15.75" customHeight="1" s="69">
      <c r="A24" s="29" t="n">
        <v>27</v>
      </c>
      <c r="B24" s="115" t="inlineStr">
        <is>
          <t>ABIO Power</t>
        </is>
      </c>
      <c r="C24" s="115" t="inlineStr">
        <is>
          <t>Nicosia</t>
        </is>
      </c>
      <c r="D24" s="127" t="n">
        <v>7.5</v>
      </c>
      <c r="E24" s="29" t="inlineStr">
        <is>
          <t>Nicosia13</t>
        </is>
      </c>
      <c r="F24" s="52" t="inlineStr">
        <is>
          <t>REN</t>
        </is>
      </c>
      <c r="G24" s="116" t="inlineStr">
        <is>
          <t>Renergetic</t>
        </is>
      </c>
      <c r="H24" s="52" t="n">
        <v>5</v>
      </c>
      <c r="I24" s="52" t="n">
        <v>10</v>
      </c>
      <c r="J24" s="128" t="n">
        <v>7.5</v>
      </c>
      <c r="K24" s="82" t="n">
        <v>2</v>
      </c>
      <c r="L24" s="82" t="n">
        <v>1</v>
      </c>
      <c r="M24" s="29" t="n">
        <v>3</v>
      </c>
      <c r="N24" s="129" t="n">
        <v>101.4</v>
      </c>
      <c r="O24" s="52">
        <f>N30/F30/1000</f>
        <v/>
      </c>
      <c r="P24" s="32">
        <f>L30/K30</f>
        <v/>
      </c>
      <c r="Q24" s="129" t="n">
        <v>1104571</v>
      </c>
      <c r="R24" s="130">
        <f>N30/F30/1000</f>
        <v/>
      </c>
      <c r="S24" s="52">
        <f>N30/K30/1000</f>
        <v/>
      </c>
      <c r="T24" s="130">
        <f>N30*0.0266</f>
        <v/>
      </c>
      <c r="U24" s="130" t="n">
        <v>5000</v>
      </c>
      <c r="V24" s="130" t="n">
        <v>7080</v>
      </c>
      <c r="W24" s="130" t="n"/>
      <c r="X24" s="130" t="n">
        <v>7000</v>
      </c>
      <c r="Y24" s="130" t="n">
        <v>3500</v>
      </c>
      <c r="Z24" s="130" t="n">
        <v>2200</v>
      </c>
      <c r="AA24" s="130" t="n">
        <v>5000</v>
      </c>
      <c r="AB24" s="130" t="n">
        <v>3000</v>
      </c>
      <c r="AC24" s="130" t="n">
        <v>2000</v>
      </c>
      <c r="AD24" s="130" t="n"/>
      <c r="AE24" s="130">
        <f>((700*H30)+(400*I30))+1000</f>
        <v/>
      </c>
      <c r="AF24" s="130" t="n"/>
      <c r="AG24" s="130" t="n"/>
      <c r="AH24" s="130" t="n"/>
      <c r="AI24" s="130" t="n">
        <v>31742</v>
      </c>
      <c r="AJ24" s="130">
        <f>J30*4000</f>
        <v/>
      </c>
      <c r="AK24" s="130">
        <f>1500*J30</f>
        <v/>
      </c>
      <c r="AL24" s="130" t="n">
        <v>0</v>
      </c>
      <c r="AM24" s="130" t="n"/>
      <c r="AN24" s="130">
        <f>N30*0.0075</f>
        <v/>
      </c>
      <c r="AO24" s="130" t="n">
        <v>0</v>
      </c>
      <c r="AP24" s="130">
        <f>SUM(T24,U24,V24,W24,X24,Y24,Z24,AA24,AB24,AC24,AD24,AE24,AF24,AG24,AH24,AJ24,AK24,AL24,AM24,AN24,AO24)</f>
        <v/>
      </c>
      <c r="AQ24" s="130">
        <f>Q24+AP24+BA24</f>
        <v/>
      </c>
      <c r="AR24" s="130">
        <f>IF(I24&gt;0,AQ24/I24,0)</f>
        <v/>
      </c>
      <c r="AS24" s="130">
        <f>IF(BD24&gt;0,BD24*I24,BJ24*I24)</f>
        <v/>
      </c>
      <c r="AT24" s="130">
        <f>IF(BD24&gt;0,BD24,BJ24)</f>
        <v/>
      </c>
      <c r="AU24" s="38" t="n"/>
      <c r="AV24" s="0" t="inlineStr">
        <is>
          <t>REN</t>
        </is>
      </c>
      <c r="AW24" s="0" t="n">
        <v>1</v>
      </c>
      <c r="AX24" s="131" t="n">
        <v>31742</v>
      </c>
      <c r="AY24" s="131" t="n">
        <v>15000</v>
      </c>
      <c r="AZ24" s="131" t="n">
        <v>60000</v>
      </c>
      <c r="BA24" s="131">
        <f>AX24+AY24+AZ24</f>
        <v/>
      </c>
      <c r="BB24" s="131">
        <f>IF(I24&gt;0,BA24/I24,0)</f>
        <v/>
      </c>
      <c r="BC24" s="79" t="inlineStr">
        <is>
          <t>VERIFIED</t>
        </is>
      </c>
      <c r="BD24" s="132" t="n">
        <v>136106</v>
      </c>
      <c r="BE24" s="131">
        <f>BA30*F30</f>
        <v/>
      </c>
      <c r="BF24" s="131">
        <f>AQ24</f>
        <v/>
      </c>
      <c r="BG24" s="132">
        <f>AS24-BF24</f>
        <v/>
      </c>
      <c r="BH24" s="133">
        <f>IF(AS24&gt;0,BG24/AS24,0)</f>
        <v/>
      </c>
      <c r="BI24" s="108" t="inlineStr">
        <is>
          <t>DINO LOCKED</t>
        </is>
      </c>
      <c r="BJ24" s="132" t="n">
        <v>136106</v>
      </c>
      <c r="BK24" s="131" t="n">
        <v>1361060</v>
      </c>
      <c r="BL24" s="134" t="n">
        <v>0.1269776077888873</v>
      </c>
      <c r="BO24" s="135" t="n">
        <v>1270257</v>
      </c>
      <c r="BP24" s="135" t="n">
        <v>39997</v>
      </c>
      <c r="BQ24" s="135" t="n">
        <v>106742</v>
      </c>
      <c r="BR24" s="0" t="n">
        <v>1416996</v>
      </c>
      <c r="BS24" s="0" t="n">
        <v>1601205</v>
      </c>
      <c r="BT24" s="0" t="n">
        <v>160120</v>
      </c>
      <c r="BU24" s="0" t="n">
        <v>240145</v>
      </c>
    </row>
    <row r="25" ht="15.75" customHeight="1" s="69">
      <c r="A25" s="0" t="n">
        <v>51</v>
      </c>
      <c r="B25" s="115" t="inlineStr">
        <is>
          <t>ABIO Power</t>
        </is>
      </c>
      <c r="C25" s="115" t="inlineStr">
        <is>
          <t>Nicosia</t>
        </is>
      </c>
      <c r="D25" s="127" t="n">
        <v>2.4</v>
      </c>
      <c r="E25" s="0" t="inlineStr">
        <is>
          <t>Nicosia34</t>
        </is>
      </c>
      <c r="F25" s="0" t="inlineStr">
        <is>
          <t>ABIO</t>
        </is>
      </c>
      <c r="G25" s="115" t="inlineStr">
        <is>
          <t>Renergetic 2</t>
        </is>
      </c>
      <c r="H25" s="128" t="n">
        <v>2.4</v>
      </c>
      <c r="I25" s="128" t="n">
        <v>10</v>
      </c>
      <c r="J25" s="128" t="n">
        <v>2.4</v>
      </c>
      <c r="K25" s="0" t="n">
        <v>2</v>
      </c>
      <c r="L25" s="0" t="n">
        <v>1</v>
      </c>
      <c r="M25" s="0" t="n">
        <v>3</v>
      </c>
      <c r="N25" s="135" t="n">
        <v>88.42</v>
      </c>
      <c r="Q25" s="137" t="n"/>
      <c r="R25" s="131" t="n"/>
      <c r="T25" s="131" t="n"/>
      <c r="U25" s="137" t="n">
        <v>5000</v>
      </c>
      <c r="V25" s="137" t="n">
        <v>7080</v>
      </c>
      <c r="W25" s="131" t="n"/>
      <c r="X25" s="137" t="n">
        <v>3500</v>
      </c>
      <c r="Y25" s="137" t="n">
        <v>3500</v>
      </c>
      <c r="Z25" s="135" t="n">
        <v>2200</v>
      </c>
      <c r="AA25" s="135" t="n">
        <v>5000</v>
      </c>
      <c r="AB25" s="135" t="n">
        <v>3000</v>
      </c>
      <c r="AC25" s="135" t="n">
        <v>2000</v>
      </c>
      <c r="AD25" s="131" t="n"/>
      <c r="AE25" s="131" t="n"/>
      <c r="AF25" s="131" t="n"/>
      <c r="AG25" s="131" t="n"/>
      <c r="AH25" s="131" t="n"/>
      <c r="AI25" s="135" t="n">
        <v>31742</v>
      </c>
      <c r="AJ25" s="131" t="n"/>
      <c r="AK25" s="131" t="n"/>
      <c r="AL25" s="131" t="n"/>
      <c r="AM25" s="131" t="n"/>
      <c r="AN25" s="131" t="n"/>
      <c r="AO25" s="131" t="n"/>
      <c r="AP25" s="135">
        <f>SUM(T25,U25,V25,W25,X25,Y25,Z25,AA25,AB25,AC25,AD25,AE25,AF25,AG25,AH25,AJ25,AK25,AL25,AM25,AN25,AO25)</f>
        <v/>
      </c>
      <c r="AQ25" s="135">
        <f>Q25+AP25+BA25</f>
        <v/>
      </c>
      <c r="AR25" s="135">
        <f>IF(I25&gt;0,AQ25/I25,0)</f>
        <v/>
      </c>
      <c r="AS25" s="135">
        <f>IF(BD25&gt;0,BD25*I25,BJ25*I25)</f>
        <v/>
      </c>
      <c r="AT25" s="135">
        <f>IF(BD25&gt;0,BD25,BJ25)</f>
        <v/>
      </c>
      <c r="AU25" s="0" t="inlineStr">
        <is>
          <t>NEW - Abio #13 - NEEDS PRICE VERIFICATION</t>
        </is>
      </c>
      <c r="AV25" s="0" t="inlineStr">
        <is>
          <t>ABIO</t>
        </is>
      </c>
      <c r="AW25" s="0" t="n">
        <v>4</v>
      </c>
      <c r="AX25" s="135" t="n">
        <v>31742</v>
      </c>
      <c r="AY25" s="135" t="n">
        <v>15000</v>
      </c>
      <c r="AZ25" s="135" t="n">
        <v>15000</v>
      </c>
      <c r="BA25" s="135">
        <f>AX25+AY25+AZ25</f>
        <v/>
      </c>
      <c r="BB25" s="135">
        <f>IF(I25&gt;0,BA25/I25,0)</f>
        <v/>
      </c>
      <c r="BC25" s="112" t="inlineStr">
        <is>
          <t>VERIFY - NEW</t>
        </is>
      </c>
      <c r="BD25" s="135" t="n">
        <v>120630</v>
      </c>
      <c r="BE25" s="131" t="n"/>
      <c r="BF25" s="137">
        <f>AQ25</f>
        <v/>
      </c>
      <c r="BG25" s="135">
        <f>AS25-BF25</f>
        <v/>
      </c>
      <c r="BH25" s="138">
        <f>IF(AS25&gt;0,BG25/AS25,0)</f>
        <v/>
      </c>
      <c r="BI25" s="113" t="inlineStr">
        <is>
          <t>NEW ABIO</t>
        </is>
      </c>
      <c r="BJ25" s="137" t="n">
        <v>120630</v>
      </c>
      <c r="BK25" s="137" t="n">
        <v>1206300</v>
      </c>
      <c r="BL25" s="138" t="n">
        <v>0.1257383261685675</v>
      </c>
      <c r="BO25" s="135" t="n">
        <v>1120626</v>
      </c>
      <c r="BP25" s="135" t="n">
        <v>35972</v>
      </c>
      <c r="BQ25" s="135" t="n">
        <v>61742</v>
      </c>
      <c r="BR25" s="0" t="n">
        <v>1218340</v>
      </c>
      <c r="BS25" s="0" t="n">
        <v>1376724</v>
      </c>
      <c r="BT25" s="0" t="n">
        <v>137672</v>
      </c>
      <c r="BU25" s="0" t="n">
        <v>170424</v>
      </c>
    </row>
    <row r="26" ht="15.75" customHeight="1" s="69">
      <c r="A26" s="29" t="n">
        <v>33</v>
      </c>
      <c r="B26" s="115" t="inlineStr">
        <is>
          <t>ABIO Power</t>
        </is>
      </c>
      <c r="C26" s="115" t="inlineStr">
        <is>
          <t>Nicosia</t>
        </is>
      </c>
      <c r="D26" s="127" t="n">
        <v>6.1</v>
      </c>
      <c r="E26" s="29" t="inlineStr">
        <is>
          <t>Nicosia19</t>
        </is>
      </c>
      <c r="F26" s="52" t="inlineStr">
        <is>
          <t>SOL</t>
        </is>
      </c>
      <c r="G26" s="116" t="inlineStr">
        <is>
          <t>Solarity</t>
        </is>
      </c>
      <c r="H26" s="52" t="n">
        <v>5</v>
      </c>
      <c r="I26" s="52" t="n">
        <v>10</v>
      </c>
      <c r="J26" s="128" t="n">
        <v>6.1</v>
      </c>
      <c r="K26" s="82" t="n">
        <v>2</v>
      </c>
      <c r="L26" s="82" t="n">
        <v>1</v>
      </c>
      <c r="M26" s="29" t="n">
        <v>3</v>
      </c>
      <c r="N26" s="129" t="n">
        <v>101.4</v>
      </c>
      <c r="O26" s="52">
        <f>N36/F36/1000</f>
        <v/>
      </c>
      <c r="P26" s="32">
        <f>L36/K36</f>
        <v/>
      </c>
      <c r="Q26" s="129" t="n">
        <v>1104571</v>
      </c>
      <c r="R26" s="130">
        <f>N36/F36/1000</f>
        <v/>
      </c>
      <c r="S26" s="52">
        <f>N36/K36/1000</f>
        <v/>
      </c>
      <c r="T26" s="130">
        <f>N36*0.0266</f>
        <v/>
      </c>
      <c r="U26" s="130" t="n">
        <v>5000</v>
      </c>
      <c r="V26" s="130" t="n">
        <v>7080</v>
      </c>
      <c r="W26" s="130" t="n"/>
      <c r="X26" s="130" t="n">
        <v>7000</v>
      </c>
      <c r="Y26" s="130" t="n">
        <v>3500</v>
      </c>
      <c r="Z26" s="130" t="n">
        <v>2200</v>
      </c>
      <c r="AA26" s="130" t="n">
        <v>5000</v>
      </c>
      <c r="AB26" s="130" t="n">
        <v>3000</v>
      </c>
      <c r="AC26" s="130" t="n">
        <v>2000</v>
      </c>
      <c r="AD26" s="130" t="n"/>
      <c r="AE26" s="130">
        <f>((700*H36)+(400*I36))+1000</f>
        <v/>
      </c>
      <c r="AF26" s="130" t="n"/>
      <c r="AG26" s="130" t="n"/>
      <c r="AH26" s="130" t="n"/>
      <c r="AI26" s="130" t="n">
        <v>31742</v>
      </c>
      <c r="AJ26" s="130">
        <f>J36*4000</f>
        <v/>
      </c>
      <c r="AK26" s="130">
        <f>1500*J36</f>
        <v/>
      </c>
      <c r="AL26" s="130" t="n">
        <v>0</v>
      </c>
      <c r="AM26" s="130" t="n"/>
      <c r="AN26" s="130">
        <f>N36*0.0075</f>
        <v/>
      </c>
      <c r="AO26" s="130" t="n">
        <v>0</v>
      </c>
      <c r="AP26" s="130">
        <f>SUM(T26,U26,V26,W26,X26,Y26,Z26,AA26,AB26,AC26,AD26,AE26,AF26,AG26,AH26,AJ26,AK26,AL26,AM26,AN26,AO26)</f>
        <v/>
      </c>
      <c r="AQ26" s="130">
        <f>Q26+AP26+BA26</f>
        <v/>
      </c>
      <c r="AR26" s="130">
        <f>IF(I26&gt;0,AQ26/I26,0)</f>
        <v/>
      </c>
      <c r="AS26" s="130">
        <f>IF(BD26&gt;0,BD26*I26,BJ26*I26)</f>
        <v/>
      </c>
      <c r="AT26" s="130">
        <f>IF(BD26&gt;0,BD26,BJ26)</f>
        <v/>
      </c>
      <c r="AU26" s="38" t="n"/>
      <c r="AV26" s="0" t="inlineStr">
        <is>
          <t>SOL</t>
        </is>
      </c>
      <c r="AW26" s="0" t="n">
        <v>1</v>
      </c>
      <c r="AX26" s="131" t="n">
        <v>31742</v>
      </c>
      <c r="AY26" s="131" t="n">
        <v>15000</v>
      </c>
      <c r="AZ26" s="131" t="n">
        <v>60000</v>
      </c>
      <c r="BA26" s="131">
        <f>AX26+AY26+AZ26</f>
        <v/>
      </c>
      <c r="BB26" s="131">
        <f>IF(I26&gt;0,BA26/I26,0)</f>
        <v/>
      </c>
      <c r="BC26" s="79" t="inlineStr">
        <is>
          <t>VERIFIED</t>
        </is>
      </c>
      <c r="BD26" s="132" t="n">
        <v>136106</v>
      </c>
      <c r="BE26" s="131">
        <f>BA36*F36</f>
        <v/>
      </c>
      <c r="BF26" s="131">
        <f>AQ26</f>
        <v/>
      </c>
      <c r="BG26" s="132">
        <f>AS26-BF26</f>
        <v/>
      </c>
      <c r="BH26" s="133">
        <f>IF(AS26&gt;0,BG26/AS26,0)</f>
        <v/>
      </c>
      <c r="BI26" s="108" t="inlineStr">
        <is>
          <t>DINO LOCKED</t>
        </is>
      </c>
      <c r="BJ26" s="132" t="n">
        <v>136106</v>
      </c>
      <c r="BK26" s="131" t="n">
        <v>1361060</v>
      </c>
      <c r="BL26" s="134" t="n">
        <v>0.1269776077888873</v>
      </c>
      <c r="BO26" s="135" t="n">
        <v>1270257</v>
      </c>
      <c r="BP26" s="135" t="n">
        <v>39997</v>
      </c>
      <c r="BQ26" s="135" t="n">
        <v>106742</v>
      </c>
      <c r="BR26" s="0" t="n">
        <v>1416996</v>
      </c>
      <c r="BS26" s="0" t="n">
        <v>1601205</v>
      </c>
      <c r="BT26" s="0" t="n">
        <v>160120</v>
      </c>
      <c r="BU26" s="0" t="n">
        <v>240145</v>
      </c>
    </row>
    <row r="27" ht="15.75" customHeight="1" s="69">
      <c r="A27" s="0" t="n">
        <v>48</v>
      </c>
      <c r="B27" s="115" t="inlineStr">
        <is>
          <t>ABIO Power</t>
        </is>
      </c>
      <c r="C27" s="115" t="inlineStr">
        <is>
          <t>Nicosia</t>
        </is>
      </c>
      <c r="D27" s="127" t="n">
        <v>3</v>
      </c>
      <c r="E27" s="0" t="inlineStr">
        <is>
          <t>Nicosia31</t>
        </is>
      </c>
      <c r="F27" s="0" t="inlineStr">
        <is>
          <t>ABIO</t>
        </is>
      </c>
      <c r="G27" s="115" t="inlineStr">
        <is>
          <t>Solartech 3 Extension</t>
        </is>
      </c>
      <c r="H27" s="128" t="n">
        <v>2.5</v>
      </c>
      <c r="I27" s="128" t="n">
        <v>10</v>
      </c>
      <c r="J27" s="128" t="n">
        <v>3</v>
      </c>
      <c r="K27" s="0" t="n">
        <v>2</v>
      </c>
      <c r="L27" s="0" t="n">
        <v>1</v>
      </c>
      <c r="M27" s="0" t="n">
        <v>3</v>
      </c>
      <c r="N27" s="135" t="n">
        <v>88.42</v>
      </c>
      <c r="Q27" s="137" t="n">
        <v>974457</v>
      </c>
      <c r="R27" s="131" t="n"/>
      <c r="T27" s="131" t="n"/>
      <c r="U27" s="137" t="n">
        <v>5000</v>
      </c>
      <c r="V27" s="137" t="n">
        <v>7080</v>
      </c>
      <c r="W27" s="131" t="n"/>
      <c r="X27" s="137" t="n">
        <v>3500</v>
      </c>
      <c r="Y27" s="137" t="n">
        <v>3500</v>
      </c>
      <c r="Z27" s="135" t="n">
        <v>2200</v>
      </c>
      <c r="AA27" s="135" t="n">
        <v>5000</v>
      </c>
      <c r="AB27" s="135" t="n">
        <v>3000</v>
      </c>
      <c r="AC27" s="135" t="n">
        <v>2000</v>
      </c>
      <c r="AD27" s="131" t="n"/>
      <c r="AE27" s="131" t="n"/>
      <c r="AF27" s="131" t="n"/>
      <c r="AG27" s="131" t="n"/>
      <c r="AH27" s="131" t="n"/>
      <c r="AI27" s="135" t="n">
        <v>31742</v>
      </c>
      <c r="AJ27" s="131" t="n"/>
      <c r="AK27" s="131" t="n"/>
      <c r="AL27" s="131" t="n"/>
      <c r="AM27" s="131" t="n"/>
      <c r="AN27" s="131" t="n"/>
      <c r="AO27" s="131" t="n"/>
      <c r="AP27" s="135">
        <f>SUM(T27,U27,V27,W27,X27,Y27,Z27,AA27,AB27,AC27,AD27,AE27,AF27,AG27,AH27,AJ27,AK27,AL27,AM27,AN27,AO27)</f>
        <v/>
      </c>
      <c r="AQ27" s="135">
        <f>Q27+AP27+BA27</f>
        <v/>
      </c>
      <c r="AR27" s="135">
        <f>IF(I27&gt;0,AQ27/I27,0)</f>
        <v/>
      </c>
      <c r="AS27" s="135">
        <f>IF(BD27&gt;0,BD27*I27,BJ27*I27)</f>
        <v/>
      </c>
      <c r="AT27" s="135">
        <f>IF(BD27&gt;0,BD27,BJ27)</f>
        <v/>
      </c>
      <c r="AU27" s="0" t="inlineStr">
        <is>
          <t>NEW - Abio #19 - NEEDS PRICE VERIFICATION</t>
        </is>
      </c>
      <c r="AV27" s="0" t="inlineStr">
        <is>
          <t>ABIO</t>
        </is>
      </c>
      <c r="AW27" s="0" t="n">
        <v>4</v>
      </c>
      <c r="AX27" s="135" t="n">
        <v>31742</v>
      </c>
      <c r="AY27" s="135" t="n">
        <v>15000</v>
      </c>
      <c r="AZ27" s="135" t="n">
        <v>15000</v>
      </c>
      <c r="BA27" s="135">
        <f>AX27+AY27+AZ27</f>
        <v/>
      </c>
      <c r="BB27" s="135">
        <f>IF(I27&gt;0,BA27/I27,0)</f>
        <v/>
      </c>
      <c r="BC27" s="112" t="inlineStr">
        <is>
          <t>VERIFY - NEW</t>
        </is>
      </c>
      <c r="BD27" s="135" t="n">
        <v>120630</v>
      </c>
      <c r="BE27" s="131" t="n"/>
      <c r="BF27" s="137">
        <f>AQ27</f>
        <v/>
      </c>
      <c r="BG27" s="135">
        <f>AS27-BF27</f>
        <v/>
      </c>
      <c r="BH27" s="138">
        <f>IF(AS27&gt;0,BG27/AS27,0)</f>
        <v/>
      </c>
      <c r="BI27" s="113" t="inlineStr">
        <is>
          <t>NEW ABIO</t>
        </is>
      </c>
      <c r="BJ27" s="137" t="n">
        <v>120630</v>
      </c>
      <c r="BK27" s="137" t="n">
        <v>1206300</v>
      </c>
      <c r="BL27" s="138" t="n">
        <v>0.1257383261685675</v>
      </c>
      <c r="BO27" s="135" t="n">
        <v>1120626</v>
      </c>
      <c r="BP27" s="135" t="n">
        <v>35972</v>
      </c>
      <c r="BQ27" s="135" t="n">
        <v>61742</v>
      </c>
      <c r="BR27" s="0" t="n">
        <v>1218340</v>
      </c>
      <c r="BS27" s="0" t="n">
        <v>1376724</v>
      </c>
      <c r="BT27" s="0" t="n">
        <v>137672</v>
      </c>
      <c r="BU27" s="0" t="n">
        <v>170424</v>
      </c>
    </row>
    <row r="28" ht="15.75" customHeight="1" s="69">
      <c r="A28" s="29" t="n">
        <v>23</v>
      </c>
      <c r="B28" s="115" t="inlineStr">
        <is>
          <t>ABIO Power</t>
        </is>
      </c>
      <c r="C28" s="115" t="inlineStr">
        <is>
          <t>Nicosia</t>
        </is>
      </c>
      <c r="D28" s="127" t="n">
        <v>3</v>
      </c>
      <c r="E28" s="29" t="inlineStr">
        <is>
          <t>Nicosia9</t>
        </is>
      </c>
      <c r="F28" s="52" t="inlineStr">
        <is>
          <t>WAN</t>
        </is>
      </c>
      <c r="G28" s="116" t="inlineStr">
        <is>
          <t>Waneron</t>
        </is>
      </c>
      <c r="H28" s="52" t="n">
        <v>3</v>
      </c>
      <c r="I28" s="52" t="n">
        <v>11.28</v>
      </c>
      <c r="J28" s="128" t="n">
        <v>3</v>
      </c>
      <c r="K28" s="82" t="n">
        <v>2</v>
      </c>
      <c r="L28" s="82" t="n">
        <v>1</v>
      </c>
      <c r="M28" s="29" t="n">
        <v>3</v>
      </c>
      <c r="N28" s="129" t="n">
        <v>98.52</v>
      </c>
      <c r="O28" s="52">
        <f>N26/F26/1000</f>
        <v/>
      </c>
      <c r="P28" s="32">
        <f>L26/K26</f>
        <v/>
      </c>
      <c r="Q28" s="129" t="n"/>
      <c r="R28" s="130">
        <f>N26/F26/1000</f>
        <v/>
      </c>
      <c r="S28" s="52">
        <f>N26/K26/1000</f>
        <v/>
      </c>
      <c r="T28" s="130">
        <f>N26*0.0266</f>
        <v/>
      </c>
      <c r="U28" s="130" t="n">
        <v>7000</v>
      </c>
      <c r="V28" s="130" t="n">
        <v>11800</v>
      </c>
      <c r="W28" s="130" t="n"/>
      <c r="X28" s="130" t="n">
        <v>4200</v>
      </c>
      <c r="Y28" s="130" t="n">
        <v>7000</v>
      </c>
      <c r="Z28" s="130" t="n">
        <v>4400</v>
      </c>
      <c r="AA28" s="130" t="n">
        <v>6000</v>
      </c>
      <c r="AB28" s="130" t="n">
        <v>3000</v>
      </c>
      <c r="AC28" s="130" t="n">
        <v>2000</v>
      </c>
      <c r="AD28" s="130" t="n"/>
      <c r="AE28" s="130">
        <f>((700*H26)+(400*I26))+1000</f>
        <v/>
      </c>
      <c r="AF28" s="130" t="n"/>
      <c r="AG28" s="130" t="n"/>
      <c r="AH28" s="130" t="n"/>
      <c r="AI28" s="130" t="n">
        <v>31742</v>
      </c>
      <c r="AJ28" s="130">
        <f>J26*4000</f>
        <v/>
      </c>
      <c r="AK28" s="130">
        <f>1500*J26</f>
        <v/>
      </c>
      <c r="AL28" s="130" t="n">
        <v>0</v>
      </c>
      <c r="AM28" s="130" t="n"/>
      <c r="AN28" s="130">
        <f>N26*0.0075</f>
        <v/>
      </c>
      <c r="AO28" s="130" t="n">
        <v>0</v>
      </c>
      <c r="AP28" s="130">
        <f>SUM(T28,U28,V28,W28,X28,Y28,Z28,AA28,AB28,AC28,AD28,AE28,AF28,AG28,AH28,AJ28,AK28,AL28,AM28,AN28,AO28)</f>
        <v/>
      </c>
      <c r="AQ28" s="130">
        <f>Q28+AP28+BA28</f>
        <v/>
      </c>
      <c r="AR28" s="130">
        <f>IF(I28&gt;0,AQ28/I28,0)</f>
        <v/>
      </c>
      <c r="AS28" s="130">
        <f>IF(BD28&gt;0,BD28*I28,BJ28*I28)</f>
        <v/>
      </c>
      <c r="AT28" s="130">
        <f>IF(BD28&gt;0,BD28,BJ28)</f>
        <v/>
      </c>
      <c r="AU28" s="38" t="n"/>
      <c r="AV28" s="0" t="inlineStr">
        <is>
          <t>WAN</t>
        </is>
      </c>
      <c r="AW28" s="0" t="n">
        <v>1</v>
      </c>
      <c r="AX28" s="131" t="n">
        <v>31742</v>
      </c>
      <c r="AY28" s="131" t="n">
        <v>15000</v>
      </c>
      <c r="AZ28" s="131" t="n">
        <v>60000</v>
      </c>
      <c r="BA28" s="131">
        <f>AX28+AY28+AZ28</f>
        <v/>
      </c>
      <c r="BB28" s="131">
        <f>IF(I28&gt;0,BA28/I28,0)</f>
        <v/>
      </c>
      <c r="BC28" s="79" t="inlineStr">
        <is>
          <t>VERIFIED</t>
        </is>
      </c>
      <c r="BD28" s="132" t="n">
        <v>132924</v>
      </c>
      <c r="BE28" s="131">
        <f>BA26*F26</f>
        <v/>
      </c>
      <c r="BF28" s="131">
        <f>AQ28</f>
        <v/>
      </c>
      <c r="BG28" s="132">
        <f>AS28-BF28</f>
        <v/>
      </c>
      <c r="BH28" s="133">
        <f>IF(AS28&gt;0,BG28/AS28,0)</f>
        <v/>
      </c>
      <c r="BI28" s="110" t="inlineStr">
        <is>
          <t>9% MARGIN</t>
        </is>
      </c>
      <c r="BJ28" s="139" t="n">
        <v>142133</v>
      </c>
      <c r="BK28" s="131" t="n">
        <v>1705596</v>
      </c>
      <c r="BL28" s="134" t="n">
        <v>0.1547413003179786</v>
      </c>
      <c r="BO28" s="135" t="n">
        <v>1549493</v>
      </c>
      <c r="BP28" s="135" t="n">
        <v>52210</v>
      </c>
      <c r="BQ28" s="135" t="n">
        <v>106742</v>
      </c>
      <c r="BR28" s="0" t="n">
        <v>1708445</v>
      </c>
      <c r="BS28" s="0" t="n">
        <v>1930543</v>
      </c>
      <c r="BT28" s="0" t="n">
        <v>160879</v>
      </c>
      <c r="BU28" s="0" t="n">
        <v>236077</v>
      </c>
    </row>
    <row r="29" ht="15.75" customHeight="1" s="69">
      <c r="A29" s="29" t="n">
        <v>3</v>
      </c>
      <c r="B29" s="119" t="inlineStr">
        <is>
          <t>Esperia Energy Group</t>
        </is>
      </c>
      <c r="C29" s="119" t="inlineStr">
        <is>
          <t>Famagusta</t>
        </is>
      </c>
      <c r="D29" s="140" t="n">
        <v>8</v>
      </c>
      <c r="E29" s="29" t="inlineStr">
        <is>
          <t>Famagusta3</t>
        </is>
      </c>
      <c r="F29" s="52" t="inlineStr">
        <is>
          <t>ESP</t>
        </is>
      </c>
      <c r="G29" s="120" t="inlineStr">
        <is>
          <t>Esperia Famagusta</t>
        </is>
      </c>
      <c r="H29" s="52" t="n">
        <v>6.5</v>
      </c>
      <c r="I29" s="52" t="n">
        <v>20</v>
      </c>
      <c r="J29" s="128" t="n">
        <v>8</v>
      </c>
      <c r="K29" s="82" t="n">
        <v>4</v>
      </c>
      <c r="L29" s="82" t="n">
        <v>1</v>
      </c>
      <c r="M29" s="29" t="n">
        <v>5</v>
      </c>
      <c r="N29" s="129" t="n">
        <v>89.18000000000001</v>
      </c>
      <c r="O29" s="52">
        <f>N6/F6/1000</f>
        <v/>
      </c>
      <c r="P29" s="32">
        <f>L6/K6</f>
        <v/>
      </c>
      <c r="Q29" s="129" t="n">
        <v>1951710.58</v>
      </c>
      <c r="R29" s="130">
        <f>N6/F6/1000</f>
        <v/>
      </c>
      <c r="S29" s="52">
        <f>N6/K6/1000</f>
        <v/>
      </c>
      <c r="T29" s="130">
        <f>N6*0.0266</f>
        <v/>
      </c>
      <c r="U29" s="130" t="n">
        <v>7000</v>
      </c>
      <c r="V29" s="130" t="n">
        <v>11800</v>
      </c>
      <c r="W29" s="130" t="n"/>
      <c r="X29" s="130" t="n">
        <v>9100</v>
      </c>
      <c r="Y29" s="130" t="n">
        <v>3500</v>
      </c>
      <c r="Z29" s="130" t="n">
        <v>2200</v>
      </c>
      <c r="AA29" s="130" t="n">
        <v>5000</v>
      </c>
      <c r="AB29" s="130" t="n">
        <v>3000</v>
      </c>
      <c r="AC29" s="130" t="n">
        <v>2000</v>
      </c>
      <c r="AD29" s="130" t="n"/>
      <c r="AE29" s="130">
        <f>((700*H6)+(400*I6))+1000</f>
        <v/>
      </c>
      <c r="AF29" s="130" t="n"/>
      <c r="AG29" s="130" t="n"/>
      <c r="AH29" s="130" t="n"/>
      <c r="AI29" s="130" t="n">
        <v>46718</v>
      </c>
      <c r="AJ29" s="130">
        <f>J6*4000</f>
        <v/>
      </c>
      <c r="AK29" s="130">
        <f>1500*J6</f>
        <v/>
      </c>
      <c r="AL29" s="130" t="n">
        <v>0</v>
      </c>
      <c r="AM29" s="130" t="n"/>
      <c r="AN29" s="130">
        <f>N6*0.0075</f>
        <v/>
      </c>
      <c r="AO29" s="130" t="n">
        <v>0</v>
      </c>
      <c r="AP29" s="130">
        <f>SUM(T29,U29,V29,W29,X29,Y29,Z29,AA29,AB29,AC29,AD29,AE29,AF29,AG29,AH29,AJ29,AK29,AL29,AM29,AN29,AO29)</f>
        <v/>
      </c>
      <c r="AQ29" s="130">
        <f>Q29+AP29+BA29</f>
        <v/>
      </c>
      <c r="AR29" s="130">
        <f>IF(I29&gt;0,AQ29/I29,0)</f>
        <v/>
      </c>
      <c r="AS29" s="130">
        <f>IF(BD29&gt;0,BD29*I29,BJ29*I29)</f>
        <v/>
      </c>
      <c r="AT29" s="130">
        <f>IF(BD29&gt;0,BD29,BJ29)</f>
        <v/>
      </c>
      <c r="AU29" s="38" t="n"/>
      <c r="AV29" s="0" t="inlineStr">
        <is>
          <t>ESP</t>
        </is>
      </c>
      <c r="AW29" s="0" t="n">
        <v>4</v>
      </c>
      <c r="AX29" s="131" t="n">
        <v>46718</v>
      </c>
      <c r="AY29" s="131" t="n">
        <v>15000</v>
      </c>
      <c r="AZ29" s="131" t="n">
        <v>15000</v>
      </c>
      <c r="BA29" s="131">
        <f>AX29+AY29+AZ29</f>
        <v/>
      </c>
      <c r="BB29" s="131">
        <f>IF(I29&gt;0,BA29/I29,0)</f>
        <v/>
      </c>
      <c r="BC29" s="79" t="inlineStr">
        <is>
          <t>VERIFIED</t>
        </is>
      </c>
      <c r="BD29" s="132" t="n">
        <v>115589</v>
      </c>
      <c r="BE29" s="131">
        <f>BA6*F6</f>
        <v/>
      </c>
      <c r="BF29" s="131">
        <f>AQ29</f>
        <v/>
      </c>
      <c r="BG29" s="132">
        <f>AS29-BF29</f>
        <v/>
      </c>
      <c r="BH29" s="133">
        <f>IF(AS29&gt;0,BG29/AS29,0)</f>
        <v/>
      </c>
      <c r="BI29" s="110" t="inlineStr">
        <is>
          <t>13% MARGIN</t>
        </is>
      </c>
      <c r="BJ29" s="139" t="n">
        <v>117070</v>
      </c>
      <c r="BK29" s="131" t="n">
        <v>2341400</v>
      </c>
      <c r="BL29" s="134" t="n">
        <v>0.1186062839896358</v>
      </c>
      <c r="BO29" s="135" t="n">
        <v>2244467</v>
      </c>
      <c r="BP29" s="135" t="n">
        <v>50140</v>
      </c>
      <c r="BQ29" s="135" t="n">
        <v>76718</v>
      </c>
      <c r="BR29" s="0" t="n">
        <v>1104717</v>
      </c>
      <c r="BS29" s="0" t="n">
        <v>1248330</v>
      </c>
      <c r="BT29" s="0" t="n">
        <v>166444</v>
      </c>
      <c r="BU29" s="0" t="n">
        <v>152988</v>
      </c>
    </row>
    <row r="30" ht="15.75" customHeight="1" s="69">
      <c r="A30" s="29" t="n">
        <v>5</v>
      </c>
      <c r="B30" s="119" t="inlineStr">
        <is>
          <t>Esperia Energy Group</t>
        </is>
      </c>
      <c r="C30" s="119" t="inlineStr">
        <is>
          <t>Famagusta</t>
        </is>
      </c>
      <c r="D30" s="140" t="n">
        <v>5</v>
      </c>
      <c r="E30" s="29" t="inlineStr">
        <is>
          <t>Famagusta5</t>
        </is>
      </c>
      <c r="F30" s="52" t="inlineStr">
        <is>
          <t>ESP</t>
        </is>
      </c>
      <c r="G30" s="120" t="inlineStr">
        <is>
          <t>Esperia Famagusta 2</t>
        </is>
      </c>
      <c r="H30" s="52" t="n">
        <v>5</v>
      </c>
      <c r="I30" s="52" t="n">
        <v>20</v>
      </c>
      <c r="J30" s="128" t="n">
        <v>5</v>
      </c>
      <c r="K30" s="82" t="n">
        <v>4</v>
      </c>
      <c r="L30" s="82" t="n">
        <v>1</v>
      </c>
      <c r="M30" s="29" t="n">
        <v>5</v>
      </c>
      <c r="N30" s="136" t="n">
        <v>84.16</v>
      </c>
      <c r="O30" s="52">
        <f>N8/F8/1000</f>
        <v/>
      </c>
      <c r="P30" s="32">
        <f>L8/K8</f>
        <v/>
      </c>
      <c r="Q30" s="136" t="n">
        <v>1848712.43</v>
      </c>
      <c r="R30" s="130">
        <f>N8/F8/1000</f>
        <v/>
      </c>
      <c r="S30" s="52">
        <f>N8/K8/1000</f>
        <v/>
      </c>
      <c r="T30" s="130">
        <f>N8*0.0266</f>
        <v/>
      </c>
      <c r="U30" s="130" t="n">
        <v>7000</v>
      </c>
      <c r="V30" s="130" t="n">
        <v>11800</v>
      </c>
      <c r="W30" s="130" t="n"/>
      <c r="X30" s="130" t="n">
        <v>7000</v>
      </c>
      <c r="Y30" s="130" t="n">
        <v>3500</v>
      </c>
      <c r="Z30" s="130" t="n">
        <v>2200</v>
      </c>
      <c r="AA30" s="130" t="n">
        <v>5000</v>
      </c>
      <c r="AB30" s="130" t="n">
        <v>3000</v>
      </c>
      <c r="AC30" s="130" t="n">
        <v>2000</v>
      </c>
      <c r="AD30" s="130" t="n"/>
      <c r="AE30" s="130">
        <f>((700*H8)+(400*I8))+1000</f>
        <v/>
      </c>
      <c r="AF30" s="130" t="n"/>
      <c r="AG30" s="130" t="n"/>
      <c r="AH30" s="130" t="n"/>
      <c r="AI30" s="130" t="n">
        <v>46718</v>
      </c>
      <c r="AJ30" s="130">
        <f>J8*4000</f>
        <v/>
      </c>
      <c r="AK30" s="130">
        <f>1500*J8</f>
        <v/>
      </c>
      <c r="AL30" s="130" t="n">
        <v>0</v>
      </c>
      <c r="AM30" s="130" t="n"/>
      <c r="AN30" s="130">
        <f>N8*0.0075</f>
        <v/>
      </c>
      <c r="AO30" s="130" t="n">
        <v>0</v>
      </c>
      <c r="AP30" s="130">
        <f>SUM(T30,U30,V30,W30,X30,Y30,Z30,AA30,AB30,AC30,AD30,AE30,AF30,AG30,AH30,AJ30,AK30,AL30,AM30,AN30,AO30)</f>
        <v/>
      </c>
      <c r="AQ30" s="130">
        <f>Q30+AP30+BA30</f>
        <v/>
      </c>
      <c r="AR30" s="130">
        <f>IF(I30&gt;0,AQ30/I30,0)</f>
        <v/>
      </c>
      <c r="AS30" s="130">
        <f>IF(BD30&gt;0,BD30*I30,BJ30*I30)</f>
        <v/>
      </c>
      <c r="AT30" s="130">
        <f>IF(BD30&gt;0,BD30,BJ30)</f>
        <v/>
      </c>
      <c r="AU30" s="38" t="n">
        <v>112950</v>
      </c>
      <c r="AV30" s="0" t="inlineStr">
        <is>
          <t>ESP</t>
        </is>
      </c>
      <c r="AW30" s="0" t="n">
        <v>4</v>
      </c>
      <c r="AX30" s="131" t="n">
        <v>46718</v>
      </c>
      <c r="AY30" s="131" t="n">
        <v>15000</v>
      </c>
      <c r="AZ30" s="131" t="n">
        <v>15000</v>
      </c>
      <c r="BA30" s="131">
        <f>AX30+AY30+AZ30</f>
        <v/>
      </c>
      <c r="BB30" s="131">
        <f>IF(I30&gt;0,BA30/I30,0)</f>
        <v/>
      </c>
      <c r="BC30" s="79" t="inlineStr">
        <is>
          <t>VERIFIED</t>
        </is>
      </c>
      <c r="BD30" s="132" t="n">
        <v>112945</v>
      </c>
      <c r="BE30" s="131">
        <f>BA8*F8</f>
        <v/>
      </c>
      <c r="BF30" s="131">
        <f>AQ30</f>
        <v/>
      </c>
      <c r="BG30" s="132">
        <f>AS30-BF30</f>
        <v/>
      </c>
      <c r="BH30" s="133">
        <f>IF(AS30&gt;0,BG30/AS30,0)</f>
        <v/>
      </c>
      <c r="BI30" s="110" t="inlineStr">
        <is>
          <t>DINO LOCKED</t>
        </is>
      </c>
      <c r="BJ30" s="139" t="n">
        <v>112945</v>
      </c>
      <c r="BK30" s="131" t="n">
        <v>2258900</v>
      </c>
      <c r="BL30" s="134" t="n">
        <v>0.132942097185946</v>
      </c>
      <c r="BO30" s="135" t="n">
        <v>2126019</v>
      </c>
      <c r="BP30" s="135" t="n">
        <v>47725</v>
      </c>
      <c r="BQ30" s="135" t="n">
        <v>76718</v>
      </c>
      <c r="BR30" s="0" t="n">
        <v>1104717</v>
      </c>
      <c r="BS30" s="0" t="n">
        <v>1248330</v>
      </c>
      <c r="BT30" s="0" t="n">
        <v>166444</v>
      </c>
      <c r="BU30" s="0" t="n">
        <v>152988</v>
      </c>
    </row>
    <row r="31" ht="15.75" customHeight="1" s="69">
      <c r="A31" s="29" t="n">
        <v>4</v>
      </c>
      <c r="B31" s="119" t="inlineStr">
        <is>
          <t>Esperia Energy Group</t>
        </is>
      </c>
      <c r="C31" s="119" t="inlineStr">
        <is>
          <t>Famagusta</t>
        </is>
      </c>
      <c r="D31" s="140" t="n">
        <v>8.75</v>
      </c>
      <c r="E31" s="29" t="inlineStr">
        <is>
          <t>Famagusta4</t>
        </is>
      </c>
      <c r="F31" s="52" t="inlineStr">
        <is>
          <t>ESP</t>
        </is>
      </c>
      <c r="G31" s="120" t="inlineStr">
        <is>
          <t>Esperia Frenaros</t>
        </is>
      </c>
      <c r="H31" s="52" t="n">
        <v>25</v>
      </c>
      <c r="I31" s="52" t="n">
        <v>100</v>
      </c>
      <c r="J31" s="128" t="n">
        <v>8.75</v>
      </c>
      <c r="K31" s="82" t="n">
        <v>20</v>
      </c>
      <c r="L31" s="82" t="n">
        <v>3</v>
      </c>
      <c r="M31" s="29" t="n">
        <v>23</v>
      </c>
      <c r="N31" s="129" t="n">
        <v>80.44</v>
      </c>
      <c r="O31" s="52">
        <f>N7/F7/1000</f>
        <v/>
      </c>
      <c r="P31" s="32">
        <f>L7/K7</f>
        <v/>
      </c>
      <c r="Q31" s="129" t="n">
        <v>8782302</v>
      </c>
      <c r="R31" s="130">
        <f>N7/F7/1000</f>
        <v/>
      </c>
      <c r="S31" s="52">
        <f>N7/K7/1000</f>
        <v/>
      </c>
      <c r="T31" s="130">
        <f>N7*0.0266</f>
        <v/>
      </c>
      <c r="U31" s="130" t="n">
        <v>24000</v>
      </c>
      <c r="V31" s="130" t="n">
        <v>51920</v>
      </c>
      <c r="W31" s="130" t="n"/>
      <c r="X31" s="130" t="n">
        <v>35000</v>
      </c>
      <c r="Y31" s="130" t="n">
        <v>7000</v>
      </c>
      <c r="Z31" s="130" t="n">
        <v>4400</v>
      </c>
      <c r="AA31" s="130" t="n">
        <v>6000</v>
      </c>
      <c r="AB31" s="130" t="n">
        <v>3000</v>
      </c>
      <c r="AC31" s="130" t="n">
        <v>2000</v>
      </c>
      <c r="AD31" s="130" t="n"/>
      <c r="AE31" s="130">
        <f>((700*H7)+(400*I7))+1000</f>
        <v/>
      </c>
      <c r="AF31" s="130" t="n"/>
      <c r="AG31" s="130" t="n"/>
      <c r="AH31" s="130" t="n"/>
      <c r="AI31" s="130" t="n">
        <v>179279</v>
      </c>
      <c r="AJ31" s="130">
        <f>J7*4000</f>
        <v/>
      </c>
      <c r="AK31" s="130">
        <f>1500*J7</f>
        <v/>
      </c>
      <c r="AL31" s="130" t="n">
        <v>0</v>
      </c>
      <c r="AM31" s="130" t="n"/>
      <c r="AN31" s="130">
        <f>N7*0.0075</f>
        <v/>
      </c>
      <c r="AO31" s="130" t="n">
        <v>0</v>
      </c>
      <c r="AP31" s="130">
        <f>SUM(T31,U31,V31,W31,X31,Y31,Z31,AA31,AB31,AC31,AD31,AE31,AF31,AG31,AH31,AJ31,AK31,AL31,AM31,AN31,AO31)</f>
        <v/>
      </c>
      <c r="AQ31" s="130">
        <f>Q31+AP31+BA31</f>
        <v/>
      </c>
      <c r="AR31" s="130">
        <f>IF(I31&gt;0,AQ31/I31,0)</f>
        <v/>
      </c>
      <c r="AS31" s="130">
        <f>IF(BD31&gt;0,BD31*I31,BJ31*I31)</f>
        <v/>
      </c>
      <c r="AT31" s="130">
        <f>IF(BD31&gt;0,BD31,BJ31)</f>
        <v/>
      </c>
      <c r="AU31" s="38" t="n"/>
      <c r="AV31" s="0" t="inlineStr">
        <is>
          <t>ESP</t>
        </is>
      </c>
      <c r="AW31" s="0" t="n">
        <v>4</v>
      </c>
      <c r="AX31" s="131" t="n">
        <v>179279</v>
      </c>
      <c r="AY31" s="131" t="n">
        <v>15000</v>
      </c>
      <c r="AZ31" s="131" t="n">
        <v>15000</v>
      </c>
      <c r="BA31" s="131">
        <f>AX31+AY31+AZ31</f>
        <v/>
      </c>
      <c r="BB31" s="131">
        <f>IF(I31&gt;0,BA31/I31,0)</f>
        <v/>
      </c>
      <c r="BC31" s="79" t="inlineStr">
        <is>
          <t>VERIFIED</t>
        </is>
      </c>
      <c r="BD31" s="132" t="n">
        <v>106279</v>
      </c>
      <c r="BE31" s="131">
        <f>BA7*F7</f>
        <v/>
      </c>
      <c r="BF31" s="131">
        <f>AQ31</f>
        <v/>
      </c>
      <c r="BG31" s="132">
        <f>AS31-BF31</f>
        <v/>
      </c>
      <c r="BH31" s="133">
        <f>IF(AS31&gt;0,BG31/AS31,0)</f>
        <v/>
      </c>
      <c r="BI31" s="109" t="inlineStr">
        <is>
          <t>DINO LOCKED</t>
        </is>
      </c>
      <c r="BJ31" s="139" t="n">
        <v>106279</v>
      </c>
      <c r="BK31" s="131" t="n">
        <v>10627900</v>
      </c>
      <c r="BL31" s="134" t="n">
        <v>0.1422042297474886</v>
      </c>
      <c r="BO31" s="135" t="n">
        <v>10099647</v>
      </c>
      <c r="BP31" s="135" t="n">
        <v>153318</v>
      </c>
      <c r="BQ31" s="135" t="n">
        <v>209279</v>
      </c>
      <c r="BR31" s="0" t="n">
        <v>711955</v>
      </c>
      <c r="BS31" s="0" t="n">
        <v>804509</v>
      </c>
      <c r="BT31" s="0" t="n">
        <v>160902</v>
      </c>
      <c r="BU31" s="0" t="n">
        <v>96202</v>
      </c>
    </row>
    <row r="32" ht="15.75" customHeight="1" s="69">
      <c r="A32" s="29" t="n">
        <v>1</v>
      </c>
      <c r="B32" s="119" t="inlineStr">
        <is>
          <t>Esperia Energy Group</t>
        </is>
      </c>
      <c r="C32" s="119" t="inlineStr">
        <is>
          <t>Famagusta</t>
        </is>
      </c>
      <c r="D32" s="140" t="n">
        <v>5</v>
      </c>
      <c r="E32" s="29" t="inlineStr">
        <is>
          <t>Famagusta1</t>
        </is>
      </c>
      <c r="F32" s="52" t="inlineStr">
        <is>
          <t>GAL</t>
        </is>
      </c>
      <c r="G32" s="120" t="inlineStr">
        <is>
          <t>Galascope 1</t>
        </is>
      </c>
      <c r="H32" s="52" t="n">
        <v>5</v>
      </c>
      <c r="I32" s="52" t="n">
        <v>15</v>
      </c>
      <c r="J32" s="128" t="n">
        <v>5</v>
      </c>
      <c r="K32" s="82" t="n">
        <v>3</v>
      </c>
      <c r="L32" s="82" t="n">
        <v>2</v>
      </c>
      <c r="M32" s="29" t="n">
        <v>5</v>
      </c>
      <c r="N32" s="129" t="n">
        <v>96.48</v>
      </c>
      <c r="O32" s="52">
        <f>N4/F4/1000</f>
        <v/>
      </c>
      <c r="P32" s="32">
        <f>L4/K4</f>
        <v/>
      </c>
      <c r="Q32" s="129" t="n">
        <v>1592018</v>
      </c>
      <c r="R32" s="130">
        <f>N4/F4/1000</f>
        <v/>
      </c>
      <c r="S32" s="52">
        <f>N4/K4/1000</f>
        <v/>
      </c>
      <c r="T32" s="130">
        <f>N4*0.0266</f>
        <v/>
      </c>
      <c r="U32" s="130" t="n">
        <v>7000</v>
      </c>
      <c r="V32" s="130" t="n">
        <v>11800</v>
      </c>
      <c r="W32" s="130" t="n"/>
      <c r="X32" s="130" t="n">
        <v>7000</v>
      </c>
      <c r="Y32" s="130" t="n">
        <v>7000</v>
      </c>
      <c r="Z32" s="130" t="n">
        <v>4400</v>
      </c>
      <c r="AA32" s="130" t="n">
        <v>6000</v>
      </c>
      <c r="AB32" s="130" t="n">
        <v>3000</v>
      </c>
      <c r="AC32" s="130" t="n">
        <v>2000</v>
      </c>
      <c r="AD32" s="130" t="n"/>
      <c r="AE32" s="130">
        <f>((700*H4)+(400*I4))+1000</f>
        <v/>
      </c>
      <c r="AF32" s="130" t="n"/>
      <c r="AG32" s="130" t="n"/>
      <c r="AH32" s="130" t="n"/>
      <c r="AI32" s="130" t="n">
        <v>39230</v>
      </c>
      <c r="AJ32" s="130">
        <f>J4*4000</f>
        <v/>
      </c>
      <c r="AK32" s="130">
        <f>1500*J4</f>
        <v/>
      </c>
      <c r="AL32" s="130" t="n">
        <v>0</v>
      </c>
      <c r="AM32" s="130" t="n"/>
      <c r="AN32" s="130">
        <f>N4*0.0075</f>
        <v/>
      </c>
      <c r="AO32" s="130" t="n">
        <v>0</v>
      </c>
      <c r="AP32" s="130">
        <f>SUM(T32,U32,V32,W32,X32,Y32,Z32,AA32,AB32,AC32,AD32,AE32,AF32,AG32,AH32,AJ32,AK32,AL32,AM32,AN32,AO32)</f>
        <v/>
      </c>
      <c r="AQ32" s="130">
        <f>Q32+AP32+BA32</f>
        <v/>
      </c>
      <c r="AR32" s="130">
        <f>IF(I32&gt;0,AQ32/I32,0)</f>
        <v/>
      </c>
      <c r="AS32" s="130">
        <f>IF(BD32&gt;0,BD32*I32,BJ32*I32)</f>
        <v/>
      </c>
      <c r="AT32" s="130">
        <f>IF(BD32&gt;0,BD32,BJ32)</f>
        <v/>
      </c>
      <c r="AU32" s="38" t="n"/>
      <c r="AV32" s="0" t="inlineStr">
        <is>
          <t>GAL</t>
        </is>
      </c>
      <c r="AW32" s="0" t="n">
        <v>2</v>
      </c>
      <c r="AX32" s="131" t="n">
        <v>39230</v>
      </c>
      <c r="AY32" s="131" t="n">
        <v>15000</v>
      </c>
      <c r="AZ32" s="131" t="n">
        <v>30000</v>
      </c>
      <c r="BA32" s="131">
        <f>AX32+AY32+AZ32</f>
        <v/>
      </c>
      <c r="BB32" s="131">
        <f>IF(I32&gt;0,BA32/I32,0)</f>
        <v/>
      </c>
      <c r="BC32" s="79" t="inlineStr">
        <is>
          <t>VERIFIED</t>
        </is>
      </c>
      <c r="BD32" s="132" t="n">
        <v>130792</v>
      </c>
      <c r="BE32" s="131">
        <f>BA4*F4</f>
        <v/>
      </c>
      <c r="BF32" s="131">
        <f>AQ32</f>
        <v/>
      </c>
      <c r="BG32" s="132">
        <f>AS32-BF32</f>
        <v/>
      </c>
      <c r="BH32" s="133">
        <f>IF(AS32&gt;0,BG32/AS32,0)</f>
        <v/>
      </c>
      <c r="BI32" s="109" t="inlineStr">
        <is>
          <t>DINO LOCKED</t>
        </is>
      </c>
      <c r="BJ32" s="139" t="n">
        <v>130792</v>
      </c>
      <c r="BK32" s="131" t="n">
        <v>1961880</v>
      </c>
      <c r="BL32" s="134" t="n">
        <v>0.1352219008589429</v>
      </c>
      <c r="BO32" s="135" t="n">
        <v>1830821</v>
      </c>
      <c r="BP32" s="135" t="n">
        <v>55430</v>
      </c>
      <c r="BQ32" s="135" t="n">
        <v>84230</v>
      </c>
      <c r="BR32" s="0" t="n">
        <v>2371325</v>
      </c>
      <c r="BS32" s="0" t="n">
        <v>2679597</v>
      </c>
      <c r="BT32" s="0" t="n">
        <v>133980</v>
      </c>
      <c r="BU32" s="0" t="n">
        <v>338205</v>
      </c>
    </row>
    <row r="33" ht="15.75" customHeight="1" s="69">
      <c r="A33" s="42" t="n">
        <v>2</v>
      </c>
      <c r="B33" s="119" t="inlineStr">
        <is>
          <t>Esperia Energy Group</t>
        </is>
      </c>
      <c r="C33" s="119" t="inlineStr">
        <is>
          <t>Famagusta</t>
        </is>
      </c>
      <c r="D33" s="140" t="n">
        <v>2.5</v>
      </c>
      <c r="E33" s="42" t="inlineStr">
        <is>
          <t>Famagusta2</t>
        </is>
      </c>
      <c r="F33" s="43" t="inlineStr">
        <is>
          <t>GAL</t>
        </is>
      </c>
      <c r="G33" s="120" t="inlineStr">
        <is>
          <t>Galascope 2</t>
        </is>
      </c>
      <c r="H33" s="43" t="n">
        <v>2.5</v>
      </c>
      <c r="I33" s="43" t="n">
        <v>8</v>
      </c>
      <c r="J33" s="128" t="n">
        <v>2.5</v>
      </c>
      <c r="K33" s="82" t="n">
        <v>2</v>
      </c>
      <c r="L33" s="82" t="n">
        <v>1</v>
      </c>
      <c r="M33" s="42" t="n">
        <v>3</v>
      </c>
      <c r="N33" s="141" t="n">
        <v>94.70999999999999</v>
      </c>
      <c r="O33" s="43">
        <f>N5/F5/1000</f>
        <v/>
      </c>
      <c r="P33" s="45">
        <f>L5/K5</f>
        <v/>
      </c>
      <c r="Q33" s="141" t="n">
        <v>871307.6</v>
      </c>
      <c r="R33" s="142">
        <f>N5/F5/1000</f>
        <v/>
      </c>
      <c r="S33" s="43">
        <f>N5/K5/1000</f>
        <v/>
      </c>
      <c r="T33" s="130">
        <f>N5*0.0266</f>
        <v/>
      </c>
      <c r="U33" s="142" t="n">
        <v>5000</v>
      </c>
      <c r="V33" s="142" t="n">
        <v>7080</v>
      </c>
      <c r="W33" s="142" t="n"/>
      <c r="X33" s="142" t="n">
        <v>3500</v>
      </c>
      <c r="Y33" s="142" t="n">
        <v>3500</v>
      </c>
      <c r="Z33" s="142" t="n">
        <v>2200</v>
      </c>
      <c r="AA33" s="142" t="n">
        <v>5000</v>
      </c>
      <c r="AB33" s="142" t="n">
        <v>3000</v>
      </c>
      <c r="AC33" s="142" t="n">
        <v>2000</v>
      </c>
      <c r="AD33" s="142" t="n"/>
      <c r="AE33" s="130">
        <f>((700*H5)+(400*I5))+1000</f>
        <v/>
      </c>
      <c r="AF33" s="142" t="n"/>
      <c r="AG33" s="142" t="n"/>
      <c r="AH33" s="142" t="n"/>
      <c r="AI33" s="142" t="n">
        <v>31742</v>
      </c>
      <c r="AJ33" s="142">
        <f>J5*4000</f>
        <v/>
      </c>
      <c r="AK33" s="142">
        <f>1500*J5</f>
        <v/>
      </c>
      <c r="AL33" s="142" t="n">
        <v>0</v>
      </c>
      <c r="AM33" s="142" t="n"/>
      <c r="AN33" s="142">
        <f>N5*0.0075</f>
        <v/>
      </c>
      <c r="AO33" s="142" t="n">
        <v>0</v>
      </c>
      <c r="AP33" s="142">
        <f>SUM(T33,U33,V33,W33,X33,Y33,Z33,AA33,AB33,AC33,AD33,AE33,AF33,AG33,AH33,AJ33,AK33,AL33,AM33,AN33,AO33)</f>
        <v/>
      </c>
      <c r="AQ33" s="142">
        <f>Q33+AP33+BA33</f>
        <v/>
      </c>
      <c r="AR33" s="142">
        <f>IF(I33&gt;0,AQ33/I33,0)</f>
        <v/>
      </c>
      <c r="AS33" s="130">
        <f>IF(BD33&gt;0,BD33*I33,BJ33*I33)</f>
        <v/>
      </c>
      <c r="AT33" s="142">
        <f>IF(BD33&gt;0,BD33,BJ33)</f>
        <v/>
      </c>
      <c r="AU33" s="50" t="n"/>
      <c r="AV33" s="0" t="inlineStr">
        <is>
          <t>GAL</t>
        </is>
      </c>
      <c r="AW33" s="0" t="n">
        <v>2</v>
      </c>
      <c r="AX33" s="131" t="n">
        <v>31742</v>
      </c>
      <c r="AY33" s="131" t="n">
        <v>15000</v>
      </c>
      <c r="AZ33" s="131" t="n">
        <v>30000</v>
      </c>
      <c r="BA33" s="131">
        <f>AX33+AY33+AZ33</f>
        <v/>
      </c>
      <c r="BB33" s="131">
        <f>IF(I33&gt;0,BA33/I33,0)</f>
        <v/>
      </c>
      <c r="BC33" s="79" t="inlineStr">
        <is>
          <t>VERIFIED</t>
        </is>
      </c>
      <c r="BD33" s="132" t="n">
        <v>135560</v>
      </c>
      <c r="BE33" s="131">
        <f>BA5*F5</f>
        <v/>
      </c>
      <c r="BF33" s="131">
        <f>AQ33</f>
        <v/>
      </c>
      <c r="BG33" s="132">
        <f>AS33-BF33</f>
        <v/>
      </c>
      <c r="BH33" s="133">
        <f>IF(AS33&gt;0,BG33/AS33,0)</f>
        <v/>
      </c>
      <c r="BI33" s="108" t="inlineStr">
        <is>
          <t>DINO LOCKED</t>
        </is>
      </c>
      <c r="BJ33" s="132" t="n">
        <v>135560</v>
      </c>
      <c r="BK33" s="131" t="n">
        <v>1084480</v>
      </c>
      <c r="BL33" s="134" t="n">
        <v>0.1226463769337773</v>
      </c>
      <c r="BO33" s="135" t="n">
        <v>1002004</v>
      </c>
      <c r="BP33" s="135" t="n">
        <v>35972</v>
      </c>
      <c r="BQ33" s="135" t="n">
        <v>76742</v>
      </c>
      <c r="BR33" s="0" t="n">
        <v>2250462</v>
      </c>
      <c r="BS33" s="0" t="n">
        <v>2543022</v>
      </c>
      <c r="BT33" s="0" t="n">
        <v>127151</v>
      </c>
      <c r="BU33" s="0" t="n">
        <v>284122</v>
      </c>
    </row>
    <row r="34" ht="15.75" customHeight="1" s="69">
      <c r="A34" s="29" t="n">
        <v>10</v>
      </c>
      <c r="B34" s="119" t="inlineStr">
        <is>
          <t>Esperia Energy Group</t>
        </is>
      </c>
      <c r="C34" s="119" t="inlineStr">
        <is>
          <t>Limassol</t>
        </is>
      </c>
      <c r="D34" s="140" t="n">
        <v>8</v>
      </c>
      <c r="E34" s="29" t="inlineStr">
        <is>
          <t>Limassol1</t>
        </is>
      </c>
      <c r="F34" s="52" t="inlineStr">
        <is>
          <t>ESP</t>
        </is>
      </c>
      <c r="G34" s="120" t="inlineStr">
        <is>
          <t>Esperia Limassol</t>
        </is>
      </c>
      <c r="H34" s="52" t="n">
        <v>8</v>
      </c>
      <c r="I34" s="52" t="n">
        <v>60</v>
      </c>
      <c r="J34" s="128" t="n">
        <v>8</v>
      </c>
      <c r="K34" s="82" t="n">
        <v>12</v>
      </c>
      <c r="L34" s="82" t="n">
        <v>2</v>
      </c>
      <c r="M34" s="29" t="n">
        <v>14</v>
      </c>
      <c r="N34" s="136" t="n">
        <v>74.53</v>
      </c>
      <c r="O34" s="52">
        <f>N13/F13/1000</f>
        <v/>
      </c>
      <c r="P34" s="32">
        <f>L13/K13</f>
        <v/>
      </c>
      <c r="Q34" s="136" t="n">
        <v>4937363</v>
      </c>
      <c r="R34" s="130">
        <f>N13/F13/1000</f>
        <v/>
      </c>
      <c r="S34" s="52">
        <f>N13/K13/1000</f>
        <v/>
      </c>
      <c r="T34" s="130">
        <f>N13*0.0266</f>
        <v/>
      </c>
      <c r="U34" s="130" t="n">
        <v>16000</v>
      </c>
      <c r="V34" s="130" t="n">
        <v>33040</v>
      </c>
      <c r="W34" s="130" t="n"/>
      <c r="X34" s="130" t="n">
        <v>11200</v>
      </c>
      <c r="Y34" s="130" t="n">
        <v>7000</v>
      </c>
      <c r="Z34" s="130" t="n">
        <v>4400</v>
      </c>
      <c r="AA34" s="130" t="n">
        <v>6000</v>
      </c>
      <c r="AB34" s="130" t="n">
        <v>3000</v>
      </c>
      <c r="AC34" s="130" t="n">
        <v>2000</v>
      </c>
      <c r="AD34" s="130" t="n"/>
      <c r="AE34" s="130">
        <f>((700*H13)+(400*I13))+1000</f>
        <v/>
      </c>
      <c r="AF34" s="130" t="n"/>
      <c r="AG34" s="130" t="n"/>
      <c r="AH34" s="130" t="n"/>
      <c r="AI34" s="130" t="n">
        <v>119375</v>
      </c>
      <c r="AJ34" s="130">
        <f>J13*4000</f>
        <v/>
      </c>
      <c r="AK34" s="130">
        <f>1500*J13</f>
        <v/>
      </c>
      <c r="AL34" s="130" t="n">
        <v>0</v>
      </c>
      <c r="AM34" s="130" t="n"/>
      <c r="AN34" s="130">
        <f>N13*0.0075</f>
        <v/>
      </c>
      <c r="AO34" s="130" t="n">
        <v>0</v>
      </c>
      <c r="AP34" s="130">
        <f>SUM(T34,U34,V34,W34,X34,Y34,Z34,AA34,AB34,AC34,AD34,AE34,AF34,AG34,AH34,AJ34,AK34,AL34,AM34,AN34,AO34)</f>
        <v/>
      </c>
      <c r="AQ34" s="130">
        <f>Q34+AP34+BA34</f>
        <v/>
      </c>
      <c r="AR34" s="130">
        <f>IF(I34&gt;0,AQ34/I34,0)</f>
        <v/>
      </c>
      <c r="AS34" s="130">
        <f>IF(BD34&gt;0,BD34*I34,BJ34*I34)</f>
        <v/>
      </c>
      <c r="AT34" s="130">
        <f>IF(BD34&gt;0,BD34,BJ34)</f>
        <v/>
      </c>
      <c r="AU34" s="38" t="n"/>
      <c r="AV34" s="0" t="inlineStr">
        <is>
          <t>ESP</t>
        </is>
      </c>
      <c r="AW34" s="0" t="n">
        <v>4</v>
      </c>
      <c r="AX34" s="131" t="n">
        <v>119375</v>
      </c>
      <c r="AY34" s="131" t="n">
        <v>15000</v>
      </c>
      <c r="AZ34" s="131" t="n">
        <v>15000</v>
      </c>
      <c r="BA34" s="131">
        <f>AX34+AY34+AZ34</f>
        <v/>
      </c>
      <c r="BB34" s="131">
        <f>IF(I34&gt;0,BA34/I34,0)</f>
        <v/>
      </c>
      <c r="BC34" s="79" t="inlineStr">
        <is>
          <t>VERIFIED</t>
        </is>
      </c>
      <c r="BD34" s="132" t="n">
        <v>100052</v>
      </c>
      <c r="BE34" s="131">
        <f>BA13*F13</f>
        <v/>
      </c>
      <c r="BF34" s="131">
        <f>AQ34</f>
        <v/>
      </c>
      <c r="BG34" s="132">
        <f>AS34-BF34</f>
        <v/>
      </c>
      <c r="BH34" s="133">
        <f>IF(AS34&gt;0,BG34/AS34,0)</f>
        <v/>
      </c>
      <c r="BI34" s="108" t="inlineStr">
        <is>
          <t>DINO LOCKED</t>
        </is>
      </c>
      <c r="BJ34" s="132" t="n">
        <v>100052</v>
      </c>
      <c r="BK34" s="131" t="n">
        <v>6003120</v>
      </c>
      <c r="BL34" s="134" t="n">
        <v>0.1402729469564715</v>
      </c>
      <c r="BO34" s="135" t="n">
        <v>5677967</v>
      </c>
      <c r="BP34" s="135" t="n">
        <v>95036</v>
      </c>
      <c r="BQ34" s="135" t="n">
        <v>149375</v>
      </c>
      <c r="BR34" s="0" t="n">
        <v>10462244</v>
      </c>
      <c r="BS34" s="0" t="n">
        <v>11822336</v>
      </c>
      <c r="BT34" s="0" t="n">
        <v>118223</v>
      </c>
      <c r="BU34" s="0" t="n">
        <v>1194436</v>
      </c>
    </row>
    <row r="35" ht="15.75" customHeight="1" s="69">
      <c r="A35" s="29" t="n">
        <v>15</v>
      </c>
      <c r="B35" s="119" t="inlineStr">
        <is>
          <t>Esperia Energy Group</t>
        </is>
      </c>
      <c r="C35" s="119" t="inlineStr">
        <is>
          <t>Nicosia</t>
        </is>
      </c>
      <c r="D35" s="140" t="n">
        <v>7.2</v>
      </c>
      <c r="E35" s="29" t="inlineStr">
        <is>
          <t>Nicosia1</t>
        </is>
      </c>
      <c r="F35" s="52" t="inlineStr">
        <is>
          <t>ESP-2028</t>
        </is>
      </c>
      <c r="G35" s="120" t="inlineStr">
        <is>
          <t>Esperia Tseri</t>
        </is>
      </c>
      <c r="H35" s="52" t="n">
        <v>7</v>
      </c>
      <c r="I35" s="52" t="n">
        <v>20</v>
      </c>
      <c r="J35" s="128" t="n">
        <v>7.2</v>
      </c>
      <c r="K35" s="82" t="n">
        <v>4</v>
      </c>
      <c r="L35" s="82" t="n">
        <v>1</v>
      </c>
      <c r="M35" s="29" t="n">
        <v>5</v>
      </c>
      <c r="N35" s="136" t="n">
        <v>91.79000000000001</v>
      </c>
      <c r="O35" s="52">
        <f>N18/F18/1000</f>
        <v/>
      </c>
      <c r="P35" s="32">
        <f>L18/K18</f>
        <v/>
      </c>
      <c r="Q35" s="136" t="n">
        <v>2001736</v>
      </c>
      <c r="R35" s="130">
        <f>N18/F18/1000</f>
        <v/>
      </c>
      <c r="S35" s="52">
        <f>N18/K18/1000</f>
        <v/>
      </c>
      <c r="T35" s="130">
        <f>N18*0.0266</f>
        <v/>
      </c>
      <c r="U35" s="130" t="n">
        <v>7000</v>
      </c>
      <c r="V35" s="130" t="n">
        <v>11800</v>
      </c>
      <c r="W35" s="130" t="n"/>
      <c r="X35" s="130" t="n">
        <v>9800</v>
      </c>
      <c r="Y35" s="130" t="n">
        <v>3500</v>
      </c>
      <c r="Z35" s="130" t="n">
        <v>2200</v>
      </c>
      <c r="AA35" s="130" t="n">
        <v>5000</v>
      </c>
      <c r="AB35" s="130" t="n">
        <v>3000</v>
      </c>
      <c r="AC35" s="130" t="n">
        <v>2000</v>
      </c>
      <c r="AD35" s="130" t="n"/>
      <c r="AE35" s="130">
        <f>((700*H18)+(400*I18))+1000</f>
        <v/>
      </c>
      <c r="AF35" s="130" t="n"/>
      <c r="AG35" s="130" t="n"/>
      <c r="AH35" s="130" t="n"/>
      <c r="AI35" s="130" t="n">
        <v>46718</v>
      </c>
      <c r="AJ35" s="130">
        <f>J18*4000</f>
        <v/>
      </c>
      <c r="AK35" s="130">
        <f>1500*J18</f>
        <v/>
      </c>
      <c r="AL35" s="130" t="n">
        <v>0</v>
      </c>
      <c r="AM35" s="130" t="n"/>
      <c r="AN35" s="130">
        <f>N18*0.0075</f>
        <v/>
      </c>
      <c r="AO35" s="130" t="n">
        <v>0</v>
      </c>
      <c r="AP35" s="130">
        <f>SUM(T35,U35,V35,W35,X35,Y35,Z35,AA35,AB35,AC35,AD35,AE35,AF35,AG35,AH35,AJ35,AK35,AL35,AM35,AN35,AO35)</f>
        <v/>
      </c>
      <c r="AQ35" s="130">
        <f>Q35+AP35+BA35</f>
        <v/>
      </c>
      <c r="AR35" s="130">
        <f>IF(I35&gt;0,AQ35/I35,0)</f>
        <v/>
      </c>
      <c r="AS35" s="130">
        <f>IF(BD35&gt;0,BD35*I35,BJ35*I35)</f>
        <v/>
      </c>
      <c r="AT35" s="130">
        <f>IF(BD35&gt;0,BD35,BJ35)</f>
        <v/>
      </c>
      <c r="AU35" s="38" t="n"/>
      <c r="AV35" s="0" t="inlineStr">
        <is>
          <t>ESP-2028</t>
        </is>
      </c>
      <c r="AW35" s="0" t="n">
        <v>9</v>
      </c>
      <c r="AX35" s="131" t="n">
        <v>46718</v>
      </c>
      <c r="AY35" s="131" t="n">
        <v>15000</v>
      </c>
      <c r="AZ35" s="131" t="n">
        <v>6667</v>
      </c>
      <c r="BA35" s="131">
        <f>AX35+AY35+AZ35</f>
        <v/>
      </c>
      <c r="BB35" s="131">
        <f>IF(I35&gt;0,BA35/I35,0)</f>
        <v/>
      </c>
      <c r="BC35" s="79" t="inlineStr">
        <is>
          <t>2028 - TBC</t>
        </is>
      </c>
      <c r="BD35" s="132" t="n">
        <v>115589</v>
      </c>
      <c r="BE35" s="131">
        <f>BA18*F18</f>
        <v/>
      </c>
      <c r="BF35" s="131">
        <f>AQ35</f>
        <v/>
      </c>
      <c r="BG35" s="132">
        <f>AS35-BF35</f>
        <v/>
      </c>
      <c r="BH35" s="133">
        <f>IF(AS35&gt;0,BG35/AS35,0)</f>
        <v/>
      </c>
      <c r="BI35" s="108" t="inlineStr">
        <is>
          <t>9% MARGIN</t>
        </is>
      </c>
      <c r="BJ35" s="132" t="n">
        <v>120683</v>
      </c>
      <c r="BK35" s="131" t="n">
        <v>2413660</v>
      </c>
      <c r="BL35" s="134" t="n">
        <v>0.1239774174213988</v>
      </c>
      <c r="BO35" s="135" t="n">
        <v>2301996</v>
      </c>
      <c r="BP35" s="135" t="n">
        <v>50945</v>
      </c>
      <c r="BQ35" s="135" t="n">
        <v>68385</v>
      </c>
      <c r="BR35" s="0" t="n">
        <v>5922378</v>
      </c>
      <c r="BS35" s="0" t="n">
        <v>6692287</v>
      </c>
      <c r="BT35" s="0" t="n">
        <v>111538</v>
      </c>
      <c r="BU35" s="0" t="n">
        <v>689167</v>
      </c>
    </row>
    <row r="36" ht="15.75" customHeight="1" s="69">
      <c r="A36" s="29" t="n">
        <v>16</v>
      </c>
      <c r="B36" s="119" t="inlineStr">
        <is>
          <t>Esperia Energy Group</t>
        </is>
      </c>
      <c r="C36" s="119" t="inlineStr">
        <is>
          <t>Nicosia</t>
        </is>
      </c>
      <c r="D36" s="140" t="n">
        <v>2.75</v>
      </c>
      <c r="E36" s="29" t="inlineStr">
        <is>
          <t>Nicosia2</t>
        </is>
      </c>
      <c r="F36" s="52" t="inlineStr">
        <is>
          <t>ESP-2028</t>
        </is>
      </c>
      <c r="G36" s="120" t="inlineStr">
        <is>
          <t>Esperia Tseri 2a</t>
        </is>
      </c>
      <c r="H36" s="52" t="n">
        <v>2.5</v>
      </c>
      <c r="I36" s="52" t="n">
        <v>7.5</v>
      </c>
      <c r="J36" s="128" t="n">
        <v>2.75</v>
      </c>
      <c r="K36" s="82" t="n">
        <v>2</v>
      </c>
      <c r="L36" s="82" t="n">
        <v>1</v>
      </c>
      <c r="M36" s="29" t="n">
        <v>3</v>
      </c>
      <c r="N36" s="129" t="n">
        <v>94.70999999999999</v>
      </c>
      <c r="O36" s="52">
        <f>N19/F19/1000</f>
        <v/>
      </c>
      <c r="P36" s="32">
        <f>L19/K19</f>
        <v/>
      </c>
      <c r="Q36" s="129" t="n">
        <v>871307</v>
      </c>
      <c r="R36" s="130">
        <f>N19/F19/1000</f>
        <v/>
      </c>
      <c r="S36" s="52">
        <f>N19/K19/1000</f>
        <v/>
      </c>
      <c r="T36" s="130">
        <f>N19*0.0266</f>
        <v/>
      </c>
      <c r="U36" s="130" t="n">
        <v>5000</v>
      </c>
      <c r="V36" s="130" t="n">
        <v>7080</v>
      </c>
      <c r="W36" s="130" t="n"/>
      <c r="X36" s="130" t="n">
        <v>3500</v>
      </c>
      <c r="Y36" s="130" t="n">
        <v>3500</v>
      </c>
      <c r="Z36" s="130" t="n">
        <v>2200</v>
      </c>
      <c r="AA36" s="130" t="n">
        <v>5000</v>
      </c>
      <c r="AB36" s="130" t="n">
        <v>3000</v>
      </c>
      <c r="AC36" s="130" t="n">
        <v>2000</v>
      </c>
      <c r="AD36" s="130" t="n"/>
      <c r="AE36" s="130">
        <f>((700*H19)+(400*I19))+1000</f>
        <v/>
      </c>
      <c r="AF36" s="130" t="n"/>
      <c r="AG36" s="130" t="n"/>
      <c r="AH36" s="130" t="n"/>
      <c r="AI36" s="130" t="n">
        <v>31742</v>
      </c>
      <c r="AJ36" s="130">
        <f>J19*4000</f>
        <v/>
      </c>
      <c r="AK36" s="130">
        <f>1500*J19</f>
        <v/>
      </c>
      <c r="AL36" s="130" t="n">
        <v>0</v>
      </c>
      <c r="AM36" s="130" t="n"/>
      <c r="AN36" s="130">
        <f>N19*0.0075</f>
        <v/>
      </c>
      <c r="AO36" s="130" t="n">
        <v>0</v>
      </c>
      <c r="AP36" s="130">
        <f>SUM(T36,U36,V36,W36,X36,Y36,Z36,AA36,AB36,AC36,AD36,AE36,AF36,AG36,AH36,AJ36,AK36,AL36,AM36,AN36,AO36)</f>
        <v/>
      </c>
      <c r="AQ36" s="130">
        <f>Q36+AP36+BA36</f>
        <v/>
      </c>
      <c r="AR36" s="130">
        <f>IF(I36&gt;0,AQ36/I36,0)</f>
        <v/>
      </c>
      <c r="AS36" s="130">
        <f>IF(BD36&gt;0,BD36*I36,BJ36*I36)</f>
        <v/>
      </c>
      <c r="AT36" s="130">
        <f>IF(BD36&gt;0,BD36,BJ36)</f>
        <v/>
      </c>
      <c r="AU36" s="38" t="n"/>
      <c r="AV36" s="0" t="inlineStr">
        <is>
          <t>ESP-2028</t>
        </is>
      </c>
      <c r="AW36" s="0" t="n">
        <v>9</v>
      </c>
      <c r="AX36" s="131" t="n">
        <v>31742</v>
      </c>
      <c r="AY36" s="131" t="n">
        <v>15000</v>
      </c>
      <c r="AZ36" s="131" t="n">
        <v>6667</v>
      </c>
      <c r="BA36" s="131">
        <f>AX36+AY36+AZ36</f>
        <v/>
      </c>
      <c r="BB36" s="131">
        <f>IF(I36&gt;0,BA36/I36,0)</f>
        <v/>
      </c>
      <c r="BC36" s="81" t="inlineStr">
        <is>
          <t>2028 - TBC</t>
        </is>
      </c>
      <c r="BD36" s="132" t="n">
        <v>135560</v>
      </c>
      <c r="BE36" s="131">
        <f>BA19*F19</f>
        <v/>
      </c>
      <c r="BF36" s="131">
        <f>AQ36</f>
        <v/>
      </c>
      <c r="BG36" s="132">
        <f>AS36-BF36</f>
        <v/>
      </c>
      <c r="BH36" s="133">
        <f>IF(AS36&gt;0,BG36/AS36,0)</f>
        <v/>
      </c>
      <c r="BI36" s="110" t="inlineStr">
        <is>
          <t>9% MARGIN</t>
        </is>
      </c>
      <c r="BJ36" s="139" t="n">
        <v>146061</v>
      </c>
      <c r="BK36" s="131" t="n">
        <v>1095457.5</v>
      </c>
      <c r="BL36" s="134" t="n">
        <v>0.1273092140346233</v>
      </c>
      <c r="BO36" s="135" t="n">
        <v>1002003</v>
      </c>
      <c r="BP36" s="135" t="n">
        <v>35972</v>
      </c>
      <c r="BQ36" s="135" t="n">
        <v>53409</v>
      </c>
      <c r="BR36" s="0" t="n">
        <v>2421326</v>
      </c>
      <c r="BS36" s="0" t="n">
        <v>2736098</v>
      </c>
      <c r="BT36" s="0" t="n">
        <v>136805</v>
      </c>
      <c r="BU36" s="0" t="n">
        <v>346802</v>
      </c>
    </row>
    <row r="37" ht="15.75" customHeight="1" s="69">
      <c r="A37" s="29" t="n">
        <v>17</v>
      </c>
      <c r="B37" s="119" t="inlineStr">
        <is>
          <t>Esperia Energy Group</t>
        </is>
      </c>
      <c r="C37" s="119" t="inlineStr">
        <is>
          <t>Nicosia</t>
        </is>
      </c>
      <c r="D37" s="140" t="n">
        <v>8</v>
      </c>
      <c r="E37" s="29" t="inlineStr">
        <is>
          <t>Nicosia3</t>
        </is>
      </c>
      <c r="F37" s="52" t="inlineStr">
        <is>
          <t>ESP-2028</t>
        </is>
      </c>
      <c r="G37" s="120" t="inlineStr">
        <is>
          <t>Esperia Tseri 2b</t>
        </is>
      </c>
      <c r="H37" s="52" t="n">
        <v>7.5</v>
      </c>
      <c r="I37" s="52" t="n">
        <v>25</v>
      </c>
      <c r="J37" s="128" t="n">
        <v>8</v>
      </c>
      <c r="K37" s="82" t="n">
        <v>5</v>
      </c>
      <c r="L37" s="82" t="n">
        <v>2</v>
      </c>
      <c r="M37" s="29" t="n">
        <v>7</v>
      </c>
      <c r="N37" s="136" t="n">
        <v>90.20999999999999</v>
      </c>
      <c r="O37" s="52">
        <f>N20/F20/1000</f>
        <v/>
      </c>
      <c r="P37" s="32">
        <f>L20/K20</f>
        <v/>
      </c>
      <c r="Q37" s="136" t="n">
        <v>2476649</v>
      </c>
      <c r="R37" s="130">
        <f>N20/F20/1000</f>
        <v/>
      </c>
      <c r="S37" s="52">
        <f>N20/K20/1000</f>
        <v/>
      </c>
      <c r="T37" s="130">
        <f>N20*0.0266</f>
        <v/>
      </c>
      <c r="U37" s="130" t="n">
        <v>9000</v>
      </c>
      <c r="V37" s="130" t="n">
        <v>16520</v>
      </c>
      <c r="W37" s="130" t="n"/>
      <c r="X37" s="130" t="n">
        <v>10500</v>
      </c>
      <c r="Y37" s="130" t="n">
        <v>7000</v>
      </c>
      <c r="Z37" s="130" t="n">
        <v>4400</v>
      </c>
      <c r="AA37" s="130" t="n">
        <v>6000</v>
      </c>
      <c r="AB37" s="130" t="n">
        <v>3000</v>
      </c>
      <c r="AC37" s="130" t="n">
        <v>2000</v>
      </c>
      <c r="AD37" s="130" t="n"/>
      <c r="AE37" s="130">
        <f>((700*H20)+(400*I20))+1000</f>
        <v/>
      </c>
      <c r="AF37" s="130" t="n"/>
      <c r="AG37" s="130" t="n"/>
      <c r="AH37" s="130" t="n"/>
      <c r="AI37" s="130" t="n">
        <v>54206</v>
      </c>
      <c r="AJ37" s="130">
        <f>J20*4000</f>
        <v/>
      </c>
      <c r="AK37" s="130">
        <f>1500*J20</f>
        <v/>
      </c>
      <c r="AL37" s="130" t="n">
        <v>0</v>
      </c>
      <c r="AM37" s="130" t="n"/>
      <c r="AN37" s="130">
        <f>N20*0.0075</f>
        <v/>
      </c>
      <c r="AO37" s="130" t="n">
        <v>0</v>
      </c>
      <c r="AP37" s="130">
        <f>SUM(T37,U37,V37,W37,X37,Y37,Z37,AA37,AB37,AC37,AD37,AE37,AF37,AG37,AH37,AJ37,AK37,AL37,AM37,AN37,AO37)</f>
        <v/>
      </c>
      <c r="AQ37" s="130">
        <f>Q37+AP37+BA37</f>
        <v/>
      </c>
      <c r="AR37" s="130">
        <f>IF(I37&gt;0,AQ37/I37,0)</f>
        <v/>
      </c>
      <c r="AS37" s="130">
        <f>IF(BD37&gt;0,BD37*I37,BJ37*I37)</f>
        <v/>
      </c>
      <c r="AT37" s="130">
        <f>IF(BD37&gt;0,BD37,BJ37)</f>
        <v/>
      </c>
      <c r="AU37" s="38" t="n"/>
      <c r="AV37" s="0" t="inlineStr">
        <is>
          <t>ESP-2028</t>
        </is>
      </c>
      <c r="AW37" s="0" t="n">
        <v>9</v>
      </c>
      <c r="AX37" s="131" t="n">
        <v>54206</v>
      </c>
      <c r="AY37" s="131" t="n">
        <v>15000</v>
      </c>
      <c r="AZ37" s="131" t="n">
        <v>6667</v>
      </c>
      <c r="BA37" s="131">
        <f>AX37+AY37+AZ37</f>
        <v/>
      </c>
      <c r="BB37" s="131">
        <f>IF(I37&gt;0,BA37/I37,0)</f>
        <v/>
      </c>
      <c r="BC37" s="81" t="inlineStr">
        <is>
          <t>2028 - TBC</t>
        </is>
      </c>
      <c r="BD37" s="132" t="n">
        <v>115589</v>
      </c>
      <c r="BE37" s="131">
        <f>BA20*F20</f>
        <v/>
      </c>
      <c r="BF37" s="131">
        <f>AQ37</f>
        <v/>
      </c>
      <c r="BG37" s="132">
        <f>AS37-BF37</f>
        <v/>
      </c>
      <c r="BH37" s="133">
        <f>IF(AS37&gt;0,BG37/AS37,0)</f>
        <v/>
      </c>
      <c r="BI37" s="110" t="inlineStr">
        <is>
          <t>13% MARGIN</t>
        </is>
      </c>
      <c r="BJ37" s="139" t="n">
        <v>118015</v>
      </c>
      <c r="BK37" s="131" t="n">
        <v>2950375</v>
      </c>
      <c r="BL37" s="134" t="n">
        <v>0.115047522207629</v>
      </c>
      <c r="BO37" s="135" t="n">
        <v>2848146</v>
      </c>
      <c r="BP37" s="135" t="n">
        <v>67183</v>
      </c>
      <c r="BQ37" s="135" t="n">
        <v>75873</v>
      </c>
      <c r="BR37" s="0" t="n">
        <v>1091384</v>
      </c>
      <c r="BS37" s="0" t="n">
        <v>1233264</v>
      </c>
      <c r="BT37" s="0" t="n">
        <v>164435</v>
      </c>
      <c r="BU37" s="0" t="n">
        <v>152989</v>
      </c>
    </row>
    <row r="38" ht="15.75" customHeight="1" s="69">
      <c r="A38" s="29" t="n">
        <v>18</v>
      </c>
      <c r="B38" s="119" t="inlineStr">
        <is>
          <t>Esperia Energy Group</t>
        </is>
      </c>
      <c r="C38" s="119" t="inlineStr">
        <is>
          <t>Nicosia</t>
        </is>
      </c>
      <c r="D38" s="140" t="n">
        <v>6.3</v>
      </c>
      <c r="E38" s="29" t="inlineStr">
        <is>
          <t>Nicosia4</t>
        </is>
      </c>
      <c r="F38" s="52" t="inlineStr">
        <is>
          <t>ESP-2028</t>
        </is>
      </c>
      <c r="G38" s="120" t="inlineStr">
        <is>
          <t>Esperia Tseri 2c</t>
        </is>
      </c>
      <c r="H38" s="52" t="n">
        <v>6</v>
      </c>
      <c r="I38" s="52" t="n">
        <v>20</v>
      </c>
      <c r="J38" s="128" t="n">
        <v>6.3</v>
      </c>
      <c r="K38" s="82" t="n">
        <v>4</v>
      </c>
      <c r="L38" s="82" t="n">
        <v>1</v>
      </c>
      <c r="M38" s="29" t="n">
        <v>5</v>
      </c>
      <c r="N38" s="129" t="n">
        <v>87</v>
      </c>
      <c r="O38" s="52">
        <f>N21/F21/1000</f>
        <v/>
      </c>
      <c r="P38" s="32">
        <f>L21/K21</f>
        <v/>
      </c>
      <c r="Q38" s="129" t="n">
        <v>1907319</v>
      </c>
      <c r="R38" s="130">
        <f>N21/F21/1000</f>
        <v/>
      </c>
      <c r="S38" s="52">
        <f>N21/K21/1000</f>
        <v/>
      </c>
      <c r="T38" s="130">
        <f>N21*0.0266</f>
        <v/>
      </c>
      <c r="U38" s="130" t="n">
        <v>7000</v>
      </c>
      <c r="V38" s="130" t="n">
        <v>11800</v>
      </c>
      <c r="W38" s="130" t="n"/>
      <c r="X38" s="130" t="n">
        <v>8400</v>
      </c>
      <c r="Y38" s="130" t="n">
        <v>3500</v>
      </c>
      <c r="Z38" s="130" t="n">
        <v>2200</v>
      </c>
      <c r="AA38" s="130" t="n">
        <v>5000</v>
      </c>
      <c r="AB38" s="130" t="n">
        <v>3000</v>
      </c>
      <c r="AC38" s="130" t="n">
        <v>2000</v>
      </c>
      <c r="AD38" s="130" t="n"/>
      <c r="AE38" s="130">
        <f>((700*H21)+(400*I21))+1000</f>
        <v/>
      </c>
      <c r="AF38" s="130" t="n"/>
      <c r="AG38" s="130" t="n"/>
      <c r="AH38" s="130" t="n"/>
      <c r="AI38" s="130" t="n">
        <v>46718</v>
      </c>
      <c r="AJ38" s="130">
        <f>J21*4000</f>
        <v/>
      </c>
      <c r="AK38" s="130">
        <f>1500*J21</f>
        <v/>
      </c>
      <c r="AL38" s="130" t="n">
        <v>0</v>
      </c>
      <c r="AM38" s="130" t="n"/>
      <c r="AN38" s="130">
        <f>N21*0.0075</f>
        <v/>
      </c>
      <c r="AO38" s="130" t="n">
        <v>0</v>
      </c>
      <c r="AP38" s="130">
        <f>SUM(T38,U38,V38,W38,X38,Y38,Z38,AA38,AB38,AC38,AD38,AE38,AF38,AG38,AH38,AJ38,AK38,AL38,AM38,AN38,AO38)</f>
        <v/>
      </c>
      <c r="AQ38" s="130">
        <f>Q38+AP38+BA38</f>
        <v/>
      </c>
      <c r="AR38" s="130">
        <f>IF(I38&gt;0,AQ38/I38,0)</f>
        <v/>
      </c>
      <c r="AS38" s="130">
        <f>IF(BD38&gt;0,BD38*I38,BJ38*I38)</f>
        <v/>
      </c>
      <c r="AT38" s="130">
        <f>IF(BD38&gt;0,BD38,BJ38)</f>
        <v/>
      </c>
      <c r="AU38" s="38" t="n"/>
      <c r="AV38" s="0" t="inlineStr">
        <is>
          <t>ESP-2028</t>
        </is>
      </c>
      <c r="AW38" s="0" t="n">
        <v>9</v>
      </c>
      <c r="AX38" s="131" t="n">
        <v>46718</v>
      </c>
      <c r="AY38" s="131" t="n">
        <v>15000</v>
      </c>
      <c r="AZ38" s="131" t="n">
        <v>6667</v>
      </c>
      <c r="BA38" s="131">
        <f>AX38+AY38+AZ38</f>
        <v/>
      </c>
      <c r="BB38" s="131">
        <f>IF(I38&gt;0,BA38/I38,0)</f>
        <v/>
      </c>
      <c r="BC38" s="81" t="inlineStr">
        <is>
          <t>2028 - TBC</t>
        </is>
      </c>
      <c r="BD38" s="132" t="n">
        <v>115589</v>
      </c>
      <c r="BE38" s="131">
        <f>BA21*F21</f>
        <v/>
      </c>
      <c r="BF38" s="131">
        <f>AQ38</f>
        <v/>
      </c>
      <c r="BG38" s="132">
        <f>AS38-BF38</f>
        <v/>
      </c>
      <c r="BH38" s="133">
        <f>IF(AS38&gt;0,BG38/AS38,0)</f>
        <v/>
      </c>
      <c r="BI38" s="109" t="inlineStr">
        <is>
          <t>13% MARGIN</t>
        </is>
      </c>
      <c r="BJ38" s="139" t="n">
        <v>114051</v>
      </c>
      <c r="BK38" s="131" t="n">
        <v>2281020</v>
      </c>
      <c r="BL38" s="134" t="n">
        <v>0.1150434162494556</v>
      </c>
      <c r="BO38" s="135" t="n">
        <v>2193417</v>
      </c>
      <c r="BP38" s="135" t="n">
        <v>49335</v>
      </c>
      <c r="BQ38" s="135" t="n">
        <v>68385</v>
      </c>
      <c r="BR38" s="0" t="n">
        <v>2991202</v>
      </c>
      <c r="BS38" s="0" t="n">
        <v>3380058</v>
      </c>
      <c r="BT38" s="0" t="n">
        <v>135202</v>
      </c>
      <c r="BU38" s="0" t="n">
        <v>429694</v>
      </c>
    </row>
    <row r="39" ht="15.75" customHeight="1" s="69">
      <c r="A39" s="29" t="n">
        <v>19</v>
      </c>
      <c r="B39" s="119" t="inlineStr">
        <is>
          <t>Esperia Energy Group</t>
        </is>
      </c>
      <c r="C39" s="119" t="inlineStr">
        <is>
          <t>Nicosia</t>
        </is>
      </c>
      <c r="D39" s="140" t="n">
        <v>4.75</v>
      </c>
      <c r="E39" s="29" t="inlineStr">
        <is>
          <t>Nicosia5</t>
        </is>
      </c>
      <c r="F39" s="52" t="inlineStr">
        <is>
          <t>ESP-2028</t>
        </is>
      </c>
      <c r="G39" s="120" t="inlineStr">
        <is>
          <t>Esperia Tseri 3</t>
        </is>
      </c>
      <c r="H39" s="52" t="n">
        <v>4.5</v>
      </c>
      <c r="I39" s="52" t="n">
        <v>15</v>
      </c>
      <c r="J39" s="128" t="n">
        <v>4.75</v>
      </c>
      <c r="K39" s="82" t="n">
        <v>3</v>
      </c>
      <c r="L39" s="82" t="n">
        <v>1</v>
      </c>
      <c r="M39" s="29" t="n">
        <v>4</v>
      </c>
      <c r="N39" s="136" t="n">
        <v>94.51000000000001</v>
      </c>
      <c r="O39" s="52">
        <f>N22/F22/1000</f>
        <v/>
      </c>
      <c r="P39" s="32">
        <f>L22/K22</f>
        <v/>
      </c>
      <c r="Q39" s="136" t="n">
        <v>1562533</v>
      </c>
      <c r="R39" s="130">
        <f>N22/F22/1000</f>
        <v/>
      </c>
      <c r="S39" s="52">
        <f>N22/K22/1000</f>
        <v/>
      </c>
      <c r="T39" s="130">
        <f>N22*0.0266</f>
        <v/>
      </c>
      <c r="U39" s="130" t="n">
        <v>7000</v>
      </c>
      <c r="V39" s="130" t="n">
        <v>11800</v>
      </c>
      <c r="W39" s="130" t="n"/>
      <c r="X39" s="130" t="n">
        <v>6300</v>
      </c>
      <c r="Y39" s="130" t="n">
        <v>7000</v>
      </c>
      <c r="Z39" s="130" t="n">
        <v>4400</v>
      </c>
      <c r="AA39" s="130" t="n">
        <v>6000</v>
      </c>
      <c r="AB39" s="130" t="n">
        <v>3000</v>
      </c>
      <c r="AC39" s="130" t="n">
        <v>2000</v>
      </c>
      <c r="AD39" s="130" t="n"/>
      <c r="AE39" s="130">
        <f>((700*H22)+(400*I22))+1000</f>
        <v/>
      </c>
      <c r="AF39" s="130" t="n"/>
      <c r="AG39" s="130" t="n"/>
      <c r="AH39" s="130" t="n"/>
      <c r="AI39" s="130" t="n">
        <v>39230</v>
      </c>
      <c r="AJ39" s="130">
        <f>J22*4000</f>
        <v/>
      </c>
      <c r="AK39" s="130">
        <f>1500*J22</f>
        <v/>
      </c>
      <c r="AL39" s="130" t="n">
        <v>0</v>
      </c>
      <c r="AM39" s="130" t="n"/>
      <c r="AN39" s="130">
        <f>N22*0.0075</f>
        <v/>
      </c>
      <c r="AO39" s="130" t="n">
        <v>0</v>
      </c>
      <c r="AP39" s="130">
        <f>SUM(T39,U39,V39,W39,X39,Y39,Z39,AA39,AB39,AC39,AD39,AE39,AF39,AG39,AH39,AJ39,AK39,AL39,AM39,AN39,AO39)</f>
        <v/>
      </c>
      <c r="AQ39" s="130">
        <f>Q39+AP39+BA39</f>
        <v/>
      </c>
      <c r="AR39" s="130">
        <f>IF(I39&gt;0,AQ39/I39,0)</f>
        <v/>
      </c>
      <c r="AS39" s="130">
        <f>IF(BD39&gt;0,BD39*I39,BJ39*I39)</f>
        <v/>
      </c>
      <c r="AT39" s="130">
        <f>IF(BD39&gt;0,BD39,BJ39)</f>
        <v/>
      </c>
      <c r="AU39" s="38" t="n"/>
      <c r="AV39" s="0" t="inlineStr">
        <is>
          <t>ESP-2028</t>
        </is>
      </c>
      <c r="AW39" s="0" t="n">
        <v>9</v>
      </c>
      <c r="AX39" s="131" t="n">
        <v>39230</v>
      </c>
      <c r="AY39" s="131" t="n">
        <v>15000</v>
      </c>
      <c r="AZ39" s="131" t="n">
        <v>6667</v>
      </c>
      <c r="BA39" s="131">
        <f>AX39+AY39+AZ39</f>
        <v/>
      </c>
      <c r="BB39" s="131">
        <f>IF(I39&gt;0,BA39/I39,0)</f>
        <v/>
      </c>
      <c r="BC39" s="81" t="inlineStr">
        <is>
          <t>2028 - TBC</t>
        </is>
      </c>
      <c r="BD39" s="132" t="n">
        <v>130792</v>
      </c>
      <c r="BE39" s="131">
        <f>BA22*F22</f>
        <v/>
      </c>
      <c r="BF39" s="131">
        <f>AQ39</f>
        <v/>
      </c>
      <c r="BG39" s="132">
        <f>AS39-BF39</f>
        <v/>
      </c>
      <c r="BH39" s="133">
        <f>IF(AS39&gt;0,BG39/AS39,0)</f>
        <v/>
      </c>
      <c r="BI39" s="109" t="inlineStr">
        <is>
          <t>13% MARGIN</t>
        </is>
      </c>
      <c r="BJ39" s="139" t="n">
        <v>125877</v>
      </c>
      <c r="BK39" s="131" t="n">
        <v>1888155</v>
      </c>
      <c r="BL39" s="134" t="n">
        <v>0.1150463459479403</v>
      </c>
      <c r="BO39" s="135" t="n">
        <v>1796913</v>
      </c>
      <c r="BP39" s="135" t="n">
        <v>54625</v>
      </c>
      <c r="BQ39" s="135" t="n">
        <v>60897</v>
      </c>
      <c r="BR39" s="0" t="n">
        <v>2311137</v>
      </c>
      <c r="BS39" s="0" t="n">
        <v>2611585</v>
      </c>
      <c r="BT39" s="0" t="n">
        <v>130579</v>
      </c>
      <c r="BU39" s="0" t="n">
        <v>330562</v>
      </c>
    </row>
    <row r="40" ht="15.75" customHeight="1" s="69">
      <c r="A40" s="29" t="n">
        <v>11</v>
      </c>
      <c r="B40" s="117" t="inlineStr">
        <is>
          <t>Lampros Andreadis</t>
        </is>
      </c>
      <c r="C40" s="117" t="inlineStr">
        <is>
          <t>Limassol</t>
        </is>
      </c>
      <c r="D40" s="143" t="n">
        <v>1.5</v>
      </c>
      <c r="E40" s="29" t="inlineStr">
        <is>
          <t>Limassol2</t>
        </is>
      </c>
      <c r="F40" s="52" t="inlineStr">
        <is>
          <t>CLS</t>
        </is>
      </c>
      <c r="G40" s="118" t="inlineStr">
        <is>
          <t>Classone Solar Breeze</t>
        </is>
      </c>
      <c r="H40" s="52" t="n">
        <v>1.51</v>
      </c>
      <c r="I40" s="52" t="n">
        <v>5</v>
      </c>
      <c r="J40" s="128" t="n">
        <v>1.5</v>
      </c>
      <c r="K40" s="82" t="n">
        <v>1</v>
      </c>
      <c r="L40" s="82" t="n">
        <v>1</v>
      </c>
      <c r="M40" s="29" t="n">
        <v>2</v>
      </c>
      <c r="N40" s="129" t="n">
        <v>106.51</v>
      </c>
      <c r="O40" s="52">
        <f>N14/F14/1000</f>
        <v/>
      </c>
      <c r="P40" s="32">
        <f>L14/K14</f>
        <v/>
      </c>
      <c r="Q40" s="129" t="n">
        <v>585976</v>
      </c>
      <c r="R40" s="130">
        <f>N14/F14/1000</f>
        <v/>
      </c>
      <c r="S40" s="52">
        <f>N14/K14/1000</f>
        <v/>
      </c>
      <c r="T40" s="130">
        <f>N14*0.0266</f>
        <v/>
      </c>
      <c r="U40" s="130" t="n">
        <v>4000</v>
      </c>
      <c r="V40" s="130" t="n">
        <v>4720</v>
      </c>
      <c r="W40" s="130" t="n"/>
      <c r="X40" s="130" t="n">
        <v>2114</v>
      </c>
      <c r="Y40" s="130" t="n">
        <v>3500</v>
      </c>
      <c r="Z40" s="130" t="n">
        <v>2200</v>
      </c>
      <c r="AA40" s="130" t="n">
        <v>5000</v>
      </c>
      <c r="AB40" s="130" t="n">
        <v>3000</v>
      </c>
      <c r="AC40" s="130" t="n">
        <v>2000</v>
      </c>
      <c r="AD40" s="130" t="n"/>
      <c r="AE40" s="130">
        <f>((700*H14)+(400*I14))+1000</f>
        <v/>
      </c>
      <c r="AF40" s="130" t="n"/>
      <c r="AG40" s="130" t="n"/>
      <c r="AH40" s="130" t="n"/>
      <c r="AI40" s="130" t="n">
        <v>24254</v>
      </c>
      <c r="AJ40" s="130">
        <f>J14*4000</f>
        <v/>
      </c>
      <c r="AK40" s="130">
        <f>1500*J14</f>
        <v/>
      </c>
      <c r="AL40" s="130" t="n">
        <v>0</v>
      </c>
      <c r="AM40" s="130" t="n"/>
      <c r="AN40" s="130">
        <f>N14*0.0075</f>
        <v/>
      </c>
      <c r="AO40" s="130" t="n">
        <v>0</v>
      </c>
      <c r="AP40" s="130">
        <f>SUM(T40,U40,V40,W40,X40,Y40,Z40,AA40,AB40,AC40,AD40,AE40,AF40,AG40,AH40,AJ40,AK40,AL40,AM40,AN40,AO40)</f>
        <v/>
      </c>
      <c r="AQ40" s="130">
        <f>Q40+AP40+BA40</f>
        <v/>
      </c>
      <c r="AR40" s="130">
        <f>IF(I40&gt;0,AQ40/I40,0)</f>
        <v/>
      </c>
      <c r="AS40" s="130">
        <f>IF(BD40&gt;0,BD40*I40,BJ40*I40)</f>
        <v/>
      </c>
      <c r="AT40" s="130">
        <f>IF(BD40&gt;0,BD40,BJ40)</f>
        <v/>
      </c>
      <c r="AU40" s="38" t="n"/>
      <c r="AV40" s="0" t="inlineStr">
        <is>
          <t>CLS</t>
        </is>
      </c>
      <c r="AW40" s="0" t="n">
        <v>2</v>
      </c>
      <c r="AX40" s="131" t="n">
        <v>24254</v>
      </c>
      <c r="AY40" s="131" t="n">
        <v>15000</v>
      </c>
      <c r="AZ40" s="131" t="n">
        <v>30000</v>
      </c>
      <c r="BA40" s="131">
        <f>AX40+AY40+AZ40</f>
        <v/>
      </c>
      <c r="BB40" s="131">
        <f>IF(I40&gt;0,BA40/I40,0)</f>
        <v/>
      </c>
      <c r="BC40" s="81" t="inlineStr">
        <is>
          <t>VERIFIED</t>
        </is>
      </c>
      <c r="BD40" s="132" t="n">
        <v>165431</v>
      </c>
      <c r="BE40" s="131">
        <f>BA14*F14</f>
        <v/>
      </c>
      <c r="BF40" s="131">
        <f>AQ40</f>
        <v/>
      </c>
      <c r="BG40" s="132">
        <f>AS40-BF40</f>
        <v/>
      </c>
      <c r="BH40" s="133">
        <f>IF(AS40&gt;0,BG40/AS40,0)</f>
        <v/>
      </c>
      <c r="BI40" s="109" t="inlineStr">
        <is>
          <t>13% MARGIN</t>
        </is>
      </c>
      <c r="BJ40" s="139" t="n">
        <v>154079</v>
      </c>
      <c r="BK40" s="131" t="n">
        <v>770395</v>
      </c>
      <c r="BL40" s="134" t="n">
        <v>0.1512057358331023</v>
      </c>
      <c r="BO40" s="135" t="n">
        <v>673872</v>
      </c>
      <c r="BP40" s="135" t="n">
        <v>30514</v>
      </c>
      <c r="BQ40" s="135" t="n">
        <v>69254</v>
      </c>
      <c r="BR40" s="0" t="n">
        <v>1912435</v>
      </c>
      <c r="BS40" s="0" t="n">
        <v>2161052</v>
      </c>
      <c r="BT40" s="0" t="n">
        <v>144070</v>
      </c>
      <c r="BU40" s="0" t="n">
        <v>272901</v>
      </c>
    </row>
    <row r="41" ht="15.75" customHeight="1" s="69">
      <c r="A41" s="29" t="n">
        <v>12</v>
      </c>
      <c r="B41" s="117" t="inlineStr">
        <is>
          <t>Lampros Andreadis</t>
        </is>
      </c>
      <c r="C41" s="117" t="inlineStr">
        <is>
          <t>Limassol</t>
        </is>
      </c>
      <c r="D41" s="143" t="n">
        <v>3</v>
      </c>
      <c r="E41" s="29" t="inlineStr">
        <is>
          <t>Limassol3</t>
        </is>
      </c>
      <c r="F41" s="52" t="inlineStr">
        <is>
          <t>CLS</t>
        </is>
      </c>
      <c r="G41" s="118" t="inlineStr">
        <is>
          <t>Classone Solar Garden</t>
        </is>
      </c>
      <c r="H41" s="52" t="n">
        <v>3.29</v>
      </c>
      <c r="I41" s="52" t="n">
        <v>10</v>
      </c>
      <c r="J41" s="128" t="n">
        <v>3</v>
      </c>
      <c r="K41" s="82" t="n">
        <v>2</v>
      </c>
      <c r="L41" s="82" t="n">
        <v>1</v>
      </c>
      <c r="M41" s="29" t="n">
        <v>3</v>
      </c>
      <c r="N41" s="136" t="n">
        <v>91.63</v>
      </c>
      <c r="O41" s="52">
        <f>N15/F15/1000</f>
        <v/>
      </c>
      <c r="P41" s="32">
        <f>L15/K15</f>
        <v/>
      </c>
      <c r="Q41" s="136" t="n">
        <v>1007809</v>
      </c>
      <c r="R41" s="130">
        <f>N15/F15/1000</f>
        <v/>
      </c>
      <c r="S41" s="52">
        <f>N15/K15/1000</f>
        <v/>
      </c>
      <c r="T41" s="130">
        <f>N15*0.0266</f>
        <v/>
      </c>
      <c r="U41" s="130" t="n">
        <v>5000</v>
      </c>
      <c r="V41" s="130" t="n">
        <v>7080</v>
      </c>
      <c r="W41" s="130" t="n"/>
      <c r="X41" s="130" t="n">
        <v>4606</v>
      </c>
      <c r="Y41" s="130" t="n">
        <v>3500</v>
      </c>
      <c r="Z41" s="130" t="n">
        <v>2200</v>
      </c>
      <c r="AA41" s="130" t="n">
        <v>5000</v>
      </c>
      <c r="AB41" s="130" t="n">
        <v>3000</v>
      </c>
      <c r="AC41" s="130" t="n">
        <v>2000</v>
      </c>
      <c r="AD41" s="130" t="n"/>
      <c r="AE41" s="130">
        <f>((700*H15)+(400*I15))+1000</f>
        <v/>
      </c>
      <c r="AF41" s="130" t="n"/>
      <c r="AG41" s="130" t="n"/>
      <c r="AH41" s="130" t="n"/>
      <c r="AI41" s="130" t="n">
        <v>31742</v>
      </c>
      <c r="AJ41" s="130">
        <f>J15*4000</f>
        <v/>
      </c>
      <c r="AK41" s="130">
        <f>1500*J15</f>
        <v/>
      </c>
      <c r="AL41" s="130" t="n">
        <v>0</v>
      </c>
      <c r="AM41" s="130" t="n"/>
      <c r="AN41" s="130">
        <f>N15*0.0075</f>
        <v/>
      </c>
      <c r="AO41" s="130" t="n">
        <v>0</v>
      </c>
      <c r="AP41" s="130">
        <f>SUM(T41,U41,V41,W41,X41,Y41,Z41,AA41,AB41,AC41,AD41,AE41,AF41,AG41,AH41,AJ41,AK41,AL41,AM41,AN41,AO41)</f>
        <v/>
      </c>
      <c r="AQ41" s="130">
        <f>Q41+AP41+BA41</f>
        <v/>
      </c>
      <c r="AR41" s="130">
        <f>IF(I41&gt;0,AQ41/I41,0)</f>
        <v/>
      </c>
      <c r="AS41" s="130">
        <f>IF(BD41&gt;0,BD41*I41,BJ41*I41)</f>
        <v/>
      </c>
      <c r="AT41" s="130">
        <f>IF(BD41&gt;0,BD41,BJ41)</f>
        <v/>
      </c>
      <c r="AU41" s="38" t="n"/>
      <c r="AV41" s="0" t="inlineStr">
        <is>
          <t>CLS</t>
        </is>
      </c>
      <c r="AW41" s="0" t="n">
        <v>2</v>
      </c>
      <c r="AX41" s="131" t="n">
        <v>31742</v>
      </c>
      <c r="AY41" s="131" t="n">
        <v>15000</v>
      </c>
      <c r="AZ41" s="131" t="n">
        <v>30000</v>
      </c>
      <c r="BA41" s="131">
        <f>AX41+AY41+AZ41</f>
        <v/>
      </c>
      <c r="BB41" s="131">
        <f>IF(I41&gt;0,BA41/I41,0)</f>
        <v/>
      </c>
      <c r="BC41" s="79" t="inlineStr">
        <is>
          <t>VERIFIED</t>
        </is>
      </c>
      <c r="BD41" s="132" t="n">
        <v>136106</v>
      </c>
      <c r="BE41" s="131">
        <f>BA15*F15</f>
        <v/>
      </c>
      <c r="BF41" s="131">
        <f>AQ41</f>
        <v/>
      </c>
      <c r="BG41" s="132">
        <f>AS41-BF41</f>
        <v/>
      </c>
      <c r="BH41" s="133">
        <f>IF(AS41&gt;0,BG41/AS41,0)</f>
        <v/>
      </c>
      <c r="BI41" s="108" t="inlineStr">
        <is>
          <t>13% MARGIN</t>
        </is>
      </c>
      <c r="BJ41" s="132" t="n">
        <v>126214</v>
      </c>
      <c r="BK41" s="131" t="n">
        <v>1262140</v>
      </c>
      <c r="BL41" s="134" t="n">
        <v>0.137116439426009</v>
      </c>
      <c r="BO41" s="135" t="n">
        <v>1158980</v>
      </c>
      <c r="BP41" s="135" t="n">
        <v>37244</v>
      </c>
      <c r="BQ41" s="135" t="n">
        <v>76742</v>
      </c>
      <c r="BR41" s="0" t="n">
        <v>4551735</v>
      </c>
      <c r="BS41" s="0" t="n">
        <v>5143461</v>
      </c>
      <c r="BT41" s="0" t="n">
        <v>128587</v>
      </c>
      <c r="BU41" s="0" t="n">
        <v>543861</v>
      </c>
    </row>
    <row r="42" ht="15.75" customHeight="1" s="69">
      <c r="A42" s="29" t="n">
        <v>45</v>
      </c>
      <c r="B42" s="121" t="inlineStr">
        <is>
          <t>A Kerasi</t>
        </is>
      </c>
      <c r="C42" s="121" t="inlineStr">
        <is>
          <t>Paphos</t>
        </is>
      </c>
      <c r="D42" s="144" t="n">
        <v>3.15</v>
      </c>
      <c r="E42" s="29" t="inlineStr">
        <is>
          <t>Paphos1</t>
        </is>
      </c>
      <c r="F42" s="52" t="inlineStr">
        <is>
          <t>PAP</t>
        </is>
      </c>
      <c r="G42" s="122" t="inlineStr">
        <is>
          <t>Paphos 1</t>
        </is>
      </c>
      <c r="H42" s="52" t="n">
        <v>2.5</v>
      </c>
      <c r="I42" s="52" t="n">
        <v>7.5</v>
      </c>
      <c r="J42" s="128" t="n">
        <v>3.15</v>
      </c>
      <c r="K42" s="82" t="n">
        <v>2</v>
      </c>
      <c r="L42" s="82" t="n">
        <v>1</v>
      </c>
      <c r="M42" s="29" t="n">
        <v>3</v>
      </c>
      <c r="N42" s="129" t="n">
        <v>94.70999999999999</v>
      </c>
      <c r="O42" s="52">
        <f>N48/F48/1000</f>
        <v/>
      </c>
      <c r="P42" s="32">
        <f>L48/K48</f>
        <v/>
      </c>
      <c r="Q42" s="129" t="n">
        <v>871307</v>
      </c>
      <c r="R42" s="130">
        <f>N48/F48/1000</f>
        <v/>
      </c>
      <c r="S42" s="52">
        <f>N48/K48/1000</f>
        <v/>
      </c>
      <c r="T42" s="130">
        <f>N48*0.0266</f>
        <v/>
      </c>
      <c r="U42" s="130" t="n">
        <v>5000</v>
      </c>
      <c r="V42" s="130" t="n">
        <v>7080</v>
      </c>
      <c r="W42" s="130" t="n"/>
      <c r="X42" s="130" t="n">
        <v>3500</v>
      </c>
      <c r="Y42" s="130" t="n">
        <v>3500</v>
      </c>
      <c r="Z42" s="130" t="n">
        <v>2200</v>
      </c>
      <c r="AA42" s="130" t="n">
        <v>5000</v>
      </c>
      <c r="AB42" s="130" t="n">
        <v>3000</v>
      </c>
      <c r="AC42" s="130" t="n">
        <v>2000</v>
      </c>
      <c r="AD42" s="130" t="n"/>
      <c r="AE42" s="130">
        <f>((700*H48)+(400*I48))+1000</f>
        <v/>
      </c>
      <c r="AF42" s="130" t="n"/>
      <c r="AG42" s="130" t="n"/>
      <c r="AH42" s="130" t="n"/>
      <c r="AI42" s="130" t="n">
        <v>31742</v>
      </c>
      <c r="AJ42" s="130">
        <f>J48*4000</f>
        <v/>
      </c>
      <c r="AK42" s="130">
        <f>1500*J48</f>
        <v/>
      </c>
      <c r="AL42" s="130" t="n">
        <v>0</v>
      </c>
      <c r="AM42" s="130" t="n"/>
      <c r="AN42" s="130">
        <f>N48*0.0075</f>
        <v/>
      </c>
      <c r="AO42" s="130" t="n">
        <v>0</v>
      </c>
      <c r="AP42" s="130">
        <f>SUM(T42,U42,V42,W42,X42,Y42,Z42,AA42,AB42,AC42,AD42,AE42,AF42,AG42,AH42,AJ42,AK42,AL42,AM42,AN42,AO42)</f>
        <v/>
      </c>
      <c r="AQ42" s="130">
        <f>Q42+AP42+BA42</f>
        <v/>
      </c>
      <c r="AR42" s="130">
        <f>IF(I42&gt;0,AQ42/I42,0)</f>
        <v/>
      </c>
      <c r="AS42" s="130">
        <f>IF(BD42&gt;0,BD42*I42,BJ42*I42)</f>
        <v/>
      </c>
      <c r="AT42" s="130">
        <f>IF(BD42&gt;0,BD42,BJ42)</f>
        <v/>
      </c>
      <c r="AU42" s="38" t="n"/>
      <c r="AV42" s="0" t="inlineStr">
        <is>
          <t>PAP</t>
        </is>
      </c>
      <c r="AW42" s="0" t="n">
        <v>3</v>
      </c>
      <c r="AX42" s="131" t="n">
        <v>31742</v>
      </c>
      <c r="AY42" s="131" t="n">
        <v>15000</v>
      </c>
      <c r="AZ42" s="131" t="n">
        <v>20000</v>
      </c>
      <c r="BA42" s="131">
        <f>AX42+AY42+AZ42</f>
        <v/>
      </c>
      <c r="BB42" s="131">
        <f>IF(I42&gt;0,BA42/I42,0)</f>
        <v/>
      </c>
      <c r="BC42" s="79" t="inlineStr">
        <is>
          <t>VERIFIED</t>
        </is>
      </c>
      <c r="BD42" s="132" t="n">
        <v>135560</v>
      </c>
      <c r="BE42" s="131">
        <f>BA48*F48</f>
        <v/>
      </c>
      <c r="BF42" s="131">
        <f>AQ42</f>
        <v/>
      </c>
      <c r="BG42" s="132">
        <f>AS42-BF42</f>
        <v/>
      </c>
      <c r="BH42" s="133">
        <f>IF(AS42&gt;0,BG42/AS42,0)</f>
        <v/>
      </c>
      <c r="BI42" s="108" t="inlineStr">
        <is>
          <t>9% MARGIN</t>
        </is>
      </c>
      <c r="BJ42" s="132" t="n">
        <v>147998</v>
      </c>
      <c r="BK42" s="131" t="n">
        <v>1109985</v>
      </c>
      <c r="BL42" s="134" t="n">
        <v>0.1428065630230524</v>
      </c>
      <c r="BO42" s="135" t="n">
        <v>1002003</v>
      </c>
      <c r="BP42" s="135" t="n">
        <v>35972</v>
      </c>
      <c r="BQ42" s="135" t="n">
        <v>66742</v>
      </c>
      <c r="BR42" s="0" t="n">
        <v>4551735</v>
      </c>
      <c r="BS42" s="0" t="n">
        <v>5143461</v>
      </c>
      <c r="BT42" s="0" t="n">
        <v>128587</v>
      </c>
      <c r="BU42" s="0" t="n">
        <v>543861</v>
      </c>
    </row>
    <row r="43" ht="15.75" customHeight="1" s="69">
      <c r="A43" s="29" t="n">
        <v>46</v>
      </c>
      <c r="B43" s="121" t="inlineStr">
        <is>
          <t>A Kerasi</t>
        </is>
      </c>
      <c r="C43" s="121" t="inlineStr">
        <is>
          <t>Paphos</t>
        </is>
      </c>
      <c r="D43" s="144" t="n">
        <v>3</v>
      </c>
      <c r="E43" s="29" t="inlineStr">
        <is>
          <t>Paphos2</t>
        </is>
      </c>
      <c r="F43" s="52" t="inlineStr">
        <is>
          <t>PAP</t>
        </is>
      </c>
      <c r="G43" s="122" t="inlineStr">
        <is>
          <t>Paphos 2</t>
        </is>
      </c>
      <c r="H43" s="52" t="n">
        <v>2.5</v>
      </c>
      <c r="I43" s="52" t="n">
        <v>7.5</v>
      </c>
      <c r="J43" s="128" t="n">
        <v>3</v>
      </c>
      <c r="K43" s="82" t="n">
        <v>2</v>
      </c>
      <c r="L43" s="82" t="n">
        <v>1</v>
      </c>
      <c r="M43" s="29" t="n">
        <v>3</v>
      </c>
      <c r="N43" s="136" t="n">
        <v>94.70999999999999</v>
      </c>
      <c r="O43" s="52">
        <f>N49/F49/1000</f>
        <v/>
      </c>
      <c r="P43" s="32">
        <f>L49/K49</f>
        <v/>
      </c>
      <c r="Q43" s="136" t="n">
        <v>871307</v>
      </c>
      <c r="R43" s="130">
        <f>N49/F49/1000</f>
        <v/>
      </c>
      <c r="S43" s="52">
        <f>N49/K49/1000</f>
        <v/>
      </c>
      <c r="T43" s="130">
        <f>N49*0.0266</f>
        <v/>
      </c>
      <c r="U43" s="130" t="n">
        <v>5000</v>
      </c>
      <c r="V43" s="130" t="n">
        <v>7080</v>
      </c>
      <c r="W43" s="130" t="n"/>
      <c r="X43" s="130" t="n">
        <v>3500</v>
      </c>
      <c r="Y43" s="130" t="n">
        <v>3500</v>
      </c>
      <c r="Z43" s="130" t="n">
        <v>2200</v>
      </c>
      <c r="AA43" s="130" t="n">
        <v>5000</v>
      </c>
      <c r="AB43" s="130" t="n">
        <v>3000</v>
      </c>
      <c r="AC43" s="130" t="n">
        <v>2000</v>
      </c>
      <c r="AD43" s="130" t="n"/>
      <c r="AE43" s="130">
        <f>((700*H49)+(400*I49))+1000</f>
        <v/>
      </c>
      <c r="AF43" s="130" t="n"/>
      <c r="AG43" s="130" t="n"/>
      <c r="AH43" s="130" t="n"/>
      <c r="AI43" s="130" t="n">
        <v>31742</v>
      </c>
      <c r="AJ43" s="130">
        <f>J49*4000</f>
        <v/>
      </c>
      <c r="AK43" s="130">
        <f>1500*J49</f>
        <v/>
      </c>
      <c r="AL43" s="130" t="n">
        <v>0</v>
      </c>
      <c r="AM43" s="130" t="n"/>
      <c r="AN43" s="130">
        <f>N49*0.0075</f>
        <v/>
      </c>
      <c r="AO43" s="130" t="n">
        <v>0</v>
      </c>
      <c r="AP43" s="130">
        <f>SUM(T43,U43,V43,W43,X43,Y43,Z43,AA43,AB43,AC43,AD43,AE43,AF43,AG43,AH43,AJ43,AK43,AL43,AM43,AN43,AO43)</f>
        <v/>
      </c>
      <c r="AQ43" s="130">
        <f>Q43+AP43+BA43</f>
        <v/>
      </c>
      <c r="AR43" s="130">
        <f>IF(I43&gt;0,AQ43/I43,0)</f>
        <v/>
      </c>
      <c r="AS43" s="130">
        <f>IF(BD43&gt;0,BD43*I43,BJ43*I43)</f>
        <v/>
      </c>
      <c r="AT43" s="130">
        <f>IF(BD43&gt;0,BD43,BJ43)</f>
        <v/>
      </c>
      <c r="AU43" s="38" t="n"/>
      <c r="AV43" s="0" t="inlineStr">
        <is>
          <t>PAP</t>
        </is>
      </c>
      <c r="AW43" s="0" t="n">
        <v>3</v>
      </c>
      <c r="AX43" s="131" t="n">
        <v>31742</v>
      </c>
      <c r="AY43" s="131" t="n">
        <v>15000</v>
      </c>
      <c r="AZ43" s="131" t="n">
        <v>20000</v>
      </c>
      <c r="BA43" s="131">
        <f>AX43+AY43+AZ43</f>
        <v/>
      </c>
      <c r="BB43" s="131">
        <f>IF(I43&gt;0,BA43/I43,0)</f>
        <v/>
      </c>
      <c r="BC43" s="79" t="inlineStr">
        <is>
          <t>VERIFIED</t>
        </is>
      </c>
      <c r="BD43" s="132" t="n">
        <v>135560</v>
      </c>
      <c r="BE43" s="131">
        <f>BA49*F49</f>
        <v/>
      </c>
      <c r="BF43" s="131">
        <f>AQ43</f>
        <v/>
      </c>
      <c r="BG43" s="132">
        <f>AS43-BF43</f>
        <v/>
      </c>
      <c r="BH43" s="133">
        <f>IF(AS43&gt;0,BG43/AS43,0)</f>
        <v/>
      </c>
      <c r="BI43" s="108" t="inlineStr">
        <is>
          <t>9% MARGIN</t>
        </is>
      </c>
      <c r="BJ43" s="132" t="n">
        <v>147998</v>
      </c>
      <c r="BK43" s="131" t="n">
        <v>1109985</v>
      </c>
      <c r="BL43" s="134" t="n">
        <v>0.1428065630230524</v>
      </c>
      <c r="BO43" s="135" t="n">
        <v>1002003</v>
      </c>
      <c r="BP43" s="135" t="n">
        <v>35972</v>
      </c>
      <c r="BQ43" s="135" t="n">
        <v>66742</v>
      </c>
      <c r="BR43" s="0" t="n">
        <v>4551735</v>
      </c>
      <c r="BS43" s="0" t="n">
        <v>5143461</v>
      </c>
      <c r="BT43" s="0" t="n">
        <v>128587</v>
      </c>
      <c r="BU43" s="0" t="n">
        <v>543861</v>
      </c>
    </row>
    <row r="44" ht="15.75" customHeight="1" s="69">
      <c r="A44" s="29" t="n">
        <v>47</v>
      </c>
      <c r="B44" s="121" t="inlineStr">
        <is>
          <t>A Kerasi</t>
        </is>
      </c>
      <c r="C44" s="121" t="inlineStr">
        <is>
          <t>Paphos</t>
        </is>
      </c>
      <c r="D44" s="144" t="n">
        <v>1.5</v>
      </c>
      <c r="E44" s="29" t="inlineStr">
        <is>
          <t>Paphos3</t>
        </is>
      </c>
      <c r="F44" s="52" t="inlineStr">
        <is>
          <t>PAP</t>
        </is>
      </c>
      <c r="G44" s="122" t="inlineStr">
        <is>
          <t>Paphos 3</t>
        </is>
      </c>
      <c r="H44" s="52" t="n">
        <v>1.5</v>
      </c>
      <c r="I44" s="52" t="n">
        <v>5</v>
      </c>
      <c r="J44" s="128" t="n">
        <v>1.5</v>
      </c>
      <c r="K44" s="82" t="n">
        <v>1</v>
      </c>
      <c r="L44" s="82" t="n">
        <v>1</v>
      </c>
      <c r="M44" s="29" t="n">
        <v>2</v>
      </c>
      <c r="N44" s="129" t="n">
        <v>116.47</v>
      </c>
      <c r="O44" s="52">
        <f>N50/F50/1000</f>
        <v/>
      </c>
      <c r="P44" s="32">
        <f>L50/K50</f>
        <v/>
      </c>
      <c r="Q44" s="129" t="n">
        <v>541046</v>
      </c>
      <c r="R44" s="130">
        <f>N50/F50/1000</f>
        <v/>
      </c>
      <c r="S44" s="52">
        <f>N50/K50/1000</f>
        <v/>
      </c>
      <c r="T44" s="130">
        <f>N50*0.0266</f>
        <v/>
      </c>
      <c r="U44" s="130" t="n">
        <v>4000</v>
      </c>
      <c r="V44" s="130" t="n">
        <v>4720</v>
      </c>
      <c r="W44" s="130" t="n"/>
      <c r="X44" s="130" t="n">
        <v>2100</v>
      </c>
      <c r="Y44" s="130" t="n">
        <v>3500</v>
      </c>
      <c r="Z44" s="130" t="n">
        <v>2200</v>
      </c>
      <c r="AA44" s="130" t="n">
        <v>5000</v>
      </c>
      <c r="AB44" s="130" t="n">
        <v>3000</v>
      </c>
      <c r="AC44" s="130" t="n">
        <v>2000</v>
      </c>
      <c r="AD44" s="130" t="n"/>
      <c r="AE44" s="130">
        <f>((700*H50)+(400*I50))+1000</f>
        <v/>
      </c>
      <c r="AF44" s="130" t="n"/>
      <c r="AG44" s="130" t="n"/>
      <c r="AH44" s="130" t="n"/>
      <c r="AI44" s="130" t="n">
        <v>24254</v>
      </c>
      <c r="AJ44" s="130">
        <f>J50*4000</f>
        <v/>
      </c>
      <c r="AK44" s="130">
        <f>1500*J50</f>
        <v/>
      </c>
      <c r="AL44" s="130" t="n">
        <v>0</v>
      </c>
      <c r="AM44" s="130" t="n"/>
      <c r="AN44" s="130">
        <f>N50*0.0075</f>
        <v/>
      </c>
      <c r="AO44" s="130" t="n">
        <v>0</v>
      </c>
      <c r="AP44" s="130">
        <f>SUM(T44,U44,V44,W44,X44,Y44,Z44,AA44,AB44,AC44,AD44,AE44,AF44,AG44,AH44,AJ44,AK44,AL44,AM44,AN44,AO44)</f>
        <v/>
      </c>
      <c r="AQ44" s="130">
        <f>Q44+AP44+BA44</f>
        <v/>
      </c>
      <c r="AR44" s="130">
        <f>IF(I44&gt;0,AQ44/I44,0)</f>
        <v/>
      </c>
      <c r="AS44" s="130">
        <f>IF(BD44&gt;0,BD44*I44,BJ44*I44)</f>
        <v/>
      </c>
      <c r="AT44" s="130">
        <f>IF(BD44&gt;0,BD44,BJ44)</f>
        <v/>
      </c>
      <c r="AU44" s="38" t="n"/>
      <c r="AV44" s="0" t="inlineStr">
        <is>
          <t>PAP</t>
        </is>
      </c>
      <c r="AW44" s="0" t="n">
        <v>3</v>
      </c>
      <c r="AX44" s="131" t="n">
        <v>24254</v>
      </c>
      <c r="AY44" s="131" t="n">
        <v>15000</v>
      </c>
      <c r="AZ44" s="131" t="n">
        <v>20000</v>
      </c>
      <c r="BA44" s="131">
        <f>AX44+AY44+AZ44</f>
        <v/>
      </c>
      <c r="BB44" s="131">
        <f>IF(I44&gt;0,BA44/I44,0)</f>
        <v/>
      </c>
      <c r="BC44" s="79" t="inlineStr">
        <is>
          <t>VERIFIED</t>
        </is>
      </c>
      <c r="BD44" s="132" t="n">
        <v>165431</v>
      </c>
      <c r="BE44" s="131">
        <f>BA50*F50</f>
        <v/>
      </c>
      <c r="BF44" s="131">
        <f>AQ44</f>
        <v/>
      </c>
      <c r="BG44" s="132">
        <f>AS44-BF44</f>
        <v/>
      </c>
      <c r="BH44" s="133">
        <f>IF(AS44&gt;0,BG44/AS44,0)</f>
        <v/>
      </c>
      <c r="BI44" s="108" t="inlineStr">
        <is>
          <t>13% MARGIN</t>
        </is>
      </c>
      <c r="BJ44" s="132" t="n">
        <v>141661</v>
      </c>
      <c r="BK44" s="131" t="n">
        <v>708305</v>
      </c>
      <c r="BL44" s="134" t="n">
        <v>0.140253341226086</v>
      </c>
      <c r="BO44" s="135" t="n">
        <v>622203</v>
      </c>
      <c r="BP44" s="135" t="n">
        <v>30498</v>
      </c>
      <c r="BQ44" s="135" t="n">
        <v>59254</v>
      </c>
      <c r="BR44" s="0" t="n">
        <v>4551735</v>
      </c>
      <c r="BS44" s="0" t="n">
        <v>5143461</v>
      </c>
      <c r="BT44" s="0" t="n">
        <v>128587</v>
      </c>
      <c r="BU44" s="0" t="n">
        <v>543861</v>
      </c>
    </row>
    <row r="45" ht="15.75" customHeight="1" s="69">
      <c r="A45" s="29" t="n">
        <v>13</v>
      </c>
      <c r="B45" s="123" t="inlineStr">
        <is>
          <t>Ioannis Karis</t>
        </is>
      </c>
      <c r="C45" s="123" t="inlineStr">
        <is>
          <t>Limassol</t>
        </is>
      </c>
      <c r="D45" s="145" t="n">
        <v>7.7</v>
      </c>
      <c r="E45" s="29" t="inlineStr">
        <is>
          <t>Limassol4</t>
        </is>
      </c>
      <c r="F45" s="52" t="inlineStr">
        <is>
          <t>MSP</t>
        </is>
      </c>
      <c r="G45" s="124" t="inlineStr">
        <is>
          <t>My Sun Park</t>
        </is>
      </c>
      <c r="H45" s="52" t="n">
        <v>7.7</v>
      </c>
      <c r="I45" s="52" t="n">
        <v>25</v>
      </c>
      <c r="J45" s="128" t="n">
        <v>7.7</v>
      </c>
      <c r="K45" s="82" t="n">
        <v>5</v>
      </c>
      <c r="L45" s="82" t="n">
        <v>2</v>
      </c>
      <c r="M45" s="29" t="n">
        <v>7</v>
      </c>
      <c r="N45" s="136" t="n">
        <v>91.5</v>
      </c>
      <c r="O45" s="52">
        <f>N16/F16/1000</f>
        <v/>
      </c>
      <c r="P45" s="32">
        <f>L16/K16</f>
        <v/>
      </c>
      <c r="Q45" s="136" t="n">
        <v>2523652</v>
      </c>
      <c r="R45" s="130">
        <f>N16/F16/1000</f>
        <v/>
      </c>
      <c r="S45" s="52">
        <f>N16/K16/1000</f>
        <v/>
      </c>
      <c r="T45" s="130">
        <f>N16*0.0266</f>
        <v/>
      </c>
      <c r="U45" s="130" t="n">
        <v>9000</v>
      </c>
      <c r="V45" s="130" t="n">
        <v>16520</v>
      </c>
      <c r="W45" s="130" t="n"/>
      <c r="X45" s="130" t="n">
        <v>10780</v>
      </c>
      <c r="Y45" s="130" t="n">
        <v>7000</v>
      </c>
      <c r="Z45" s="130" t="n">
        <v>4400</v>
      </c>
      <c r="AA45" s="130" t="n">
        <v>6000</v>
      </c>
      <c r="AB45" s="130" t="n">
        <v>3000</v>
      </c>
      <c r="AC45" s="130" t="n">
        <v>2000</v>
      </c>
      <c r="AD45" s="130" t="n"/>
      <c r="AE45" s="130">
        <f>((700*H16)+(400*I16))+1000</f>
        <v/>
      </c>
      <c r="AF45" s="130" t="n"/>
      <c r="AG45" s="130" t="n"/>
      <c r="AH45" s="130" t="n"/>
      <c r="AI45" s="130" t="n">
        <v>54206</v>
      </c>
      <c r="AJ45" s="130">
        <f>J16*4000</f>
        <v/>
      </c>
      <c r="AK45" s="130">
        <f>1500*J16</f>
        <v/>
      </c>
      <c r="AL45" s="130" t="n">
        <v>0</v>
      </c>
      <c r="AM45" s="130" t="n"/>
      <c r="AN45" s="130">
        <f>N16*0.0075</f>
        <v/>
      </c>
      <c r="AO45" s="130" t="n">
        <v>0</v>
      </c>
      <c r="AP45" s="130">
        <f>SUM(T45,U45,V45,W45,X45,Y45,Z45,AA45,AB45,AC45,AD45,AE45,AF45,AG45,AH45,AJ45,AK45,AL45,AM45,AN45,AO45)</f>
        <v/>
      </c>
      <c r="AQ45" s="130">
        <f>Q45+AP45+BA45</f>
        <v/>
      </c>
      <c r="AR45" s="130">
        <f>IF(I45&gt;0,AQ45/I45,0)</f>
        <v/>
      </c>
      <c r="AS45" s="130">
        <f>IF(BD45&gt;0,BD45*I45,BJ45*I45)</f>
        <v/>
      </c>
      <c r="AT45" s="130">
        <f>IF(BD45&gt;0,BD45,BJ45)</f>
        <v/>
      </c>
      <c r="AU45" s="38" t="n"/>
      <c r="AV45" s="0" t="inlineStr">
        <is>
          <t>MSP</t>
        </is>
      </c>
      <c r="AW45" s="0" t="n">
        <v>1</v>
      </c>
      <c r="AX45" s="131" t="n">
        <v>54206</v>
      </c>
      <c r="AY45" s="131" t="n">
        <v>15000</v>
      </c>
      <c r="AZ45" s="131" t="n">
        <v>60000</v>
      </c>
      <c r="BA45" s="131">
        <f>AX45+AY45+AZ45</f>
        <v/>
      </c>
      <c r="BB45" s="131">
        <f>IF(I45&gt;0,BA45/I45,0)</f>
        <v/>
      </c>
      <c r="BC45" s="79" t="inlineStr">
        <is>
          <t>VERIFIED</t>
        </is>
      </c>
      <c r="BD45" s="132" t="n">
        <v>115589</v>
      </c>
      <c r="BE45" s="131">
        <f>BA16*F16</f>
        <v/>
      </c>
      <c r="BF45" s="131">
        <f>AQ45</f>
        <v/>
      </c>
      <c r="BG45" s="132">
        <f>AS45-BF45</f>
        <v/>
      </c>
      <c r="BH45" s="133">
        <f>IF(AS45&gt;0,BG45/AS45,0)</f>
        <v/>
      </c>
      <c r="BI45" s="108" t="inlineStr">
        <is>
          <t>9% MARGIN</t>
        </is>
      </c>
      <c r="BJ45" s="132" t="n">
        <v>123885</v>
      </c>
      <c r="BK45" s="131" t="n">
        <v>3097125</v>
      </c>
      <c r="BL45" s="134" t="n">
        <v>0.1431728273341059</v>
      </c>
      <c r="BO45" s="135" t="n">
        <v>2902200</v>
      </c>
      <c r="BP45" s="135" t="n">
        <v>67505</v>
      </c>
      <c r="BQ45" s="135" t="n">
        <v>129206</v>
      </c>
      <c r="BR45" s="0" t="n">
        <v>4551735</v>
      </c>
      <c r="BS45" s="0" t="n">
        <v>5143461</v>
      </c>
      <c r="BT45" s="0" t="n">
        <v>128587</v>
      </c>
      <c r="BU45" s="0" t="n">
        <v>543861</v>
      </c>
    </row>
    <row r="46" ht="15.75" customHeight="1" s="69">
      <c r="A46" s="29" t="n">
        <v>7</v>
      </c>
      <c r="B46" s="125" t="inlineStr">
        <is>
          <t>Timotheos Timotheou</t>
        </is>
      </c>
      <c r="C46" s="125" t="inlineStr">
        <is>
          <t>Famagusta</t>
        </is>
      </c>
      <c r="D46" s="146" t="n">
        <v>1</v>
      </c>
      <c r="E46" s="29" t="inlineStr">
        <is>
          <t>Famagusta7</t>
        </is>
      </c>
      <c r="F46" s="52" t="inlineStr">
        <is>
          <t>LT</t>
        </is>
      </c>
      <c r="G46" s="126" t="inlineStr">
        <is>
          <t>L&amp;T Res Systems</t>
        </is>
      </c>
      <c r="H46" s="52" t="n">
        <v>1</v>
      </c>
      <c r="I46" s="52" t="n">
        <v>4</v>
      </c>
      <c r="J46" s="128" t="n">
        <v>1</v>
      </c>
      <c r="K46" s="82" t="n">
        <v>1</v>
      </c>
      <c r="L46" s="82" t="n">
        <v>1</v>
      </c>
      <c r="M46" s="29" t="n">
        <v>2</v>
      </c>
      <c r="N46" s="136" t="n">
        <v>110.6</v>
      </c>
      <c r="O46" s="52">
        <f>N10/F10/1000</f>
        <v/>
      </c>
      <c r="P46" s="32">
        <f>L10/K10</f>
        <v/>
      </c>
      <c r="Q46" s="136" t="n">
        <v>509419</v>
      </c>
      <c r="R46" s="130">
        <f>N10/F10/1000</f>
        <v/>
      </c>
      <c r="S46" s="52">
        <f>N10/K10/1000</f>
        <v/>
      </c>
      <c r="T46" s="130">
        <f>N10*0.0266</f>
        <v/>
      </c>
      <c r="U46" s="130" t="n">
        <v>4000</v>
      </c>
      <c r="V46" s="130" t="n">
        <v>4720</v>
      </c>
      <c r="W46" s="130" t="n"/>
      <c r="X46" s="130" t="n">
        <v>1400</v>
      </c>
      <c r="Y46" s="130" t="n">
        <v>3500</v>
      </c>
      <c r="Z46" s="130" t="n">
        <v>2200</v>
      </c>
      <c r="AA46" s="130" t="n">
        <v>5000</v>
      </c>
      <c r="AB46" s="130" t="n">
        <v>3000</v>
      </c>
      <c r="AC46" s="130" t="n">
        <v>2000</v>
      </c>
      <c r="AD46" s="130" t="n"/>
      <c r="AE46" s="130">
        <f>((700*H10)+(400*I10))+1000</f>
        <v/>
      </c>
      <c r="AF46" s="130" t="n"/>
      <c r="AG46" s="130" t="n"/>
      <c r="AH46" s="130" t="n"/>
      <c r="AI46" s="130" t="n">
        <v>24254</v>
      </c>
      <c r="AJ46" s="130">
        <f>J10*4000</f>
        <v/>
      </c>
      <c r="AK46" s="130">
        <f>1500*J10</f>
        <v/>
      </c>
      <c r="AL46" s="130" t="n">
        <v>0</v>
      </c>
      <c r="AM46" s="130" t="n"/>
      <c r="AN46" s="130">
        <f>N10*0.0075</f>
        <v/>
      </c>
      <c r="AO46" s="130" t="n">
        <v>0</v>
      </c>
      <c r="AP46" s="130">
        <f>SUM(T46,U46,V46,W46,X46,Y46,Z46,AA46,AB46,AC46,AD46,AE46,AF46,AG46,AH46,AJ46,AK46,AL46,AM46,AN46,AO46)</f>
        <v/>
      </c>
      <c r="AQ46" s="130">
        <f>Q46+AP46+BA46</f>
        <v/>
      </c>
      <c r="AR46" s="130">
        <f>IF(I46&gt;0,AQ46/I46,0)</f>
        <v/>
      </c>
      <c r="AS46" s="130">
        <f>IF(BD46&gt;0,BD46*I46,BJ46*I46)</f>
        <v/>
      </c>
      <c r="AT46" s="130">
        <f>IF(BD46&gt;0,BD46,BJ46)</f>
        <v/>
      </c>
      <c r="AU46" s="38" t="n"/>
      <c r="AV46" s="0" t="inlineStr">
        <is>
          <t>LT</t>
        </is>
      </c>
      <c r="AW46" s="0" t="n">
        <v>5</v>
      </c>
      <c r="AX46" s="131" t="n">
        <v>24254</v>
      </c>
      <c r="AY46" s="131" t="n">
        <v>15000</v>
      </c>
      <c r="AZ46" s="131" t="n">
        <v>12000</v>
      </c>
      <c r="BA46" s="131">
        <f>AX46+AY46+AZ46</f>
        <v/>
      </c>
      <c r="BB46" s="131">
        <f>IF(I46&gt;0,BA46/I46,0)</f>
        <v/>
      </c>
      <c r="BC46" s="79" t="inlineStr">
        <is>
          <t>VERIFIED</t>
        </is>
      </c>
      <c r="BD46" s="132" t="n">
        <v>165431</v>
      </c>
      <c r="BE46" s="131">
        <f>BA10*F10</f>
        <v/>
      </c>
      <c r="BF46" s="131">
        <f>AQ46</f>
        <v/>
      </c>
      <c r="BG46" s="132">
        <f>AS46-BF46</f>
        <v/>
      </c>
      <c r="BH46" s="133">
        <f>IF(AS46&gt;0,BG46/AS46,0)</f>
        <v/>
      </c>
      <c r="BI46" s="110" t="inlineStr">
        <is>
          <t>13% MARGIN</t>
        </is>
      </c>
      <c r="BJ46" s="139" t="n">
        <v>165684</v>
      </c>
      <c r="BK46" s="131" t="n">
        <v>662736</v>
      </c>
      <c r="BL46" s="134" t="n">
        <v>0.115042792303421</v>
      </c>
      <c r="BO46" s="135" t="n">
        <v>585832</v>
      </c>
      <c r="BP46" s="135" t="n">
        <v>29693</v>
      </c>
      <c r="BQ46" s="135" t="n">
        <v>51254</v>
      </c>
      <c r="BR46" s="0" t="n">
        <v>3054394</v>
      </c>
      <c r="BS46" s="0" t="n">
        <v>3451465</v>
      </c>
      <c r="BT46" s="0" t="n">
        <v>143811</v>
      </c>
      <c r="BU46" s="0" t="n">
        <v>437780</v>
      </c>
    </row>
    <row r="47" ht="15.75" customHeight="1" s="69">
      <c r="A47" s="29" t="n">
        <v>6</v>
      </c>
      <c r="B47" s="125" t="inlineStr">
        <is>
          <t>Timotheos Timotheou</t>
        </is>
      </c>
      <c r="C47" s="125" t="inlineStr">
        <is>
          <t>Famagusta</t>
        </is>
      </c>
      <c r="D47" s="146" t="n">
        <v>1.5</v>
      </c>
      <c r="E47" s="29" t="inlineStr">
        <is>
          <t>Famagusta6</t>
        </is>
      </c>
      <c r="F47" s="52" t="inlineStr">
        <is>
          <t>LT</t>
        </is>
      </c>
      <c r="G47" s="126" t="inlineStr">
        <is>
          <t>L&amp;T Solar Power</t>
        </is>
      </c>
      <c r="H47" s="52" t="n">
        <v>1.5</v>
      </c>
      <c r="I47" s="52" t="n">
        <v>5</v>
      </c>
      <c r="J47" s="128" t="n">
        <v>1.5</v>
      </c>
      <c r="K47" s="82" t="n">
        <v>1</v>
      </c>
      <c r="L47" s="82" t="n">
        <v>1</v>
      </c>
      <c r="M47" s="29" t="n">
        <v>2</v>
      </c>
      <c r="N47" s="129" t="n">
        <v>106.51</v>
      </c>
      <c r="O47" s="52">
        <f>N9/F9/1000</f>
        <v/>
      </c>
      <c r="P47" s="32">
        <f>L9/K9</f>
        <v/>
      </c>
      <c r="Q47" s="129" t="n">
        <v>585976</v>
      </c>
      <c r="R47" s="130">
        <f>N9/F9/1000</f>
        <v/>
      </c>
      <c r="S47" s="52">
        <f>N9/K9/1000</f>
        <v/>
      </c>
      <c r="T47" s="130">
        <f>N9*0.0266</f>
        <v/>
      </c>
      <c r="U47" s="130" t="n">
        <v>4000</v>
      </c>
      <c r="V47" s="130" t="n">
        <v>4720</v>
      </c>
      <c r="W47" s="130" t="n"/>
      <c r="X47" s="130" t="n">
        <v>2100</v>
      </c>
      <c r="Y47" s="130" t="n">
        <v>3500</v>
      </c>
      <c r="Z47" s="130" t="n">
        <v>2200</v>
      </c>
      <c r="AA47" s="130" t="n">
        <v>5000</v>
      </c>
      <c r="AB47" s="130" t="n">
        <v>3000</v>
      </c>
      <c r="AC47" s="130" t="n">
        <v>2000</v>
      </c>
      <c r="AD47" s="130" t="n"/>
      <c r="AE47" s="130">
        <f>((700*H9)+(400*I9))+1000</f>
        <v/>
      </c>
      <c r="AF47" s="130" t="n"/>
      <c r="AG47" s="130" t="n"/>
      <c r="AH47" s="130" t="n"/>
      <c r="AI47" s="130" t="n">
        <v>24254</v>
      </c>
      <c r="AJ47" s="130">
        <f>J9*4000</f>
        <v/>
      </c>
      <c r="AK47" s="130">
        <f>1500*J9</f>
        <v/>
      </c>
      <c r="AL47" s="130" t="n">
        <v>0</v>
      </c>
      <c r="AM47" s="130" t="n"/>
      <c r="AN47" s="130">
        <f>N9*0.0075</f>
        <v/>
      </c>
      <c r="AO47" s="130" t="n">
        <v>0</v>
      </c>
      <c r="AP47" s="130">
        <f>SUM(T47,U47,V47,W47,X47,Y47,Z47,AA47,AB47,AC47,AD47,AE47,AF47,AG47,AH47,AJ47,AK47,AL47,AM47,AN47,AO47)</f>
        <v/>
      </c>
      <c r="AQ47" s="130">
        <f>Q47+AP47+BA47</f>
        <v/>
      </c>
      <c r="AR47" s="130">
        <f>IF(I47&gt;0,AQ47/I47,0)</f>
        <v/>
      </c>
      <c r="AS47" s="130">
        <f>IF(BD47&gt;0,BD47*I47,BJ47*I47)</f>
        <v/>
      </c>
      <c r="AT47" s="130">
        <f>IF(BD47&gt;0,BD47,BJ47)</f>
        <v/>
      </c>
      <c r="AU47" s="38" t="n"/>
      <c r="AV47" s="0" t="inlineStr">
        <is>
          <t>LT</t>
        </is>
      </c>
      <c r="AW47" s="0" t="n">
        <v>5</v>
      </c>
      <c r="AX47" s="131" t="n">
        <v>24254</v>
      </c>
      <c r="AY47" s="131" t="n">
        <v>15000</v>
      </c>
      <c r="AZ47" s="131" t="n">
        <v>12000</v>
      </c>
      <c r="BA47" s="131">
        <f>AX47+AY47+AZ47</f>
        <v/>
      </c>
      <c r="BB47" s="131">
        <f>IF(I47&gt;0,BA47/I47,0)</f>
        <v/>
      </c>
      <c r="BC47" s="79" t="inlineStr">
        <is>
          <t>VERIFIED</t>
        </is>
      </c>
      <c r="BD47" s="132" t="n">
        <v>165431</v>
      </c>
      <c r="BE47" s="131">
        <f>BA9*F9</f>
        <v/>
      </c>
      <c r="BF47" s="131">
        <f>AQ47</f>
        <v/>
      </c>
      <c r="BG47" s="132">
        <f>AS47-BF47</f>
        <v/>
      </c>
      <c r="BH47" s="133">
        <f>IF(AS47&gt;0,BG47/AS47,0)</f>
        <v/>
      </c>
      <c r="BI47" s="108" t="inlineStr">
        <is>
          <t>13% MARGIN</t>
        </is>
      </c>
      <c r="BJ47" s="132" t="n">
        <v>150007</v>
      </c>
      <c r="BK47" s="131" t="n">
        <v>750035</v>
      </c>
      <c r="BL47" s="134" t="n">
        <v>0.1150412980727566</v>
      </c>
      <c r="BO47" s="135" t="n">
        <v>673872</v>
      </c>
      <c r="BP47" s="135" t="n">
        <v>30498</v>
      </c>
      <c r="BQ47" s="135" t="n">
        <v>51254</v>
      </c>
      <c r="BR47" s="0" t="n">
        <v>1955573</v>
      </c>
      <c r="BS47" s="0" t="n">
        <v>2209797</v>
      </c>
      <c r="BT47" s="0" t="n">
        <v>147320</v>
      </c>
      <c r="BU47" s="0" t="n">
        <v>247917</v>
      </c>
    </row>
    <row r="48" ht="15.75" customHeight="1" s="69">
      <c r="A48" s="29" t="n">
        <v>14</v>
      </c>
      <c r="B48" s="125" t="inlineStr">
        <is>
          <t>Timotheos Timotheou</t>
        </is>
      </c>
      <c r="C48" s="125" t="inlineStr">
        <is>
          <t>Limassol</t>
        </is>
      </c>
      <c r="D48" s="146" t="n">
        <v>5</v>
      </c>
      <c r="E48" s="29" t="inlineStr">
        <is>
          <t>Limassol5</t>
        </is>
      </c>
      <c r="F48" s="52" t="inlineStr">
        <is>
          <t>LT</t>
        </is>
      </c>
      <c r="G48" s="126" t="inlineStr">
        <is>
          <t>L&amp;T Sun Energy</t>
        </is>
      </c>
      <c r="H48" s="52" t="n">
        <v>5</v>
      </c>
      <c r="I48" s="52" t="n">
        <v>15</v>
      </c>
      <c r="J48" s="128" t="n">
        <v>5</v>
      </c>
      <c r="K48" s="82" t="n">
        <v>3</v>
      </c>
      <c r="L48" s="82" t="n">
        <v>1</v>
      </c>
      <c r="M48" s="29" t="n">
        <v>4</v>
      </c>
      <c r="N48" s="136" t="n">
        <v>96.48</v>
      </c>
      <c r="O48" s="52">
        <f>N17/F17/1000</f>
        <v/>
      </c>
      <c r="P48" s="32">
        <f>L17/K17</f>
        <v/>
      </c>
      <c r="Q48" s="136" t="n">
        <v>1592098</v>
      </c>
      <c r="R48" s="130">
        <f>N17/F17/1000</f>
        <v/>
      </c>
      <c r="S48" s="52">
        <f>N17/K17/1000</f>
        <v/>
      </c>
      <c r="T48" s="130">
        <f>N17*0.0266</f>
        <v/>
      </c>
      <c r="U48" s="130" t="n">
        <v>7000</v>
      </c>
      <c r="V48" s="130" t="n">
        <v>11800</v>
      </c>
      <c r="W48" s="130" t="n"/>
      <c r="X48" s="130" t="n">
        <v>7000</v>
      </c>
      <c r="Y48" s="130" t="n">
        <v>7000</v>
      </c>
      <c r="Z48" s="130" t="n">
        <v>4400</v>
      </c>
      <c r="AA48" s="130" t="n">
        <v>6000</v>
      </c>
      <c r="AB48" s="130" t="n">
        <v>3000</v>
      </c>
      <c r="AC48" s="130" t="n">
        <v>2000</v>
      </c>
      <c r="AD48" s="130" t="n"/>
      <c r="AE48" s="130">
        <f>((700*H17)+(400*I17))+1000</f>
        <v/>
      </c>
      <c r="AF48" s="130" t="n"/>
      <c r="AG48" s="130" t="n"/>
      <c r="AH48" s="130" t="n"/>
      <c r="AI48" s="130" t="n">
        <v>39230</v>
      </c>
      <c r="AJ48" s="130">
        <f>J17*4000</f>
        <v/>
      </c>
      <c r="AK48" s="130">
        <f>1500*J17</f>
        <v/>
      </c>
      <c r="AL48" s="130" t="n">
        <v>0</v>
      </c>
      <c r="AM48" s="130" t="n"/>
      <c r="AN48" s="130">
        <f>N17*0.0075</f>
        <v/>
      </c>
      <c r="AO48" s="130" t="n">
        <v>0</v>
      </c>
      <c r="AP48" s="130">
        <f>SUM(T48,U48,V48,W48,X48,Y48,Z48,AA48,AB48,AC48,AD48,AE48,AF48,AG48,AH48,AJ48,AK48,AL48,AM48,AN48,AO48)</f>
        <v/>
      </c>
      <c r="AQ48" s="130">
        <f>Q48+AP48+BA48</f>
        <v/>
      </c>
      <c r="AR48" s="130">
        <f>IF(I48&gt;0,AQ48/I48,0)</f>
        <v/>
      </c>
      <c r="AS48" s="130">
        <f>IF(BD48&gt;0,BD48*I48,BJ48*I48)</f>
        <v/>
      </c>
      <c r="AT48" s="130">
        <f>IF(BD48&gt;0,BD48,BJ48)</f>
        <v/>
      </c>
      <c r="AU48" s="38" t="n"/>
      <c r="AV48" s="0" t="inlineStr">
        <is>
          <t>LT</t>
        </is>
      </c>
      <c r="AW48" s="0" t="n">
        <v>5</v>
      </c>
      <c r="AX48" s="131" t="n">
        <v>39230</v>
      </c>
      <c r="AY48" s="131" t="n">
        <v>15000</v>
      </c>
      <c r="AZ48" s="131" t="n">
        <v>12000</v>
      </c>
      <c r="BA48" s="131">
        <f>AX48+AY48+AZ48</f>
        <v/>
      </c>
      <c r="BB48" s="131">
        <f>IF(I48&gt;0,BA48/I48,0)</f>
        <v/>
      </c>
      <c r="BC48" s="79" t="inlineStr">
        <is>
          <t>VERIFIED</t>
        </is>
      </c>
      <c r="BD48" s="132" t="n">
        <v>130792</v>
      </c>
      <c r="BE48" s="131">
        <f>BA17*F17</f>
        <v/>
      </c>
      <c r="BF48" s="131">
        <f>AQ48</f>
        <v/>
      </c>
      <c r="BG48" s="132">
        <f>AS48-BF48</f>
        <v/>
      </c>
      <c r="BH48" s="133">
        <f>IF(AS48&gt;0,BG48/AS48,0)</f>
        <v/>
      </c>
      <c r="BI48" s="109" t="inlineStr">
        <is>
          <t>DINO LOCKED</t>
        </is>
      </c>
      <c r="BJ48" s="139" t="n">
        <v>130792</v>
      </c>
      <c r="BK48" s="131" t="n">
        <v>1961880</v>
      </c>
      <c r="BL48" s="134" t="n">
        <v>0.1301567883866495</v>
      </c>
      <c r="BO48" s="135" t="n">
        <v>1830913</v>
      </c>
      <c r="BP48" s="135" t="n">
        <v>55430</v>
      </c>
      <c r="BQ48" s="135" t="n">
        <v>66230</v>
      </c>
      <c r="BR48" s="0" t="n">
        <v>758624</v>
      </c>
      <c r="BS48" s="0" t="n">
        <v>857245</v>
      </c>
      <c r="BT48" s="0" t="n">
        <v>171449</v>
      </c>
      <c r="BU48" s="0" t="n">
        <v>103818</v>
      </c>
    </row>
    <row r="49" ht="15.75" customHeight="1" s="69">
      <c r="A49" s="29" t="n">
        <v>44</v>
      </c>
      <c r="B49" s="125" t="inlineStr">
        <is>
          <t>Timotheos Timotheou</t>
        </is>
      </c>
      <c r="C49" s="125" t="inlineStr">
        <is>
          <t>Nicosia</t>
        </is>
      </c>
      <c r="D49" s="146" t="n">
        <v>8</v>
      </c>
      <c r="E49" s="29" t="inlineStr">
        <is>
          <t>Nicosia30</t>
        </is>
      </c>
      <c r="F49" s="52" t="inlineStr">
        <is>
          <t>AGM</t>
        </is>
      </c>
      <c r="G49" s="126" t="inlineStr">
        <is>
          <t>AGM Lightpower</t>
        </is>
      </c>
      <c r="H49" s="52" t="n">
        <v>8</v>
      </c>
      <c r="I49" s="52" t="n">
        <v>24</v>
      </c>
      <c r="J49" s="128" t="n">
        <v>8</v>
      </c>
      <c r="K49" s="82" t="n">
        <v>5</v>
      </c>
      <c r="L49" s="82" t="n">
        <v>2</v>
      </c>
      <c r="M49" s="29" t="n">
        <v>7</v>
      </c>
      <c r="N49" s="129" t="n">
        <v>91.5</v>
      </c>
      <c r="O49" s="52">
        <f>N47/F47/1000</f>
        <v/>
      </c>
      <c r="P49" s="32">
        <f>L47/K47</f>
        <v/>
      </c>
      <c r="Q49" s="129" t="n">
        <v>2523652</v>
      </c>
      <c r="R49" s="130">
        <f>N47/F47/1000</f>
        <v/>
      </c>
      <c r="S49" s="52">
        <f>N47/K47/1000</f>
        <v/>
      </c>
      <c r="T49" s="130">
        <f>N47*0.0266</f>
        <v/>
      </c>
      <c r="U49" s="130" t="n">
        <v>9000</v>
      </c>
      <c r="V49" s="130" t="n">
        <v>16520</v>
      </c>
      <c r="W49" s="130" t="n"/>
      <c r="X49" s="130" t="n">
        <v>11200</v>
      </c>
      <c r="Y49" s="130" t="n">
        <v>7000</v>
      </c>
      <c r="Z49" s="130" t="n">
        <v>4400</v>
      </c>
      <c r="AA49" s="130" t="n">
        <v>6000</v>
      </c>
      <c r="AB49" s="130" t="n">
        <v>3000</v>
      </c>
      <c r="AC49" s="130" t="n">
        <v>2000</v>
      </c>
      <c r="AD49" s="130" t="n"/>
      <c r="AE49" s="130">
        <f>((700*H47)+(400*I47))+1000</f>
        <v/>
      </c>
      <c r="AF49" s="130" t="n"/>
      <c r="AG49" s="130" t="n"/>
      <c r="AH49" s="130" t="n"/>
      <c r="AI49" s="130" t="n">
        <v>54206</v>
      </c>
      <c r="AJ49" s="130">
        <f>J47*4000</f>
        <v/>
      </c>
      <c r="AK49" s="130">
        <f>1500*J47</f>
        <v/>
      </c>
      <c r="AL49" s="130" t="n">
        <v>0</v>
      </c>
      <c r="AM49" s="130" t="n"/>
      <c r="AN49" s="130">
        <f>N47*0.0075</f>
        <v/>
      </c>
      <c r="AO49" s="130" t="n">
        <v>0</v>
      </c>
      <c r="AP49" s="130">
        <f>SUM(T49,U49,V49,W49,X49,Y49,Z49,AA49,AB49,AC49,AD49,AE49,AF49,AG49,AH49,AJ49,AK49,AL49,AM49,AN49,AO49)</f>
        <v/>
      </c>
      <c r="AQ49" s="130">
        <f>Q49+AP49+BA49</f>
        <v/>
      </c>
      <c r="AR49" s="130">
        <f>IF(I49&gt;0,AQ49/I49,0)</f>
        <v/>
      </c>
      <c r="AS49" s="130">
        <f>IF(BD49&gt;0,BD49*I49,BJ49*I49)</f>
        <v/>
      </c>
      <c r="AT49" s="130">
        <f>IF(BD49&gt;0,BD49,BJ49)</f>
        <v/>
      </c>
      <c r="AU49" s="38" t="n"/>
      <c r="AV49" s="0" t="inlineStr">
        <is>
          <t>AGM</t>
        </is>
      </c>
      <c r="AW49" s="0" t="n">
        <v>4</v>
      </c>
      <c r="AX49" s="131" t="n">
        <v>54206</v>
      </c>
      <c r="AY49" s="131" t="n">
        <v>15000</v>
      </c>
      <c r="AZ49" s="131" t="n">
        <v>15000</v>
      </c>
      <c r="BA49" s="131">
        <f>AX49+AY49+AZ49</f>
        <v/>
      </c>
      <c r="BB49" s="131">
        <f>IF(I49&gt;0,BA49/I49,0)</f>
        <v/>
      </c>
      <c r="BC49" s="79" t="inlineStr">
        <is>
          <t>VERIFIED</t>
        </is>
      </c>
      <c r="BD49" s="132" t="n">
        <v>115589</v>
      </c>
      <c r="BE49" s="131">
        <f>BA47*F47</f>
        <v/>
      </c>
      <c r="BF49" s="131">
        <f>AQ49</f>
        <v/>
      </c>
      <c r="BG49" s="132">
        <f>AS49-BF49</f>
        <v/>
      </c>
      <c r="BH49" s="133">
        <f>IF(AS49&gt;0,BG49/AS49,0)</f>
        <v/>
      </c>
      <c r="BI49" s="109" t="inlineStr">
        <is>
          <t>9% MARGIN</t>
        </is>
      </c>
      <c r="BJ49" s="139" t="n">
        <v>127022</v>
      </c>
      <c r="BK49" s="131" t="n">
        <v>3048528</v>
      </c>
      <c r="BL49" s="134" t="n">
        <v>0.1251587651482945</v>
      </c>
      <c r="BO49" s="135" t="n">
        <v>2902200</v>
      </c>
      <c r="BP49" s="135" t="n">
        <v>67988</v>
      </c>
      <c r="BQ49" s="135" t="n">
        <v>84206</v>
      </c>
      <c r="BR49" s="0" t="n">
        <v>669779</v>
      </c>
      <c r="BS49" s="0" t="n">
        <v>756850</v>
      </c>
      <c r="BT49" s="0" t="n">
        <v>189212</v>
      </c>
      <c r="BU49" s="0" t="n">
        <v>90723</v>
      </c>
    </row>
    <row r="50" ht="15.75" customHeight="1" s="69">
      <c r="A50" s="29" t="n">
        <v>39</v>
      </c>
      <c r="B50" s="125" t="inlineStr">
        <is>
          <t>Timotheos Timotheou</t>
        </is>
      </c>
      <c r="C50" s="125" t="inlineStr">
        <is>
          <t>Nicosia</t>
        </is>
      </c>
      <c r="D50" s="146" t="n">
        <v>5</v>
      </c>
      <c r="E50" s="29" t="inlineStr">
        <is>
          <t>Nicosia25</t>
        </is>
      </c>
      <c r="F50" s="52" t="inlineStr">
        <is>
          <t>AGM</t>
        </is>
      </c>
      <c r="G50" s="126" t="inlineStr">
        <is>
          <t>AGM Sunfield 1</t>
        </is>
      </c>
      <c r="H50" s="52" t="n">
        <v>5</v>
      </c>
      <c r="I50" s="52" t="n">
        <v>15</v>
      </c>
      <c r="J50" s="128" t="n">
        <v>5</v>
      </c>
      <c r="K50" s="82" t="n">
        <v>3</v>
      </c>
      <c r="L50" s="82" t="n">
        <v>1</v>
      </c>
      <c r="M50" s="29" t="n">
        <v>4</v>
      </c>
      <c r="N50" s="129" t="n">
        <v>96.48</v>
      </c>
      <c r="O50" s="52">
        <f>N42/F42/1000</f>
        <v/>
      </c>
      <c r="P50" s="32">
        <f>L42/K42</f>
        <v/>
      </c>
      <c r="Q50" s="129" t="n">
        <v>1592098</v>
      </c>
      <c r="R50" s="130">
        <f>N42/F42/1000</f>
        <v/>
      </c>
      <c r="S50" s="52">
        <f>N42/K42/1000</f>
        <v/>
      </c>
      <c r="T50" s="130">
        <f>N42*0.0266</f>
        <v/>
      </c>
      <c r="U50" s="130" t="n">
        <v>7000</v>
      </c>
      <c r="V50" s="130" t="n">
        <v>11800</v>
      </c>
      <c r="W50" s="130" t="n"/>
      <c r="X50" s="130" t="n">
        <v>7000</v>
      </c>
      <c r="Y50" s="130" t="n">
        <v>7000</v>
      </c>
      <c r="Z50" s="130" t="n">
        <v>4400</v>
      </c>
      <c r="AA50" s="130" t="n">
        <v>6000</v>
      </c>
      <c r="AB50" s="130" t="n">
        <v>3000</v>
      </c>
      <c r="AC50" s="130" t="n">
        <v>2000</v>
      </c>
      <c r="AD50" s="130" t="n"/>
      <c r="AE50" s="130">
        <f>((700*H42)+(400*I42))+1000</f>
        <v/>
      </c>
      <c r="AF50" s="130" t="n"/>
      <c r="AG50" s="130" t="n"/>
      <c r="AH50" s="130" t="n"/>
      <c r="AI50" s="130" t="n">
        <v>39230</v>
      </c>
      <c r="AJ50" s="130">
        <f>J42*4000</f>
        <v/>
      </c>
      <c r="AK50" s="130">
        <f>1500*J42</f>
        <v/>
      </c>
      <c r="AL50" s="130" t="n">
        <v>0</v>
      </c>
      <c r="AM50" s="130" t="n"/>
      <c r="AN50" s="130">
        <f>N42*0.0075</f>
        <v/>
      </c>
      <c r="AO50" s="130" t="n">
        <v>0</v>
      </c>
      <c r="AP50" s="130">
        <f>SUM(T50,U50,V50,W50,X50,Y50,Z50,AA50,AB50,AC50,AD50,AE50,AF50,AG50,AH50,AJ50,AK50,AL50,AM50,AN50,AO50)</f>
        <v/>
      </c>
      <c r="AQ50" s="130">
        <f>Q50+AP50+BA50</f>
        <v/>
      </c>
      <c r="AR50" s="130">
        <f>IF(I50&gt;0,AQ50/I50,0)</f>
        <v/>
      </c>
      <c r="AS50" s="130">
        <f>IF(BD50&gt;0,BD50*I50,BJ50*I50)</f>
        <v/>
      </c>
      <c r="AT50" s="130">
        <f>IF(BD50&gt;0,BD50,BJ50)</f>
        <v/>
      </c>
      <c r="AU50" s="38" t="n"/>
      <c r="AV50" s="0" t="inlineStr">
        <is>
          <t>AGM</t>
        </is>
      </c>
      <c r="AW50" s="0" t="n">
        <v>4</v>
      </c>
      <c r="AX50" s="131" t="n">
        <v>39230</v>
      </c>
      <c r="AY50" s="131" t="n">
        <v>15000</v>
      </c>
      <c r="AZ50" s="131" t="n">
        <v>15000</v>
      </c>
      <c r="BA50" s="131">
        <f>AX50+AY50+AZ50</f>
        <v/>
      </c>
      <c r="BB50" s="131">
        <f>IF(I50&gt;0,BA50/I50,0)</f>
        <v/>
      </c>
      <c r="BC50" s="79" t="inlineStr">
        <is>
          <t>VERIFIED</t>
        </is>
      </c>
      <c r="BD50" s="132" t="n">
        <v>130792</v>
      </c>
      <c r="BE50" s="131">
        <f>BA42*F42</f>
        <v/>
      </c>
      <c r="BF50" s="131">
        <f>AQ50</f>
        <v/>
      </c>
      <c r="BG50" s="132">
        <f>AS50-BF50</f>
        <v/>
      </c>
      <c r="BH50" s="133">
        <f>IF(AS50&gt;0,BG50/AS50,0)</f>
        <v/>
      </c>
      <c r="BI50" s="109" t="inlineStr">
        <is>
          <t>DINO LOCKED</t>
        </is>
      </c>
      <c r="BJ50" s="139" t="n">
        <v>130792</v>
      </c>
      <c r="BK50" s="131" t="n">
        <v>1961880</v>
      </c>
      <c r="BL50" s="134" t="n">
        <v>0.1286276428731625</v>
      </c>
      <c r="BO50" s="135" t="n">
        <v>1830913</v>
      </c>
      <c r="BP50" s="135" t="n">
        <v>55430</v>
      </c>
      <c r="BQ50" s="135" t="n">
        <v>69230</v>
      </c>
      <c r="BR50" s="0" t="n">
        <v>666779</v>
      </c>
      <c r="BS50" s="0" t="n">
        <v>753460</v>
      </c>
      <c r="BT50" s="0" t="n">
        <v>188365</v>
      </c>
      <c r="BU50" s="0" t="n">
        <v>90723</v>
      </c>
    </row>
    <row r="51" ht="15.75" customHeight="1" s="69">
      <c r="A51" s="29" t="n">
        <v>40</v>
      </c>
      <c r="B51" s="125" t="inlineStr">
        <is>
          <t>Timotheos Timotheou</t>
        </is>
      </c>
      <c r="C51" s="125" t="inlineStr">
        <is>
          <t>Nicosia</t>
        </is>
      </c>
      <c r="D51" s="146" t="n">
        <v>4.5</v>
      </c>
      <c r="E51" s="29" t="inlineStr">
        <is>
          <t>Nicosia26</t>
        </is>
      </c>
      <c r="F51" s="52" t="inlineStr">
        <is>
          <t>AGM</t>
        </is>
      </c>
      <c r="G51" s="126" t="inlineStr">
        <is>
          <t>AGM Sunfield 2</t>
        </is>
      </c>
      <c r="H51" s="52" t="n">
        <v>1.5</v>
      </c>
      <c r="I51" s="52" t="n">
        <v>5</v>
      </c>
      <c r="J51" s="128" t="n">
        <v>4.5</v>
      </c>
      <c r="K51" s="82" t="n">
        <v>1</v>
      </c>
      <c r="L51" s="82" t="n">
        <v>1</v>
      </c>
      <c r="M51" s="29" t="n">
        <v>2</v>
      </c>
      <c r="N51" s="136" t="n">
        <v>106.51</v>
      </c>
      <c r="O51" s="52">
        <f>N43/F43/1000</f>
        <v/>
      </c>
      <c r="P51" s="32">
        <f>L43/K43</f>
        <v/>
      </c>
      <c r="Q51" s="136" t="n">
        <v>585976</v>
      </c>
      <c r="R51" s="130">
        <f>N43/F43/1000</f>
        <v/>
      </c>
      <c r="S51" s="52">
        <f>N43/K43/1000</f>
        <v/>
      </c>
      <c r="T51" s="130">
        <f>N43*0.0266</f>
        <v/>
      </c>
      <c r="U51" s="130" t="n">
        <v>4000</v>
      </c>
      <c r="V51" s="130" t="n">
        <v>4720</v>
      </c>
      <c r="W51" s="130" t="n"/>
      <c r="X51" s="130" t="n">
        <v>2100</v>
      </c>
      <c r="Y51" s="130" t="n">
        <v>3500</v>
      </c>
      <c r="Z51" s="130" t="n">
        <v>2200</v>
      </c>
      <c r="AA51" s="130" t="n">
        <v>5000</v>
      </c>
      <c r="AB51" s="130" t="n">
        <v>3000</v>
      </c>
      <c r="AC51" s="130" t="n">
        <v>2000</v>
      </c>
      <c r="AD51" s="130" t="n"/>
      <c r="AE51" s="130">
        <f>((700*H43)+(400*I43))+1000</f>
        <v/>
      </c>
      <c r="AF51" s="130" t="n"/>
      <c r="AG51" s="130" t="n"/>
      <c r="AH51" s="130" t="n"/>
      <c r="AI51" s="130" t="n">
        <v>24254</v>
      </c>
      <c r="AJ51" s="130">
        <f>J43*4000</f>
        <v/>
      </c>
      <c r="AK51" s="130">
        <f>1500*J43</f>
        <v/>
      </c>
      <c r="AL51" s="130" t="n">
        <v>0</v>
      </c>
      <c r="AM51" s="130" t="n"/>
      <c r="AN51" s="130">
        <f>N43*0.0075</f>
        <v/>
      </c>
      <c r="AO51" s="130" t="n">
        <v>0</v>
      </c>
      <c r="AP51" s="130">
        <f>SUM(T51,U51,V51,W51,X51,Y51,Z51,AA51,AB51,AC51,AD51,AE51,AF51,AG51,AH51,AJ51,AK51,AL51,AM51,AN51,AO51)</f>
        <v/>
      </c>
      <c r="AQ51" s="130">
        <f>Q51+AP51+BA51</f>
        <v/>
      </c>
      <c r="AR51" s="130">
        <f>IF(I51&gt;0,AQ51/I51,0)</f>
        <v/>
      </c>
      <c r="AS51" s="130">
        <f>IF(BD51&gt;0,BD51*I51,BJ51*I51)</f>
        <v/>
      </c>
      <c r="AT51" s="130">
        <f>IF(BD51&gt;0,BD51,BJ51)</f>
        <v/>
      </c>
      <c r="AU51" s="38" t="n"/>
      <c r="AV51" s="0" t="inlineStr">
        <is>
          <t>AGM</t>
        </is>
      </c>
      <c r="AW51" s="0" t="n">
        <v>4</v>
      </c>
      <c r="AX51" s="131" t="n">
        <v>24254</v>
      </c>
      <c r="AY51" s="131" t="n">
        <v>15000</v>
      </c>
      <c r="AZ51" s="131" t="n">
        <v>15000</v>
      </c>
      <c r="BA51" s="131">
        <f>AX51+AY51+AZ51</f>
        <v/>
      </c>
      <c r="BB51" s="131">
        <f>IF(I51&gt;0,BA51/I51,0)</f>
        <v/>
      </c>
      <c r="BC51" s="79" t="inlineStr">
        <is>
          <t>VERIFIED</t>
        </is>
      </c>
      <c r="BD51" s="132" t="n">
        <v>165431</v>
      </c>
      <c r="BE51" s="131">
        <f>BA43*F43</f>
        <v/>
      </c>
      <c r="BF51" s="131">
        <f>AQ51</f>
        <v/>
      </c>
      <c r="BG51" s="132">
        <f>AS51-BF51</f>
        <v/>
      </c>
      <c r="BH51" s="133">
        <f>IF(AS51&gt;0,BG51/AS51,0)</f>
        <v/>
      </c>
      <c r="BI51" s="109" t="inlineStr">
        <is>
          <t>13% MARGIN</t>
        </is>
      </c>
      <c r="BJ51" s="139" t="n">
        <v>150685</v>
      </c>
      <c r="BK51" s="131" t="n">
        <v>753425</v>
      </c>
      <c r="BL51" s="134" t="n">
        <v>0.1150413113448585</v>
      </c>
      <c r="BO51" s="135" t="n">
        <v>673872</v>
      </c>
      <c r="BP51" s="135" t="n">
        <v>30498</v>
      </c>
      <c r="BQ51" s="135" t="n">
        <v>54254</v>
      </c>
      <c r="BR51" s="0" t="n">
        <v>755624</v>
      </c>
      <c r="BS51" s="0" t="n">
        <v>853855</v>
      </c>
      <c r="BT51" s="0" t="n">
        <v>170771</v>
      </c>
      <c r="BU51" s="0" t="n">
        <v>103818</v>
      </c>
    </row>
    <row r="52" ht="15.75" customHeight="1" s="69">
      <c r="A52" s="29" t="n">
        <v>41</v>
      </c>
      <c r="B52" s="125" t="inlineStr">
        <is>
          <t>Timotheos Timotheou</t>
        </is>
      </c>
      <c r="C52" s="125" t="inlineStr">
        <is>
          <t>Nicosia</t>
        </is>
      </c>
      <c r="D52" s="146" t="n">
        <v>1</v>
      </c>
      <c r="E52" s="29" t="inlineStr">
        <is>
          <t>Nicosia27</t>
        </is>
      </c>
      <c r="F52" s="52" t="inlineStr">
        <is>
          <t>AGM</t>
        </is>
      </c>
      <c r="G52" s="126" t="inlineStr">
        <is>
          <t>AGM Sunfield 3</t>
        </is>
      </c>
      <c r="H52" s="52" t="n">
        <v>1</v>
      </c>
      <c r="I52" s="52" t="n">
        <v>4</v>
      </c>
      <c r="J52" s="128" t="n">
        <v>1</v>
      </c>
      <c r="K52" s="82" t="n">
        <v>1</v>
      </c>
      <c r="L52" s="82" t="n">
        <v>1</v>
      </c>
      <c r="M52" s="29" t="n">
        <v>2</v>
      </c>
      <c r="N52" s="136" t="n">
        <v>110.6</v>
      </c>
      <c r="O52" s="52">
        <f>N44/F44/1000</f>
        <v/>
      </c>
      <c r="P52" s="32">
        <f>L44/K44</f>
        <v/>
      </c>
      <c r="Q52" s="136" t="n">
        <v>509419</v>
      </c>
      <c r="R52" s="130">
        <f>N44/F44/1000</f>
        <v/>
      </c>
      <c r="S52" s="52">
        <f>N44/K44/1000</f>
        <v/>
      </c>
      <c r="T52" s="130">
        <f>N44*0.0266</f>
        <v/>
      </c>
      <c r="U52" s="130" t="n">
        <v>4000</v>
      </c>
      <c r="V52" s="130" t="n">
        <v>4720</v>
      </c>
      <c r="W52" s="130" t="n"/>
      <c r="X52" s="130" t="n">
        <v>1400</v>
      </c>
      <c r="Y52" s="130" t="n">
        <v>3500</v>
      </c>
      <c r="Z52" s="130" t="n">
        <v>2200</v>
      </c>
      <c r="AA52" s="130" t="n">
        <v>5000</v>
      </c>
      <c r="AB52" s="130" t="n">
        <v>3000</v>
      </c>
      <c r="AC52" s="130" t="n">
        <v>2000</v>
      </c>
      <c r="AD52" s="130" t="n"/>
      <c r="AE52" s="130">
        <f>((700*H44)+(400*I44))+1000</f>
        <v/>
      </c>
      <c r="AF52" s="130" t="n"/>
      <c r="AG52" s="130" t="n"/>
      <c r="AH52" s="130" t="n"/>
      <c r="AI52" s="130" t="n">
        <v>24254</v>
      </c>
      <c r="AJ52" s="130">
        <f>J44*4000</f>
        <v/>
      </c>
      <c r="AK52" s="130">
        <f>1500*J44</f>
        <v/>
      </c>
      <c r="AL52" s="130" t="n">
        <v>0</v>
      </c>
      <c r="AM52" s="130" t="n"/>
      <c r="AN52" s="130">
        <f>N44*0.0075</f>
        <v/>
      </c>
      <c r="AO52" s="130" t="n">
        <v>0</v>
      </c>
      <c r="AP52" s="130">
        <f>SUM(T52,U52,V52,W52,X52,Y52,Z52,AA52,AB52,AC52,AD52,AE52,AF52,AG52,AH52,AJ52,AK52,AL52,AM52,AN52,AO52)</f>
        <v/>
      </c>
      <c r="AQ52" s="130">
        <f>Q52+AP52+BA52</f>
        <v/>
      </c>
      <c r="AR52" s="130">
        <f>IF(I52&gt;0,AQ52/I52,0)</f>
        <v/>
      </c>
      <c r="AS52" s="130">
        <f>IF(BD52&gt;0,BD52*I52,BJ52*I52)</f>
        <v/>
      </c>
      <c r="AT52" s="130">
        <f>IF(BD52&gt;0,BD52,BJ52)</f>
        <v/>
      </c>
      <c r="AU52" s="38" t="n"/>
      <c r="AV52" s="0" t="inlineStr">
        <is>
          <t>AGM</t>
        </is>
      </c>
      <c r="AW52" s="0" t="n">
        <v>4</v>
      </c>
      <c r="AX52" s="131" t="n">
        <v>24254</v>
      </c>
      <c r="AY52" s="131" t="n">
        <v>15000</v>
      </c>
      <c r="AZ52" s="131" t="n">
        <v>15000</v>
      </c>
      <c r="BA52" s="131">
        <f>AX52+AY52+AZ52</f>
        <v/>
      </c>
      <c r="BB52" s="131">
        <f>IF(I52&gt;0,BA52/I52,0)</f>
        <v/>
      </c>
      <c r="BC52" s="79" t="inlineStr">
        <is>
          <t>VERIFIED</t>
        </is>
      </c>
      <c r="BD52" s="132" t="n">
        <v>165431</v>
      </c>
      <c r="BE52" s="131">
        <f>BA44*F44</f>
        <v/>
      </c>
      <c r="BF52" s="131">
        <f>AQ52</f>
        <v/>
      </c>
      <c r="BG52" s="132">
        <f>AS52-BF52</f>
        <v/>
      </c>
      <c r="BH52" s="133">
        <f>IF(AS52&gt;0,BG52/AS52,0)</f>
        <v/>
      </c>
      <c r="BI52" s="108" t="inlineStr">
        <is>
          <t>13% MARGIN</t>
        </is>
      </c>
      <c r="BJ52" s="132" t="n">
        <v>166532</v>
      </c>
      <c r="BK52" s="131" t="n">
        <v>666128</v>
      </c>
      <c r="BL52" s="134" t="n">
        <v>0.1150454567290371</v>
      </c>
      <c r="BO52" s="135" t="n">
        <v>585832</v>
      </c>
      <c r="BP52" s="135" t="n">
        <v>29693</v>
      </c>
      <c r="BQ52" s="135" t="n">
        <v>54254</v>
      </c>
      <c r="BR52" s="0" t="n">
        <v>1952573</v>
      </c>
      <c r="BS52" s="0" t="n">
        <v>2206407</v>
      </c>
      <c r="BT52" s="0" t="n">
        <v>147094</v>
      </c>
      <c r="BU52" s="0" t="n">
        <v>244527</v>
      </c>
    </row>
    <row r="53" ht="15.75" customHeight="1" s="69">
      <c r="A53" s="29" t="n">
        <v>42</v>
      </c>
      <c r="B53" s="125" t="inlineStr">
        <is>
          <t>Timotheos Timotheou</t>
        </is>
      </c>
      <c r="C53" s="125" t="inlineStr">
        <is>
          <t>Nicosia</t>
        </is>
      </c>
      <c r="D53" s="146" t="n">
        <v>1.5</v>
      </c>
      <c r="E53" s="29" t="inlineStr">
        <is>
          <t>Nicosia28</t>
        </is>
      </c>
      <c r="F53" s="52" t="inlineStr">
        <is>
          <t>LT</t>
        </is>
      </c>
      <c r="G53" s="126" t="inlineStr">
        <is>
          <t>L&amp;T Energia</t>
        </is>
      </c>
      <c r="H53" s="52" t="n">
        <v>1.5</v>
      </c>
      <c r="I53" s="52" t="n">
        <v>5</v>
      </c>
      <c r="J53" s="128" t="n">
        <v>1.5</v>
      </c>
      <c r="K53" s="82" t="n">
        <v>1</v>
      </c>
      <c r="L53" s="82" t="n">
        <v>1</v>
      </c>
      <c r="M53" s="29" t="n">
        <v>2</v>
      </c>
      <c r="N53" s="136" t="n">
        <v>106.51</v>
      </c>
      <c r="O53" s="52">
        <f>N45/F45/1000</f>
        <v/>
      </c>
      <c r="P53" s="32">
        <f>L45/K45</f>
        <v/>
      </c>
      <c r="Q53" s="136" t="n">
        <v>585976</v>
      </c>
      <c r="R53" s="130">
        <f>N45/F45/1000</f>
        <v/>
      </c>
      <c r="S53" s="52">
        <f>N45/K45/1000</f>
        <v/>
      </c>
      <c r="T53" s="130">
        <f>N45*0.0266</f>
        <v/>
      </c>
      <c r="U53" s="130" t="n">
        <v>4000</v>
      </c>
      <c r="V53" s="130" t="n">
        <v>4720</v>
      </c>
      <c r="W53" s="130" t="n"/>
      <c r="X53" s="130" t="n">
        <v>2100</v>
      </c>
      <c r="Y53" s="130" t="n">
        <v>3500</v>
      </c>
      <c r="Z53" s="130" t="n">
        <v>2200</v>
      </c>
      <c r="AA53" s="130" t="n">
        <v>5000</v>
      </c>
      <c r="AB53" s="130" t="n">
        <v>3000</v>
      </c>
      <c r="AC53" s="130" t="n">
        <v>2000</v>
      </c>
      <c r="AD53" s="130" t="n"/>
      <c r="AE53" s="130">
        <f>((700*H45)+(400*I45))+1000</f>
        <v/>
      </c>
      <c r="AF53" s="130" t="n"/>
      <c r="AG53" s="130" t="n"/>
      <c r="AH53" s="130" t="n"/>
      <c r="AI53" s="130" t="n">
        <v>24254</v>
      </c>
      <c r="AJ53" s="130">
        <f>J45*4000</f>
        <v/>
      </c>
      <c r="AK53" s="130">
        <f>1500*J45</f>
        <v/>
      </c>
      <c r="AL53" s="130" t="n">
        <v>0</v>
      </c>
      <c r="AM53" s="130" t="n"/>
      <c r="AN53" s="130">
        <f>N45*0.0075</f>
        <v/>
      </c>
      <c r="AO53" s="130" t="n">
        <v>0</v>
      </c>
      <c r="AP53" s="130">
        <f>SUM(T53,U53,V53,W53,X53,Y53,Z53,AA53,AB53,AC53,AD53,AE53,AF53,AG53,AH53,AJ53,AK53,AL53,AM53,AN53,AO53)</f>
        <v/>
      </c>
      <c r="AQ53" s="130">
        <f>Q53+AP53+BA53</f>
        <v/>
      </c>
      <c r="AR53" s="130">
        <f>IF(I53&gt;0,AQ53/I53,0)</f>
        <v/>
      </c>
      <c r="AS53" s="130">
        <f>IF(BD53&gt;0,BD53*I53,BJ53*I53)</f>
        <v/>
      </c>
      <c r="AT53" s="130">
        <f>IF(BD53&gt;0,BD53,BJ53)</f>
        <v/>
      </c>
      <c r="AU53" s="38" t="n"/>
      <c r="AV53" s="0" t="inlineStr">
        <is>
          <t>LT</t>
        </is>
      </c>
      <c r="AW53" s="0" t="n">
        <v>5</v>
      </c>
      <c r="AX53" s="131" t="n">
        <v>24254</v>
      </c>
      <c r="AY53" s="131" t="n">
        <v>15000</v>
      </c>
      <c r="AZ53" s="131" t="n">
        <v>12000</v>
      </c>
      <c r="BA53" s="131">
        <f>AX53+AY53+AZ53</f>
        <v/>
      </c>
      <c r="BB53" s="131">
        <f>IF(I53&gt;0,BA53/I53,0)</f>
        <v/>
      </c>
      <c r="BC53" s="79" t="inlineStr">
        <is>
          <t>VERIFIED</t>
        </is>
      </c>
      <c r="BD53" s="132" t="n">
        <v>165431</v>
      </c>
      <c r="BE53" s="131">
        <f>BA45*F45</f>
        <v/>
      </c>
      <c r="BF53" s="131">
        <f>AQ53</f>
        <v/>
      </c>
      <c r="BG53" s="132">
        <f>AS53-BF53</f>
        <v/>
      </c>
      <c r="BH53" s="133">
        <f>IF(AS53&gt;0,BG53/AS53,0)</f>
        <v/>
      </c>
      <c r="BI53" s="109" t="inlineStr">
        <is>
          <t>13% MARGIN</t>
        </is>
      </c>
      <c r="BJ53" s="139" t="n">
        <v>150007</v>
      </c>
      <c r="BK53" s="131" t="n">
        <v>750035</v>
      </c>
      <c r="BL53" s="134" t="n">
        <v>0.1150412980727566</v>
      </c>
      <c r="BO53" s="135" t="n">
        <v>673872</v>
      </c>
      <c r="BP53" s="135" t="n">
        <v>30498</v>
      </c>
      <c r="BQ53" s="135" t="n">
        <v>51254</v>
      </c>
      <c r="BR53" s="0" t="n">
        <v>755624</v>
      </c>
      <c r="BS53" s="0" t="n">
        <v>853855</v>
      </c>
      <c r="BT53" s="0" t="n">
        <v>170771</v>
      </c>
      <c r="BU53" s="0" t="n">
        <v>103818</v>
      </c>
    </row>
    <row r="54" ht="15.75" customHeight="1" s="69">
      <c r="A54" s="29" t="n">
        <v>43</v>
      </c>
      <c r="B54" s="125" t="inlineStr">
        <is>
          <t>Timotheos Timotheou</t>
        </is>
      </c>
      <c r="C54" s="125" t="inlineStr">
        <is>
          <t>Nicosia</t>
        </is>
      </c>
      <c r="D54" s="146" t="n">
        <v>1</v>
      </c>
      <c r="E54" s="29" t="inlineStr">
        <is>
          <t>Nicosia29</t>
        </is>
      </c>
      <c r="F54" s="52" t="inlineStr">
        <is>
          <t>LT</t>
        </is>
      </c>
      <c r="G54" s="126" t="inlineStr">
        <is>
          <t>L&amp;T PV Tech</t>
        </is>
      </c>
      <c r="H54" s="52" t="n">
        <v>1</v>
      </c>
      <c r="I54" s="52" t="n">
        <v>4</v>
      </c>
      <c r="J54" s="128" t="n">
        <v>1</v>
      </c>
      <c r="K54" s="82" t="n">
        <v>1</v>
      </c>
      <c r="L54" s="82" t="n">
        <v>1</v>
      </c>
      <c r="M54" s="29" t="n">
        <v>2</v>
      </c>
      <c r="N54" s="129" t="n">
        <v>110.6</v>
      </c>
      <c r="O54" s="52">
        <f>N46/F46/1000</f>
        <v/>
      </c>
      <c r="P54" s="32">
        <f>L46/K46</f>
        <v/>
      </c>
      <c r="Q54" s="129" t="n">
        <v>509419</v>
      </c>
      <c r="R54" s="130">
        <f>N46/F46/1000</f>
        <v/>
      </c>
      <c r="S54" s="52">
        <f>N46/K46/1000</f>
        <v/>
      </c>
      <c r="T54" s="130">
        <f>N46*0.0266</f>
        <v/>
      </c>
      <c r="U54" s="130" t="n">
        <v>4000</v>
      </c>
      <c r="V54" s="130" t="n">
        <v>4720</v>
      </c>
      <c r="W54" s="130" t="n"/>
      <c r="X54" s="130" t="n">
        <v>1400</v>
      </c>
      <c r="Y54" s="130" t="n">
        <v>3500</v>
      </c>
      <c r="Z54" s="130" t="n">
        <v>2200</v>
      </c>
      <c r="AA54" s="130" t="n">
        <v>5000</v>
      </c>
      <c r="AB54" s="130" t="n">
        <v>3000</v>
      </c>
      <c r="AC54" s="130" t="n">
        <v>2000</v>
      </c>
      <c r="AD54" s="130" t="n"/>
      <c r="AE54" s="130">
        <f>((700*H46)+(400*I46))+1000</f>
        <v/>
      </c>
      <c r="AF54" s="130" t="n"/>
      <c r="AG54" s="130" t="n"/>
      <c r="AH54" s="130" t="n"/>
      <c r="AI54" s="130" t="n">
        <v>24254</v>
      </c>
      <c r="AJ54" s="130">
        <f>J46*4000</f>
        <v/>
      </c>
      <c r="AK54" s="130">
        <f>1500*J46</f>
        <v/>
      </c>
      <c r="AL54" s="130" t="n">
        <v>0</v>
      </c>
      <c r="AM54" s="130" t="n"/>
      <c r="AN54" s="130">
        <f>N46*0.0075</f>
        <v/>
      </c>
      <c r="AO54" s="130" t="n">
        <v>0</v>
      </c>
      <c r="AP54" s="130">
        <f>SUM(T54,U54,V54,W54,X54,Y54,Z54,AA54,AB54,AC54,AD54,AE54,AF54,AG54,AH54,AJ54,AK54,AL54,AM54,AN54,AO54)</f>
        <v/>
      </c>
      <c r="AQ54" s="130">
        <f>Q54+AP54+BA54</f>
        <v/>
      </c>
      <c r="AR54" s="130">
        <f>IF(I54&gt;0,AQ54/I54,0)</f>
        <v/>
      </c>
      <c r="AS54" s="130">
        <f>IF(BD54&gt;0,BD54*I54,BJ54*I54)</f>
        <v/>
      </c>
      <c r="AT54" s="130">
        <f>IF(BD54&gt;0,BD54,BJ54)</f>
        <v/>
      </c>
      <c r="AU54" s="38" t="n"/>
      <c r="AV54" s="0" t="inlineStr">
        <is>
          <t>LT</t>
        </is>
      </c>
      <c r="AW54" s="0" t="n">
        <v>5</v>
      </c>
      <c r="AX54" s="131" t="n">
        <v>24254</v>
      </c>
      <c r="AY54" s="131" t="n">
        <v>15000</v>
      </c>
      <c r="AZ54" s="131" t="n">
        <v>12000</v>
      </c>
      <c r="BA54" s="131">
        <f>AX54+AY54+AZ54</f>
        <v/>
      </c>
      <c r="BB54" s="131">
        <f>IF(I54&gt;0,BA54/I54,0)</f>
        <v/>
      </c>
      <c r="BC54" s="79" t="inlineStr">
        <is>
          <t>VERIFIED</t>
        </is>
      </c>
      <c r="BD54" s="132" t="n">
        <v>165431</v>
      </c>
      <c r="BE54" s="131">
        <f>BA46*F46</f>
        <v/>
      </c>
      <c r="BF54" s="131">
        <f>AQ54</f>
        <v/>
      </c>
      <c r="BG54" s="132">
        <f>AS54-BF54</f>
        <v/>
      </c>
      <c r="BH54" s="133">
        <f>IF(AS54&gt;0,BG54/AS54,0)</f>
        <v/>
      </c>
      <c r="BI54" s="109" t="inlineStr">
        <is>
          <t>13% MARGIN</t>
        </is>
      </c>
      <c r="BJ54" s="139" t="n">
        <v>165684</v>
      </c>
      <c r="BK54" s="131" t="n">
        <v>662736</v>
      </c>
      <c r="BL54" s="134" t="n">
        <v>0.115042792303421</v>
      </c>
      <c r="BO54" s="135" t="n">
        <v>585832</v>
      </c>
      <c r="BP54" s="135" t="n">
        <v>29693</v>
      </c>
      <c r="BQ54" s="135" t="n">
        <v>51254</v>
      </c>
      <c r="BR54" s="0" t="n">
        <v>666779</v>
      </c>
      <c r="BS54" s="0" t="n">
        <v>753460</v>
      </c>
      <c r="BT54" s="0" t="n">
        <v>188365</v>
      </c>
      <c r="BU54" s="0" t="n">
        <v>90723</v>
      </c>
    </row>
    <row r="55" ht="15.75" customHeight="1" s="69">
      <c r="A55" s="64" t="n"/>
      <c r="D55" s="147" t="n"/>
      <c r="E55" s="64" t="n"/>
      <c r="F55" s="64" t="n"/>
      <c r="G55" s="64" t="n"/>
      <c r="H55" s="38" t="n"/>
      <c r="I55" s="38" t="n"/>
      <c r="J55" s="147" t="n"/>
      <c r="K55" s="64" t="n"/>
      <c r="L55" s="64" t="n"/>
      <c r="M55" s="64" t="n"/>
      <c r="N55" s="148" t="n"/>
      <c r="O55" s="64" t="n"/>
      <c r="P55" s="55" t="n"/>
      <c r="Q55" s="149" t="n"/>
      <c r="R55" s="149" t="n"/>
      <c r="S55" s="64" t="n"/>
      <c r="T55" s="149" t="n"/>
      <c r="U55" s="149" t="n"/>
      <c r="V55" s="149" t="n"/>
      <c r="W55" s="149" t="n"/>
      <c r="X55" s="149" t="n"/>
      <c r="Y55" s="149" t="n"/>
      <c r="Z55" s="149" t="n"/>
      <c r="AA55" s="149" t="n"/>
      <c r="AB55" s="149" t="n"/>
      <c r="AC55" s="149" t="n"/>
      <c r="AD55" s="149" t="n"/>
      <c r="AE55" s="149" t="n"/>
      <c r="AF55" s="149" t="n"/>
      <c r="AG55" s="149" t="n"/>
      <c r="AH55" s="149" t="n"/>
      <c r="AI55" s="149" t="n"/>
      <c r="AJ55" s="149" t="n"/>
      <c r="AK55" s="149" t="n"/>
      <c r="AL55" s="149" t="n"/>
      <c r="AM55" s="149" t="n"/>
      <c r="AN55" s="149" t="n"/>
      <c r="AO55" s="149" t="n"/>
      <c r="AP55" s="149" t="n"/>
      <c r="AQ55" s="149" t="n"/>
      <c r="AR55" s="149" t="n"/>
      <c r="AS55" s="130" t="n"/>
      <c r="AT55" s="149" t="n"/>
      <c r="AU55" s="64" t="n"/>
      <c r="AX55" s="131" t="n"/>
      <c r="AY55" s="131" t="n"/>
      <c r="AZ55" s="131" t="n"/>
      <c r="BA55" s="131" t="n"/>
      <c r="BB55" s="131" t="n"/>
      <c r="BD55" s="131" t="n"/>
      <c r="BE55" s="131" t="n"/>
      <c r="BF55" s="131" t="n"/>
      <c r="BG55" s="131" t="n"/>
      <c r="BH55" s="134" t="n"/>
      <c r="BJ55" s="131" t="n"/>
      <c r="BK55" s="131" t="n"/>
      <c r="BL55" s="134" t="n"/>
      <c r="BO55" s="131" t="n"/>
      <c r="BP55" s="131" t="n"/>
      <c r="BQ55" s="131" t="n"/>
    </row>
    <row r="56">
      <c r="A56" s="62" t="inlineStr">
        <is>
          <t>Average</t>
        </is>
      </c>
      <c r="D56" s="147" t="n"/>
      <c r="E56" s="87" t="inlineStr">
        <is>
          <t>TOTALS</t>
        </is>
      </c>
      <c r="F56" s="62" t="n"/>
      <c r="G56" s="87" t="inlineStr">
        <is>
          <t>TOTALS</t>
        </is>
      </c>
      <c r="H56" s="150">
        <f>SUM(H4:H54)</f>
        <v/>
      </c>
      <c r="I56" s="150">
        <f>SUM(I4:I54)</f>
        <v/>
      </c>
      <c r="J56" s="147" t="n"/>
      <c r="K56" s="62" t="inlineStr">
        <is>
          <t>Average</t>
        </is>
      </c>
      <c r="L56" s="62" t="inlineStr">
        <is>
          <t>Average</t>
        </is>
      </c>
      <c r="M56" s="62" t="inlineStr">
        <is>
          <t>Average</t>
        </is>
      </c>
      <c r="N56" s="151" t="inlineStr">
        <is>
          <t>Average</t>
        </is>
      </c>
      <c r="O56" s="62" t="inlineStr">
        <is>
          <t>Average</t>
        </is>
      </c>
      <c r="P56" s="62" t="inlineStr">
        <is>
          <t>Average</t>
        </is>
      </c>
      <c r="Q56" s="152">
        <f>SUM(Q4:Q54)</f>
        <v/>
      </c>
      <c r="R56" s="151" t="inlineStr">
        <is>
          <t>Average</t>
        </is>
      </c>
      <c r="S56" s="62" t="inlineStr">
        <is>
          <t>Average</t>
        </is>
      </c>
      <c r="T56" s="151" t="inlineStr">
        <is>
          <t>Average</t>
        </is>
      </c>
      <c r="U56" s="151" t="inlineStr">
        <is>
          <t>Average</t>
        </is>
      </c>
      <c r="V56" s="151" t="inlineStr">
        <is>
          <t>Average</t>
        </is>
      </c>
      <c r="W56" s="151" t="n"/>
      <c r="X56" s="151" t="inlineStr">
        <is>
          <t>Average</t>
        </is>
      </c>
      <c r="Y56" s="151" t="inlineStr">
        <is>
          <t>Average</t>
        </is>
      </c>
      <c r="Z56" s="151" t="inlineStr">
        <is>
          <t>Average</t>
        </is>
      </c>
      <c r="AA56" s="151" t="inlineStr">
        <is>
          <t>Average</t>
        </is>
      </c>
      <c r="AB56" s="151" t="inlineStr">
        <is>
          <t>Average</t>
        </is>
      </c>
      <c r="AC56" s="151" t="inlineStr">
        <is>
          <t>Average</t>
        </is>
      </c>
      <c r="AD56" s="151" t="inlineStr">
        <is>
          <t>Average</t>
        </is>
      </c>
      <c r="AE56" s="151" t="inlineStr">
        <is>
          <t>Average</t>
        </is>
      </c>
      <c r="AF56" s="151" t="inlineStr">
        <is>
          <t>Average</t>
        </is>
      </c>
      <c r="AG56" s="151" t="inlineStr">
        <is>
          <t>Average</t>
        </is>
      </c>
      <c r="AH56" s="151" t="inlineStr">
        <is>
          <t>Average</t>
        </is>
      </c>
      <c r="AI56" s="151" t="n"/>
      <c r="AJ56" s="151" t="inlineStr">
        <is>
          <t>Average</t>
        </is>
      </c>
      <c r="AK56" s="151" t="inlineStr">
        <is>
          <t>Average</t>
        </is>
      </c>
      <c r="AL56" s="151" t="inlineStr">
        <is>
          <t>Average</t>
        </is>
      </c>
      <c r="AM56" s="151" t="inlineStr">
        <is>
          <t>Average</t>
        </is>
      </c>
      <c r="AN56" s="151" t="inlineStr">
        <is>
          <t>Average</t>
        </is>
      </c>
      <c r="AO56" s="151" t="inlineStr">
        <is>
          <t>Average</t>
        </is>
      </c>
      <c r="AP56" s="152">
        <f>SUM(AP4:AP54)</f>
        <v/>
      </c>
      <c r="AQ56" s="152">
        <f>SUM(AQ4:AQ54)</f>
        <v/>
      </c>
      <c r="AR56" s="151" t="inlineStr">
        <is>
          <t>Average</t>
        </is>
      </c>
      <c r="AS56" s="152">
        <f>SUM(AS4:AS54)</f>
        <v/>
      </c>
      <c r="AT56" s="151" t="inlineStr">
        <is>
          <t>Average</t>
        </is>
      </c>
      <c r="AU56" s="64" t="n"/>
      <c r="AX56" s="131" t="n"/>
      <c r="AY56" s="131" t="n"/>
      <c r="AZ56" s="131" t="n"/>
      <c r="BA56" s="152">
        <f>SUM(BA4:BA54)</f>
        <v/>
      </c>
      <c r="BB56" s="152">
        <f>SUM(BA4:BA50)</f>
        <v/>
      </c>
      <c r="BD56" s="131" t="n"/>
      <c r="BE56" s="152">
        <f>SUM(BB4:BB51)</f>
        <v/>
      </c>
      <c r="BF56" s="152">
        <f>SUM(BF4:BF54)</f>
        <v/>
      </c>
      <c r="BG56" s="152">
        <f>SUM(BG4:BG54)</f>
        <v/>
      </c>
      <c r="BH56" s="153">
        <f>IF(AS56&gt;0,BG56/AS56,0)</f>
        <v/>
      </c>
      <c r="BJ56" s="131" t="n"/>
      <c r="BK56" s="152">
        <f>SUM(BJ4:BJ51)</f>
        <v/>
      </c>
      <c r="BL56" s="134" t="n"/>
      <c r="BO56" s="131" t="n"/>
      <c r="BP56" s="131" t="n"/>
      <c r="BQ56" s="131" t="n"/>
    </row>
    <row r="57">
      <c r="A57" s="64" t="n"/>
      <c r="E57" s="64" t="n"/>
      <c r="F57" s="38" t="n"/>
      <c r="G57" s="38" t="n"/>
      <c r="H57" s="38">
        <f>AVERAGE(E4:E50)</f>
        <v/>
      </c>
      <c r="I57" s="38">
        <f>AVERAGE(F4:F50)</f>
        <v/>
      </c>
      <c r="K57" s="64">
        <f>AVERAGE(G4:G50)</f>
        <v/>
      </c>
      <c r="L57" s="64">
        <f>AVERAGE(H4:H50)</f>
        <v/>
      </c>
      <c r="M57" s="64">
        <f>AVERAGE(I4:I50)</f>
        <v/>
      </c>
      <c r="N57" s="61">
        <f>AVERAGE(J4:J50)</f>
        <v/>
      </c>
      <c r="O57" s="38">
        <f>AVERAGE(K4:K50)</f>
        <v/>
      </c>
      <c r="P57" s="55" t="n"/>
      <c r="Q57" s="56">
        <f>AVERAGE(M4:M50)</f>
        <v/>
      </c>
      <c r="R57" s="38">
        <f>AVERAGE(N4:N50)</f>
        <v/>
      </c>
      <c r="S57" s="38">
        <f>AVERAGE(O4:O50)</f>
        <v/>
      </c>
      <c r="T57" s="56">
        <f>AVERAGE(P4:P50)</f>
        <v/>
      </c>
      <c r="U57" s="56">
        <f>AVERAGE(Q4:Q50)</f>
        <v/>
      </c>
      <c r="V57" s="56">
        <f>AVERAGE(R4:R50)</f>
        <v/>
      </c>
      <c r="W57" s="56" t="n"/>
      <c r="X57" s="56">
        <f>AVERAGE(T4:T50)</f>
        <v/>
      </c>
      <c r="Y57" s="56">
        <f>AVERAGE(U4:U50)</f>
        <v/>
      </c>
      <c r="Z57" s="56">
        <f>AVERAGE(V4:V50)</f>
        <v/>
      </c>
      <c r="AA57" s="56">
        <f>AVERAGE(W4:W50)</f>
        <v/>
      </c>
      <c r="AB57" s="56">
        <f>AVERAGE(X4:X50)</f>
        <v/>
      </c>
      <c r="AC57" s="56">
        <f>AVERAGE(Y4:Y50)</f>
        <v/>
      </c>
      <c r="AD57" s="56" t="n"/>
      <c r="AE57" s="56" t="n"/>
      <c r="AF57" s="56" t="n"/>
      <c r="AG57" s="56" t="n"/>
      <c r="AH57" s="56" t="n"/>
      <c r="AI57" s="56" t="n"/>
      <c r="AJ57" s="56">
        <f>AVERAGE(AH4:AH50)</f>
        <v/>
      </c>
      <c r="AK57" s="56" t="n"/>
      <c r="AL57" s="56">
        <f>AVERAGE(AJ4:AJ50)</f>
        <v/>
      </c>
      <c r="AM57" s="56">
        <f>AVERAGE(AK4:AK50)</f>
        <v/>
      </c>
      <c r="AN57" s="56">
        <f>AVERAGE(AL4:AL50)</f>
        <v/>
      </c>
      <c r="AO57" s="57">
        <f>AVERAGE(AM4:AM50)</f>
        <v/>
      </c>
      <c r="AP57" s="57">
        <f>AVERAGE(AN4:AN50)</f>
        <v/>
      </c>
      <c r="AQ57" s="57">
        <f>AVERAGE(AO4:AO50)</f>
        <v/>
      </c>
      <c r="AR57" s="57">
        <f>AVERAGE(AP4:AP50)</f>
        <v/>
      </c>
      <c r="AS57" s="57">
        <f>AVERAGE(AQ4:AQ50)</f>
        <v/>
      </c>
      <c r="AT57" s="57">
        <f>AVERAGE(AR4:AR50)</f>
        <v/>
      </c>
      <c r="AU57" s="38" t="n"/>
    </row>
    <row r="58">
      <c r="A58" s="62" t="inlineStr">
        <is>
          <t>Total</t>
        </is>
      </c>
      <c r="E58" s="89" t="inlineStr">
        <is>
          <t>DATA VERIFICATION STATUS</t>
        </is>
      </c>
      <c r="F58" s="62" t="n"/>
      <c r="G58" s="62" t="n"/>
      <c r="H58" s="62" t="inlineStr">
        <is>
          <t>Total</t>
        </is>
      </c>
      <c r="I58" s="62" t="inlineStr">
        <is>
          <t>Total</t>
        </is>
      </c>
      <c r="K58" s="62" t="inlineStr">
        <is>
          <t>Total</t>
        </is>
      </c>
      <c r="L58" s="62" t="inlineStr">
        <is>
          <t>Total</t>
        </is>
      </c>
      <c r="M58" s="62" t="inlineStr">
        <is>
          <t>Total</t>
        </is>
      </c>
      <c r="N58" s="62" t="inlineStr">
        <is>
          <t>Total</t>
        </is>
      </c>
      <c r="O58" s="62" t="inlineStr">
        <is>
          <t>Total</t>
        </is>
      </c>
      <c r="P58" s="62" t="inlineStr">
        <is>
          <t>Total</t>
        </is>
      </c>
      <c r="Q58" s="62" t="inlineStr">
        <is>
          <t>Total</t>
        </is>
      </c>
      <c r="R58" s="62" t="inlineStr">
        <is>
          <t>Total</t>
        </is>
      </c>
      <c r="S58" s="62" t="inlineStr">
        <is>
          <t>Total</t>
        </is>
      </c>
      <c r="T58" s="62" t="inlineStr">
        <is>
          <t>Total</t>
        </is>
      </c>
      <c r="U58" s="62" t="inlineStr">
        <is>
          <t>Total</t>
        </is>
      </c>
      <c r="V58" s="62" t="inlineStr">
        <is>
          <t>Total</t>
        </is>
      </c>
      <c r="W58" s="62" t="n"/>
      <c r="X58" s="62" t="inlineStr">
        <is>
          <t>Total</t>
        </is>
      </c>
      <c r="Y58" s="62" t="inlineStr">
        <is>
          <t>Total</t>
        </is>
      </c>
      <c r="Z58" s="62" t="inlineStr">
        <is>
          <t>Total</t>
        </is>
      </c>
      <c r="AA58" s="62" t="inlineStr">
        <is>
          <t>Total</t>
        </is>
      </c>
      <c r="AB58" s="62" t="inlineStr">
        <is>
          <t>Total</t>
        </is>
      </c>
      <c r="AC58" s="62" t="inlineStr">
        <is>
          <t>Total</t>
        </is>
      </c>
      <c r="AD58" s="62" t="inlineStr">
        <is>
          <t>Total</t>
        </is>
      </c>
      <c r="AE58" s="62" t="inlineStr">
        <is>
          <t>Total</t>
        </is>
      </c>
      <c r="AF58" s="62" t="inlineStr">
        <is>
          <t>Total</t>
        </is>
      </c>
      <c r="AG58" s="62" t="inlineStr">
        <is>
          <t>Total</t>
        </is>
      </c>
      <c r="AH58" s="62" t="inlineStr">
        <is>
          <t>Total</t>
        </is>
      </c>
      <c r="AI58" s="62" t="n"/>
      <c r="AJ58" s="62" t="inlineStr">
        <is>
          <t>Total</t>
        </is>
      </c>
      <c r="AK58" s="62" t="inlineStr">
        <is>
          <t>Total</t>
        </is>
      </c>
      <c r="AL58" s="62" t="inlineStr">
        <is>
          <t>Total</t>
        </is>
      </c>
      <c r="AM58" s="62" t="inlineStr">
        <is>
          <t>Total</t>
        </is>
      </c>
      <c r="AN58" s="62" t="inlineStr">
        <is>
          <t>Total</t>
        </is>
      </c>
      <c r="AO58" s="63" t="inlineStr">
        <is>
          <t>Total mvh</t>
        </is>
      </c>
      <c r="AP58" s="63" t="inlineStr">
        <is>
          <t>Total anual service</t>
        </is>
      </c>
      <c r="AQ58" s="63" t="inlineStr">
        <is>
          <t>Total</t>
        </is>
      </c>
      <c r="AR58" s="63" t="inlineStr">
        <is>
          <t>Margin</t>
        </is>
      </c>
      <c r="AS58" s="63" t="inlineStr">
        <is>
          <t>Total</t>
        </is>
      </c>
      <c r="AT58" s="57" t="n"/>
      <c r="AU58" s="64" t="n"/>
    </row>
    <row r="59">
      <c r="A59" s="64" t="n"/>
      <c r="E59" s="90" t="inlineStr">
        <is>
          <t>VERIFIED: 42 parks (Voltus Quote + PV Plants List)</t>
        </is>
      </c>
      <c r="F59" s="64" t="n"/>
      <c r="G59" s="64" t="n"/>
      <c r="H59" s="64" t="n"/>
      <c r="I59" s="38">
        <f>SUM(F4:F50)</f>
        <v/>
      </c>
      <c r="K59" s="64">
        <f>SUM(G4:G50)</f>
        <v/>
      </c>
      <c r="L59" s="64">
        <f>SUM(H4:H50)</f>
        <v/>
      </c>
      <c r="M59" s="64">
        <f>SUM(I4:I50)</f>
        <v/>
      </c>
      <c r="N59" s="38">
        <f>SUM(J4:J50)</f>
        <v/>
      </c>
      <c r="O59" s="38">
        <f>SUM(K4:K50)</f>
        <v/>
      </c>
      <c r="P59" s="55">
        <f>SUM(L4:L50)</f>
        <v/>
      </c>
      <c r="Q59" s="56">
        <f>SUM(M4:M50)</f>
        <v/>
      </c>
      <c r="R59" s="38">
        <f>SUM(N4:N50)</f>
        <v/>
      </c>
      <c r="S59" s="38">
        <f>SUM(O4:O50)</f>
        <v/>
      </c>
      <c r="T59" s="56">
        <f>SUM(P4:P50)</f>
        <v/>
      </c>
      <c r="U59" s="56">
        <f>SUM(Q4:Q50)</f>
        <v/>
      </c>
      <c r="V59" s="56">
        <f>SUM(R4:R50)</f>
        <v/>
      </c>
      <c r="W59" s="64" t="n"/>
      <c r="X59" s="56">
        <f>SUM(T4:T50)</f>
        <v/>
      </c>
      <c r="Y59" s="56">
        <f>SUM(U4:U50)</f>
        <v/>
      </c>
      <c r="Z59" s="56">
        <f>SUM(V4:V50)</f>
        <v/>
      </c>
      <c r="AA59" s="56">
        <f>SUM(W4:W50)</f>
        <v/>
      </c>
      <c r="AB59" s="56">
        <f>SUM(X4:X50)</f>
        <v/>
      </c>
      <c r="AC59" s="56">
        <f>SUM(Y4:Y50)</f>
        <v/>
      </c>
      <c r="AD59" s="56">
        <f>SUM(Z4:Z50)</f>
        <v/>
      </c>
      <c r="AE59" s="56">
        <f>SUM(AA4:AA50)</f>
        <v/>
      </c>
      <c r="AF59" s="56">
        <f>SUM(AB4:AB50)</f>
        <v/>
      </c>
      <c r="AG59" s="56">
        <f>SUM(AC4:AC50)</f>
        <v/>
      </c>
      <c r="AH59" s="56">
        <f>SUM(AD4:AD50)</f>
        <v/>
      </c>
      <c r="AI59" s="64" t="n"/>
      <c r="AJ59" s="56">
        <f>SUM(AH4:AH50)</f>
        <v/>
      </c>
      <c r="AK59" s="56">
        <f>SUM(AI4:AI50)</f>
        <v/>
      </c>
      <c r="AL59" s="56">
        <f>SUM(AJ4:AJ50)</f>
        <v/>
      </c>
      <c r="AM59" s="56">
        <f>SUM(AK4:AK50)</f>
        <v/>
      </c>
      <c r="AN59" s="56">
        <f>SUM(AL4:AL50)</f>
        <v/>
      </c>
      <c r="AO59" s="57">
        <f>F55</f>
        <v/>
      </c>
      <c r="AP59" s="57">
        <f>AM55*1750</f>
        <v/>
      </c>
      <c r="AQ59" s="57">
        <f>SUM(AO4:AO50)</f>
        <v/>
      </c>
      <c r="AR59" s="57">
        <f>AQ55-AO55</f>
        <v/>
      </c>
      <c r="AS59" s="57">
        <f>SUM(AQ4:AQ50)</f>
        <v/>
      </c>
      <c r="AT59" s="57">
        <f>SUM(AR4:AR50)</f>
        <v/>
      </c>
      <c r="AU59" s="64" t="n"/>
    </row>
    <row r="60">
      <c r="E60" s="81" t="inlineStr">
        <is>
          <t>UNVERIFIED: 5 parks (2028 Esperia - Estimates)</t>
        </is>
      </c>
    </row>
    <row r="62">
      <c r="A62" s="89" t="inlineStr">
        <is>
          <t>LEGEND:</t>
        </is>
      </c>
      <c r="E62" s="87" t="inlineStr">
        <is>
          <t>PURPLE=Info | DARK BLUE=CIF/Equipment | BLUE=Subcontractor Adders | GREEN=EMS/SCADA | GOLD=Dino Pricing | ORANGE=Target | NAVY BLUE=Individual Order (+15%)</t>
        </is>
      </c>
    </row>
    <row r="63">
      <c r="A63" s="0" t="inlineStr">
        <is>
          <t>Price Types:</t>
        </is>
      </c>
      <c r="E63" s="0" t="inlineStr">
        <is>
          <t>DINO LOCKED = Fixed price | 13% MARGIN = Re-priced at 13% | 9% MARGIN = Re-priced at 9% | NEW ABIO = New park NEEDS VERIFICATION</t>
        </is>
      </c>
    </row>
    <row r="64">
      <c r="A64" s="0" t="inlineStr">
        <is>
          <t>Note:</t>
        </is>
      </c>
      <c r="E64" s="0" t="inlineStr">
        <is>
          <t>RED status cells = NEEDS VERIFICATION | YELLOW data cells = ESTIMATED costs | ALL PRICING MUST REFERENCE THIS SPREADSHEET AS SINGLE SOURCE OF TRUTH</t>
        </is>
      </c>
    </row>
    <row r="65">
      <c r="E65" s="0" t="inlineStr">
        <is>
          <t>- CIF prices: Linyang Quotation Jan 2026</t>
        </is>
      </c>
    </row>
    <row r="66">
      <c r="E66" s="0" t="inlineStr">
        <is>
          <t>- SCADA Global: EUR 60,000 per group (allocated by parks in group)</t>
        </is>
      </c>
    </row>
    <row r="67">
      <c r="E67" s="0" t="inlineStr">
        <is>
          <t>- SCADA Local: EUR 15,000 per park</t>
        </is>
      </c>
    </row>
  </sheetData>
  <pageMargins left="0.7" right="0.7" top="0.75" bottom="0.75" header="0" footer="0"/>
  <pageSetup orientation="landscape" fitToHeight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88.71" customWidth="1" style="69" min="1" max="1"/>
    <col width="27.29" customWidth="1" style="69" min="2" max="2"/>
  </cols>
  <sheetData>
    <row r="1" ht="24" customHeight="1" s="69">
      <c r="A1" s="65" t="inlineStr">
        <is>
          <t>No</t>
        </is>
      </c>
      <c r="B1" s="65" t="inlineStr">
        <is>
          <t>Checked</t>
        </is>
      </c>
    </row>
    <row r="2" ht="24" customHeight="1" s="69">
      <c r="A2" s="68" t="inlineStr">
        <is>
          <t>MV interface works (physical connection)</t>
        </is>
      </c>
      <c r="B2" s="67" t="n"/>
    </row>
    <row r="3" ht="24" customHeight="1" s="69">
      <c r="A3" s="68" t="inlineStr">
        <is>
          <t>MV outage planning + method statement + switching plan with the DSO / site owner.</t>
        </is>
      </c>
      <c r="B3" s="67" t="n"/>
    </row>
    <row r="4" ht="24" customHeight="1" s="69">
      <c r="A4" s="68" t="inlineStr">
        <is>
          <t>Interruption works to move / re-terminate the existing PV MV feeder into the NEW RMU (the “existing MV cable” shown).</t>
        </is>
      </c>
      <c r="B4" s="67" t="n"/>
    </row>
    <row r="5" ht="24" customHeight="1" s="69">
      <c r="A5" s="68" t="inlineStr">
        <is>
          <t>Any new MV cable sections/joints if the existing cable length/routing doesn’t reach the NEW RMU cleanly (straight-through joints, sealing ends, link boxes if required).</t>
        </is>
      </c>
      <c r="B5" s="67" t="n"/>
    </row>
    <row r="6" ht="24" customHeight="1" s="69">
      <c r="A6" s="68" t="inlineStr">
        <is>
          <t>MV terminations, glands, earthing of screens, and identification/labels.</t>
        </is>
      </c>
      <c r="B6" s="67" t="n"/>
    </row>
    <row r="7" ht="24" customHeight="1" s="69">
      <c r="A7" s="68" t="inlineStr">
        <is>
          <t>NEW RMU bays and protection for the PV feeder</t>
        </is>
      </c>
      <c r="B7" s="67" t="n"/>
    </row>
    <row r="8" ht="24" customHeight="1" s="69">
      <c r="A8" s="68" t="inlineStr">
        <is>
          <t>Provide the RMU way (bay) that feeds the existing PV park: typically CB or fused switch (as per utility requirement), with CTs (and VTs if required by the protection scheme).</t>
        </is>
      </c>
      <c r="B8" s="67" t="n"/>
    </row>
    <row r="9" ht="24" customHeight="1" s="69">
      <c r="A9" s="68" t="inlineStr">
        <is>
          <t>Protection relays/settings for the PV feeder (overcurrent/earth fault at minimum; directionality if required by the network).</t>
        </is>
      </c>
      <c r="B9" s="67" t="n"/>
    </row>
    <row r="10" ht="24" customHeight="1" s="69">
      <c r="A10" s="68" t="inlineStr">
        <is>
          <t>Protection coordination study covering: PV feeder protection, transformer feeder protection, and upstream DSO protection (this is usually a hard requirement to get approval).</t>
        </is>
      </c>
      <c r="B10" s="67" t="n"/>
    </row>
    <row r="11" ht="24" customHeight="1" s="69">
      <c r="A11" s="68" t="inlineStr">
        <is>
          <t>Metering and compliance interface (often underestimated)</t>
        </is>
      </c>
      <c r="B11" s="67" t="n"/>
    </row>
    <row r="12" ht="24" customHeight="1" s="69">
      <c r="A12" s="68" t="inlineStr">
        <is>
          <t>Confirm whether the existing revenue meter / check meter stays where it is or must be reworked due to the new node. If the metering point changes, you may need new CT/VT metering cores and meter panel wiring.</t>
        </is>
      </c>
      <c r="B12" s="67" t="n"/>
    </row>
    <row r="13" ht="24" customHeight="1" s="69">
      <c r="A13" s="68" t="inlineStr">
        <is>
          <t>Any DSO-required interlocks (trip signals, remote open, emergency stop interface) and status indications (CB open/close, protection trip, earth switch position).</t>
        </is>
      </c>
      <c r="B13" s="68" t="n"/>
    </row>
    <row r="14" ht="24" customHeight="1" s="69">
      <c r="A14" s="68" t="inlineStr">
        <is>
          <t>Controls / EMS integration with existing PV (only if required by the project’s operating philosophy)</t>
        </is>
      </c>
      <c r="B14" s="68" t="n"/>
    </row>
    <row r="15" ht="24" customHeight="1" s="69">
      <c r="A15" s="68" t="inlineStr">
        <is>
          <t>If the EMS will control PV curtailment or coordinate PV+BESS export limits, you need a data interface to the PV plant controller/inverters (Modbus TCP/RTU or vendor API), plus a defined control responsibility matrix.</t>
        </is>
      </c>
      <c r="B15" s="68" t="n"/>
    </row>
    <row r="16" ht="24" customHeight="1" s="69">
      <c r="A16" s="68" t="inlineStr">
        <is>
          <t>Communications backbone: fibre/Ethernet from control room/EMS to the RMU/protection and (if needed) to the PV plant controller.</t>
        </is>
      </c>
      <c r="B16" s="68" t="n"/>
    </row>
    <row r="17" ht="24" customHeight="1" s="69">
      <c r="A17" s="68" t="inlineStr">
        <is>
          <t>Earthing and lightning bonding continuity</t>
        </is>
      </c>
      <c r="B17" s="68" t="n"/>
    </row>
    <row r="18" ht="24" customHeight="1" s="69">
      <c r="A18" s="68" t="inlineStr">
        <is>
          <t>Verify the earthing grid continuity between the new RMU, existing PV substation, and the BESS equipment; add earth conductors/earth pits as needed.</t>
        </is>
      </c>
      <c r="B18" s="68" t="n"/>
    </row>
    <row r="19" ht="24" customHeight="1" s="69">
      <c r="A19" s="68" t="inlineStr">
        <is>
          <t>MV screen bonding design (single-point vs both-ends) consistent with fault levels and touch/step limits.</t>
        </is>
      </c>
      <c r="B19" s="68" t="n"/>
    </row>
    <row r="20" ht="24" customHeight="1" s="69">
      <c r="A20" s="68" t="inlineStr">
        <is>
          <t>Testing, commissioning, documentation (for the PV interface portion)</t>
        </is>
      </c>
      <c r="B20" s="68" t="n"/>
    </row>
    <row r="21" ht="24" customHeight="1" s="69">
      <c r="A21" s="68" t="inlineStr">
        <is>
          <t>MV cable tests (VLF/PD if specified), phasing checks, relay secondary injection, functional trip tests.</t>
        </is>
      </c>
      <c r="B21" s="68" t="n"/>
    </row>
    <row r="22" ht="24" customHeight="1" s="69">
      <c r="A22" s="68" t="inlineStr">
        <is>
          <t>Updated as-built SLDs, cable schedules, protection setting files, test reports.</t>
        </is>
      </c>
      <c r="B22" s="68" t="n"/>
    </row>
    <row r="23" ht="24" customHeight="1" s="69">
      <c r="A23" s="68" t="inlineStr">
        <is>
          <t>Commissioning procedure proving the existing PV operates correctly after reconfiguration (before energising BESS in parallel).</t>
        </is>
      </c>
      <c r="B23" s="68" t="n"/>
    </row>
    <row r="24" ht="15.75" customHeight="1" s="69"/>
    <row r="25" ht="15.75" customHeight="1" s="69"/>
    <row r="26" ht="15.75" customHeight="1" s="69"/>
    <row r="27" ht="15.75" customHeight="1" s="69"/>
    <row r="28" ht="15.75" customHeight="1" s="69"/>
    <row r="29" ht="15.75" customHeight="1" s="69"/>
    <row r="30" ht="15.75" customHeight="1" s="69"/>
    <row r="31" ht="15.75" customHeight="1" s="69"/>
    <row r="32" ht="15.75" customHeight="1" s="69"/>
    <row r="33" ht="15.75" customHeight="1" s="69"/>
    <row r="34" ht="15.75" customHeight="1" s="69"/>
    <row r="35" ht="15.75" customHeight="1" s="69"/>
    <row r="36" ht="15.75" customHeight="1" s="69"/>
    <row r="37" ht="15.75" customHeight="1" s="69"/>
    <row r="38" ht="15.75" customHeight="1" s="69"/>
    <row r="39" ht="15.75" customHeight="1" s="69"/>
    <row r="40" ht="15.75" customHeight="1" s="69"/>
    <row r="41" ht="15.75" customHeight="1" s="69"/>
    <row r="42" ht="15.75" customHeight="1" s="69"/>
    <row r="43" ht="15.75" customHeight="1" s="69"/>
    <row r="44" ht="15.75" customHeight="1" s="69"/>
    <row r="45" ht="15.75" customHeight="1" s="69"/>
    <row r="46" ht="15.75" customHeight="1" s="69"/>
    <row r="47" ht="15.75" customHeight="1" s="69"/>
    <row r="48" ht="15.75" customHeight="1" s="69"/>
    <row r="49" ht="15.75" customHeight="1" s="69"/>
    <row r="50" ht="15.75" customHeight="1" s="69"/>
    <row r="51" ht="15.75" customHeight="1" s="69"/>
    <row r="52" ht="15.75" customHeight="1" s="69"/>
    <row r="53" ht="15.75" customHeight="1" s="69"/>
    <row r="54" ht="15.75" customHeight="1" s="69"/>
    <row r="55" ht="15.75" customHeight="1" s="69"/>
    <row r="56" ht="15.75" customHeight="1" s="69"/>
    <row r="57" ht="15.75" customHeight="1" s="69"/>
    <row r="58" ht="15.75" customHeight="1" s="69"/>
    <row r="59" ht="15.75" customHeight="1" s="69"/>
    <row r="60" ht="15.75" customHeight="1" s="69"/>
    <row r="61" ht="15.75" customHeight="1" s="69"/>
    <row r="62" ht="15.75" customHeight="1" s="69"/>
    <row r="63" ht="15.75" customHeight="1" s="69"/>
    <row r="64" ht="15.75" customHeight="1" s="69"/>
    <row r="65" ht="15.75" customHeight="1" s="69"/>
    <row r="66" ht="15.75" customHeight="1" s="69"/>
    <row r="67" ht="15.75" customHeight="1" s="69"/>
    <row r="68" ht="15.75" customHeight="1" s="69"/>
    <row r="69" ht="15.75" customHeight="1" s="69"/>
    <row r="70" ht="15.75" customHeight="1" s="69"/>
    <row r="71" ht="15.75" customHeight="1" s="69"/>
    <row r="72" ht="15.75" customHeight="1" s="69"/>
    <row r="73" ht="15.75" customHeight="1" s="69"/>
    <row r="74" ht="15.75" customHeight="1" s="69"/>
    <row r="75" ht="15.75" customHeight="1" s="69"/>
    <row r="76" ht="15.75" customHeight="1" s="69"/>
    <row r="77" ht="15.75" customHeight="1" s="69"/>
    <row r="78" ht="15.75" customHeight="1" s="69"/>
    <row r="79" ht="15.75" customHeight="1" s="69"/>
    <row r="80" ht="15.75" customHeight="1" s="69"/>
    <row r="81" ht="15.75" customHeight="1" s="69"/>
    <row r="82" ht="15.75" customHeight="1" s="69"/>
    <row r="83" ht="15.75" customHeight="1" s="69"/>
    <row r="84" ht="15.75" customHeight="1" s="69"/>
    <row r="85" ht="15.75" customHeight="1" s="69"/>
    <row r="86" ht="15.75" customHeight="1" s="69"/>
    <row r="87" ht="15.75" customHeight="1" s="69"/>
    <row r="88" ht="15.75" customHeight="1" s="69"/>
    <row r="89" ht="15.75" customHeight="1" s="69"/>
    <row r="90" ht="15.75" customHeight="1" s="69"/>
    <row r="91" ht="15.75" customHeight="1" s="69"/>
    <row r="92" ht="15.75" customHeight="1" s="69"/>
    <row r="93" ht="15.75" customHeight="1" s="69"/>
    <row r="94" ht="15.75" customHeight="1" s="69"/>
    <row r="95" ht="15.75" customHeight="1" s="69"/>
    <row r="96" ht="15.75" customHeight="1" s="69"/>
    <row r="97" ht="15.75" customHeight="1" s="69"/>
    <row r="98" ht="15.75" customHeight="1" s="69"/>
    <row r="99" ht="15.75" customHeight="1" s="69"/>
    <row r="100" ht="15.75" customHeight="1" s="69"/>
    <row r="101" ht="15.75" customHeight="1" s="69"/>
    <row r="102" ht="15.75" customHeight="1" s="69"/>
    <row r="103" ht="15.75" customHeight="1" s="69"/>
    <row r="104" ht="15.75" customHeight="1" s="69"/>
    <row r="105" ht="15.75" customHeight="1" s="69"/>
    <row r="106" ht="15.75" customHeight="1" s="69"/>
    <row r="107" ht="15.75" customHeight="1" s="69"/>
    <row r="108" ht="15.75" customHeight="1" s="69"/>
    <row r="109" ht="15.75" customHeight="1" s="69"/>
    <row r="110" ht="15.75" customHeight="1" s="69"/>
    <row r="111" ht="15.75" customHeight="1" s="69"/>
    <row r="112" ht="15.75" customHeight="1" s="69"/>
    <row r="113" ht="15.75" customHeight="1" s="69"/>
    <row r="114" ht="15.75" customHeight="1" s="69"/>
    <row r="115" ht="15.75" customHeight="1" s="69"/>
    <row r="116" ht="15.75" customHeight="1" s="69"/>
    <row r="117" ht="15.75" customHeight="1" s="69"/>
    <row r="118" ht="15.75" customHeight="1" s="69"/>
    <row r="119" ht="15.75" customHeight="1" s="69"/>
    <row r="120" ht="15.75" customHeight="1" s="69"/>
    <row r="121" ht="15.75" customHeight="1" s="69"/>
    <row r="122" ht="15.75" customHeight="1" s="69"/>
    <row r="123" ht="15.75" customHeight="1" s="69"/>
    <row r="124" ht="15.75" customHeight="1" s="69"/>
    <row r="125" ht="15.75" customHeight="1" s="69"/>
    <row r="126" ht="15.75" customHeight="1" s="69"/>
    <row r="127" ht="15.75" customHeight="1" s="69"/>
    <row r="128" ht="15.75" customHeight="1" s="69"/>
    <row r="129" ht="15.75" customHeight="1" s="69"/>
    <row r="130" ht="15.75" customHeight="1" s="69"/>
    <row r="131" ht="15.75" customHeight="1" s="69"/>
    <row r="132" ht="15.75" customHeight="1" s="69"/>
    <row r="133" ht="15.75" customHeight="1" s="69"/>
    <row r="134" ht="15.75" customHeight="1" s="69"/>
    <row r="135" ht="15.75" customHeight="1" s="69"/>
    <row r="136" ht="15.75" customHeight="1" s="69"/>
    <row r="137" ht="15.75" customHeight="1" s="69"/>
    <row r="138" ht="15.75" customHeight="1" s="69"/>
    <row r="139" ht="15.75" customHeight="1" s="69"/>
    <row r="140" ht="15.75" customHeight="1" s="69"/>
    <row r="141" ht="15.75" customHeight="1" s="69"/>
    <row r="142" ht="15.75" customHeight="1" s="69"/>
    <row r="143" ht="15.75" customHeight="1" s="69"/>
    <row r="144" ht="15.75" customHeight="1" s="69"/>
    <row r="145" ht="15.75" customHeight="1" s="69"/>
    <row r="146" ht="15.75" customHeight="1" s="69"/>
    <row r="147" ht="15.75" customHeight="1" s="69"/>
    <row r="148" ht="15.75" customHeight="1" s="69"/>
    <row r="149" ht="15.75" customHeight="1" s="69"/>
    <row r="150" ht="15.75" customHeight="1" s="69"/>
    <row r="151" ht="15.75" customHeight="1" s="69"/>
    <row r="152" ht="15.75" customHeight="1" s="69"/>
    <row r="153" ht="15.75" customHeight="1" s="69"/>
    <row r="154" ht="15.75" customHeight="1" s="69"/>
    <row r="155" ht="15.75" customHeight="1" s="69"/>
    <row r="156" ht="15.75" customHeight="1" s="69"/>
    <row r="157" ht="15.75" customHeight="1" s="69"/>
    <row r="158" ht="15.75" customHeight="1" s="69"/>
    <row r="159" ht="15.75" customHeight="1" s="69"/>
    <row r="160" ht="15.75" customHeight="1" s="69"/>
    <row r="161" ht="15.75" customHeight="1" s="69"/>
    <row r="162" ht="15.75" customHeight="1" s="69"/>
    <row r="163" ht="15.75" customHeight="1" s="69"/>
    <row r="164" ht="15.75" customHeight="1" s="69"/>
    <row r="165" ht="15.75" customHeight="1" s="69"/>
    <row r="166" ht="15.75" customHeight="1" s="69"/>
    <row r="167" ht="15.75" customHeight="1" s="69"/>
    <row r="168" ht="15.75" customHeight="1" s="69"/>
    <row r="169" ht="15.75" customHeight="1" s="69"/>
    <row r="170" ht="15.75" customHeight="1" s="69"/>
    <row r="171" ht="15.75" customHeight="1" s="69"/>
    <row r="172" ht="15.75" customHeight="1" s="69"/>
    <row r="173" ht="15.75" customHeight="1" s="69"/>
    <row r="174" ht="15.75" customHeight="1" s="69"/>
    <row r="175" ht="15.75" customHeight="1" s="69"/>
    <row r="176" ht="15.75" customHeight="1" s="69"/>
    <row r="177" ht="15.75" customHeight="1" s="69"/>
    <row r="178" ht="15.75" customHeight="1" s="69"/>
    <row r="179" ht="15.75" customHeight="1" s="69"/>
    <row r="180" ht="15.75" customHeight="1" s="69"/>
    <row r="181" ht="15.75" customHeight="1" s="69"/>
    <row r="182" ht="15.75" customHeight="1" s="69"/>
    <row r="183" ht="15.75" customHeight="1" s="69"/>
    <row r="184" ht="15.75" customHeight="1" s="69"/>
    <row r="185" ht="15.75" customHeight="1" s="69"/>
    <row r="186" ht="15.75" customHeight="1" s="69"/>
    <row r="187" ht="15.75" customHeight="1" s="69"/>
    <row r="188" ht="15.75" customHeight="1" s="69"/>
    <row r="189" ht="15.75" customHeight="1" s="69"/>
    <row r="190" ht="15.75" customHeight="1" s="69"/>
    <row r="191" ht="15.75" customHeight="1" s="69"/>
    <row r="192" ht="15.75" customHeight="1" s="69"/>
    <row r="193" ht="15.75" customHeight="1" s="69"/>
    <row r="194" ht="15.75" customHeight="1" s="69"/>
    <row r="195" ht="15.75" customHeight="1" s="69"/>
    <row r="196" ht="15.75" customHeight="1" s="69"/>
    <row r="197" ht="15.75" customHeight="1" s="69"/>
    <row r="198" ht="15.75" customHeight="1" s="69"/>
    <row r="199" ht="15.75" customHeight="1" s="69"/>
    <row r="200" ht="15.75" customHeight="1" s="69"/>
    <row r="201" ht="15.75" customHeight="1" s="69"/>
    <row r="202" ht="15.75" customHeight="1" s="69"/>
    <row r="203" ht="15.75" customHeight="1" s="69"/>
    <row r="204" ht="15.75" customHeight="1" s="69"/>
    <row r="205" ht="15.75" customHeight="1" s="69"/>
    <row r="206" ht="15.75" customHeight="1" s="69"/>
    <row r="207" ht="15.75" customHeight="1" s="69"/>
    <row r="208" ht="15.75" customHeight="1" s="69"/>
    <row r="209" ht="15.75" customHeight="1" s="69"/>
    <row r="210" ht="15.75" customHeight="1" s="69"/>
    <row r="211" ht="15.75" customHeight="1" s="69"/>
    <row r="212" ht="15.75" customHeight="1" s="69"/>
    <row r="213" ht="15.75" customHeight="1" s="69"/>
    <row r="214" ht="15.75" customHeight="1" s="69"/>
    <row r="215" ht="15.75" customHeight="1" s="69"/>
    <row r="216" ht="15.75" customHeight="1" s="69"/>
    <row r="217" ht="15.75" customHeight="1" s="69"/>
    <row r="218" ht="15.75" customHeight="1" s="69"/>
    <row r="219" ht="15.75" customHeight="1" s="69"/>
    <row r="220" ht="15.75" customHeight="1" s="69"/>
    <row r="221" ht="15.75" customHeight="1" s="69"/>
    <row r="222" ht="15.75" customHeight="1" s="69"/>
    <row r="223" ht="15.75" customHeight="1" s="69"/>
    <row r="224" ht="15.75" customHeight="1" s="69"/>
    <row r="225" ht="15.75" customHeight="1" s="69"/>
    <row r="226" ht="15.75" customHeight="1" s="69"/>
    <row r="227" ht="15.75" customHeight="1" s="69"/>
    <row r="228" ht="15.75" customHeight="1" s="69"/>
    <row r="229" ht="15.75" customHeight="1" s="69"/>
    <row r="230" ht="15.75" customHeight="1" s="69"/>
    <row r="231" ht="15.75" customHeight="1" s="69"/>
    <row r="232" ht="15.75" customHeight="1" s="69"/>
    <row r="233" ht="15.75" customHeight="1" s="69"/>
    <row r="234" ht="15.75" customHeight="1" s="69"/>
    <row r="235" ht="15.75" customHeight="1" s="69"/>
    <row r="236" ht="15.75" customHeight="1" s="69"/>
    <row r="237" ht="15.75" customHeight="1" s="69"/>
    <row r="238" ht="15.75" customHeight="1" s="69"/>
    <row r="239" ht="15.75" customHeight="1" s="69"/>
    <row r="240" ht="15.75" customHeight="1" s="69"/>
    <row r="241" ht="15.75" customHeight="1" s="69"/>
    <row r="242" ht="15.75" customHeight="1" s="69"/>
    <row r="243" ht="15.75" customHeight="1" s="69"/>
    <row r="244" ht="15.75" customHeight="1" s="69"/>
    <row r="245" ht="15.75" customHeight="1" s="69"/>
    <row r="246" ht="15.75" customHeight="1" s="69"/>
    <row r="247" ht="15.75" customHeight="1" s="69"/>
    <row r="248" ht="15.75" customHeight="1" s="69"/>
    <row r="249" ht="15.75" customHeight="1" s="69"/>
    <row r="250" ht="15.75" customHeight="1" s="69"/>
    <row r="251" ht="15.75" customHeight="1" s="69"/>
    <row r="252" ht="15.75" customHeight="1" s="69"/>
    <row r="253" ht="15.75" customHeight="1" s="69"/>
    <row r="254" ht="15.75" customHeight="1" s="69"/>
    <row r="255" ht="15.75" customHeight="1" s="69"/>
    <row r="256" ht="15.75" customHeight="1" s="69"/>
    <row r="257" ht="15.75" customHeight="1" s="69"/>
    <row r="258" ht="15.75" customHeight="1" s="69"/>
    <row r="259" ht="15.75" customHeight="1" s="69"/>
    <row r="260" ht="15.75" customHeight="1" s="69"/>
    <row r="261" ht="15.75" customHeight="1" s="69"/>
    <row r="262" ht="15.75" customHeight="1" s="69"/>
    <row r="263" ht="15.75" customHeight="1" s="69"/>
    <row r="264" ht="15.75" customHeight="1" s="69"/>
    <row r="265" ht="15.75" customHeight="1" s="69"/>
    <row r="266" ht="15.75" customHeight="1" s="69"/>
    <row r="267" ht="15.75" customHeight="1" s="69"/>
    <row r="268" ht="15.75" customHeight="1" s="69"/>
    <row r="269" ht="15.75" customHeight="1" s="69"/>
    <row r="270" ht="15.75" customHeight="1" s="69"/>
    <row r="271" ht="15.75" customHeight="1" s="69"/>
    <row r="272" ht="15.75" customHeight="1" s="69"/>
    <row r="273" ht="15.75" customHeight="1" s="69"/>
    <row r="274" ht="15.75" customHeight="1" s="69"/>
    <row r="275" ht="15.75" customHeight="1" s="69"/>
    <row r="276" ht="15.75" customHeight="1" s="69"/>
    <row r="277" ht="15.75" customHeight="1" s="69"/>
    <row r="278" ht="15.75" customHeight="1" s="69"/>
    <row r="279" ht="15.75" customHeight="1" s="69"/>
    <row r="280" ht="15.75" customHeight="1" s="69"/>
    <row r="281" ht="15.75" customHeight="1" s="69"/>
    <row r="282" ht="15.75" customHeight="1" s="69"/>
    <row r="283" ht="15.75" customHeight="1" s="69"/>
    <row r="284" ht="15.75" customHeight="1" s="69"/>
    <row r="285" ht="15.75" customHeight="1" s="69"/>
    <row r="286" ht="15.75" customHeight="1" s="69"/>
    <row r="287" ht="15.75" customHeight="1" s="69"/>
    <row r="288" ht="15.75" customHeight="1" s="69"/>
    <row r="289" ht="15.75" customHeight="1" s="69"/>
    <row r="290" ht="15.75" customHeight="1" s="69"/>
    <row r="291" ht="15.75" customHeight="1" s="69"/>
    <row r="292" ht="15.75" customHeight="1" s="69"/>
    <row r="293" ht="15.75" customHeight="1" s="69"/>
    <row r="294" ht="15.75" customHeight="1" s="69"/>
    <row r="295" ht="15.75" customHeight="1" s="69"/>
    <row r="296" ht="15.75" customHeight="1" s="69"/>
    <row r="297" ht="15.75" customHeight="1" s="69"/>
    <row r="298" ht="15.75" customHeight="1" s="69"/>
    <row r="299" ht="15.75" customHeight="1" s="69"/>
    <row r="300" ht="15.75" customHeight="1" s="69"/>
    <row r="301" ht="15.75" customHeight="1" s="69"/>
    <row r="302" ht="15.75" customHeight="1" s="69"/>
    <row r="303" ht="15.75" customHeight="1" s="69"/>
    <row r="304" ht="15.75" customHeight="1" s="69"/>
    <row r="305" ht="15.75" customHeight="1" s="69"/>
    <row r="306" ht="15.75" customHeight="1" s="69"/>
    <row r="307" ht="15.75" customHeight="1" s="69"/>
    <row r="308" ht="15.75" customHeight="1" s="69"/>
    <row r="309" ht="15.75" customHeight="1" s="69"/>
    <row r="310" ht="15.75" customHeight="1" s="69"/>
    <row r="311" ht="15.75" customHeight="1" s="69"/>
    <row r="312" ht="15.75" customHeight="1" s="69"/>
    <row r="313" ht="15.75" customHeight="1" s="69"/>
    <row r="314" ht="15.75" customHeight="1" s="69"/>
    <row r="315" ht="15.75" customHeight="1" s="69"/>
    <row r="316" ht="15.75" customHeight="1" s="69"/>
    <row r="317" ht="15.75" customHeight="1" s="69"/>
    <row r="318" ht="15.75" customHeight="1" s="69"/>
    <row r="319" ht="15.75" customHeight="1" s="69"/>
    <row r="320" ht="15.75" customHeight="1" s="69"/>
    <row r="321" ht="15.75" customHeight="1" s="69"/>
    <row r="322" ht="15.75" customHeight="1" s="69"/>
    <row r="323" ht="15.75" customHeight="1" s="69"/>
    <row r="324" ht="15.75" customHeight="1" s="69"/>
    <row r="325" ht="15.75" customHeight="1" s="69"/>
    <row r="326" ht="15.75" customHeight="1" s="69"/>
    <row r="327" ht="15.75" customHeight="1" s="69"/>
    <row r="328" ht="15.75" customHeight="1" s="69"/>
    <row r="329" ht="15.75" customHeight="1" s="69"/>
    <row r="330" ht="15.75" customHeight="1" s="69"/>
    <row r="331" ht="15.75" customHeight="1" s="69"/>
    <row r="332" ht="15.75" customHeight="1" s="69"/>
    <row r="333" ht="15.75" customHeight="1" s="69"/>
    <row r="334" ht="15.75" customHeight="1" s="69"/>
    <row r="335" ht="15.75" customHeight="1" s="69"/>
    <row r="336" ht="15.75" customHeight="1" s="69"/>
    <row r="337" ht="15.75" customHeight="1" s="69"/>
    <row r="338" ht="15.75" customHeight="1" s="69"/>
    <row r="339" ht="15.75" customHeight="1" s="69"/>
    <row r="340" ht="15.75" customHeight="1" s="69"/>
    <row r="341" ht="15.75" customHeight="1" s="69"/>
    <row r="342" ht="15.75" customHeight="1" s="69"/>
    <row r="343" ht="15.75" customHeight="1" s="69"/>
    <row r="344" ht="15.75" customHeight="1" s="69"/>
    <row r="345" ht="15.75" customHeight="1" s="69"/>
    <row r="346" ht="15.75" customHeight="1" s="69"/>
    <row r="347" ht="15.75" customHeight="1" s="69"/>
    <row r="348" ht="15.75" customHeight="1" s="69"/>
    <row r="349" ht="15.75" customHeight="1" s="69"/>
    <row r="350" ht="15.75" customHeight="1" s="69"/>
    <row r="351" ht="15.75" customHeight="1" s="69"/>
    <row r="352" ht="15.75" customHeight="1" s="69"/>
    <row r="353" ht="15.75" customHeight="1" s="69"/>
    <row r="354" ht="15.75" customHeight="1" s="69"/>
    <row r="355" ht="15.75" customHeight="1" s="69"/>
    <row r="356" ht="15.75" customHeight="1" s="69"/>
    <row r="357" ht="15.75" customHeight="1" s="69"/>
    <row r="358" ht="15.75" customHeight="1" s="69"/>
    <row r="359" ht="15.75" customHeight="1" s="69"/>
    <row r="360" ht="15.75" customHeight="1" s="69"/>
    <row r="361" ht="15.75" customHeight="1" s="69"/>
    <row r="362" ht="15.75" customHeight="1" s="69"/>
    <row r="363" ht="15.75" customHeight="1" s="69"/>
    <row r="364" ht="15.75" customHeight="1" s="69"/>
    <row r="365" ht="15.75" customHeight="1" s="69"/>
    <row r="366" ht="15.75" customHeight="1" s="69"/>
    <row r="367" ht="15.75" customHeight="1" s="69"/>
    <row r="368" ht="15.75" customHeight="1" s="69"/>
    <row r="369" ht="15.75" customHeight="1" s="69"/>
    <row r="370" ht="15.75" customHeight="1" s="69"/>
    <row r="371" ht="15.75" customHeight="1" s="69"/>
    <row r="372" ht="15.75" customHeight="1" s="69"/>
    <row r="373" ht="15.75" customHeight="1" s="69"/>
    <row r="374" ht="15.75" customHeight="1" s="69"/>
    <row r="375" ht="15.75" customHeight="1" s="69"/>
    <row r="376" ht="15.75" customHeight="1" s="69"/>
    <row r="377" ht="15.75" customHeight="1" s="69"/>
    <row r="378" ht="15.75" customHeight="1" s="69"/>
    <row r="379" ht="15.75" customHeight="1" s="69"/>
    <row r="380" ht="15.75" customHeight="1" s="69"/>
    <row r="381" ht="15.75" customHeight="1" s="69"/>
    <row r="382" ht="15.75" customHeight="1" s="69"/>
    <row r="383" ht="15.75" customHeight="1" s="69"/>
    <row r="384" ht="15.75" customHeight="1" s="69"/>
    <row r="385" ht="15.75" customHeight="1" s="69"/>
    <row r="386" ht="15.75" customHeight="1" s="69"/>
    <row r="387" ht="15.75" customHeight="1" s="69"/>
    <row r="388" ht="15.75" customHeight="1" s="69"/>
    <row r="389" ht="15.75" customHeight="1" s="69"/>
    <row r="390" ht="15.75" customHeight="1" s="69"/>
    <row r="391" ht="15.75" customHeight="1" s="69"/>
    <row r="392" ht="15.75" customHeight="1" s="69"/>
    <row r="393" ht="15.75" customHeight="1" s="69"/>
    <row r="394" ht="15.75" customHeight="1" s="69"/>
    <row r="395" ht="15.75" customHeight="1" s="69"/>
    <row r="396" ht="15.75" customHeight="1" s="69"/>
    <row r="397" ht="15.75" customHeight="1" s="69"/>
    <row r="398" ht="15.75" customHeight="1" s="69"/>
    <row r="399" ht="15.75" customHeight="1" s="69"/>
    <row r="400" ht="15.75" customHeight="1" s="69"/>
    <row r="401" ht="15.75" customHeight="1" s="69"/>
    <row r="402" ht="15.75" customHeight="1" s="69"/>
    <row r="403" ht="15.75" customHeight="1" s="69"/>
    <row r="404" ht="15.75" customHeight="1" s="69"/>
    <row r="405" ht="15.75" customHeight="1" s="69"/>
    <row r="406" ht="15.75" customHeight="1" s="69"/>
    <row r="407" ht="15.75" customHeight="1" s="69"/>
    <row r="408" ht="15.75" customHeight="1" s="69"/>
    <row r="409" ht="15.75" customHeight="1" s="69"/>
    <row r="410" ht="15.75" customHeight="1" s="69"/>
    <row r="411" ht="15.75" customHeight="1" s="69"/>
    <row r="412" ht="15.75" customHeight="1" s="69"/>
    <row r="413" ht="15.75" customHeight="1" s="69"/>
    <row r="414" ht="15.75" customHeight="1" s="69"/>
    <row r="415" ht="15.75" customHeight="1" s="69"/>
    <row r="416" ht="15.75" customHeight="1" s="69"/>
    <row r="417" ht="15.75" customHeight="1" s="69"/>
    <row r="418" ht="15.75" customHeight="1" s="69"/>
    <row r="419" ht="15.75" customHeight="1" s="69"/>
    <row r="420" ht="15.75" customHeight="1" s="69"/>
    <row r="421" ht="15.75" customHeight="1" s="69"/>
    <row r="422" ht="15.75" customHeight="1" s="69"/>
    <row r="423" ht="15.75" customHeight="1" s="69"/>
    <row r="424" ht="15.75" customHeight="1" s="69"/>
    <row r="425" ht="15.75" customHeight="1" s="69"/>
    <row r="426" ht="15.75" customHeight="1" s="69"/>
    <row r="427" ht="15.75" customHeight="1" s="69"/>
    <row r="428" ht="15.75" customHeight="1" s="69"/>
    <row r="429" ht="15.75" customHeight="1" s="69"/>
    <row r="430" ht="15.75" customHeight="1" s="69"/>
    <row r="431" ht="15.75" customHeight="1" s="69"/>
    <row r="432" ht="15.75" customHeight="1" s="69"/>
    <row r="433" ht="15.75" customHeight="1" s="69"/>
    <row r="434" ht="15.75" customHeight="1" s="69"/>
    <row r="435" ht="15.75" customHeight="1" s="69"/>
    <row r="436" ht="15.75" customHeight="1" s="69"/>
    <row r="437" ht="15.75" customHeight="1" s="69"/>
    <row r="438" ht="15.75" customHeight="1" s="69"/>
    <row r="439" ht="15.75" customHeight="1" s="69"/>
    <row r="440" ht="15.75" customHeight="1" s="69"/>
    <row r="441" ht="15.75" customHeight="1" s="69"/>
    <row r="442" ht="15.75" customHeight="1" s="69"/>
    <row r="443" ht="15.75" customHeight="1" s="69"/>
    <row r="444" ht="15.75" customHeight="1" s="69"/>
    <row r="445" ht="15.75" customHeight="1" s="69"/>
    <row r="446" ht="15.75" customHeight="1" s="69"/>
    <row r="447" ht="15.75" customHeight="1" s="69"/>
    <row r="448" ht="15.75" customHeight="1" s="69"/>
    <row r="449" ht="15.75" customHeight="1" s="69"/>
    <row r="450" ht="15.75" customHeight="1" s="69"/>
    <row r="451" ht="15.75" customHeight="1" s="69"/>
    <row r="452" ht="15.75" customHeight="1" s="69"/>
    <row r="453" ht="15.75" customHeight="1" s="69"/>
    <row r="454" ht="15.75" customHeight="1" s="69"/>
    <row r="455" ht="15.75" customHeight="1" s="69"/>
    <row r="456" ht="15.75" customHeight="1" s="69"/>
    <row r="457" ht="15.75" customHeight="1" s="69"/>
    <row r="458" ht="15.75" customHeight="1" s="69"/>
    <row r="459" ht="15.75" customHeight="1" s="69"/>
    <row r="460" ht="15.75" customHeight="1" s="69"/>
    <row r="461" ht="15.75" customHeight="1" s="69"/>
    <row r="462" ht="15.75" customHeight="1" s="69"/>
    <row r="463" ht="15.75" customHeight="1" s="69"/>
    <row r="464" ht="15.75" customHeight="1" s="69"/>
    <row r="465" ht="15.75" customHeight="1" s="69"/>
    <row r="466" ht="15.75" customHeight="1" s="69"/>
    <row r="467" ht="15.75" customHeight="1" s="69"/>
    <row r="468" ht="15.75" customHeight="1" s="69"/>
    <row r="469" ht="15.75" customHeight="1" s="69"/>
    <row r="470" ht="15.75" customHeight="1" s="69"/>
    <row r="471" ht="15.75" customHeight="1" s="69"/>
    <row r="472" ht="15.75" customHeight="1" s="69"/>
    <row r="473" ht="15.75" customHeight="1" s="69"/>
    <row r="474" ht="15.75" customHeight="1" s="69"/>
    <row r="475" ht="15.75" customHeight="1" s="69"/>
    <row r="476" ht="15.75" customHeight="1" s="69"/>
    <row r="477" ht="15.75" customHeight="1" s="69"/>
    <row r="478" ht="15.75" customHeight="1" s="69"/>
    <row r="479" ht="15.75" customHeight="1" s="69"/>
    <row r="480" ht="15.75" customHeight="1" s="69"/>
    <row r="481" ht="15.75" customHeight="1" s="69"/>
    <row r="482" ht="15.75" customHeight="1" s="69"/>
    <row r="483" ht="15.75" customHeight="1" s="69"/>
    <row r="484" ht="15.75" customHeight="1" s="69"/>
    <row r="485" ht="15.75" customHeight="1" s="69"/>
    <row r="486" ht="15.75" customHeight="1" s="69"/>
    <row r="487" ht="15.75" customHeight="1" s="69"/>
    <row r="488" ht="15.75" customHeight="1" s="69"/>
    <row r="489" ht="15.75" customHeight="1" s="69"/>
    <row r="490" ht="15.75" customHeight="1" s="69"/>
    <row r="491" ht="15.75" customHeight="1" s="69"/>
    <row r="492" ht="15.75" customHeight="1" s="69"/>
    <row r="493" ht="15.75" customHeight="1" s="69"/>
    <row r="494" ht="15.75" customHeight="1" s="69"/>
    <row r="495" ht="15.75" customHeight="1" s="69"/>
    <row r="496" ht="15.75" customHeight="1" s="69"/>
    <row r="497" ht="15.75" customHeight="1" s="69"/>
    <row r="498" ht="15.75" customHeight="1" s="69"/>
    <row r="499" ht="15.75" customHeight="1" s="69"/>
    <row r="500" ht="15.75" customHeight="1" s="69"/>
    <row r="501" ht="15.75" customHeight="1" s="69"/>
    <row r="502" ht="15.75" customHeight="1" s="69"/>
    <row r="503" ht="15.75" customHeight="1" s="69"/>
    <row r="504" ht="15.75" customHeight="1" s="69"/>
    <row r="505" ht="15.75" customHeight="1" s="69"/>
    <row r="506" ht="15.75" customHeight="1" s="69"/>
    <row r="507" ht="15.75" customHeight="1" s="69"/>
    <row r="508" ht="15.75" customHeight="1" s="69"/>
    <row r="509" ht="15.75" customHeight="1" s="69"/>
    <row r="510" ht="15.75" customHeight="1" s="69"/>
    <row r="511" ht="15.75" customHeight="1" s="69"/>
    <row r="512" ht="15.75" customHeight="1" s="69"/>
    <row r="513" ht="15.75" customHeight="1" s="69"/>
    <row r="514" ht="15.75" customHeight="1" s="69"/>
    <row r="515" ht="15.75" customHeight="1" s="69"/>
    <row r="516" ht="15.75" customHeight="1" s="69"/>
    <row r="517" ht="15.75" customHeight="1" s="69"/>
    <row r="518" ht="15.75" customHeight="1" s="69"/>
    <row r="519" ht="15.75" customHeight="1" s="69"/>
    <row r="520" ht="15.75" customHeight="1" s="69"/>
    <row r="521" ht="15.75" customHeight="1" s="69"/>
    <row r="522" ht="15.75" customHeight="1" s="69"/>
    <row r="523" ht="15.75" customHeight="1" s="69"/>
    <row r="524" ht="15.75" customHeight="1" s="69"/>
    <row r="525" ht="15.75" customHeight="1" s="69"/>
    <row r="526" ht="15.75" customHeight="1" s="69"/>
    <row r="527" ht="15.75" customHeight="1" s="69"/>
    <row r="528" ht="15.75" customHeight="1" s="69"/>
    <row r="529" ht="15.75" customHeight="1" s="69"/>
    <row r="530" ht="15.75" customHeight="1" s="69"/>
    <row r="531" ht="15.75" customHeight="1" s="69"/>
    <row r="532" ht="15.75" customHeight="1" s="69"/>
    <row r="533" ht="15.75" customHeight="1" s="69"/>
    <row r="534" ht="15.75" customHeight="1" s="69"/>
    <row r="535" ht="15.75" customHeight="1" s="69"/>
    <row r="536" ht="15.75" customHeight="1" s="69"/>
    <row r="537" ht="15.75" customHeight="1" s="69"/>
    <row r="538" ht="15.75" customHeight="1" s="69"/>
    <row r="539" ht="15.75" customHeight="1" s="69"/>
    <row r="540" ht="15.75" customHeight="1" s="69"/>
    <row r="541" ht="15.75" customHeight="1" s="69"/>
    <row r="542" ht="15.75" customHeight="1" s="69"/>
    <row r="543" ht="15.75" customHeight="1" s="69"/>
    <row r="544" ht="15.75" customHeight="1" s="69"/>
    <row r="545" ht="15.75" customHeight="1" s="69"/>
    <row r="546" ht="15.75" customHeight="1" s="69"/>
    <row r="547" ht="15.75" customHeight="1" s="69"/>
    <row r="548" ht="15.75" customHeight="1" s="69"/>
    <row r="549" ht="15.75" customHeight="1" s="69"/>
    <row r="550" ht="15.75" customHeight="1" s="69"/>
    <row r="551" ht="15.75" customHeight="1" s="69"/>
    <row r="552" ht="15.75" customHeight="1" s="69"/>
    <row r="553" ht="15.75" customHeight="1" s="69"/>
    <row r="554" ht="15.75" customHeight="1" s="69"/>
    <row r="555" ht="15.75" customHeight="1" s="69"/>
    <row r="556" ht="15.75" customHeight="1" s="69"/>
    <row r="557" ht="15.75" customHeight="1" s="69"/>
    <row r="558" ht="15.75" customHeight="1" s="69"/>
    <row r="559" ht="15.75" customHeight="1" s="69"/>
    <row r="560" ht="15.75" customHeight="1" s="69"/>
    <row r="561" ht="15.75" customHeight="1" s="69"/>
    <row r="562" ht="15.75" customHeight="1" s="69"/>
    <row r="563" ht="15.75" customHeight="1" s="69"/>
    <row r="564" ht="15.75" customHeight="1" s="69"/>
    <row r="565" ht="15.75" customHeight="1" s="69"/>
    <row r="566" ht="15.75" customHeight="1" s="69"/>
    <row r="567" ht="15.75" customHeight="1" s="69"/>
    <row r="568" ht="15.75" customHeight="1" s="69"/>
    <row r="569" ht="15.75" customHeight="1" s="69"/>
    <row r="570" ht="15.75" customHeight="1" s="69"/>
    <row r="571" ht="15.75" customHeight="1" s="69"/>
    <row r="572" ht="15.75" customHeight="1" s="69"/>
    <row r="573" ht="15.75" customHeight="1" s="69"/>
    <row r="574" ht="15.75" customHeight="1" s="69"/>
    <row r="575" ht="15.75" customHeight="1" s="69"/>
    <row r="576" ht="15.75" customHeight="1" s="69"/>
    <row r="577" ht="15.75" customHeight="1" s="69"/>
    <row r="578" ht="15.75" customHeight="1" s="69"/>
    <row r="579" ht="15.75" customHeight="1" s="69"/>
    <row r="580" ht="15.75" customHeight="1" s="69"/>
    <row r="581" ht="15.75" customHeight="1" s="69"/>
    <row r="582" ht="15.75" customHeight="1" s="69"/>
    <row r="583" ht="15.75" customHeight="1" s="69"/>
    <row r="584" ht="15.75" customHeight="1" s="69"/>
    <row r="585" ht="15.75" customHeight="1" s="69"/>
    <row r="586" ht="15.75" customHeight="1" s="69"/>
    <row r="587" ht="15.75" customHeight="1" s="69"/>
    <row r="588" ht="15.75" customHeight="1" s="69"/>
    <row r="589" ht="15.75" customHeight="1" s="69"/>
    <row r="590" ht="15.75" customHeight="1" s="69"/>
    <row r="591" ht="15.75" customHeight="1" s="69"/>
    <row r="592" ht="15.75" customHeight="1" s="69"/>
    <row r="593" ht="15.75" customHeight="1" s="69"/>
    <row r="594" ht="15.75" customHeight="1" s="69"/>
    <row r="595" ht="15.75" customHeight="1" s="69"/>
    <row r="596" ht="15.75" customHeight="1" s="69"/>
    <row r="597" ht="15.75" customHeight="1" s="69"/>
    <row r="598" ht="15.75" customHeight="1" s="69"/>
    <row r="599" ht="15.75" customHeight="1" s="69"/>
    <row r="600" ht="15.75" customHeight="1" s="69"/>
    <row r="601" ht="15.75" customHeight="1" s="69"/>
    <row r="602" ht="15.75" customHeight="1" s="69"/>
    <row r="603" ht="15.75" customHeight="1" s="69"/>
    <row r="604" ht="15.75" customHeight="1" s="69"/>
    <row r="605" ht="15.75" customHeight="1" s="69"/>
    <row r="606" ht="15.75" customHeight="1" s="69"/>
    <row r="607" ht="15.75" customHeight="1" s="69"/>
    <row r="608" ht="15.75" customHeight="1" s="69"/>
    <row r="609" ht="15.75" customHeight="1" s="69"/>
    <row r="610" ht="15.75" customHeight="1" s="69"/>
    <row r="611" ht="15.75" customHeight="1" s="69"/>
    <row r="612" ht="15.75" customHeight="1" s="69"/>
    <row r="613" ht="15.75" customHeight="1" s="69"/>
    <row r="614" ht="15.75" customHeight="1" s="69"/>
    <row r="615" ht="15.75" customHeight="1" s="69"/>
    <row r="616" ht="15.75" customHeight="1" s="69"/>
    <row r="617" ht="15.75" customHeight="1" s="69"/>
    <row r="618" ht="15.75" customHeight="1" s="69"/>
    <row r="619" ht="15.75" customHeight="1" s="69"/>
    <row r="620" ht="15.75" customHeight="1" s="69"/>
    <row r="621" ht="15.75" customHeight="1" s="69"/>
    <row r="622" ht="15.75" customHeight="1" s="69"/>
    <row r="623" ht="15.75" customHeight="1" s="69"/>
    <row r="624" ht="15.75" customHeight="1" s="69"/>
    <row r="625" ht="15.75" customHeight="1" s="69"/>
    <row r="626" ht="15.75" customHeight="1" s="69"/>
    <row r="627" ht="15.75" customHeight="1" s="69"/>
    <row r="628" ht="15.75" customHeight="1" s="69"/>
    <row r="629" ht="15.75" customHeight="1" s="69"/>
    <row r="630" ht="15.75" customHeight="1" s="69"/>
    <row r="631" ht="15.75" customHeight="1" s="69"/>
    <row r="632" ht="15.75" customHeight="1" s="69"/>
    <row r="633" ht="15.75" customHeight="1" s="69"/>
    <row r="634" ht="15.75" customHeight="1" s="69"/>
    <row r="635" ht="15.75" customHeight="1" s="69"/>
    <row r="636" ht="15.75" customHeight="1" s="69"/>
    <row r="637" ht="15.75" customHeight="1" s="69"/>
    <row r="638" ht="15.75" customHeight="1" s="69"/>
    <row r="639" ht="15.75" customHeight="1" s="69"/>
    <row r="640" ht="15.75" customHeight="1" s="69"/>
    <row r="641" ht="15.75" customHeight="1" s="69"/>
    <row r="642" ht="15.75" customHeight="1" s="69"/>
    <row r="643" ht="15.75" customHeight="1" s="69"/>
    <row r="644" ht="15.75" customHeight="1" s="69"/>
    <row r="645" ht="15.75" customHeight="1" s="69"/>
    <row r="646" ht="15.75" customHeight="1" s="69"/>
    <row r="647" ht="15.75" customHeight="1" s="69"/>
    <row r="648" ht="15.75" customHeight="1" s="69"/>
    <row r="649" ht="15.75" customHeight="1" s="69"/>
    <row r="650" ht="15.75" customHeight="1" s="69"/>
    <row r="651" ht="15.75" customHeight="1" s="69"/>
    <row r="652" ht="15.75" customHeight="1" s="69"/>
    <row r="653" ht="15.75" customHeight="1" s="69"/>
    <row r="654" ht="15.75" customHeight="1" s="69"/>
    <row r="655" ht="15.75" customHeight="1" s="69"/>
    <row r="656" ht="15.75" customHeight="1" s="69"/>
    <row r="657" ht="15.75" customHeight="1" s="69"/>
    <row r="658" ht="15.75" customHeight="1" s="69"/>
    <row r="659" ht="15.75" customHeight="1" s="69"/>
    <row r="660" ht="15.75" customHeight="1" s="69"/>
    <row r="661" ht="15.75" customHeight="1" s="69"/>
    <row r="662" ht="15.75" customHeight="1" s="69"/>
    <row r="663" ht="15.75" customHeight="1" s="69"/>
    <row r="664" ht="15.75" customHeight="1" s="69"/>
    <row r="665" ht="15.75" customHeight="1" s="69"/>
    <row r="666" ht="15.75" customHeight="1" s="69"/>
    <row r="667" ht="15.75" customHeight="1" s="69"/>
    <row r="668" ht="15.75" customHeight="1" s="69"/>
    <row r="669" ht="15.75" customHeight="1" s="69"/>
    <row r="670" ht="15.75" customHeight="1" s="69"/>
    <row r="671" ht="15.75" customHeight="1" s="69"/>
    <row r="672" ht="15.75" customHeight="1" s="69"/>
    <row r="673" ht="15.75" customHeight="1" s="69"/>
    <row r="674" ht="15.75" customHeight="1" s="69"/>
    <row r="675" ht="15.75" customHeight="1" s="69"/>
    <row r="676" ht="15.75" customHeight="1" s="69"/>
    <row r="677" ht="15.75" customHeight="1" s="69"/>
    <row r="678" ht="15.75" customHeight="1" s="69"/>
    <row r="679" ht="15.75" customHeight="1" s="69"/>
    <row r="680" ht="15.75" customHeight="1" s="69"/>
    <row r="681" ht="15.75" customHeight="1" s="69"/>
    <row r="682" ht="15.75" customHeight="1" s="69"/>
    <row r="683" ht="15.75" customHeight="1" s="69"/>
    <row r="684" ht="15.75" customHeight="1" s="69"/>
    <row r="685" ht="15.75" customHeight="1" s="69"/>
    <row r="686" ht="15.75" customHeight="1" s="69"/>
    <row r="687" ht="15.75" customHeight="1" s="69"/>
    <row r="688" ht="15.75" customHeight="1" s="69"/>
    <row r="689" ht="15.75" customHeight="1" s="69"/>
    <row r="690" ht="15.75" customHeight="1" s="69"/>
    <row r="691" ht="15.75" customHeight="1" s="69"/>
    <row r="692" ht="15.75" customHeight="1" s="69"/>
    <row r="693" ht="15.75" customHeight="1" s="69"/>
    <row r="694" ht="15.75" customHeight="1" s="69"/>
    <row r="695" ht="15.75" customHeight="1" s="69"/>
    <row r="696" ht="15.75" customHeight="1" s="69"/>
    <row r="697" ht="15.75" customHeight="1" s="69"/>
    <row r="698" ht="15.75" customHeight="1" s="69"/>
    <row r="699" ht="15.75" customHeight="1" s="69"/>
    <row r="700" ht="15.75" customHeight="1" s="69"/>
    <row r="701" ht="15.75" customHeight="1" s="69"/>
    <row r="702" ht="15.75" customHeight="1" s="69"/>
    <row r="703" ht="15.75" customHeight="1" s="69"/>
    <row r="704" ht="15.75" customHeight="1" s="69"/>
    <row r="705" ht="15.75" customHeight="1" s="69"/>
    <row r="706" ht="15.75" customHeight="1" s="69"/>
    <row r="707" ht="15.75" customHeight="1" s="69"/>
    <row r="708" ht="15.75" customHeight="1" s="69"/>
    <row r="709" ht="15.75" customHeight="1" s="69"/>
    <row r="710" ht="15.75" customHeight="1" s="69"/>
    <row r="711" ht="15.75" customHeight="1" s="69"/>
    <row r="712" ht="15.75" customHeight="1" s="69"/>
    <row r="713" ht="15.75" customHeight="1" s="69"/>
    <row r="714" ht="15.75" customHeight="1" s="69"/>
    <row r="715" ht="15.75" customHeight="1" s="69"/>
    <row r="716" ht="15.75" customHeight="1" s="69"/>
    <row r="717" ht="15.75" customHeight="1" s="69"/>
    <row r="718" ht="15.75" customHeight="1" s="69"/>
    <row r="719" ht="15.75" customHeight="1" s="69"/>
    <row r="720" ht="15.75" customHeight="1" s="69"/>
    <row r="721" ht="15.75" customHeight="1" s="69"/>
    <row r="722" ht="15.75" customHeight="1" s="69"/>
    <row r="723" ht="15.75" customHeight="1" s="69"/>
    <row r="724" ht="15.75" customHeight="1" s="69"/>
    <row r="725" ht="15.75" customHeight="1" s="69"/>
    <row r="726" ht="15.75" customHeight="1" s="69"/>
    <row r="727" ht="15.75" customHeight="1" s="69"/>
    <row r="728" ht="15.75" customHeight="1" s="69"/>
    <row r="729" ht="15.75" customHeight="1" s="69"/>
    <row r="730" ht="15.75" customHeight="1" s="69"/>
    <row r="731" ht="15.75" customHeight="1" s="69"/>
    <row r="732" ht="15.75" customHeight="1" s="69"/>
    <row r="733" ht="15.75" customHeight="1" s="69"/>
    <row r="734" ht="15.75" customHeight="1" s="69"/>
    <row r="735" ht="15.75" customHeight="1" s="69"/>
    <row r="736" ht="15.75" customHeight="1" s="69"/>
    <row r="737" ht="15.75" customHeight="1" s="69"/>
    <row r="738" ht="15.75" customHeight="1" s="69"/>
    <row r="739" ht="15.75" customHeight="1" s="69"/>
    <row r="740" ht="15.75" customHeight="1" s="69"/>
    <row r="741" ht="15.75" customHeight="1" s="69"/>
    <row r="742" ht="15.75" customHeight="1" s="69"/>
    <row r="743" ht="15.75" customHeight="1" s="69"/>
    <row r="744" ht="15.75" customHeight="1" s="69"/>
    <row r="745" ht="15.75" customHeight="1" s="69"/>
    <row r="746" ht="15.75" customHeight="1" s="69"/>
    <row r="747" ht="15.75" customHeight="1" s="69"/>
    <row r="748" ht="15.75" customHeight="1" s="69"/>
    <row r="749" ht="15.75" customHeight="1" s="69"/>
    <row r="750" ht="15.75" customHeight="1" s="69"/>
    <row r="751" ht="15.75" customHeight="1" s="69"/>
    <row r="752" ht="15.75" customHeight="1" s="69"/>
    <row r="753" ht="15.75" customHeight="1" s="69"/>
    <row r="754" ht="15.75" customHeight="1" s="69"/>
    <row r="755" ht="15.75" customHeight="1" s="69"/>
    <row r="756" ht="15.75" customHeight="1" s="69"/>
    <row r="757" ht="15.75" customHeight="1" s="69"/>
    <row r="758" ht="15.75" customHeight="1" s="69"/>
    <row r="759" ht="15.75" customHeight="1" s="69"/>
    <row r="760" ht="15.75" customHeight="1" s="69"/>
    <row r="761" ht="15.75" customHeight="1" s="69"/>
    <row r="762" ht="15.75" customHeight="1" s="69"/>
    <row r="763" ht="15.75" customHeight="1" s="69"/>
    <row r="764" ht="15.75" customHeight="1" s="69"/>
    <row r="765" ht="15.75" customHeight="1" s="69"/>
    <row r="766" ht="15.75" customHeight="1" s="69"/>
    <row r="767" ht="15.75" customHeight="1" s="69"/>
    <row r="768" ht="15.75" customHeight="1" s="69"/>
    <row r="769" ht="15.75" customHeight="1" s="69"/>
    <row r="770" ht="15.75" customHeight="1" s="69"/>
    <row r="771" ht="15.75" customHeight="1" s="69"/>
    <row r="772" ht="15.75" customHeight="1" s="69"/>
    <row r="773" ht="15.75" customHeight="1" s="69"/>
    <row r="774" ht="15.75" customHeight="1" s="69"/>
    <row r="775" ht="15.75" customHeight="1" s="69"/>
    <row r="776" ht="15.75" customHeight="1" s="69"/>
    <row r="777" ht="15.75" customHeight="1" s="69"/>
    <row r="778" ht="15.75" customHeight="1" s="69"/>
    <row r="779" ht="15.75" customHeight="1" s="69"/>
    <row r="780" ht="15.75" customHeight="1" s="69"/>
    <row r="781" ht="15.75" customHeight="1" s="69"/>
    <row r="782" ht="15.75" customHeight="1" s="69"/>
    <row r="783" ht="15.75" customHeight="1" s="69"/>
    <row r="784" ht="15.75" customHeight="1" s="69"/>
    <row r="785" ht="15.75" customHeight="1" s="69"/>
    <row r="786" ht="15.75" customHeight="1" s="69"/>
    <row r="787" ht="15.75" customHeight="1" s="69"/>
    <row r="788" ht="15.75" customHeight="1" s="69"/>
    <row r="789" ht="15.75" customHeight="1" s="69"/>
    <row r="790" ht="15.75" customHeight="1" s="69"/>
    <row r="791" ht="15.75" customHeight="1" s="69"/>
    <row r="792" ht="15.75" customHeight="1" s="69"/>
    <row r="793" ht="15.75" customHeight="1" s="69"/>
    <row r="794" ht="15.75" customHeight="1" s="69"/>
    <row r="795" ht="15.75" customHeight="1" s="69"/>
    <row r="796" ht="15.75" customHeight="1" s="69"/>
    <row r="797" ht="15.75" customHeight="1" s="69"/>
    <row r="798" ht="15.75" customHeight="1" s="69"/>
    <row r="799" ht="15.75" customHeight="1" s="69"/>
    <row r="800" ht="15.75" customHeight="1" s="69"/>
    <row r="801" ht="15.75" customHeight="1" s="69"/>
    <row r="802" ht="15.75" customHeight="1" s="69"/>
    <row r="803" ht="15.75" customHeight="1" s="69"/>
    <row r="804" ht="15.75" customHeight="1" s="69"/>
    <row r="805" ht="15.75" customHeight="1" s="69"/>
    <row r="806" ht="15.75" customHeight="1" s="69"/>
    <row r="807" ht="15.75" customHeight="1" s="69"/>
    <row r="808" ht="15.75" customHeight="1" s="69"/>
    <row r="809" ht="15.75" customHeight="1" s="69"/>
    <row r="810" ht="15.75" customHeight="1" s="69"/>
    <row r="811" ht="15.75" customHeight="1" s="69"/>
    <row r="812" ht="15.75" customHeight="1" s="69"/>
    <row r="813" ht="15.75" customHeight="1" s="69"/>
    <row r="814" ht="15.75" customHeight="1" s="69"/>
    <row r="815" ht="15.75" customHeight="1" s="69"/>
    <row r="816" ht="15.75" customHeight="1" s="69"/>
    <row r="817" ht="15.75" customHeight="1" s="69"/>
    <row r="818" ht="15.75" customHeight="1" s="69"/>
    <row r="819" ht="15.75" customHeight="1" s="69"/>
    <row r="820" ht="15.75" customHeight="1" s="69"/>
    <row r="821" ht="15.75" customHeight="1" s="69"/>
    <row r="822" ht="15.75" customHeight="1" s="69"/>
    <row r="823" ht="15.75" customHeight="1" s="69"/>
    <row r="824" ht="15.75" customHeight="1" s="69"/>
    <row r="825" ht="15.75" customHeight="1" s="69"/>
    <row r="826" ht="15.75" customHeight="1" s="69"/>
    <row r="827" ht="15.75" customHeight="1" s="69"/>
    <row r="828" ht="15.75" customHeight="1" s="69"/>
    <row r="829" ht="15.75" customHeight="1" s="69"/>
    <row r="830" ht="15.75" customHeight="1" s="69"/>
    <row r="831" ht="15.75" customHeight="1" s="69"/>
    <row r="832" ht="15.75" customHeight="1" s="69"/>
    <row r="833" ht="15.75" customHeight="1" s="69"/>
    <row r="834" ht="15.75" customHeight="1" s="69"/>
    <row r="835" ht="15.75" customHeight="1" s="69"/>
    <row r="836" ht="15.75" customHeight="1" s="69"/>
    <row r="837" ht="15.75" customHeight="1" s="69"/>
    <row r="838" ht="15.75" customHeight="1" s="69"/>
    <row r="839" ht="15.75" customHeight="1" s="69"/>
    <row r="840" ht="15.75" customHeight="1" s="69"/>
    <row r="841" ht="15.75" customHeight="1" s="69"/>
    <row r="842" ht="15.75" customHeight="1" s="69"/>
    <row r="843" ht="15.75" customHeight="1" s="69"/>
    <row r="844" ht="15.75" customHeight="1" s="69"/>
    <row r="845" ht="15.75" customHeight="1" s="69"/>
    <row r="846" ht="15.75" customHeight="1" s="69"/>
    <row r="847" ht="15.75" customHeight="1" s="69"/>
    <row r="848" ht="15.75" customHeight="1" s="69"/>
    <row r="849" ht="15.75" customHeight="1" s="69"/>
    <row r="850" ht="15.75" customHeight="1" s="69"/>
    <row r="851" ht="15.75" customHeight="1" s="69"/>
    <row r="852" ht="15.75" customHeight="1" s="69"/>
    <row r="853" ht="15.75" customHeight="1" s="69"/>
    <row r="854" ht="15.75" customHeight="1" s="69"/>
    <row r="855" ht="15.75" customHeight="1" s="69"/>
    <row r="856" ht="15.75" customHeight="1" s="69"/>
    <row r="857" ht="15.75" customHeight="1" s="69"/>
    <row r="858" ht="15.75" customHeight="1" s="69"/>
    <row r="859" ht="15.75" customHeight="1" s="69"/>
    <row r="860" ht="15.75" customHeight="1" s="69"/>
    <row r="861" ht="15.75" customHeight="1" s="69"/>
    <row r="862" ht="15.75" customHeight="1" s="69"/>
    <row r="863" ht="15.75" customHeight="1" s="69"/>
    <row r="864" ht="15.75" customHeight="1" s="69"/>
    <row r="865" ht="15.75" customHeight="1" s="69"/>
    <row r="866" ht="15.75" customHeight="1" s="69"/>
    <row r="867" ht="15.75" customHeight="1" s="69"/>
    <row r="868" ht="15.75" customHeight="1" s="69"/>
    <row r="869" ht="15.75" customHeight="1" s="69"/>
    <row r="870" ht="15.75" customHeight="1" s="69"/>
    <row r="871" ht="15.75" customHeight="1" s="69"/>
    <row r="872" ht="15.75" customHeight="1" s="69"/>
    <row r="873" ht="15.75" customHeight="1" s="69"/>
    <row r="874" ht="15.75" customHeight="1" s="69"/>
    <row r="875" ht="15.75" customHeight="1" s="69"/>
    <row r="876" ht="15.75" customHeight="1" s="69"/>
    <row r="877" ht="15.75" customHeight="1" s="69"/>
    <row r="878" ht="15.75" customHeight="1" s="69"/>
    <row r="879" ht="15.75" customHeight="1" s="69"/>
    <row r="880" ht="15.75" customHeight="1" s="69"/>
    <row r="881" ht="15.75" customHeight="1" s="69"/>
    <row r="882" ht="15.75" customHeight="1" s="69"/>
    <row r="883" ht="15.75" customHeight="1" s="69"/>
    <row r="884" ht="15.75" customHeight="1" s="69"/>
    <row r="885" ht="15.75" customHeight="1" s="69"/>
    <row r="886" ht="15.75" customHeight="1" s="69"/>
    <row r="887" ht="15.75" customHeight="1" s="69"/>
    <row r="888" ht="15.75" customHeight="1" s="69"/>
    <row r="889" ht="15.75" customHeight="1" s="69"/>
    <row r="890" ht="15.75" customHeight="1" s="69"/>
    <row r="891" ht="15.75" customHeight="1" s="69"/>
    <row r="892" ht="15.75" customHeight="1" s="69"/>
    <row r="893" ht="15.75" customHeight="1" s="69"/>
    <row r="894" ht="15.75" customHeight="1" s="69"/>
    <row r="895" ht="15.75" customHeight="1" s="69"/>
    <row r="896" ht="15.75" customHeight="1" s="69"/>
    <row r="897" ht="15.75" customHeight="1" s="69"/>
    <row r="898" ht="15.75" customHeight="1" s="69"/>
    <row r="899" ht="15.75" customHeight="1" s="69"/>
    <row r="900" ht="15.75" customHeight="1" s="69"/>
    <row r="901" ht="15.75" customHeight="1" s="69"/>
    <row r="902" ht="15.75" customHeight="1" s="69"/>
    <row r="903" ht="15.75" customHeight="1" s="69"/>
    <row r="904" ht="15.75" customHeight="1" s="69"/>
    <row r="905" ht="15.75" customHeight="1" s="69"/>
    <row r="906" ht="15.75" customHeight="1" s="69"/>
    <row r="907" ht="15.75" customHeight="1" s="69"/>
    <row r="908" ht="15.75" customHeight="1" s="69"/>
    <row r="909" ht="15.75" customHeight="1" s="69"/>
    <row r="910" ht="15.75" customHeight="1" s="69"/>
    <row r="911" ht="15.75" customHeight="1" s="69"/>
    <row r="912" ht="15.75" customHeight="1" s="69"/>
    <row r="913" ht="15.75" customHeight="1" s="69"/>
    <row r="914" ht="15.75" customHeight="1" s="69"/>
    <row r="915" ht="15.75" customHeight="1" s="69"/>
    <row r="916" ht="15.75" customHeight="1" s="69"/>
    <row r="917" ht="15.75" customHeight="1" s="69"/>
    <row r="918" ht="15.75" customHeight="1" s="69"/>
    <row r="919" ht="15.75" customHeight="1" s="69"/>
    <row r="920" ht="15.75" customHeight="1" s="69"/>
    <row r="921" ht="15.75" customHeight="1" s="69"/>
    <row r="922" ht="15.75" customHeight="1" s="69"/>
    <row r="923" ht="15.75" customHeight="1" s="69"/>
    <row r="924" ht="15.75" customHeight="1" s="69"/>
    <row r="925" ht="15.75" customHeight="1" s="69"/>
    <row r="926" ht="15.75" customHeight="1" s="69"/>
    <row r="927" ht="15.75" customHeight="1" s="69"/>
    <row r="928" ht="15.75" customHeight="1" s="69"/>
    <row r="929" ht="15.75" customHeight="1" s="69"/>
    <row r="930" ht="15.75" customHeight="1" s="69"/>
    <row r="931" ht="15.75" customHeight="1" s="69"/>
    <row r="932" ht="15.75" customHeight="1" s="69"/>
    <row r="933" ht="15.75" customHeight="1" s="69"/>
    <row r="934" ht="15.75" customHeight="1" s="69"/>
    <row r="935" ht="15.75" customHeight="1" s="69"/>
    <row r="936" ht="15.75" customHeight="1" s="69"/>
    <row r="937" ht="15.75" customHeight="1" s="69"/>
    <row r="938" ht="15.75" customHeight="1" s="69"/>
    <row r="939" ht="15.75" customHeight="1" s="69"/>
    <row r="940" ht="15.75" customHeight="1" s="69"/>
    <row r="941" ht="15.75" customHeight="1" s="69"/>
    <row r="942" ht="15.75" customHeight="1" s="69"/>
    <row r="943" ht="15.75" customHeight="1" s="69"/>
    <row r="944" ht="15.75" customHeight="1" s="69"/>
    <row r="945" ht="15.75" customHeight="1" s="69"/>
    <row r="946" ht="15.75" customHeight="1" s="69"/>
    <row r="947" ht="15.75" customHeight="1" s="69"/>
    <row r="948" ht="15.75" customHeight="1" s="69"/>
    <row r="949" ht="15.75" customHeight="1" s="69"/>
    <row r="950" ht="15.75" customHeight="1" s="69"/>
    <row r="951" ht="15.75" customHeight="1" s="69"/>
    <row r="952" ht="15.75" customHeight="1" s="69"/>
    <row r="953" ht="15.75" customHeight="1" s="69"/>
    <row r="954" ht="15.75" customHeight="1" s="69"/>
    <row r="955" ht="15.75" customHeight="1" s="69"/>
    <row r="956" ht="15.75" customHeight="1" s="69"/>
    <row r="957" ht="15.75" customHeight="1" s="69"/>
    <row r="958" ht="15.75" customHeight="1" s="69"/>
    <row r="959" ht="15.75" customHeight="1" s="69"/>
    <row r="960" ht="15.75" customHeight="1" s="69"/>
    <row r="961" ht="15.75" customHeight="1" s="69"/>
    <row r="962" ht="15.75" customHeight="1" s="69"/>
    <row r="963" ht="15.75" customHeight="1" s="69"/>
    <row r="964" ht="15.75" customHeight="1" s="69"/>
    <row r="965" ht="15.75" customHeight="1" s="69"/>
    <row r="966" ht="15.75" customHeight="1" s="69"/>
    <row r="967" ht="15.75" customHeight="1" s="69"/>
    <row r="968" ht="15.75" customHeight="1" s="69"/>
    <row r="969" ht="15.75" customHeight="1" s="69"/>
    <row r="970" ht="15.75" customHeight="1" s="69"/>
    <row r="971" ht="15.75" customHeight="1" s="69"/>
    <row r="972" ht="15.75" customHeight="1" s="69"/>
    <row r="973" ht="15.75" customHeight="1" s="69"/>
    <row r="974" ht="15.75" customHeight="1" s="69"/>
    <row r="975" ht="15.75" customHeight="1" s="69"/>
    <row r="976" ht="15.75" customHeight="1" s="69"/>
    <row r="977" ht="15.75" customHeight="1" s="69"/>
    <row r="978" ht="15.75" customHeight="1" s="69"/>
  </sheetData>
  <pageMargins left="0.75" right="0.75" top="1" bottom="1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2025-12-22T20:58:03Z</dcterms:created>
  <dcterms:modified xsi:type="dcterms:W3CDTF">2026-02-08T21:56:49Z</dcterms:modified>
</cp:coreProperties>
</file>