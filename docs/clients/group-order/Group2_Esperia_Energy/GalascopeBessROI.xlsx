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Inputs" sheetId="2" state="visible" r:id="rId2"/>
    <sheet xmlns:r="http://schemas.openxmlformats.org/officeDocument/2006/relationships" name="CurtailmentData" sheetId="3" state="visible" r:id="rId3"/>
    <sheet xmlns:r="http://schemas.openxmlformats.org/officeDocument/2006/relationships" name="MarketData" sheetId="4" state="visible" r:id="rId4"/>
    <sheet xmlns:r="http://schemas.openxmlformats.org/officeDocument/2006/relationships" name="SOH_Degradation" sheetId="5" state="visible" r:id="rId5"/>
    <sheet xmlns:r="http://schemas.openxmlformats.org/officeDocument/2006/relationships" name="DailyAnalysis" sheetId="6" state="visible" r:id="rId6"/>
    <sheet xmlns:r="http://schemas.openxmlformats.org/officeDocument/2006/relationships" name="CashFlow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"/>
    <numFmt numFmtId="165" formatCode="0.0%"/>
    <numFmt numFmtId="166" formatCode="#,##0.0"/>
  </numFmts>
  <fonts count="17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i val="1"/>
      <color rgb="00666666"/>
      <sz val="10"/>
    </font>
    <font>
      <name val="Calibri"/>
      <b val="1"/>
      <color rgb="001F4E79"/>
      <sz val="12"/>
    </font>
    <font>
      <name val="Calibri"/>
      <sz val="11"/>
    </font>
    <font>
      <name val="Calibri"/>
      <b val="1"/>
      <color rgb="00C00000"/>
      <sz val="11"/>
    </font>
    <font>
      <i val="1"/>
      <color rgb="00555555"/>
      <sz val="10"/>
    </font>
    <font>
      <name val="Calibri"/>
      <b val="1"/>
      <color rgb="00FFFFFF"/>
      <sz val="11"/>
    </font>
    <font>
      <b val="1"/>
    </font>
    <font>
      <name val="Calibri"/>
      <b val="1"/>
      <color rgb="00006100"/>
      <sz val="12"/>
    </font>
    <font>
      <b val="1"/>
      <sz val="11"/>
    </font>
    <font>
      <b val="1"/>
      <color rgb="00CC0000"/>
    </font>
    <font>
      <b val="1"/>
      <color rgb="00006100"/>
    </font>
    <font>
      <name val="Calibri"/>
      <b val="1"/>
      <color rgb="001F4E79"/>
      <sz val="16"/>
    </font>
    <font>
      <i val="1"/>
      <color rgb="00666666"/>
      <sz val="11"/>
    </font>
    <font>
      <i val="1"/>
      <color rgb="00C00000"/>
      <sz val="10"/>
    </font>
    <font>
      <color rgb="00444444"/>
      <sz val="10"/>
    </font>
  </fonts>
  <fills count="8">
    <fill>
      <patternFill/>
    </fill>
    <fill>
      <patternFill patternType="gray125"/>
    </fill>
    <fill>
      <patternFill patternType="solid">
        <fgColor rgb="00FFF2CC"/>
        <bgColor rgb="00FFF2CC"/>
      </patternFill>
    </fill>
    <fill>
      <patternFill patternType="solid">
        <fgColor rgb="00E2EFDA"/>
        <bgColor rgb="00E2EFDA"/>
      </patternFill>
    </fill>
    <fill>
      <patternFill patternType="solid">
        <fgColor rgb="001F4E79"/>
        <bgColor rgb="001F4E79"/>
      </patternFill>
    </fill>
    <fill>
      <patternFill patternType="solid">
        <fgColor rgb="00C6EFCE"/>
        <bgColor rgb="00C6EFCE"/>
      </patternFill>
    </fill>
    <fill>
      <patternFill patternType="solid">
        <fgColor rgb="00D6E4F0"/>
        <bgColor rgb="00D6E4F0"/>
      </patternFill>
    </fill>
    <fill>
      <patternFill patternType="solid">
        <fgColor rgb="00FCE4EC"/>
        <bgColor rgb="00FCE4E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7">
    <xf numFmtId="0" fontId="0" fillId="0" borderId="0" pivotButton="0" quotePrefix="0" xfId="0"/>
    <xf numFmtId="0" fontId="13" fillId="0" borderId="0" pivotButton="0" quotePrefix="0" xfId="0"/>
    <xf numFmtId="0" fontId="14" fillId="0" borderId="0" pivotButton="0" quotePrefix="0" xfId="0"/>
    <xf numFmtId="0" fontId="15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3" fontId="9" fillId="0" borderId="0" pivotButton="0" quotePrefix="0" xfId="0"/>
    <xf numFmtId="164" fontId="9" fillId="0" borderId="0" pivotButton="0" quotePrefix="0" xfId="0"/>
    <xf numFmtId="165" fontId="9" fillId="0" borderId="0" pivotButton="0" quotePrefix="0" xfId="0"/>
    <xf numFmtId="165" fontId="10" fillId="0" borderId="0" pivotButton="0" quotePrefix="0" xfId="0"/>
    <xf numFmtId="3" fontId="10" fillId="0" borderId="0" pivotButton="0" quotePrefix="0" xfId="0"/>
    <xf numFmtId="2" fontId="10" fillId="0" borderId="0" pivotButton="0" quotePrefix="0" xfId="0"/>
    <xf numFmtId="0" fontId="10" fillId="0" borderId="0" pivotButton="0" quotePrefix="0" xfId="0"/>
    <xf numFmtId="166" fontId="10" fillId="0" borderId="0" pivotButton="0" quotePrefix="0" xfId="0"/>
    <xf numFmtId="0" fontId="7" fillId="4" borderId="0" applyAlignment="1" pivotButton="0" quotePrefix="0" xfId="0">
      <alignment horizontal="center" wrapText="1"/>
    </xf>
    <xf numFmtId="166" fontId="0" fillId="0" borderId="0" pivotButton="0" quotePrefix="0" xfId="0"/>
    <xf numFmtId="165" fontId="0" fillId="0" borderId="0" pivotButton="0" quotePrefix="0" xfId="0"/>
    <xf numFmtId="0" fontId="0" fillId="7" borderId="0" pivotButton="0" quotePrefix="0" xfId="0"/>
    <xf numFmtId="166" fontId="0" fillId="7" borderId="0" pivotButton="0" quotePrefix="0" xfId="0"/>
    <xf numFmtId="165" fontId="0" fillId="7" borderId="0" pivotButton="0" quotePrefix="0" xfId="0"/>
    <xf numFmtId="0" fontId="8" fillId="0" borderId="0" pivotButton="0" quotePrefix="0" xfId="0"/>
    <xf numFmtId="166" fontId="8" fillId="0" borderId="0" pivotButton="0" quotePrefix="0" xfId="0"/>
    <xf numFmtId="165" fontId="8" fillId="0" borderId="0" pivotButton="0" quotePrefix="0" xfId="0"/>
    <xf numFmtId="0" fontId="16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5" fillId="2" borderId="0" pivotButton="0" quotePrefix="0" xfId="0"/>
    <xf numFmtId="0" fontId="6" fillId="0" borderId="0" pivotButton="0" quotePrefix="0" xfId="0"/>
    <xf numFmtId="164" fontId="0" fillId="3" borderId="0" pivotButton="0" quotePrefix="0" xfId="0"/>
    <xf numFmtId="164" fontId="5" fillId="2" borderId="0" pivotButton="0" quotePrefix="0" xfId="0"/>
    <xf numFmtId="3" fontId="5" fillId="2" borderId="0" pivotButton="0" quotePrefix="0" xfId="0"/>
    <xf numFmtId="2" fontId="0" fillId="3" borderId="0" pivotButton="0" quotePrefix="0" xfId="0"/>
    <xf numFmtId="3" fontId="0" fillId="3" borderId="0" pivotButton="0" quotePrefix="0" xfId="0"/>
    <xf numFmtId="166" fontId="0" fillId="3" borderId="0" pivotButton="0" quotePrefix="0" xfId="0"/>
    <xf numFmtId="165" fontId="0" fillId="3" borderId="0" pivotButton="0" quotePrefix="0" xfId="0"/>
    <xf numFmtId="0" fontId="7" fillId="4" borderId="1" applyAlignment="1" pivotButton="0" quotePrefix="0" xfId="0">
      <alignment horizontal="center" wrapText="1"/>
    </xf>
    <xf numFmtId="0" fontId="0" fillId="0" borderId="1" pivotButton="0" quotePrefix="0" xfId="0"/>
    <xf numFmtId="165" fontId="0" fillId="0" borderId="1" pivotButton="0" quotePrefix="0" xfId="0"/>
    <xf numFmtId="4" fontId="0" fillId="0" borderId="1" pivotButton="0" quotePrefix="0" xfId="0"/>
    <xf numFmtId="0" fontId="0" fillId="2" borderId="1" pivotButton="0" quotePrefix="0" xfId="0"/>
    <xf numFmtId="4" fontId="0" fillId="2" borderId="1" pivotButton="0" quotePrefix="0" xfId="0"/>
    <xf numFmtId="165" fontId="0" fillId="2" borderId="1" pivotButton="0" quotePrefix="0" xfId="0"/>
    <xf numFmtId="0" fontId="0" fillId="5" borderId="1" pivotButton="0" quotePrefix="0" xfId="0"/>
    <xf numFmtId="4" fontId="0" fillId="5" borderId="1" pivotButton="0" quotePrefix="0" xfId="0"/>
    <xf numFmtId="165" fontId="0" fillId="5" borderId="1" pivotButton="0" quotePrefix="0" xfId="0"/>
    <xf numFmtId="4" fontId="0" fillId="0" borderId="0" pivotButton="0" quotePrefix="0" xfId="0"/>
    <xf numFmtId="0" fontId="0" fillId="5" borderId="0" pivotButton="0" quotePrefix="0" xfId="0"/>
    <xf numFmtId="4" fontId="0" fillId="5" borderId="0" pivotButton="0" quotePrefix="0" xfId="0"/>
    <xf numFmtId="165" fontId="0" fillId="5" borderId="0" pivotButton="0" quotePrefix="0" xfId="0"/>
    <xf numFmtId="0" fontId="9" fillId="0" borderId="0" pivotButton="0" quotePrefix="0" xfId="0"/>
    <xf numFmtId="10" fontId="0" fillId="0" borderId="1" pivotButton="0" quotePrefix="0" xfId="0"/>
    <xf numFmtId="2" fontId="0" fillId="0" borderId="1" pivotButton="0" quotePrefix="0" xfId="0"/>
    <xf numFmtId="3" fontId="0" fillId="0" borderId="1" pivotButton="0" quotePrefix="0" xfId="0"/>
    <xf numFmtId="3" fontId="0" fillId="0" borderId="0" pivotButton="0" quotePrefix="0" xfId="0"/>
    <xf numFmtId="3" fontId="8" fillId="0" borderId="0" pivotButton="0" quotePrefix="0" xfId="0"/>
    <xf numFmtId="3" fontId="11" fillId="0" borderId="1" pivotButton="0" quotePrefix="0" xfId="0"/>
    <xf numFmtId="166" fontId="0" fillId="6" borderId="1" pivotButton="0" quotePrefix="0" xfId="0"/>
    <xf numFmtId="166" fontId="0" fillId="0" borderId="1" pivotButton="0" quotePrefix="0" xfId="0"/>
    <xf numFmtId="3" fontId="8" fillId="0" borderId="1" pivotButton="0" quotePrefix="0" xfId="0"/>
    <xf numFmtId="3" fontId="12" fillId="0" borderId="1" pivotButton="0" quotePrefix="0" xfId="0"/>
    <xf numFmtId="165" fontId="9" fillId="0" borderId="0" pivotButton="0" quotePrefix="0" xfId="0"/>
    <xf numFmtId="165" fontId="10" fillId="0" borderId="0" pivotButton="0" quotePrefix="0" xfId="0"/>
    <xf numFmtId="166" fontId="10" fillId="0" borderId="0" pivotButton="0" quotePrefix="0" xfId="0"/>
    <xf numFmtId="166" fontId="0" fillId="0" borderId="0" pivotButton="0" quotePrefix="0" xfId="0"/>
    <xf numFmtId="165" fontId="0" fillId="0" borderId="0" pivotButton="0" quotePrefix="0" xfId="0"/>
    <xf numFmtId="166" fontId="0" fillId="7" borderId="0" pivotButton="0" quotePrefix="0" xfId="0"/>
    <xf numFmtId="165" fontId="0" fillId="7" borderId="0" pivotButton="0" quotePrefix="0" xfId="0"/>
    <xf numFmtId="166" fontId="8" fillId="0" borderId="0" pivotButton="0" quotePrefix="0" xfId="0"/>
    <xf numFmtId="165" fontId="8" fillId="0" borderId="0" pivotButton="0" quotePrefix="0" xfId="0"/>
    <xf numFmtId="166" fontId="0" fillId="3" borderId="0" pivotButton="0" quotePrefix="0" xfId="0"/>
    <xf numFmtId="165" fontId="0" fillId="3" borderId="0" pivotButton="0" quotePrefix="0" xfId="0"/>
    <xf numFmtId="165" fontId="0" fillId="0" borderId="1" pivotButton="0" quotePrefix="0" xfId="0"/>
    <xf numFmtId="165" fontId="0" fillId="2" borderId="1" pivotButton="0" quotePrefix="0" xfId="0"/>
    <xf numFmtId="165" fontId="0" fillId="5" borderId="1" pivotButton="0" quotePrefix="0" xfId="0"/>
    <xf numFmtId="165" fontId="0" fillId="5" borderId="0" pivotButton="0" quotePrefix="0" xfId="0"/>
    <xf numFmtId="166" fontId="0" fillId="6" borderId="1" pivotButton="0" quotePrefix="0" xfId="0"/>
    <xf numFmtId="166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FFD700"/>
    <outlinePr summaryBelow="1" summaryRight="1"/>
    <pageSetUpPr/>
  </sheetPr>
  <dimension ref="B1:G62"/>
  <sheetViews>
    <sheetView workbookViewId="0">
      <selection activeCell="A1" sqref="A1"/>
    </sheetView>
  </sheetViews>
  <sheetFormatPr baseColWidth="8" defaultRowHeight="15"/>
  <cols>
    <col width="4" customWidth="1" min="1" max="1"/>
    <col width="40" customWidth="1" min="2" max="2"/>
    <col width="22" customWidth="1" min="3" max="3"/>
    <col width="14" customWidth="1" min="4" max="4"/>
    <col width="52" customWidth="1" min="5" max="5"/>
  </cols>
  <sheetData>
    <row r="1">
      <c r="B1" s="1" t="inlineStr">
        <is>
          <t>BESS PROFITABILITY - GALASCOPE (ESPERIA ENERGY)</t>
        </is>
      </c>
    </row>
    <row r="2">
      <c r="B2" s="2" t="inlineStr">
        <is>
          <t>Lighthief Cyprus Ltd - Data-Validated Model (Feb 2026)</t>
        </is>
      </c>
      <c r="E2" s="3" t="inlineStr">
        <is>
          <t>Change parameters on the Inputs sheet</t>
        </is>
      </c>
    </row>
    <row r="4">
      <c r="B4" s="4" t="inlineStr">
        <is>
          <t>KEY FINANCIAL METRICS</t>
        </is>
      </c>
    </row>
    <row r="5">
      <c r="B5" s="5" t="inlineStr">
        <is>
          <t>Investment (EUR)</t>
        </is>
      </c>
      <c r="C5" s="6">
        <f>Inputs!C16</f>
        <v/>
      </c>
    </row>
    <row r="6">
      <c r="B6" s="5" t="inlineStr">
        <is>
          <t>Simple Payback (years)</t>
        </is>
      </c>
      <c r="C6" s="7">
        <f>IF(CashFlow!J18&lt;0,"Never",SUMPRODUCT((CashFlow!J4:J18&lt;0)*1)+1+ABS(INDEX(CashFlow!J3:J18,SUMPRODUCT((CashFlow!J4:J18&lt;0)*1)+1))/INDEX(CashFlow!I4:I18,SUMPRODUCT((CashFlow!J4:J18&lt;0)*1)+1))</f>
        <v/>
      </c>
    </row>
    <row r="7">
      <c r="B7" s="5" t="inlineStr">
        <is>
          <t>15-Year Net Profit (EUR)</t>
        </is>
      </c>
      <c r="C7" s="6">
        <f>CashFlow!J18</f>
        <v/>
      </c>
    </row>
    <row r="8">
      <c r="B8" s="5" t="inlineStr">
        <is>
          <t>15-Year ROI (%)</t>
        </is>
      </c>
      <c r="C8" s="60">
        <f>CashFlow!J18/Inputs!C16</f>
        <v/>
      </c>
    </row>
    <row r="9">
      <c r="B9" s="5" t="inlineStr">
        <is>
          <t>15-Year Gross Revenue (EUR)</t>
        </is>
      </c>
      <c r="C9" s="6">
        <f>SUM(CashFlow!G4:G18)</f>
        <v/>
      </c>
    </row>
    <row r="10">
      <c r="B10" s="5" t="inlineStr">
        <is>
          <t>15-Year Operating Costs (EUR)</t>
        </is>
      </c>
      <c r="C10" s="6">
        <f>SUM(CashFlow!H4:H18)</f>
        <v/>
      </c>
    </row>
    <row r="11">
      <c r="B11" s="5" t="inlineStr">
        <is>
          <t>Year 1 Net Cash Flow (EUR)</t>
        </is>
      </c>
      <c r="C11" s="6">
        <f>CashFlow!I4</f>
        <v/>
      </c>
    </row>
    <row r="12">
      <c r="B12" s="5" t="inlineStr">
        <is>
          <t>Year 15 Net Cash Flow (EUR)</t>
        </is>
      </c>
      <c r="C12" s="6">
        <f>CashFlow!I18</f>
        <v/>
      </c>
    </row>
    <row r="14">
      <c r="B14" s="4" t="inlineStr">
        <is>
          <t>BESS PERFORMANCE</t>
        </is>
      </c>
    </row>
    <row r="15">
      <c r="B15" s="5" t="inlineStr">
        <is>
          <t>BESS Capture Efficiency</t>
        </is>
      </c>
      <c r="C15" s="61">
        <f>SUM(DailyAnalysis!G2:G366)/SUM(DailyAnalysis!D2:D366)</f>
        <v/>
      </c>
    </row>
    <row r="16">
      <c r="B16" s="5" t="inlineStr">
        <is>
          <t>Average Daily Fill</t>
        </is>
      </c>
      <c r="C16" s="61">
        <f>AVERAGE(DailyAnalysis!H2:H366)</f>
        <v/>
      </c>
    </row>
    <row r="17">
      <c r="B17" s="5" t="inlineStr">
        <is>
          <t>Days at 100% Fill</t>
        </is>
      </c>
      <c r="C17" s="10">
        <f>COUNTIF(DailyAnalysis!H2:H366,"&gt;=0.9999")</f>
        <v/>
      </c>
    </row>
    <row r="18">
      <c r="B18" s="5" t="inlineStr">
        <is>
          <t>Days Zero Curtailment</t>
        </is>
      </c>
      <c r="C18" s="10">
        <f>COUNTIF(CurtailmentData!D2:D366,"&lt;=0")</f>
        <v/>
      </c>
    </row>
    <row r="19">
      <c r="B19" s="5" t="inlineStr">
        <is>
          <t>15-Year Total Cycles</t>
        </is>
      </c>
      <c r="C19" s="10">
        <f>CashFlow!E18</f>
        <v/>
      </c>
    </row>
    <row r="20">
      <c r="B20" s="5" t="inlineStr">
        <is>
          <t>Cycle Headroom vs 7000</t>
        </is>
      </c>
      <c r="C20" s="61">
        <f>1-CashFlow!E18/Inputs!C13</f>
        <v/>
      </c>
    </row>
    <row r="21">
      <c r="B21" s="5" t="inlineStr">
        <is>
          <t>Average Daily Cycles</t>
        </is>
      </c>
      <c r="C21" s="11">
        <f>SUM(CashFlow!L4:L18)/(Inputs!C30*365)</f>
        <v/>
      </c>
    </row>
    <row r="23">
      <c r="B23" s="4" t="inlineStr">
        <is>
          <t>CURTAILMENT DATA SUMMARY</t>
        </is>
      </c>
    </row>
    <row r="24">
      <c r="B24" s="5" t="inlineStr">
        <is>
          <t>Data Source</t>
        </is>
      </c>
      <c r="C24" s="12" t="inlineStr">
        <is>
          <t>Galascope 2.5MW, 365 days (Jan-Dec 2025)</t>
        </is>
      </c>
    </row>
    <row r="25">
      <c r="B25" s="5" t="inlineStr">
        <is>
          <t>Annual PV Potential (MWh, ref)</t>
        </is>
      </c>
      <c r="C25" s="62">
        <f>SUM(CurtailmentData!F2:F366)/1000</f>
        <v/>
      </c>
    </row>
    <row r="26">
      <c r="B26" s="5" t="inlineStr">
        <is>
          <t>Annual Curtailed (MWh, ref)</t>
        </is>
      </c>
      <c r="C26" s="62">
        <f>SUM(CurtailmentData!D2:D366)/1000</f>
        <v/>
      </c>
    </row>
    <row r="27">
      <c r="B27" s="5" t="inlineStr">
        <is>
          <t>Curtailment Rate</t>
        </is>
      </c>
      <c r="C27" s="61">
        <f>C26/C25</f>
        <v/>
      </c>
    </row>
    <row r="28">
      <c r="B28" s="5" t="inlineStr">
        <is>
          <t>Days with Curtailment</t>
        </is>
      </c>
      <c r="C28" s="12">
        <f>COUNTIF(CurtailmentData!D2:D366,"&gt;0")</f>
        <v/>
      </c>
    </row>
    <row r="30">
      <c r="B30" s="4" t="inlineStr">
        <is>
          <t>MARKET DATA VALIDATION</t>
        </is>
      </c>
    </row>
    <row r="31">
      <c r="B31" s="5" t="inlineStr">
        <is>
          <t>DAM Data Source</t>
        </is>
      </c>
      <c r="C31" s="12" t="inlineStr">
        <is>
          <t>137 TSOC files, Oct 2025 - Feb 2026</t>
        </is>
      </c>
    </row>
    <row r="32">
      <c r="B32" s="5" t="inlineStr">
        <is>
          <t>Peak Evening Avg (17-21)</t>
        </is>
      </c>
      <c r="C32" s="12" t="inlineStr">
        <is>
          <t>EUR 184.13/MWh</t>
        </is>
      </c>
    </row>
    <row r="33">
      <c r="B33" s="5" t="inlineStr">
        <is>
          <t>Model Discharge Price</t>
        </is>
      </c>
      <c r="C33" s="10">
        <f>Inputs!C27</f>
        <v/>
      </c>
    </row>
    <row r="34">
      <c r="B34" s="5" t="inlineStr">
        <is>
          <t>Model vs Actual</t>
        </is>
      </c>
      <c r="C34" s="12" t="inlineStr">
        <is>
          <t>Conservative by EUR 9.13 (+5.2%)</t>
        </is>
      </c>
    </row>
    <row r="35">
      <c r="B35" s="5" t="inlineStr">
        <is>
          <t>Midday Trough Avg (09-14)</t>
        </is>
      </c>
      <c r="C35" s="12" t="inlineStr">
        <is>
          <t>EUR 102.40/MWh</t>
        </is>
      </c>
    </row>
    <row r="37">
      <c r="B37" s="4" t="inlineStr">
        <is>
          <t>MONTHLY BREAKDOWN</t>
        </is>
      </c>
    </row>
    <row r="38">
      <c r="B38" s="14" t="inlineStr">
        <is>
          <t>Month</t>
        </is>
      </c>
      <c r="C38" s="14" t="inlineStr">
        <is>
          <t>PV Yield (MWh)</t>
        </is>
      </c>
      <c r="D38" s="14" t="inlineStr">
        <is>
          <t>Curtailed (MWh)</t>
        </is>
      </c>
      <c r="E38" s="14" t="inlineStr">
        <is>
          <t>Curt %</t>
        </is>
      </c>
      <c r="F38" s="14" t="inlineStr">
        <is>
          <t>BESS Captured (MWh)</t>
        </is>
      </c>
      <c r="G38" s="14" t="inlineStr">
        <is>
          <t>Avg Fill</t>
        </is>
      </c>
    </row>
    <row r="39">
      <c r="B39" t="inlineStr">
        <is>
          <t>Jan</t>
        </is>
      </c>
      <c r="C39" s="63" t="n">
        <v>128</v>
      </c>
      <c r="D39" s="63" t="n">
        <v>117.6</v>
      </c>
      <c r="E39" s="64" t="n">
        <v>0.479</v>
      </c>
      <c r="F39" s="63" t="n">
        <v>235.3</v>
      </c>
      <c r="G39" s="64" t="n">
        <v>0.446</v>
      </c>
    </row>
    <row r="40">
      <c r="B40" t="inlineStr">
        <is>
          <t>Feb</t>
        </is>
      </c>
      <c r="C40" s="63" t="n">
        <v>162.1</v>
      </c>
      <c r="D40" s="63" t="n">
        <v>107.2</v>
      </c>
      <c r="E40" s="64" t="n">
        <v>0.398</v>
      </c>
      <c r="F40" s="63" t="n">
        <v>209.7</v>
      </c>
      <c r="G40" s="64" t="n">
        <v>0.44</v>
      </c>
    </row>
    <row r="41">
      <c r="B41" s="17" t="inlineStr">
        <is>
          <t>Mar</t>
        </is>
      </c>
      <c r="C41" s="65" t="n">
        <v>150.6</v>
      </c>
      <c r="D41" s="65" t="n">
        <v>286</v>
      </c>
      <c r="E41" s="66" t="n">
        <v>0.655</v>
      </c>
      <c r="F41" s="65" t="n">
        <v>470.9</v>
      </c>
      <c r="G41" s="66" t="n">
        <v>0.892</v>
      </c>
    </row>
    <row r="42">
      <c r="B42" s="17" t="inlineStr">
        <is>
          <t>Apr</t>
        </is>
      </c>
      <c r="C42" s="65" t="n">
        <v>175.8</v>
      </c>
      <c r="D42" s="65" t="n">
        <v>276.1</v>
      </c>
      <c r="E42" s="66" t="n">
        <v>0.611</v>
      </c>
      <c r="F42" s="65" t="n">
        <v>393.9</v>
      </c>
      <c r="G42" s="66" t="n">
        <v>0.771</v>
      </c>
    </row>
    <row r="43">
      <c r="B43" t="inlineStr">
        <is>
          <t>May</t>
        </is>
      </c>
      <c r="C43" s="63" t="n">
        <v>298.1</v>
      </c>
      <c r="D43" s="63" t="n">
        <v>297.6</v>
      </c>
      <c r="E43" s="64" t="n">
        <v>0.5</v>
      </c>
      <c r="F43" s="63" t="n">
        <v>463</v>
      </c>
      <c r="G43" s="64" t="n">
        <v>0.877</v>
      </c>
    </row>
    <row r="44">
      <c r="B44" t="inlineStr">
        <is>
          <t>Jun</t>
        </is>
      </c>
      <c r="C44" s="63" t="n">
        <v>432.7</v>
      </c>
      <c r="D44" s="63" t="n">
        <v>188.3</v>
      </c>
      <c r="E44" s="64" t="n">
        <v>0.303</v>
      </c>
      <c r="F44" s="63" t="n">
        <v>313.3</v>
      </c>
      <c r="G44" s="64" t="n">
        <v>0.613</v>
      </c>
    </row>
    <row r="45">
      <c r="B45" t="inlineStr">
        <is>
          <t>Jul</t>
        </is>
      </c>
      <c r="C45" s="63" t="n">
        <v>486.8</v>
      </c>
      <c r="D45" s="63" t="n">
        <v>127.2</v>
      </c>
      <c r="E45" s="64" t="n">
        <v>0.207</v>
      </c>
      <c r="F45" s="63" t="n">
        <v>232.7</v>
      </c>
      <c r="G45" s="64" t="n">
        <v>0.441</v>
      </c>
    </row>
    <row r="46">
      <c r="B46" t="inlineStr">
        <is>
          <t>Aug</t>
        </is>
      </c>
      <c r="C46" s="63" t="n">
        <v>408.1</v>
      </c>
      <c r="D46" s="63" t="n">
        <v>141.7</v>
      </c>
      <c r="E46" s="64" t="n">
        <v>0.258</v>
      </c>
      <c r="F46" s="63" t="n">
        <v>268.3</v>
      </c>
      <c r="G46" s="64" t="n">
        <v>0.508</v>
      </c>
    </row>
    <row r="47">
      <c r="B47" t="inlineStr">
        <is>
          <t>Sep</t>
        </is>
      </c>
      <c r="C47" s="63" t="n">
        <v>310</v>
      </c>
      <c r="D47" s="63" t="n">
        <v>146.4</v>
      </c>
      <c r="E47" s="64" t="n">
        <v>0.321</v>
      </c>
      <c r="F47" s="63" t="n">
        <v>284.2</v>
      </c>
      <c r="G47" s="64" t="n">
        <v>0.556</v>
      </c>
    </row>
    <row r="48">
      <c r="B48" s="17" t="inlineStr">
        <is>
          <t>Oct</t>
        </is>
      </c>
      <c r="C48" s="65" t="n">
        <v>125.9</v>
      </c>
      <c r="D48" s="65" t="n">
        <v>249.6</v>
      </c>
      <c r="E48" s="66" t="n">
        <v>0.665</v>
      </c>
      <c r="F48" s="65" t="n">
        <v>461.9</v>
      </c>
      <c r="G48" s="66" t="n">
        <v>0.875</v>
      </c>
    </row>
    <row r="49">
      <c r="B49" s="17" t="inlineStr">
        <is>
          <t>Nov</t>
        </is>
      </c>
      <c r="C49" s="65" t="n">
        <v>109</v>
      </c>
      <c r="D49" s="65" t="n">
        <v>130.2</v>
      </c>
      <c r="E49" s="66" t="n">
        <v>0.544</v>
      </c>
      <c r="F49" s="65" t="n">
        <v>260.3</v>
      </c>
      <c r="G49" s="66" t="n">
        <v>0.509</v>
      </c>
    </row>
    <row r="50">
      <c r="B50" t="inlineStr">
        <is>
          <t>Dec</t>
        </is>
      </c>
      <c r="C50" s="63" t="n">
        <v>86.5</v>
      </c>
      <c r="D50" s="63" t="n">
        <v>80.7</v>
      </c>
      <c r="E50" s="64" t="n">
        <v>0.482</v>
      </c>
      <c r="F50" s="63" t="n">
        <v>161.4</v>
      </c>
      <c r="G50" s="64" t="n">
        <v>0.306</v>
      </c>
    </row>
    <row r="51">
      <c r="B51" s="20" t="inlineStr">
        <is>
          <t>ANNUAL</t>
        </is>
      </c>
      <c r="C51" s="67" t="n">
        <v>2873.6</v>
      </c>
      <c r="D51" s="67" t="n">
        <v>2148.6</v>
      </c>
      <c r="E51" s="68" t="n">
        <v>0.428</v>
      </c>
      <c r="F51" s="67" t="n">
        <v>3755</v>
      </c>
    </row>
    <row r="53">
      <c r="B53" s="4" t="inlineStr">
        <is>
          <t>HOW TO USE</t>
        </is>
      </c>
    </row>
    <row r="54">
      <c r="B54" s="23" t="inlineStr">
        <is>
          <t xml:space="preserve">  All yellow cells on the Inputs sheet can be changed - calculations update automatically.</t>
        </is>
      </c>
    </row>
    <row r="55">
      <c r="B55" s="23" t="inlineStr">
        <is>
          <t xml:space="preserve">  Blue-highlighted cells on CashFlow (Captured MWh) are pre-computed from 365-day SOH analysis.</t>
        </is>
      </c>
    </row>
    <row r="56">
      <c r="B56" s="23" t="inlineStr">
        <is>
          <t xml:space="preserve">  To model a different park: change PV Capacity, BESS Power/Energy, and EPC Price on Inputs.</t>
        </is>
      </c>
    </row>
    <row r="57">
      <c r="B57" s="23" t="inlineStr">
        <is>
          <t xml:space="preserve">  To model higher discharge prices: change Blended Discharge Price (actual DAM peak = EUR 184).</t>
        </is>
      </c>
    </row>
    <row r="58">
      <c r="B58" s="23" t="inlineStr">
        <is>
          <t xml:space="preserve">  To model price growth: set Annual Price Escalation &gt; 0% on Inputs.</t>
        </is>
      </c>
    </row>
    <row r="59">
      <c r="B59" s="23" t="inlineStr">
        <is>
          <t xml:space="preserve">  CurtailmentData tab has all 365 days of raw data from Galascope 2.5MW park.</t>
        </is>
      </c>
    </row>
    <row r="60">
      <c r="B60" s="23" t="inlineStr">
        <is>
          <t xml:space="preserve">  MarketData tab has the full hourly DAM price profile from 137 TSOC settlement files.</t>
        </is>
      </c>
    </row>
    <row r="61">
      <c r="B61" s="23" t="inlineStr">
        <is>
          <t xml:space="preserve">  SOH_Degradation tab shows the Linyang guaranteed degradation curve.</t>
        </is>
      </c>
    </row>
    <row r="62">
      <c r="B62" s="23" t="inlineStr">
        <is>
          <t xml:space="preserve">  DailyAnalysis tab calculates day-by-day BESS capture with overflow constraints.</t>
        </is>
      </c>
    </row>
  </sheetData>
  <mergeCells count="1">
    <mergeCell ref="B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FF6600"/>
    <outlinePr summaryBelow="1" summaryRight="1"/>
    <pageSetUpPr/>
  </sheetPr>
  <dimension ref="B1:E37"/>
  <sheetViews>
    <sheetView workbookViewId="0">
      <selection activeCell="A1" sqref="A1"/>
    </sheetView>
  </sheetViews>
  <sheetFormatPr baseColWidth="8" defaultRowHeight="15"/>
  <cols>
    <col width="4" customWidth="1" min="1" max="1"/>
    <col width="44" customWidth="1" min="2" max="2"/>
    <col width="18" customWidth="1" min="3" max="3"/>
    <col width="14" customWidth="1" min="4" max="4"/>
    <col width="55" customWidth="1" min="5" max="5"/>
  </cols>
  <sheetData>
    <row r="1">
      <c r="B1" s="24" t="inlineStr">
        <is>
          <t>BESS Profitability Calculator - Galascope (Esperia Energy)</t>
        </is>
      </c>
    </row>
    <row r="2">
      <c r="B2" s="25" t="inlineStr">
        <is>
          <t>Lighthief Cyprus Ltd - Yellow cells are editable inputs</t>
        </is>
      </c>
    </row>
    <row r="4">
      <c r="B4" s="4" t="inlineStr">
        <is>
          <t>BESS SYSTEM</t>
        </is>
      </c>
    </row>
    <row r="5">
      <c r="B5" s="5" t="inlineStr">
        <is>
          <t>PV Park Capacity (MW)</t>
        </is>
      </c>
      <c r="C5" s="26" t="n">
        <v>5</v>
      </c>
      <c r="D5" t="inlineStr">
        <is>
          <t>MW</t>
        </is>
      </c>
      <c r="E5" s="27" t="inlineStr">
        <is>
          <t>Galascope 1 target - change for different park sizes</t>
        </is>
      </c>
    </row>
    <row r="6">
      <c r="B6" s="5" t="inlineStr">
        <is>
          <t>Reference Park Capacity (MW)</t>
        </is>
      </c>
      <c r="C6" s="26" t="n">
        <v>2.5</v>
      </c>
      <c r="D6" t="inlineStr">
        <is>
          <t>MW</t>
        </is>
      </c>
      <c r="E6" s="27" t="inlineStr">
        <is>
          <t>Galascope 2.5MW - source of actual curtailment data</t>
        </is>
      </c>
    </row>
    <row r="7">
      <c r="B7" s="5" t="inlineStr">
        <is>
          <t>Scaling Factor</t>
        </is>
      </c>
      <c r="C7" s="28">
        <f>C5/C6</f>
        <v/>
      </c>
      <c r="D7" t="inlineStr">
        <is>
          <t>x</t>
        </is>
      </c>
      <c r="E7" s="27" t="inlineStr">
        <is>
          <t>Auto-calculated: Target / Reference</t>
        </is>
      </c>
    </row>
    <row r="8">
      <c r="B8" s="5" t="inlineStr">
        <is>
          <t>BESS Power Rating (MW)</t>
        </is>
      </c>
      <c r="C8" s="26" t="n">
        <v>5</v>
      </c>
      <c r="D8" t="inlineStr">
        <is>
          <t>MW</t>
        </is>
      </c>
      <c r="E8" s="27" t="inlineStr">
        <is>
          <t>Linyang system power rating</t>
        </is>
      </c>
    </row>
    <row r="9">
      <c r="B9" s="5" t="inlineStr">
        <is>
          <t>BESS Energy Capacity (MWh)</t>
        </is>
      </c>
      <c r="C9" s="26" t="n">
        <v>20</v>
      </c>
      <c r="D9" t="inlineStr">
        <is>
          <t>MWh</t>
        </is>
      </c>
      <c r="E9" s="27" t="inlineStr">
        <is>
          <t>4x 5.015 MWh containers = 20.06 MWh nameplate</t>
        </is>
      </c>
    </row>
    <row r="10">
      <c r="B10" s="5" t="inlineStr">
        <is>
          <t>BESS Duration (hours)</t>
        </is>
      </c>
      <c r="C10" s="28">
        <f>C9/C8</f>
        <v/>
      </c>
      <c r="D10" t="inlineStr">
        <is>
          <t>hrs</t>
        </is>
      </c>
    </row>
    <row r="11">
      <c r="B11" s="5" t="inlineStr">
        <is>
          <t>Depth of Discharge (%)</t>
        </is>
      </c>
      <c r="C11" s="26" t="n">
        <v>90</v>
      </c>
      <c r="D11" t="inlineStr">
        <is>
          <t>%</t>
        </is>
      </c>
      <c r="E11" s="27" t="inlineStr">
        <is>
          <t>Linyang operating specification</t>
        </is>
      </c>
    </row>
    <row r="12">
      <c r="B12" s="5" t="inlineStr">
        <is>
          <t>Round-Trip Efficiency (%)</t>
        </is>
      </c>
      <c r="C12" s="29" t="n">
        <v>87.8</v>
      </c>
      <c r="D12" t="inlineStr">
        <is>
          <t>%</t>
        </is>
      </c>
      <c r="E12" s="27" t="inlineStr">
        <is>
          <t>Linyang confirmed AC-AC RTE</t>
        </is>
      </c>
    </row>
    <row r="13">
      <c r="B13" s="5" t="inlineStr">
        <is>
          <t>Cycle Life (@ 90% DOD, 70% EOL)</t>
        </is>
      </c>
      <c r="C13" s="30" t="n">
        <v>7000</v>
      </c>
      <c r="D13" t="inlineStr">
        <is>
          <t>cycles</t>
        </is>
      </c>
    </row>
    <row r="15">
      <c r="B15" s="4" t="inlineStr">
        <is>
          <t>INVESTMENT &amp; COSTS</t>
        </is>
      </c>
    </row>
    <row r="16">
      <c r="B16" s="5" t="inlineStr">
        <is>
          <t>Turnkey EPC Price (EUR)</t>
        </is>
      </c>
      <c r="C16" s="30" t="n">
        <v>2258900</v>
      </c>
      <c r="D16" t="inlineStr">
        <is>
          <t>EUR</t>
        </is>
      </c>
      <c r="E16" s="27" t="inlineStr">
        <is>
          <t>Confirmed Esperia 5MW/20MWh price</t>
        </is>
      </c>
    </row>
    <row r="17">
      <c r="B17" s="5" t="inlineStr">
        <is>
          <t>Cost per kWh (EUR/kWh)</t>
        </is>
      </c>
      <c r="C17" s="31">
        <f>C16/(C9*1000)</f>
        <v/>
      </c>
      <c r="D17" t="inlineStr">
        <is>
          <t>EUR/kWh</t>
        </is>
      </c>
    </row>
    <row r="18">
      <c r="B18" s="5" t="inlineStr">
        <is>
          <t>LTSA Tier C - Yr 1-5 (EUR/yr)</t>
        </is>
      </c>
      <c r="C18" s="30" t="n">
        <v>34800</v>
      </c>
      <c r="D18" t="inlineStr">
        <is>
          <t>EUR/yr</t>
        </is>
      </c>
    </row>
    <row r="19">
      <c r="B19" s="5" t="inlineStr">
        <is>
          <t>Extended Warranty - Yr 6-10 add-on (EUR/yr)</t>
        </is>
      </c>
      <c r="C19" s="30" t="n">
        <v>33234</v>
      </c>
      <c r="D19" t="inlineStr">
        <is>
          <t>EUR/yr</t>
        </is>
      </c>
    </row>
    <row r="20">
      <c r="B20" s="5" t="inlineStr">
        <is>
          <t>Extended Warranty - Yr 11-15 add-on (EUR/yr)</t>
        </is>
      </c>
      <c r="C20" s="30" t="n">
        <v>41674</v>
      </c>
      <c r="D20" t="inlineStr">
        <is>
          <t>EUR/yr</t>
        </is>
      </c>
    </row>
    <row r="21">
      <c r="B21" s="5" t="inlineStr">
        <is>
          <t>SCADA/EMS Annual (EUR/yr)</t>
        </is>
      </c>
      <c r="C21" s="30" t="n">
        <v>5000</v>
      </c>
      <c r="D21" t="inlineStr">
        <is>
          <t>EUR/yr</t>
        </is>
      </c>
    </row>
    <row r="22">
      <c r="B22" s="5" t="inlineStr">
        <is>
          <t>Total OpCost Yr 1-5 (EUR/yr)</t>
        </is>
      </c>
      <c r="C22" s="32">
        <f>C18+C21</f>
        <v/>
      </c>
    </row>
    <row r="23">
      <c r="B23" s="5" t="inlineStr">
        <is>
          <t>Total OpCost Yr 6-10 (EUR/yr)</t>
        </is>
      </c>
      <c r="C23" s="32">
        <f>C18+C19+C21</f>
        <v/>
      </c>
    </row>
    <row r="24">
      <c r="B24" s="5" t="inlineStr">
        <is>
          <t>Total OpCost Yr 11-15 (EUR/yr)</t>
        </is>
      </c>
      <c r="C24" s="32">
        <f>C18+C20+C21</f>
        <v/>
      </c>
    </row>
    <row r="26">
      <c r="B26" s="4" t="inlineStr">
        <is>
          <t>REVENUE ASSUMPTIONS</t>
        </is>
      </c>
    </row>
    <row r="27">
      <c r="B27" s="5" t="inlineStr">
        <is>
          <t>Blended Discharge Price (EUR/MWh)</t>
        </is>
      </c>
      <c r="C27" s="30" t="n">
        <v>175</v>
      </c>
      <c r="D27" t="inlineStr">
        <is>
          <t>EUR/MWh</t>
        </is>
      </c>
      <c r="E27" s="27" t="inlineStr">
        <is>
          <t>Conservative - actual DAM peak 17-21 avg = EUR 184.13</t>
        </is>
      </c>
    </row>
    <row r="28">
      <c r="B28" s="5" t="inlineStr">
        <is>
          <t>Charge Cost (EUR/MWh)</t>
        </is>
      </c>
      <c r="C28" s="26" t="n">
        <v>0</v>
      </c>
      <c r="D28" t="inlineStr">
        <is>
          <t>EUR/MWh</t>
        </is>
      </c>
      <c r="E28" s="27" t="inlineStr">
        <is>
          <t>Curtailed energy = zero opportunity cost</t>
        </is>
      </c>
    </row>
    <row r="29">
      <c r="B29" s="5" t="inlineStr">
        <is>
          <t>Annual Price Escalation (%)</t>
        </is>
      </c>
      <c r="C29" s="29" t="n">
        <v>0</v>
      </c>
      <c r="D29" t="inlineStr">
        <is>
          <t>%</t>
        </is>
      </c>
      <c r="E29" s="27" t="inlineStr">
        <is>
          <t>Conservative - no escalation assumed</t>
        </is>
      </c>
    </row>
    <row r="30">
      <c r="B30" s="5" t="inlineStr">
        <is>
          <t>Project Life (years)</t>
        </is>
      </c>
      <c r="C30" s="26" t="n">
        <v>15</v>
      </c>
      <c r="D30" t="inlineStr">
        <is>
          <t>years</t>
        </is>
      </c>
    </row>
    <row r="32">
      <c r="B32" s="4" t="inlineStr">
        <is>
          <t>CURTAILMENT SUMMARY (from actual data)</t>
        </is>
      </c>
    </row>
    <row r="33">
      <c r="B33" s="5" t="inlineStr">
        <is>
          <t>Annual Curtailed - Ref Park (MWh)</t>
        </is>
      </c>
      <c r="C33" s="69">
        <f>SUM(CurtailmentData!D2:D366)/1000</f>
        <v/>
      </c>
    </row>
    <row r="34">
      <c r="B34" s="5" t="inlineStr">
        <is>
          <t>Annual Curtailed - Scaled (MWh)</t>
        </is>
      </c>
      <c r="C34" s="69">
        <f>C33*C7</f>
        <v/>
      </c>
    </row>
    <row r="35">
      <c r="B35" s="5" t="inlineStr">
        <is>
          <t>Annual BESS Captured Yr1 - Scaled (MWh)</t>
        </is>
      </c>
      <c r="C35" s="69">
        <f>SUM(DailyAnalysis!G2:G366)/1000</f>
        <v/>
      </c>
    </row>
    <row r="36">
      <c r="B36" s="5" t="inlineStr">
        <is>
          <t>Capture Efficiency (%)</t>
        </is>
      </c>
      <c r="C36" s="70">
        <f>C35/C34</f>
        <v/>
      </c>
    </row>
    <row r="37">
      <c r="B37" s="5" t="inlineStr">
        <is>
          <t>Average Daily BESS Fill (%)</t>
        </is>
      </c>
      <c r="C37" s="70">
        <f>AVERAGE(DailyAnalysis!H2:H366)</f>
        <v/>
      </c>
    </row>
  </sheetData>
  <mergeCells count="1">
    <mergeCell ref="B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E06666"/>
    <outlinePr summaryBelow="1" summaryRight="1"/>
    <pageSetUpPr/>
  </sheetPr>
  <dimension ref="A1:G366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35" t="inlineStr">
        <is>
          <t>Date</t>
        </is>
      </c>
      <c r="B1" s="35" t="inlineStr">
        <is>
          <t>Month</t>
        </is>
      </c>
      <c r="C1" s="35" t="inlineStr">
        <is>
          <t>Sun Hours</t>
        </is>
      </c>
      <c r="D1" s="35" t="inlineStr">
        <is>
          <t>Curtailed (kWh)</t>
        </is>
      </c>
      <c r="E1" s="35" t="inlineStr">
        <is>
          <t>PV Yield (kWh)</t>
        </is>
      </c>
      <c r="F1" s="35" t="inlineStr">
        <is>
          <t>Total Potential (kWh)</t>
        </is>
      </c>
      <c r="G1" s="35" t="inlineStr">
        <is>
          <t>Curtailment %</t>
        </is>
      </c>
    </row>
    <row r="2">
      <c r="A2" s="36" t="inlineStr">
        <is>
          <t>2025-01-01</t>
        </is>
      </c>
      <c r="B2" s="36" t="n">
        <v>1</v>
      </c>
      <c r="C2" s="36" t="n">
        <v>8.75</v>
      </c>
      <c r="D2" s="36" t="n">
        <v>5641.47</v>
      </c>
      <c r="E2" s="36" t="n">
        <v>2138.17</v>
      </c>
      <c r="F2" s="36" t="n">
        <v>7779.64</v>
      </c>
      <c r="G2" s="71">
        <f>IF(F2&gt;0, D2/F2, 0)</f>
        <v/>
      </c>
    </row>
    <row r="3">
      <c r="A3" s="36" t="inlineStr">
        <is>
          <t>2025-01-02</t>
        </is>
      </c>
      <c r="B3" s="36" t="n">
        <v>1</v>
      </c>
      <c r="C3" s="36" t="n">
        <v>8.75</v>
      </c>
      <c r="D3" s="36" t="n">
        <v>5407.44</v>
      </c>
      <c r="E3" s="36" t="n">
        <v>3351.33</v>
      </c>
      <c r="F3" s="36" t="n">
        <v>8758.77</v>
      </c>
      <c r="G3" s="71">
        <f>IF(F3&gt;0, D3/F3, 0)</f>
        <v/>
      </c>
    </row>
    <row r="4">
      <c r="A4" s="36" t="inlineStr">
        <is>
          <t>2025-01-03</t>
        </is>
      </c>
      <c r="B4" s="36" t="n">
        <v>1</v>
      </c>
      <c r="C4" s="36" t="n">
        <v>8.83</v>
      </c>
      <c r="D4" s="36" t="n">
        <v>2117.06</v>
      </c>
      <c r="E4" s="36" t="n">
        <v>6520.83</v>
      </c>
      <c r="F4" s="36" t="n">
        <v>8637.889999999999</v>
      </c>
      <c r="G4" s="71">
        <f>IF(F4&gt;0, D4/F4, 0)</f>
        <v/>
      </c>
    </row>
    <row r="5">
      <c r="A5" s="36" t="inlineStr">
        <is>
          <t>2025-01-04</t>
        </is>
      </c>
      <c r="B5" s="36" t="n">
        <v>1</v>
      </c>
      <c r="C5" s="36" t="n">
        <v>8.25</v>
      </c>
      <c r="D5" s="36" t="n">
        <v>5.83</v>
      </c>
      <c r="E5" s="36" t="n">
        <v>4942.21</v>
      </c>
      <c r="F5" s="36" t="n">
        <v>4948.04</v>
      </c>
      <c r="G5" s="71">
        <f>IF(F5&gt;0, D5/F5, 0)</f>
        <v/>
      </c>
    </row>
    <row r="6">
      <c r="A6" s="36" t="inlineStr">
        <is>
          <t>2025-01-05</t>
        </is>
      </c>
      <c r="B6" s="36" t="n">
        <v>1</v>
      </c>
      <c r="C6" s="36" t="n">
        <v>7.33</v>
      </c>
      <c r="D6" s="36" t="n">
        <v>0</v>
      </c>
      <c r="E6" s="36" t="n">
        <v>3751.49</v>
      </c>
      <c r="F6" s="36" t="n">
        <v>3751.49</v>
      </c>
      <c r="G6" s="71">
        <f>IF(F6&gt;0, D6/F6, 0)</f>
        <v/>
      </c>
    </row>
    <row r="7">
      <c r="A7" s="36" t="inlineStr">
        <is>
          <t>2025-01-06</t>
        </is>
      </c>
      <c r="B7" s="36" t="n">
        <v>1</v>
      </c>
      <c r="C7" s="36" t="n">
        <v>8.67</v>
      </c>
      <c r="D7" s="36" t="n">
        <v>5370.38</v>
      </c>
      <c r="E7" s="36" t="n">
        <v>2336.04</v>
      </c>
      <c r="F7" s="36" t="n">
        <v>7706.42</v>
      </c>
      <c r="G7" s="71">
        <f>IF(F7&gt;0, D7/F7, 0)</f>
        <v/>
      </c>
    </row>
    <row r="8">
      <c r="A8" s="36" t="inlineStr">
        <is>
          <t>2025-01-07</t>
        </is>
      </c>
      <c r="B8" s="36" t="n">
        <v>1</v>
      </c>
      <c r="C8" s="36" t="n">
        <v>8.75</v>
      </c>
      <c r="D8" s="36" t="n">
        <v>2225.36</v>
      </c>
      <c r="E8" s="36" t="n">
        <v>5943.77</v>
      </c>
      <c r="F8" s="36" t="n">
        <v>8169.13</v>
      </c>
      <c r="G8" s="71">
        <f>IF(F8&gt;0, D8/F8, 0)</f>
        <v/>
      </c>
    </row>
    <row r="9">
      <c r="A9" s="36" t="inlineStr">
        <is>
          <t>2025-01-08</t>
        </is>
      </c>
      <c r="B9" s="36" t="n">
        <v>1</v>
      </c>
      <c r="C9" s="36" t="n">
        <v>8.33</v>
      </c>
      <c r="D9" s="36" t="n">
        <v>653.62</v>
      </c>
      <c r="E9" s="36" t="n">
        <v>5578.62</v>
      </c>
      <c r="F9" s="36" t="n">
        <v>6232.24</v>
      </c>
      <c r="G9" s="71">
        <f>IF(F9&gt;0, D9/F9, 0)</f>
        <v/>
      </c>
    </row>
    <row r="10">
      <c r="A10" s="36" t="inlineStr">
        <is>
          <t>2025-01-09</t>
        </is>
      </c>
      <c r="B10" s="36" t="n">
        <v>1</v>
      </c>
      <c r="C10" s="36" t="n">
        <v>8.5</v>
      </c>
      <c r="D10" s="36" t="n">
        <v>4418.52</v>
      </c>
      <c r="E10" s="36" t="n">
        <v>3671.6</v>
      </c>
      <c r="F10" s="36" t="n">
        <v>8090.12</v>
      </c>
      <c r="G10" s="71">
        <f>IF(F10&gt;0, D10/F10, 0)</f>
        <v/>
      </c>
    </row>
    <row r="11">
      <c r="A11" s="36" t="inlineStr">
        <is>
          <t>2025-01-10</t>
        </is>
      </c>
      <c r="B11" s="36" t="n">
        <v>1</v>
      </c>
      <c r="C11" s="36" t="n">
        <v>8.83</v>
      </c>
      <c r="D11" s="36" t="n">
        <v>1868.59</v>
      </c>
      <c r="E11" s="36" t="n">
        <v>6382.54</v>
      </c>
      <c r="F11" s="36" t="n">
        <v>8251.120000000001</v>
      </c>
      <c r="G11" s="71">
        <f>IF(F11&gt;0, D11/F11, 0)</f>
        <v/>
      </c>
    </row>
    <row r="12">
      <c r="A12" s="36" t="inlineStr">
        <is>
          <t>2025-01-11</t>
        </is>
      </c>
      <c r="B12" s="36" t="n">
        <v>1</v>
      </c>
      <c r="C12" s="36" t="n">
        <v>8.75</v>
      </c>
      <c r="D12" s="36" t="n">
        <v>2929.18</v>
      </c>
      <c r="E12" s="36" t="n">
        <v>5319.32</v>
      </c>
      <c r="F12" s="36" t="n">
        <v>8248.5</v>
      </c>
      <c r="G12" s="71">
        <f>IF(F12&gt;0, D12/F12, 0)</f>
        <v/>
      </c>
    </row>
    <row r="13">
      <c r="A13" s="36" t="inlineStr">
        <is>
          <t>2025-01-12</t>
        </is>
      </c>
      <c r="B13" s="36" t="n">
        <v>1</v>
      </c>
      <c r="C13" s="36" t="n">
        <v>8.67</v>
      </c>
      <c r="D13" s="36" t="n">
        <v>4573.96</v>
      </c>
      <c r="E13" s="36" t="n">
        <v>3737.31</v>
      </c>
      <c r="F13" s="36" t="n">
        <v>8311.27</v>
      </c>
      <c r="G13" s="71">
        <f>IF(F13&gt;0, D13/F13, 0)</f>
        <v/>
      </c>
    </row>
    <row r="14">
      <c r="A14" s="36" t="inlineStr">
        <is>
          <t>2025-01-13</t>
        </is>
      </c>
      <c r="B14" s="36" t="n">
        <v>1</v>
      </c>
      <c r="C14" s="36" t="n">
        <v>8.33</v>
      </c>
      <c r="D14" s="36" t="n">
        <v>6115.51</v>
      </c>
      <c r="E14" s="36" t="n">
        <v>546.79</v>
      </c>
      <c r="F14" s="36" t="n">
        <v>6662.3</v>
      </c>
      <c r="G14" s="71">
        <f>IF(F14&gt;0, D14/F14, 0)</f>
        <v/>
      </c>
    </row>
    <row r="15">
      <c r="A15" s="36" t="inlineStr">
        <is>
          <t>2025-01-14</t>
        </is>
      </c>
      <c r="B15" s="36" t="n">
        <v>1</v>
      </c>
      <c r="C15" s="36" t="n">
        <v>8.92</v>
      </c>
      <c r="D15" s="36" t="n">
        <v>5832.97</v>
      </c>
      <c r="E15" s="36" t="n">
        <v>2421.51</v>
      </c>
      <c r="F15" s="36" t="n">
        <v>8254.48</v>
      </c>
      <c r="G15" s="71">
        <f>IF(F15&gt;0, D15/F15, 0)</f>
        <v/>
      </c>
    </row>
    <row r="16">
      <c r="A16" s="36" t="inlineStr">
        <is>
          <t>2025-01-15</t>
        </is>
      </c>
      <c r="B16" s="36" t="n">
        <v>1</v>
      </c>
      <c r="C16" s="36" t="n">
        <v>8.92</v>
      </c>
      <c r="D16" s="36" t="n">
        <v>3617.5</v>
      </c>
      <c r="E16" s="36" t="n">
        <v>4154.94</v>
      </c>
      <c r="F16" s="36" t="n">
        <v>7772.44</v>
      </c>
      <c r="G16" s="71">
        <f>IF(F16&gt;0, D16/F16, 0)</f>
        <v/>
      </c>
    </row>
    <row r="17">
      <c r="A17" s="36" t="inlineStr">
        <is>
          <t>2025-01-16</t>
        </is>
      </c>
      <c r="B17" s="36" t="n">
        <v>1</v>
      </c>
      <c r="C17" s="36" t="n">
        <v>9</v>
      </c>
      <c r="D17" s="36" t="n">
        <v>4312.87</v>
      </c>
      <c r="E17" s="36" t="n">
        <v>3738.96</v>
      </c>
      <c r="F17" s="36" t="n">
        <v>8051.83</v>
      </c>
      <c r="G17" s="71">
        <f>IF(F17&gt;0, D17/F17, 0)</f>
        <v/>
      </c>
    </row>
    <row r="18">
      <c r="A18" s="36" t="inlineStr">
        <is>
          <t>2025-01-17</t>
        </is>
      </c>
      <c r="B18" s="36" t="n">
        <v>1</v>
      </c>
      <c r="C18" s="36" t="n">
        <v>9</v>
      </c>
      <c r="D18" s="36" t="n">
        <v>5058.13</v>
      </c>
      <c r="E18" s="36" t="n">
        <v>3685.5</v>
      </c>
      <c r="F18" s="36" t="n">
        <v>8743.629999999999</v>
      </c>
      <c r="G18" s="71">
        <f>IF(F18&gt;0, D18/F18, 0)</f>
        <v/>
      </c>
    </row>
    <row r="19">
      <c r="A19" s="36" t="inlineStr">
        <is>
          <t>2025-01-18</t>
        </is>
      </c>
      <c r="B19" s="36" t="n">
        <v>1</v>
      </c>
      <c r="C19" s="36" t="n">
        <v>9.17</v>
      </c>
      <c r="D19" s="36" t="n">
        <v>7425.67</v>
      </c>
      <c r="E19" s="36" t="n">
        <v>2486.58</v>
      </c>
      <c r="F19" s="36" t="n">
        <v>9912.25</v>
      </c>
      <c r="G19" s="71">
        <f>IF(F19&gt;0, D19/F19, 0)</f>
        <v/>
      </c>
    </row>
    <row r="20">
      <c r="A20" s="36" t="inlineStr">
        <is>
          <t>2025-01-19</t>
        </is>
      </c>
      <c r="B20" s="36" t="n">
        <v>1</v>
      </c>
      <c r="C20" s="36" t="n">
        <v>9.17</v>
      </c>
      <c r="D20" s="36" t="n">
        <v>8174.32</v>
      </c>
      <c r="E20" s="36" t="n">
        <v>1587.67</v>
      </c>
      <c r="F20" s="36" t="n">
        <v>9761.99</v>
      </c>
      <c r="G20" s="71">
        <f>IF(F20&gt;0, D20/F20, 0)</f>
        <v/>
      </c>
    </row>
    <row r="21">
      <c r="A21" s="36" t="inlineStr">
        <is>
          <t>2025-01-20</t>
        </is>
      </c>
      <c r="B21" s="36" t="n">
        <v>1</v>
      </c>
      <c r="C21" s="36" t="n">
        <v>9.08</v>
      </c>
      <c r="D21" s="36" t="n">
        <v>5966.66</v>
      </c>
      <c r="E21" s="36" t="n">
        <v>4059.38</v>
      </c>
      <c r="F21" s="36" t="n">
        <v>10026.04</v>
      </c>
      <c r="G21" s="71">
        <f>IF(F21&gt;0, D21/F21, 0)</f>
        <v/>
      </c>
    </row>
    <row r="22">
      <c r="A22" s="36" t="inlineStr">
        <is>
          <t>2025-01-21</t>
        </is>
      </c>
      <c r="B22" s="36" t="n">
        <v>1</v>
      </c>
      <c r="C22" s="36" t="n">
        <v>9.08</v>
      </c>
      <c r="D22" s="36" t="n">
        <v>5300.82</v>
      </c>
      <c r="E22" s="36" t="n">
        <v>3988.97</v>
      </c>
      <c r="F22" s="36" t="n">
        <v>9289.790000000001</v>
      </c>
      <c r="G22" s="71">
        <f>IF(F22&gt;0, D22/F22, 0)</f>
        <v/>
      </c>
    </row>
    <row r="23">
      <c r="A23" s="36" t="inlineStr">
        <is>
          <t>2025-01-22</t>
        </is>
      </c>
      <c r="B23" s="36" t="n">
        <v>1</v>
      </c>
      <c r="C23" s="36" t="n">
        <v>6.92</v>
      </c>
      <c r="D23" s="36" t="n">
        <v>0</v>
      </c>
      <c r="E23" s="36" t="n">
        <v>3538.68</v>
      </c>
      <c r="F23" s="36" t="n">
        <v>3538.68</v>
      </c>
      <c r="G23" s="71">
        <f>IF(F23&gt;0, D23/F23, 0)</f>
        <v/>
      </c>
    </row>
    <row r="24">
      <c r="A24" s="36" t="inlineStr">
        <is>
          <t>2025-01-23</t>
        </is>
      </c>
      <c r="B24" s="36" t="n">
        <v>1</v>
      </c>
      <c r="C24" s="36" t="n">
        <v>7.92</v>
      </c>
      <c r="D24" s="36" t="n">
        <v>0</v>
      </c>
      <c r="E24" s="36" t="n">
        <v>2884.12</v>
      </c>
      <c r="F24" s="36" t="n">
        <v>2884.12</v>
      </c>
      <c r="G24" s="71">
        <f>IF(F24&gt;0, D24/F24, 0)</f>
        <v/>
      </c>
    </row>
    <row r="25">
      <c r="A25" s="36" t="inlineStr">
        <is>
          <t>2025-01-24</t>
        </is>
      </c>
      <c r="B25" s="36" t="n">
        <v>1</v>
      </c>
      <c r="C25" s="36" t="n">
        <v>8.42</v>
      </c>
      <c r="D25" s="36" t="n">
        <v>2075.64</v>
      </c>
      <c r="E25" s="36" t="n">
        <v>3224.69</v>
      </c>
      <c r="F25" s="36" t="n">
        <v>5300.33</v>
      </c>
      <c r="G25" s="71">
        <f>IF(F25&gt;0, D25/F25, 0)</f>
        <v/>
      </c>
    </row>
    <row r="26">
      <c r="A26" s="36" t="inlineStr">
        <is>
          <t>2025-01-25</t>
        </is>
      </c>
      <c r="B26" s="36" t="n">
        <v>1</v>
      </c>
      <c r="C26" s="36" t="n">
        <v>8.83</v>
      </c>
      <c r="D26" s="36" t="n">
        <v>4114.97</v>
      </c>
      <c r="E26" s="36" t="n">
        <v>4905.75</v>
      </c>
      <c r="F26" s="36" t="n">
        <v>9020.719999999999</v>
      </c>
      <c r="G26" s="71">
        <f>IF(F26&gt;0, D26/F26, 0)</f>
        <v/>
      </c>
    </row>
    <row r="27">
      <c r="A27" s="36" t="inlineStr">
        <is>
          <t>2025-01-26</t>
        </is>
      </c>
      <c r="B27" s="36" t="n">
        <v>1</v>
      </c>
      <c r="C27" s="36" t="n">
        <v>9.17</v>
      </c>
      <c r="D27" s="36" t="n">
        <v>981.3099999999999</v>
      </c>
      <c r="E27" s="36" t="n">
        <v>7369.47</v>
      </c>
      <c r="F27" s="36" t="n">
        <v>8350.780000000001</v>
      </c>
      <c r="G27" s="71">
        <f>IF(F27&gt;0, D27/F27, 0)</f>
        <v/>
      </c>
    </row>
    <row r="28">
      <c r="A28" s="36" t="inlineStr">
        <is>
          <t>2025-01-27</t>
        </is>
      </c>
      <c r="B28" s="36" t="n">
        <v>1</v>
      </c>
      <c r="C28" s="36" t="n">
        <v>9.33</v>
      </c>
      <c r="D28" s="36" t="n">
        <v>4966.2</v>
      </c>
      <c r="E28" s="36" t="n">
        <v>4900.7</v>
      </c>
      <c r="F28" s="36" t="n">
        <v>9866.9</v>
      </c>
      <c r="G28" s="71">
        <f>IF(F28&gt;0, D28/F28, 0)</f>
        <v/>
      </c>
    </row>
    <row r="29">
      <c r="A29" s="36" t="inlineStr">
        <is>
          <t>2025-01-28</t>
        </is>
      </c>
      <c r="B29" s="36" t="n">
        <v>1</v>
      </c>
      <c r="C29" s="36" t="n">
        <v>9.42</v>
      </c>
      <c r="D29" s="36" t="n">
        <v>2077.89</v>
      </c>
      <c r="E29" s="36" t="n">
        <v>7225.83</v>
      </c>
      <c r="F29" s="36" t="n">
        <v>9303.73</v>
      </c>
      <c r="G29" s="71">
        <f>IF(F29&gt;0, D29/F29, 0)</f>
        <v/>
      </c>
    </row>
    <row r="30">
      <c r="A30" s="36" t="inlineStr">
        <is>
          <t>2025-01-29</t>
        </is>
      </c>
      <c r="B30" s="36" t="n">
        <v>1</v>
      </c>
      <c r="C30" s="36" t="n">
        <v>9.33</v>
      </c>
      <c r="D30" s="36" t="n">
        <v>6621.47</v>
      </c>
      <c r="E30" s="36" t="n">
        <v>3896.18</v>
      </c>
      <c r="F30" s="36" t="n">
        <v>10517.65</v>
      </c>
      <c r="G30" s="71">
        <f>IF(F30&gt;0, D30/F30, 0)</f>
        <v/>
      </c>
    </row>
    <row r="31">
      <c r="A31" s="36" t="inlineStr">
        <is>
          <t>2025-01-30</t>
        </is>
      </c>
      <c r="B31" s="36" t="n">
        <v>1</v>
      </c>
      <c r="C31" s="36" t="n">
        <v>9.42</v>
      </c>
      <c r="D31" s="36" t="n">
        <v>4420</v>
      </c>
      <c r="E31" s="36" t="n">
        <v>5964.5</v>
      </c>
      <c r="F31" s="36" t="n">
        <v>10384.5</v>
      </c>
      <c r="G31" s="71">
        <f>IF(F31&gt;0, D31/F31, 0)</f>
        <v/>
      </c>
    </row>
    <row r="32">
      <c r="A32" s="36" t="inlineStr">
        <is>
          <t>2025-01-31</t>
        </is>
      </c>
      <c r="B32" s="36" t="n">
        <v>1</v>
      </c>
      <c r="C32" s="36" t="n">
        <v>9.17</v>
      </c>
      <c r="D32" s="36" t="n">
        <v>5373.16</v>
      </c>
      <c r="E32" s="36" t="n">
        <v>3717.9</v>
      </c>
      <c r="F32" s="36" t="n">
        <v>9091.059999999999</v>
      </c>
      <c r="G32" s="71">
        <f>IF(F32&gt;0, D32/F32, 0)</f>
        <v/>
      </c>
    </row>
    <row r="33">
      <c r="A33" s="36" t="inlineStr">
        <is>
          <t>2025-02-01</t>
        </is>
      </c>
      <c r="B33" s="36" t="n">
        <v>2</v>
      </c>
      <c r="C33" s="36" t="n">
        <v>5.13</v>
      </c>
      <c r="D33" s="36" t="n">
        <v>5518.95</v>
      </c>
      <c r="E33" s="36" t="n">
        <v>4337.89</v>
      </c>
      <c r="F33" s="36" t="n">
        <v>9856.84</v>
      </c>
      <c r="G33" s="71">
        <f>IF(F33&gt;0, D33/F33, 0)</f>
        <v/>
      </c>
    </row>
    <row r="34">
      <c r="A34" s="36" t="inlineStr">
        <is>
          <t>2025-02-02</t>
        </is>
      </c>
      <c r="B34" s="36" t="n">
        <v>2</v>
      </c>
      <c r="C34" s="36" t="n">
        <v>5.66</v>
      </c>
      <c r="D34" s="36" t="n">
        <v>7170.03</v>
      </c>
      <c r="E34" s="36" t="n">
        <v>3647.2</v>
      </c>
      <c r="F34" s="36" t="n">
        <v>10817.23</v>
      </c>
      <c r="G34" s="71">
        <f>IF(F34&gt;0, D34/F34, 0)</f>
        <v/>
      </c>
    </row>
    <row r="35">
      <c r="A35" s="36" t="inlineStr">
        <is>
          <t>2025-02-03</t>
        </is>
      </c>
      <c r="B35" s="36" t="n">
        <v>2</v>
      </c>
      <c r="C35" s="36" t="n">
        <v>3.4</v>
      </c>
      <c r="D35" s="36" t="n">
        <v>3276.24</v>
      </c>
      <c r="E35" s="36" t="n">
        <v>3270.33</v>
      </c>
      <c r="F35" s="36" t="n">
        <v>6546.57</v>
      </c>
      <c r="G35" s="71">
        <f>IF(F35&gt;0, D35/F35, 0)</f>
        <v/>
      </c>
    </row>
    <row r="36">
      <c r="A36" s="36" t="inlineStr">
        <is>
          <t>2025-02-04</t>
        </is>
      </c>
      <c r="B36" s="36" t="n">
        <v>2</v>
      </c>
      <c r="C36" s="36" t="n">
        <v>5.51</v>
      </c>
      <c r="D36" s="36" t="n">
        <v>5032.88</v>
      </c>
      <c r="E36" s="36" t="n">
        <v>5624.95</v>
      </c>
      <c r="F36" s="36" t="n">
        <v>10657.83</v>
      </c>
      <c r="G36" s="71">
        <f>IF(F36&gt;0, D36/F36, 0)</f>
        <v/>
      </c>
    </row>
    <row r="37">
      <c r="A37" s="36" t="inlineStr">
        <is>
          <t>2025-02-05</t>
        </is>
      </c>
      <c r="B37" s="36" t="n">
        <v>2</v>
      </c>
      <c r="C37" s="36" t="n">
        <v>3.7</v>
      </c>
      <c r="D37" s="36" t="n">
        <v>476.37</v>
      </c>
      <c r="E37" s="36" t="n">
        <v>6820.67</v>
      </c>
      <c r="F37" s="36" t="n">
        <v>7297.04</v>
      </c>
      <c r="G37" s="71">
        <f>IF(F37&gt;0, D37/F37, 0)</f>
        <v/>
      </c>
    </row>
    <row r="38">
      <c r="A38" s="36" t="inlineStr">
        <is>
          <t>2025-02-06</t>
        </is>
      </c>
      <c r="B38" s="36" t="n">
        <v>2</v>
      </c>
      <c r="C38" s="36" t="n">
        <v>6.08</v>
      </c>
      <c r="D38" s="36" t="n">
        <v>5994.67</v>
      </c>
      <c r="E38" s="36" t="n">
        <v>5766.5</v>
      </c>
      <c r="F38" s="36" t="n">
        <v>11761.17</v>
      </c>
      <c r="G38" s="71">
        <f>IF(F38&gt;0, D38/F38, 0)</f>
        <v/>
      </c>
    </row>
    <row r="39">
      <c r="A39" s="36" t="inlineStr">
        <is>
          <t>2025-02-07</t>
        </is>
      </c>
      <c r="B39" s="36" t="n">
        <v>2</v>
      </c>
      <c r="C39" s="36" t="n">
        <v>5.02</v>
      </c>
      <c r="D39" s="36" t="n">
        <v>0</v>
      </c>
      <c r="E39" s="36" t="n">
        <v>10363.41</v>
      </c>
      <c r="F39" s="36" t="n">
        <v>10363.41</v>
      </c>
      <c r="G39" s="71">
        <f>IF(F39&gt;0, D39/F39, 0)</f>
        <v/>
      </c>
    </row>
    <row r="40">
      <c r="A40" s="36" t="inlineStr">
        <is>
          <t>2025-02-08</t>
        </is>
      </c>
      <c r="B40" s="36" t="n">
        <v>2</v>
      </c>
      <c r="C40" s="36" t="n">
        <v>4.08</v>
      </c>
      <c r="D40" s="36" t="n">
        <v>3327.88</v>
      </c>
      <c r="E40" s="36" t="n">
        <v>4610.75</v>
      </c>
      <c r="F40" s="36" t="n">
        <v>7938.63</v>
      </c>
      <c r="G40" s="71">
        <f>IF(F40&gt;0, D40/F40, 0)</f>
        <v/>
      </c>
    </row>
    <row r="41">
      <c r="A41" s="36" t="inlineStr">
        <is>
          <t>2025-02-09</t>
        </is>
      </c>
      <c r="B41" s="36" t="n">
        <v>2</v>
      </c>
      <c r="C41" s="36" t="n">
        <v>2.78</v>
      </c>
      <c r="D41" s="36" t="n">
        <v>1683.19</v>
      </c>
      <c r="E41" s="36" t="n">
        <v>3732.09</v>
      </c>
      <c r="F41" s="36" t="n">
        <v>5415.28</v>
      </c>
      <c r="G41" s="71">
        <f>IF(F41&gt;0, D41/F41, 0)</f>
        <v/>
      </c>
    </row>
    <row r="42">
      <c r="A42" s="36" t="inlineStr">
        <is>
          <t>2025-02-10</t>
        </is>
      </c>
      <c r="B42" s="36" t="n">
        <v>2</v>
      </c>
      <c r="C42" s="36" t="n">
        <v>3.92</v>
      </c>
      <c r="D42" s="36" t="n">
        <v>957.26</v>
      </c>
      <c r="E42" s="36" t="n">
        <v>6750.7</v>
      </c>
      <c r="F42" s="36" t="n">
        <v>7707.96</v>
      </c>
      <c r="G42" s="71">
        <f>IF(F42&gt;0, D42/F42, 0)</f>
        <v/>
      </c>
    </row>
    <row r="43">
      <c r="A43" s="36" t="inlineStr">
        <is>
          <t>2025-02-11</t>
        </is>
      </c>
      <c r="B43" s="36" t="n">
        <v>2</v>
      </c>
      <c r="C43" s="36" t="n">
        <v>4.61</v>
      </c>
      <c r="D43" s="36" t="n">
        <v>965</v>
      </c>
      <c r="E43" s="36" t="n">
        <v>8161.15</v>
      </c>
      <c r="F43" s="36" t="n">
        <v>9126.15</v>
      </c>
      <c r="G43" s="71">
        <f>IF(F43&gt;0, D43/F43, 0)</f>
        <v/>
      </c>
    </row>
    <row r="44">
      <c r="A44" s="36" t="inlineStr">
        <is>
          <t>2025-02-12</t>
        </is>
      </c>
      <c r="B44" s="36" t="n">
        <v>2</v>
      </c>
      <c r="C44" s="36" t="n">
        <v>3</v>
      </c>
      <c r="D44" s="36" t="n">
        <v>529.17</v>
      </c>
      <c r="E44" s="36" t="n">
        <v>5316.23</v>
      </c>
      <c r="F44" s="36" t="n">
        <v>5845.4</v>
      </c>
      <c r="G44" s="71">
        <f>IF(F44&gt;0, D44/F44, 0)</f>
        <v/>
      </c>
    </row>
    <row r="45">
      <c r="A45" s="36" t="inlineStr">
        <is>
          <t>2025-02-13</t>
        </is>
      </c>
      <c r="B45" s="36" t="n">
        <v>2</v>
      </c>
      <c r="C45" s="36" t="n">
        <v>5.74</v>
      </c>
      <c r="D45" s="36" t="n">
        <v>6776.93</v>
      </c>
      <c r="E45" s="36" t="n">
        <v>4461.77</v>
      </c>
      <c r="F45" s="36" t="n">
        <v>11238.7</v>
      </c>
      <c r="G45" s="71">
        <f>IF(F45&gt;0, D45/F45, 0)</f>
        <v/>
      </c>
    </row>
    <row r="46">
      <c r="A46" s="36" t="inlineStr">
        <is>
          <t>2025-02-14</t>
        </is>
      </c>
      <c r="B46" s="36" t="n">
        <v>2</v>
      </c>
      <c r="C46" s="36" t="n">
        <v>6.23</v>
      </c>
      <c r="D46" s="36" t="n">
        <v>7186.24</v>
      </c>
      <c r="E46" s="36" t="n">
        <v>4858.63</v>
      </c>
      <c r="F46" s="36" t="n">
        <v>12044.87</v>
      </c>
      <c r="G46" s="71">
        <f>IF(F46&gt;0, D46/F46, 0)</f>
        <v/>
      </c>
    </row>
    <row r="47">
      <c r="A47" s="36" t="inlineStr">
        <is>
          <t>2025-02-15</t>
        </is>
      </c>
      <c r="B47" s="36" t="n">
        <v>2</v>
      </c>
      <c r="C47" s="36" t="n">
        <v>5.39</v>
      </c>
      <c r="D47" s="36" t="n">
        <v>5081.45</v>
      </c>
      <c r="E47" s="36" t="n">
        <v>5251.19</v>
      </c>
      <c r="F47" s="36" t="n">
        <v>10332.64</v>
      </c>
      <c r="G47" s="71">
        <f>IF(F47&gt;0, D47/F47, 0)</f>
        <v/>
      </c>
    </row>
    <row r="48">
      <c r="A48" s="36" t="inlineStr">
        <is>
          <t>2025-02-16</t>
        </is>
      </c>
      <c r="B48" s="36" t="n">
        <v>2</v>
      </c>
      <c r="C48" s="36" t="n">
        <v>6.36</v>
      </c>
      <c r="D48" s="36" t="n">
        <v>10840.96</v>
      </c>
      <c r="E48" s="36" t="n">
        <v>1248.66</v>
      </c>
      <c r="F48" s="36" t="n">
        <v>12089.62</v>
      </c>
      <c r="G48" s="71">
        <f>IF(F48&gt;0, D48/F48, 0)</f>
        <v/>
      </c>
    </row>
    <row r="49">
      <c r="A49" s="36" t="inlineStr">
        <is>
          <t>2025-02-17</t>
        </is>
      </c>
      <c r="B49" s="36" t="n">
        <v>2</v>
      </c>
      <c r="C49" s="36" t="n">
        <v>4.41</v>
      </c>
      <c r="D49" s="36" t="n">
        <v>0</v>
      </c>
      <c r="E49" s="36" t="n">
        <v>8146.04</v>
      </c>
      <c r="F49" s="36" t="n">
        <v>8146.04</v>
      </c>
      <c r="G49" s="71">
        <f>IF(F49&gt;0, D49/F49, 0)</f>
        <v/>
      </c>
    </row>
    <row r="50">
      <c r="A50" s="36" t="inlineStr">
        <is>
          <t>2025-02-18</t>
        </is>
      </c>
      <c r="B50" s="36" t="n">
        <v>2</v>
      </c>
      <c r="C50" s="36" t="n">
        <v>4.03</v>
      </c>
      <c r="D50" s="36" t="n">
        <v>2100.07</v>
      </c>
      <c r="E50" s="36" t="n">
        <v>5733.83</v>
      </c>
      <c r="F50" s="36" t="n">
        <v>7833.9</v>
      </c>
      <c r="G50" s="71">
        <f>IF(F50&gt;0, D50/F50, 0)</f>
        <v/>
      </c>
    </row>
    <row r="51">
      <c r="A51" s="36" t="inlineStr">
        <is>
          <t>2025-02-19</t>
        </is>
      </c>
      <c r="B51" s="36" t="n">
        <v>2</v>
      </c>
      <c r="C51" s="36" t="n">
        <v>3.1</v>
      </c>
      <c r="D51" s="36" t="n">
        <v>4141.73</v>
      </c>
      <c r="E51" s="36" t="n">
        <v>1764.99</v>
      </c>
      <c r="F51" s="36" t="n">
        <v>5906.72</v>
      </c>
      <c r="G51" s="71">
        <f>IF(F51&gt;0, D51/F51, 0)</f>
        <v/>
      </c>
    </row>
    <row r="52">
      <c r="A52" s="36" t="inlineStr">
        <is>
          <t>2025-02-20</t>
        </is>
      </c>
      <c r="B52" s="36" t="n">
        <v>2</v>
      </c>
      <c r="C52" s="36" t="n">
        <v>5.96</v>
      </c>
      <c r="D52" s="36" t="n">
        <v>8383.1</v>
      </c>
      <c r="E52" s="36" t="n">
        <v>3094.71</v>
      </c>
      <c r="F52" s="36" t="n">
        <v>11477.81</v>
      </c>
      <c r="G52" s="71">
        <f>IF(F52&gt;0, D52/F52, 0)</f>
        <v/>
      </c>
    </row>
    <row r="53">
      <c r="A53" s="36" t="inlineStr">
        <is>
          <t>2025-02-21</t>
        </is>
      </c>
      <c r="B53" s="36" t="n">
        <v>2</v>
      </c>
      <c r="C53" s="36" t="n">
        <v>5.97</v>
      </c>
      <c r="D53" s="36" t="n">
        <v>5703.29</v>
      </c>
      <c r="E53" s="36" t="n">
        <v>5911.44</v>
      </c>
      <c r="F53" s="36" t="n">
        <v>11614.73</v>
      </c>
      <c r="G53" s="71">
        <f>IF(F53&gt;0, D53/F53, 0)</f>
        <v/>
      </c>
    </row>
    <row r="54">
      <c r="A54" s="36" t="inlineStr">
        <is>
          <t>2025-02-22</t>
        </is>
      </c>
      <c r="B54" s="36" t="n">
        <v>2</v>
      </c>
      <c r="C54" s="36" t="n">
        <v>5.97</v>
      </c>
      <c r="D54" s="36" t="n">
        <v>926.24</v>
      </c>
      <c r="E54" s="36" t="n">
        <v>10976.31</v>
      </c>
      <c r="F54" s="36" t="n">
        <v>11902.55</v>
      </c>
      <c r="G54" s="71">
        <f>IF(F54&gt;0, D54/F54, 0)</f>
        <v/>
      </c>
    </row>
    <row r="55">
      <c r="A55" s="36" t="inlineStr">
        <is>
          <t>2025-02-23</t>
        </is>
      </c>
      <c r="B55" s="36" t="n">
        <v>2</v>
      </c>
      <c r="C55" s="36" t="n">
        <v>4.76</v>
      </c>
      <c r="D55" s="36" t="n">
        <v>1869.26</v>
      </c>
      <c r="E55" s="36" t="n">
        <v>7252.98</v>
      </c>
      <c r="F55" s="36" t="n">
        <v>9122.24</v>
      </c>
      <c r="G55" s="71">
        <f>IF(F55&gt;0, D55/F55, 0)</f>
        <v/>
      </c>
    </row>
    <row r="56">
      <c r="A56" s="36" t="inlineStr">
        <is>
          <t>2025-02-24</t>
        </is>
      </c>
      <c r="B56" s="36" t="n">
        <v>2</v>
      </c>
      <c r="C56" s="36" t="n">
        <v>6.69</v>
      </c>
      <c r="D56" s="36" t="n">
        <v>5651.39</v>
      </c>
      <c r="E56" s="36" t="n">
        <v>7334.3</v>
      </c>
      <c r="F56" s="36" t="n">
        <v>12985.69</v>
      </c>
      <c r="G56" s="71">
        <f>IF(F56&gt;0, D56/F56, 0)</f>
        <v/>
      </c>
    </row>
    <row r="57">
      <c r="A57" s="36" t="inlineStr">
        <is>
          <t>2025-02-25</t>
        </is>
      </c>
      <c r="B57" s="36" t="n">
        <v>2</v>
      </c>
      <c r="C57" s="36" t="n">
        <v>6.19</v>
      </c>
      <c r="D57" s="36" t="n">
        <v>3352.36</v>
      </c>
      <c r="E57" s="36" t="n">
        <v>8646.84</v>
      </c>
      <c r="F57" s="36" t="n">
        <v>11999.2</v>
      </c>
      <c r="G57" s="71">
        <f>IF(F57&gt;0, D57/F57, 0)</f>
        <v/>
      </c>
    </row>
    <row r="58">
      <c r="A58" s="36" t="inlineStr">
        <is>
          <t>2025-02-26</t>
        </is>
      </c>
      <c r="B58" s="36" t="n">
        <v>2</v>
      </c>
      <c r="C58" s="36" t="n">
        <v>4.65</v>
      </c>
      <c r="D58" s="36" t="n">
        <v>82.72</v>
      </c>
      <c r="E58" s="36" t="n">
        <v>9187.110000000001</v>
      </c>
      <c r="F58" s="36" t="n">
        <v>9269.83</v>
      </c>
      <c r="G58" s="71">
        <f>IF(F58&gt;0, D58/F58, 0)</f>
        <v/>
      </c>
    </row>
    <row r="59">
      <c r="A59" s="36" t="inlineStr">
        <is>
          <t>2025-02-27</t>
        </is>
      </c>
      <c r="B59" s="36" t="n">
        <v>2</v>
      </c>
      <c r="C59" s="36" t="n">
        <v>4.62</v>
      </c>
      <c r="D59" s="36" t="n">
        <v>4557.2</v>
      </c>
      <c r="E59" s="36" t="n">
        <v>4283.34</v>
      </c>
      <c r="F59" s="36" t="n">
        <v>8840.540000000001</v>
      </c>
      <c r="G59" s="71">
        <f>IF(F59&gt;0, D59/F59, 0)</f>
        <v/>
      </c>
    </row>
    <row r="60">
      <c r="A60" s="36" t="inlineStr">
        <is>
          <t>2025-02-28</t>
        </is>
      </c>
      <c r="B60" s="36" t="n">
        <v>2</v>
      </c>
      <c r="C60" s="36" t="n">
        <v>5.76</v>
      </c>
      <c r="D60" s="36" t="n">
        <v>5603.79</v>
      </c>
      <c r="E60" s="36" t="n">
        <v>5501.11</v>
      </c>
      <c r="F60" s="36" t="n">
        <v>11104.9</v>
      </c>
      <c r="G60" s="71">
        <f>IF(F60&gt;0, D60/F60, 0)</f>
        <v/>
      </c>
    </row>
    <row r="61">
      <c r="A61" s="36" t="inlineStr">
        <is>
          <t>2025-03-01</t>
        </is>
      </c>
      <c r="B61" s="36" t="n">
        <v>3</v>
      </c>
      <c r="C61" s="36" t="n">
        <v>6.43</v>
      </c>
      <c r="D61" s="36" t="n">
        <v>6568.3</v>
      </c>
      <c r="E61" s="36" t="n">
        <v>5731.46</v>
      </c>
      <c r="F61" s="36" t="n">
        <v>12299.76</v>
      </c>
      <c r="G61" s="71">
        <f>IF(F61&gt;0, D61/F61, 0)</f>
        <v/>
      </c>
    </row>
    <row r="62">
      <c r="A62" s="36" t="inlineStr">
        <is>
          <t>2025-03-02</t>
        </is>
      </c>
      <c r="B62" s="36" t="n">
        <v>3</v>
      </c>
      <c r="C62" s="36" t="n">
        <v>6.95</v>
      </c>
      <c r="D62" s="36" t="n">
        <v>11688.99</v>
      </c>
      <c r="E62" s="36" t="n">
        <v>1566.68</v>
      </c>
      <c r="F62" s="36" t="n">
        <v>13255.67</v>
      </c>
      <c r="G62" s="71">
        <f>IF(F62&gt;0, D62/F62, 0)</f>
        <v/>
      </c>
    </row>
    <row r="63">
      <c r="A63" s="36" t="inlineStr">
        <is>
          <t>2025-03-03</t>
        </is>
      </c>
      <c r="B63" s="36" t="n">
        <v>3</v>
      </c>
      <c r="C63" s="36" t="n">
        <v>6.04</v>
      </c>
      <c r="D63" s="36" t="n">
        <v>8899.9</v>
      </c>
      <c r="E63" s="36" t="n">
        <v>2632.25</v>
      </c>
      <c r="F63" s="36" t="n">
        <v>11532.15</v>
      </c>
      <c r="G63" s="71">
        <f>IF(F63&gt;0, D63/F63, 0)</f>
        <v/>
      </c>
    </row>
    <row r="64">
      <c r="A64" s="36" t="inlineStr">
        <is>
          <t>2025-03-04</t>
        </is>
      </c>
      <c r="B64" s="36" t="n">
        <v>3</v>
      </c>
      <c r="C64" s="36" t="n">
        <v>5.47</v>
      </c>
      <c r="D64" s="36" t="n">
        <v>6654.97</v>
      </c>
      <c r="E64" s="36" t="n">
        <v>3910.27</v>
      </c>
      <c r="F64" s="36" t="n">
        <v>10565.24</v>
      </c>
      <c r="G64" s="71">
        <f>IF(F64&gt;0, D64/F64, 0)</f>
        <v/>
      </c>
    </row>
    <row r="65">
      <c r="A65" s="36" t="inlineStr">
        <is>
          <t>2025-03-05</t>
        </is>
      </c>
      <c r="B65" s="36" t="n">
        <v>3</v>
      </c>
      <c r="C65" s="36" t="n">
        <v>4.79</v>
      </c>
      <c r="D65" s="36" t="n">
        <v>3972.75</v>
      </c>
      <c r="E65" s="36" t="n">
        <v>5266.19</v>
      </c>
      <c r="F65" s="36" t="n">
        <v>9238.940000000001</v>
      </c>
      <c r="G65" s="71">
        <f>IF(F65&gt;0, D65/F65, 0)</f>
        <v/>
      </c>
    </row>
    <row r="66">
      <c r="A66" s="36" t="inlineStr">
        <is>
          <t>2025-03-06</t>
        </is>
      </c>
      <c r="B66" s="36" t="n">
        <v>3</v>
      </c>
      <c r="C66" s="36" t="n">
        <v>7.08</v>
      </c>
      <c r="D66" s="36" t="n">
        <v>9138.24</v>
      </c>
      <c r="E66" s="36" t="n">
        <v>4404.19</v>
      </c>
      <c r="F66" s="36" t="n">
        <v>13542.43</v>
      </c>
      <c r="G66" s="71">
        <f>IF(F66&gt;0, D66/F66, 0)</f>
        <v/>
      </c>
    </row>
    <row r="67">
      <c r="A67" s="36" t="inlineStr">
        <is>
          <t>2025-03-07</t>
        </is>
      </c>
      <c r="B67" s="36" t="n">
        <v>3</v>
      </c>
      <c r="C67" s="36" t="n">
        <v>6.38</v>
      </c>
      <c r="D67" s="36" t="n">
        <v>9652.049999999999</v>
      </c>
      <c r="E67" s="36" t="n">
        <v>2482.16</v>
      </c>
      <c r="F67" s="36" t="n">
        <v>12134.21</v>
      </c>
      <c r="G67" s="71">
        <f>IF(F67&gt;0, D67/F67, 0)</f>
        <v/>
      </c>
    </row>
    <row r="68">
      <c r="A68" s="36" t="inlineStr">
        <is>
          <t>2025-03-08</t>
        </is>
      </c>
      <c r="B68" s="36" t="n">
        <v>3</v>
      </c>
      <c r="C68" s="36" t="n">
        <v>7.92</v>
      </c>
      <c r="D68" s="36" t="n">
        <v>12681.31</v>
      </c>
      <c r="E68" s="36" t="n">
        <v>2376.03</v>
      </c>
      <c r="F68" s="36" t="n">
        <v>15057.34</v>
      </c>
      <c r="G68" s="71">
        <f>IF(F68&gt;0, D68/F68, 0)</f>
        <v/>
      </c>
    </row>
    <row r="69">
      <c r="A69" s="36" t="inlineStr">
        <is>
          <t>2025-03-09</t>
        </is>
      </c>
      <c r="B69" s="36" t="n">
        <v>3</v>
      </c>
      <c r="C69" s="36" t="n">
        <v>7.16</v>
      </c>
      <c r="D69" s="36" t="n">
        <v>9588.75</v>
      </c>
      <c r="E69" s="36" t="n">
        <v>3937.24</v>
      </c>
      <c r="F69" s="36" t="n">
        <v>13525.99</v>
      </c>
      <c r="G69" s="71">
        <f>IF(F69&gt;0, D69/F69, 0)</f>
        <v/>
      </c>
    </row>
    <row r="70">
      <c r="A70" s="36" t="inlineStr">
        <is>
          <t>2025-03-10</t>
        </is>
      </c>
      <c r="B70" s="36" t="n">
        <v>3</v>
      </c>
      <c r="C70" s="36" t="n">
        <v>4.82</v>
      </c>
      <c r="D70" s="36" t="n">
        <v>5101.18</v>
      </c>
      <c r="E70" s="36" t="n">
        <v>4122.31</v>
      </c>
      <c r="F70" s="36" t="n">
        <v>9223.49</v>
      </c>
      <c r="G70" s="71">
        <f>IF(F70&gt;0, D70/F70, 0)</f>
        <v/>
      </c>
    </row>
    <row r="71">
      <c r="A71" s="36" t="inlineStr">
        <is>
          <t>2025-03-11</t>
        </is>
      </c>
      <c r="B71" s="36" t="n">
        <v>3</v>
      </c>
      <c r="C71" s="36" t="n">
        <v>7.43</v>
      </c>
      <c r="D71" s="36" t="n">
        <v>7112.33</v>
      </c>
      <c r="E71" s="36" t="n">
        <v>7114.8</v>
      </c>
      <c r="F71" s="36" t="n">
        <v>14227.13</v>
      </c>
      <c r="G71" s="71">
        <f>IF(F71&gt;0, D71/F71, 0)</f>
        <v/>
      </c>
    </row>
    <row r="72">
      <c r="A72" s="36" t="inlineStr">
        <is>
          <t>2025-03-12</t>
        </is>
      </c>
      <c r="B72" s="36" t="n">
        <v>3</v>
      </c>
      <c r="C72" s="36" t="n">
        <v>8.390000000000001</v>
      </c>
      <c r="D72" s="36" t="n">
        <v>10522.34</v>
      </c>
      <c r="E72" s="36" t="n">
        <v>5526.15</v>
      </c>
      <c r="F72" s="36" t="n">
        <v>16048.49</v>
      </c>
      <c r="G72" s="71">
        <f>IF(F72&gt;0, D72/F72, 0)</f>
        <v/>
      </c>
    </row>
    <row r="73">
      <c r="A73" s="36" t="inlineStr">
        <is>
          <t>2025-03-13</t>
        </is>
      </c>
      <c r="B73" s="36" t="n">
        <v>3</v>
      </c>
      <c r="C73" s="36" t="n">
        <v>8.32</v>
      </c>
      <c r="D73" s="36" t="n">
        <v>9980.690000000001</v>
      </c>
      <c r="E73" s="36" t="n">
        <v>5912.65</v>
      </c>
      <c r="F73" s="36" t="n">
        <v>15893.34</v>
      </c>
      <c r="G73" s="71">
        <f>IF(F73&gt;0, D73/F73, 0)</f>
        <v/>
      </c>
    </row>
    <row r="74">
      <c r="A74" s="36" t="inlineStr">
        <is>
          <t>2025-03-14</t>
        </is>
      </c>
      <c r="B74" s="36" t="n">
        <v>3</v>
      </c>
      <c r="C74" s="36" t="n">
        <v>8.16</v>
      </c>
      <c r="D74" s="36" t="n">
        <v>9789.719999999999</v>
      </c>
      <c r="E74" s="36" t="n">
        <v>5821.51</v>
      </c>
      <c r="F74" s="36" t="n">
        <v>15611.23</v>
      </c>
      <c r="G74" s="71">
        <f>IF(F74&gt;0, D74/F74, 0)</f>
        <v/>
      </c>
    </row>
    <row r="75">
      <c r="A75" s="36" t="inlineStr">
        <is>
          <t>2025-03-15</t>
        </is>
      </c>
      <c r="B75" s="36" t="n">
        <v>3</v>
      </c>
      <c r="C75" s="36" t="n">
        <v>8.640000000000001</v>
      </c>
      <c r="D75" s="36" t="n">
        <v>12088.75</v>
      </c>
      <c r="E75" s="36" t="n">
        <v>4342.85</v>
      </c>
      <c r="F75" s="36" t="n">
        <v>16431.6</v>
      </c>
      <c r="G75" s="71">
        <f>IF(F75&gt;0, D75/F75, 0)</f>
        <v/>
      </c>
    </row>
    <row r="76">
      <c r="A76" s="36" t="inlineStr">
        <is>
          <t>2025-03-16</t>
        </is>
      </c>
      <c r="B76" s="36" t="n">
        <v>3</v>
      </c>
      <c r="C76" s="36" t="n">
        <v>8.699999999999999</v>
      </c>
      <c r="D76" s="36" t="n">
        <v>13707.94</v>
      </c>
      <c r="E76" s="36" t="n">
        <v>2802.33</v>
      </c>
      <c r="F76" s="36" t="n">
        <v>16510.27</v>
      </c>
      <c r="G76" s="71">
        <f>IF(F76&gt;0, D76/F76, 0)</f>
        <v/>
      </c>
    </row>
    <row r="77">
      <c r="A77" s="36" t="inlineStr">
        <is>
          <t>2025-03-17</t>
        </is>
      </c>
      <c r="B77" s="36" t="n">
        <v>3</v>
      </c>
      <c r="C77" s="36" t="n">
        <v>5.59</v>
      </c>
      <c r="D77" s="36" t="n">
        <v>4143.12</v>
      </c>
      <c r="E77" s="36" t="n">
        <v>6468.45</v>
      </c>
      <c r="F77" s="36" t="n">
        <v>10611.57</v>
      </c>
      <c r="G77" s="71">
        <f>IF(F77&gt;0, D77/F77, 0)</f>
        <v/>
      </c>
    </row>
    <row r="78">
      <c r="A78" s="36" t="inlineStr">
        <is>
          <t>2025-03-18</t>
        </is>
      </c>
      <c r="B78" s="36" t="n">
        <v>3</v>
      </c>
      <c r="C78" s="36" t="n">
        <v>6.59</v>
      </c>
      <c r="D78" s="36" t="n">
        <v>11079.07</v>
      </c>
      <c r="E78" s="36" t="n">
        <v>1441.02</v>
      </c>
      <c r="F78" s="36" t="n">
        <v>12520.09</v>
      </c>
      <c r="G78" s="71">
        <f>IF(F78&gt;0, D78/F78, 0)</f>
        <v/>
      </c>
    </row>
    <row r="79">
      <c r="A79" s="36" t="inlineStr">
        <is>
          <t>2025-03-19</t>
        </is>
      </c>
      <c r="B79" s="36" t="n">
        <v>3</v>
      </c>
      <c r="C79" s="36" t="n">
        <v>5.79</v>
      </c>
      <c r="D79" s="36" t="n">
        <v>6017.86</v>
      </c>
      <c r="E79" s="36" t="n">
        <v>5029.75</v>
      </c>
      <c r="F79" s="36" t="n">
        <v>11047.61</v>
      </c>
      <c r="G79" s="71">
        <f>IF(F79&gt;0, D79/F79, 0)</f>
        <v/>
      </c>
    </row>
    <row r="80">
      <c r="A80" s="36" t="inlineStr">
        <is>
          <t>2025-03-20</t>
        </is>
      </c>
      <c r="B80" s="36" t="n">
        <v>3</v>
      </c>
      <c r="C80" s="36" t="n">
        <v>7.98</v>
      </c>
      <c r="D80" s="36" t="n">
        <v>6312.88</v>
      </c>
      <c r="E80" s="36" t="n">
        <v>8969.780000000001</v>
      </c>
      <c r="F80" s="36" t="n">
        <v>15282.66</v>
      </c>
      <c r="G80" s="71">
        <f>IF(F80&gt;0, D80/F80, 0)</f>
        <v/>
      </c>
    </row>
    <row r="81">
      <c r="A81" s="36" t="inlineStr">
        <is>
          <t>2025-03-21</t>
        </is>
      </c>
      <c r="B81" s="36" t="n">
        <v>3</v>
      </c>
      <c r="C81" s="36" t="n">
        <v>9.44</v>
      </c>
      <c r="D81" s="36" t="n">
        <v>7309.1</v>
      </c>
      <c r="E81" s="36" t="n">
        <v>10985.53</v>
      </c>
      <c r="F81" s="36" t="n">
        <v>18294.63</v>
      </c>
      <c r="G81" s="71">
        <f>IF(F81&gt;0, D81/F81, 0)</f>
        <v/>
      </c>
    </row>
    <row r="82">
      <c r="A82" s="36" t="inlineStr">
        <is>
          <t>2025-03-22</t>
        </is>
      </c>
      <c r="B82" s="36" t="n">
        <v>3</v>
      </c>
      <c r="C82" s="36" t="n">
        <v>9.390000000000001</v>
      </c>
      <c r="D82" s="36" t="n">
        <v>11401.63</v>
      </c>
      <c r="E82" s="36" t="n">
        <v>6546.99</v>
      </c>
      <c r="F82" s="36" t="n">
        <v>17948.62</v>
      </c>
      <c r="G82" s="71">
        <f>IF(F82&gt;0, D82/F82, 0)</f>
        <v/>
      </c>
    </row>
    <row r="83">
      <c r="A83" s="36" t="inlineStr">
        <is>
          <t>2025-03-23</t>
        </is>
      </c>
      <c r="B83" s="36" t="n">
        <v>3</v>
      </c>
      <c r="C83" s="36" t="n">
        <v>9.539999999999999</v>
      </c>
      <c r="D83" s="36" t="n">
        <v>13157.73</v>
      </c>
      <c r="E83" s="36" t="n">
        <v>5010.01</v>
      </c>
      <c r="F83" s="36" t="n">
        <v>18167.74</v>
      </c>
      <c r="G83" s="71">
        <f>IF(F83&gt;0, D83/F83, 0)</f>
        <v/>
      </c>
    </row>
    <row r="84">
      <c r="A84" s="36" t="inlineStr">
        <is>
          <t>2025-03-24</t>
        </is>
      </c>
      <c r="B84" s="36" t="n">
        <v>3</v>
      </c>
      <c r="C84" s="36" t="n">
        <v>8.33</v>
      </c>
      <c r="D84" s="36" t="n">
        <v>14020.46</v>
      </c>
      <c r="E84" s="36" t="n">
        <v>1833.19</v>
      </c>
      <c r="F84" s="36" t="n">
        <v>15853.65</v>
      </c>
      <c r="G84" s="71">
        <f>IF(F84&gt;0, D84/F84, 0)</f>
        <v/>
      </c>
    </row>
    <row r="85">
      <c r="A85" s="36" t="inlineStr">
        <is>
          <t>2025-03-25</t>
        </is>
      </c>
      <c r="B85" s="36" t="n">
        <v>3</v>
      </c>
      <c r="C85" s="36" t="n">
        <v>6.21</v>
      </c>
      <c r="D85" s="36" t="n">
        <v>7232.63</v>
      </c>
      <c r="E85" s="36" t="n">
        <v>4597.44</v>
      </c>
      <c r="F85" s="36" t="n">
        <v>11830.07</v>
      </c>
      <c r="G85" s="71">
        <f>IF(F85&gt;0, D85/F85, 0)</f>
        <v/>
      </c>
    </row>
    <row r="86">
      <c r="A86" s="36" t="inlineStr">
        <is>
          <t>2025-03-26</t>
        </is>
      </c>
      <c r="B86" s="36" t="n">
        <v>3</v>
      </c>
      <c r="C86" s="36" t="n">
        <v>8.07</v>
      </c>
      <c r="D86" s="36" t="n">
        <v>9387.48</v>
      </c>
      <c r="E86" s="36" t="n">
        <v>5987.27</v>
      </c>
      <c r="F86" s="36" t="n">
        <v>15374.75</v>
      </c>
      <c r="G86" s="71">
        <f>IF(F86&gt;0, D86/F86, 0)</f>
        <v/>
      </c>
    </row>
    <row r="87">
      <c r="A87" s="36" t="inlineStr">
        <is>
          <t>2025-03-27</t>
        </is>
      </c>
      <c r="B87" s="36" t="n">
        <v>3</v>
      </c>
      <c r="C87" s="36" t="n">
        <v>8.77</v>
      </c>
      <c r="D87" s="36" t="n">
        <v>13222.06</v>
      </c>
      <c r="E87" s="36" t="n">
        <v>3467.55</v>
      </c>
      <c r="F87" s="36" t="n">
        <v>16689.61</v>
      </c>
      <c r="G87" s="71">
        <f>IF(F87&gt;0, D87/F87, 0)</f>
        <v/>
      </c>
    </row>
    <row r="88">
      <c r="A88" s="36" t="inlineStr">
        <is>
          <t>2025-03-28</t>
        </is>
      </c>
      <c r="B88" s="36" t="n">
        <v>3</v>
      </c>
      <c r="C88" s="36" t="n">
        <v>6.32</v>
      </c>
      <c r="D88" s="36" t="n">
        <v>5183.01</v>
      </c>
      <c r="E88" s="36" t="n">
        <v>6821.08</v>
      </c>
      <c r="F88" s="36" t="n">
        <v>12004.09</v>
      </c>
      <c r="G88" s="71">
        <f>IF(F88&gt;0, D88/F88, 0)</f>
        <v/>
      </c>
    </row>
    <row r="89">
      <c r="A89" s="36" t="inlineStr">
        <is>
          <t>2025-03-29</t>
        </is>
      </c>
      <c r="B89" s="36" t="n">
        <v>3</v>
      </c>
      <c r="C89" s="36" t="n">
        <v>9.539999999999999</v>
      </c>
      <c r="D89" s="36" t="n">
        <v>11557.6</v>
      </c>
      <c r="E89" s="36" t="n">
        <v>6596.97</v>
      </c>
      <c r="F89" s="36" t="n">
        <v>18154.57</v>
      </c>
      <c r="G89" s="71">
        <f>IF(F89&gt;0, D89/F89, 0)</f>
        <v/>
      </c>
    </row>
    <row r="90">
      <c r="A90" s="36" t="inlineStr">
        <is>
          <t>2025-03-30</t>
        </is>
      </c>
      <c r="B90" s="36" t="n">
        <v>3</v>
      </c>
      <c r="C90" s="36" t="n">
        <v>6.86</v>
      </c>
      <c r="D90" s="36" t="n">
        <v>8021.95</v>
      </c>
      <c r="E90" s="36" t="n">
        <v>5045.91</v>
      </c>
      <c r="F90" s="36" t="n">
        <v>13067.86</v>
      </c>
      <c r="G90" s="71">
        <f>IF(F90&gt;0, D90/F90, 0)</f>
        <v/>
      </c>
    </row>
    <row r="91">
      <c r="A91" s="36" t="inlineStr">
        <is>
          <t>2025-03-31</t>
        </is>
      </c>
      <c r="B91" s="36" t="n">
        <v>3</v>
      </c>
      <c r="C91" s="36" t="n">
        <v>7.68</v>
      </c>
      <c r="D91" s="36" t="n">
        <v>10820.61</v>
      </c>
      <c r="E91" s="36" t="n">
        <v>3843.9</v>
      </c>
      <c r="F91" s="36" t="n">
        <v>14664.51</v>
      </c>
      <c r="G91" s="71">
        <f>IF(F91&gt;0, D91/F91, 0)</f>
        <v/>
      </c>
    </row>
    <row r="92">
      <c r="A92" s="36" t="inlineStr">
        <is>
          <t>2025-04-01</t>
        </is>
      </c>
      <c r="B92" s="36" t="n">
        <v>4</v>
      </c>
      <c r="C92" s="36" t="n">
        <v>8.42</v>
      </c>
      <c r="D92" s="36" t="n">
        <v>10.24</v>
      </c>
      <c r="E92" s="36" t="n">
        <v>3056.87</v>
      </c>
      <c r="F92" s="36" t="n">
        <v>3067.11</v>
      </c>
      <c r="G92" s="71">
        <f>IF(F92&gt;0, D92/F92, 0)</f>
        <v/>
      </c>
    </row>
    <row r="93">
      <c r="A93" s="36" t="inlineStr">
        <is>
          <t>2025-04-02</t>
        </is>
      </c>
      <c r="B93" s="36" t="n">
        <v>4</v>
      </c>
      <c r="C93" s="36" t="n">
        <v>11.58</v>
      </c>
      <c r="D93" s="36" t="n">
        <v>7601.96</v>
      </c>
      <c r="E93" s="36" t="n">
        <v>9792.200000000001</v>
      </c>
      <c r="F93" s="36" t="n">
        <v>17394.16</v>
      </c>
      <c r="G93" s="71">
        <f>IF(F93&gt;0, D93/F93, 0)</f>
        <v/>
      </c>
    </row>
    <row r="94">
      <c r="A94" s="36" t="inlineStr">
        <is>
          <t>2025-04-03</t>
        </is>
      </c>
      <c r="B94" s="36" t="n">
        <v>4</v>
      </c>
      <c r="C94" s="36" t="n">
        <v>11.42</v>
      </c>
      <c r="D94" s="36" t="n">
        <v>7497.3</v>
      </c>
      <c r="E94" s="36" t="n">
        <v>8195.41</v>
      </c>
      <c r="F94" s="36" t="n">
        <v>15692.71</v>
      </c>
      <c r="G94" s="71">
        <f>IF(F94&gt;0, D94/F94, 0)</f>
        <v/>
      </c>
    </row>
    <row r="95">
      <c r="A95" s="36" t="inlineStr">
        <is>
          <t>2025-04-04</t>
        </is>
      </c>
      <c r="B95" s="36" t="n">
        <v>4</v>
      </c>
      <c r="C95" s="36" t="n">
        <v>9.08</v>
      </c>
      <c r="D95" s="36" t="n">
        <v>4502.25</v>
      </c>
      <c r="E95" s="36" t="n">
        <v>2186.1</v>
      </c>
      <c r="F95" s="36" t="n">
        <v>6688.35</v>
      </c>
      <c r="G95" s="71">
        <f>IF(F95&gt;0, D95/F95, 0)</f>
        <v/>
      </c>
    </row>
    <row r="96">
      <c r="A96" s="36" t="inlineStr">
        <is>
          <t>2025-04-05</t>
        </is>
      </c>
      <c r="B96" s="36" t="n">
        <v>4</v>
      </c>
      <c r="C96" s="36" t="n">
        <v>11.5</v>
      </c>
      <c r="D96" s="36" t="n">
        <v>9285.34</v>
      </c>
      <c r="E96" s="36" t="n">
        <v>6157.98</v>
      </c>
      <c r="F96" s="36" t="n">
        <v>15443.32</v>
      </c>
      <c r="G96" s="71">
        <f>IF(F96&gt;0, D96/F96, 0)</f>
        <v/>
      </c>
    </row>
    <row r="97">
      <c r="A97" s="36" t="inlineStr">
        <is>
          <t>2025-04-06</t>
        </is>
      </c>
      <c r="B97" s="36" t="n">
        <v>4</v>
      </c>
      <c r="C97" s="36" t="n">
        <v>11.92</v>
      </c>
      <c r="D97" s="36" t="n">
        <v>11344.85</v>
      </c>
      <c r="E97" s="36" t="n">
        <v>3852.59</v>
      </c>
      <c r="F97" s="36" t="n">
        <v>15197.44</v>
      </c>
      <c r="G97" s="71">
        <f>IF(F97&gt;0, D97/F97, 0)</f>
        <v/>
      </c>
    </row>
    <row r="98">
      <c r="A98" s="36" t="inlineStr">
        <is>
          <t>2025-04-07</t>
        </is>
      </c>
      <c r="B98" s="36" t="n">
        <v>4</v>
      </c>
      <c r="C98" s="36" t="n">
        <v>11.83</v>
      </c>
      <c r="D98" s="36" t="n">
        <v>4020.03</v>
      </c>
      <c r="E98" s="36" t="n">
        <v>9516.549999999999</v>
      </c>
      <c r="F98" s="36" t="n">
        <v>13536.57</v>
      </c>
      <c r="G98" s="71">
        <f>IF(F98&gt;0, D98/F98, 0)</f>
        <v/>
      </c>
    </row>
    <row r="99">
      <c r="A99" s="36" t="inlineStr">
        <is>
          <t>2025-04-08</t>
        </is>
      </c>
      <c r="B99" s="36" t="n">
        <v>4</v>
      </c>
      <c r="C99" s="36" t="n">
        <v>11.42</v>
      </c>
      <c r="D99" s="36" t="n">
        <v>10324.99</v>
      </c>
      <c r="E99" s="36" t="n">
        <v>5287.78</v>
      </c>
      <c r="F99" s="36" t="n">
        <v>15612.77</v>
      </c>
      <c r="G99" s="71">
        <f>IF(F99&gt;0, D99/F99, 0)</f>
        <v/>
      </c>
    </row>
    <row r="100">
      <c r="A100" s="36" t="inlineStr">
        <is>
          <t>2025-04-09</t>
        </is>
      </c>
      <c r="B100" s="36" t="n">
        <v>4</v>
      </c>
      <c r="C100" s="36" t="n">
        <v>11.92</v>
      </c>
      <c r="D100" s="36" t="n">
        <v>10906.78</v>
      </c>
      <c r="E100" s="36" t="n">
        <v>5796.44</v>
      </c>
      <c r="F100" s="36" t="n">
        <v>16703.22</v>
      </c>
      <c r="G100" s="71">
        <f>IF(F100&gt;0, D100/F100, 0)</f>
        <v/>
      </c>
    </row>
    <row r="101">
      <c r="A101" s="36" t="inlineStr">
        <is>
          <t>2025-04-10</t>
        </is>
      </c>
      <c r="B101" s="36" t="n">
        <v>4</v>
      </c>
      <c r="C101" s="36" t="n">
        <v>12</v>
      </c>
      <c r="D101" s="36" t="n">
        <v>6977.77</v>
      </c>
      <c r="E101" s="36" t="n">
        <v>6686.21</v>
      </c>
      <c r="F101" s="36" t="n">
        <v>13663.98</v>
      </c>
      <c r="G101" s="71">
        <f>IF(F101&gt;0, D101/F101, 0)</f>
        <v/>
      </c>
    </row>
    <row r="102">
      <c r="A102" s="36" t="inlineStr">
        <is>
          <t>2025-04-11</t>
        </is>
      </c>
      <c r="B102" s="36" t="n">
        <v>4</v>
      </c>
      <c r="C102" s="36" t="n">
        <v>12</v>
      </c>
      <c r="D102" s="36" t="n">
        <v>4758.68</v>
      </c>
      <c r="E102" s="36" t="n">
        <v>7393.45</v>
      </c>
      <c r="F102" s="36" t="n">
        <v>12152.13</v>
      </c>
      <c r="G102" s="71">
        <f>IF(F102&gt;0, D102/F102, 0)</f>
        <v/>
      </c>
    </row>
    <row r="103">
      <c r="A103" s="36" t="inlineStr">
        <is>
          <t>2025-04-12</t>
        </is>
      </c>
      <c r="B103" s="36" t="n">
        <v>4</v>
      </c>
      <c r="C103" s="36" t="n">
        <v>11.75</v>
      </c>
      <c r="D103" s="36" t="n">
        <v>11731.45</v>
      </c>
      <c r="E103" s="36" t="n">
        <v>5432.79</v>
      </c>
      <c r="F103" s="36" t="n">
        <v>17164.24</v>
      </c>
      <c r="G103" s="71">
        <f>IF(F103&gt;0, D103/F103, 0)</f>
        <v/>
      </c>
    </row>
    <row r="104">
      <c r="A104" s="36" t="inlineStr">
        <is>
          <t>2025-04-13</t>
        </is>
      </c>
      <c r="B104" s="36" t="n">
        <v>4</v>
      </c>
      <c r="C104" s="36" t="n">
        <v>11.25</v>
      </c>
      <c r="D104" s="36" t="n">
        <v>741.41</v>
      </c>
      <c r="E104" s="36" t="n">
        <v>6567.73</v>
      </c>
      <c r="F104" s="36" t="n">
        <v>7309.14</v>
      </c>
      <c r="G104" s="71">
        <f>IF(F104&gt;0, D104/F104, 0)</f>
        <v/>
      </c>
    </row>
    <row r="105">
      <c r="A105" s="36" t="inlineStr">
        <is>
          <t>2025-04-14</t>
        </is>
      </c>
      <c r="B105" s="36" t="n">
        <v>4</v>
      </c>
      <c r="C105" s="36" t="n">
        <v>11.75</v>
      </c>
      <c r="D105" s="36" t="n">
        <v>13425.1</v>
      </c>
      <c r="E105" s="36" t="n">
        <v>6649.06</v>
      </c>
      <c r="F105" s="36" t="n">
        <v>20074.16</v>
      </c>
      <c r="G105" s="71">
        <f>IF(F105&gt;0, D105/F105, 0)</f>
        <v/>
      </c>
    </row>
    <row r="106">
      <c r="A106" s="36" t="inlineStr">
        <is>
          <t>2025-04-15</t>
        </is>
      </c>
      <c r="B106" s="36" t="n">
        <v>4</v>
      </c>
      <c r="C106" s="36" t="n">
        <v>12.17</v>
      </c>
      <c r="D106" s="36" t="n">
        <v>15194.24</v>
      </c>
      <c r="E106" s="36" t="n">
        <v>6015.37</v>
      </c>
      <c r="F106" s="36" t="n">
        <v>21209.61</v>
      </c>
      <c r="G106" s="71">
        <f>IF(F106&gt;0, D106/F106, 0)</f>
        <v/>
      </c>
    </row>
    <row r="107">
      <c r="A107" s="36" t="inlineStr">
        <is>
          <t>2025-04-16</t>
        </is>
      </c>
      <c r="B107" s="36" t="n">
        <v>4</v>
      </c>
      <c r="C107" s="36" t="n">
        <v>12.25</v>
      </c>
      <c r="D107" s="36" t="n">
        <v>15203.7</v>
      </c>
      <c r="E107" s="36" t="n">
        <v>6022.26</v>
      </c>
      <c r="F107" s="36" t="n">
        <v>21225.96</v>
      </c>
      <c r="G107" s="71">
        <f>IF(F107&gt;0, D107/F107, 0)</f>
        <v/>
      </c>
    </row>
    <row r="108">
      <c r="A108" s="36" t="inlineStr">
        <is>
          <t>2025-04-17</t>
        </is>
      </c>
      <c r="B108" s="36" t="n">
        <v>4</v>
      </c>
      <c r="C108" s="36" t="n">
        <v>12.17</v>
      </c>
      <c r="D108" s="36" t="n">
        <v>16186.1</v>
      </c>
      <c r="E108" s="36" t="n">
        <v>4723.32</v>
      </c>
      <c r="F108" s="36" t="n">
        <v>20909.42</v>
      </c>
      <c r="G108" s="71">
        <f>IF(F108&gt;0, D108/F108, 0)</f>
        <v/>
      </c>
    </row>
    <row r="109">
      <c r="A109" s="36" t="inlineStr">
        <is>
          <t>2025-04-18</t>
        </is>
      </c>
      <c r="B109" s="36" t="n">
        <v>4</v>
      </c>
      <c r="C109" s="36" t="n">
        <v>12.33</v>
      </c>
      <c r="D109" s="36" t="n">
        <v>14307.87</v>
      </c>
      <c r="E109" s="36" t="n">
        <v>6496.04</v>
      </c>
      <c r="F109" s="36" t="n">
        <v>20803.91</v>
      </c>
      <c r="G109" s="71">
        <f>IF(F109&gt;0, D109/F109, 0)</f>
        <v/>
      </c>
    </row>
    <row r="110">
      <c r="A110" s="36" t="inlineStr">
        <is>
          <t>2025-04-19</t>
        </is>
      </c>
      <c r="B110" s="36" t="n">
        <v>4</v>
      </c>
      <c r="C110" s="36" t="n">
        <v>12.17</v>
      </c>
      <c r="D110" s="36" t="n">
        <v>0</v>
      </c>
      <c r="E110" s="36" t="n">
        <v>4988.02</v>
      </c>
      <c r="F110" s="36" t="n">
        <v>4988.02</v>
      </c>
      <c r="G110" s="71">
        <f>IF(F110&gt;0, D110/F110, 0)</f>
        <v/>
      </c>
    </row>
    <row r="111">
      <c r="A111" s="36" t="inlineStr">
        <is>
          <t>2025-04-20</t>
        </is>
      </c>
      <c r="B111" s="36" t="n">
        <v>4</v>
      </c>
      <c r="C111" s="36" t="n">
        <v>12.08</v>
      </c>
      <c r="D111" s="36" t="n">
        <v>16080.75</v>
      </c>
      <c r="E111" s="36" t="n">
        <v>3264.67</v>
      </c>
      <c r="F111" s="36" t="n">
        <v>19345.42</v>
      </c>
      <c r="G111" s="71">
        <f>IF(F111&gt;0, D111/F111, 0)</f>
        <v/>
      </c>
    </row>
    <row r="112">
      <c r="A112" s="36" t="inlineStr">
        <is>
          <t>2025-04-21</t>
        </is>
      </c>
      <c r="B112" s="36" t="n">
        <v>4</v>
      </c>
      <c r="C112" s="36" t="n">
        <v>11.08</v>
      </c>
      <c r="D112" s="36" t="n">
        <v>14848.52</v>
      </c>
      <c r="E112" s="36" t="n">
        <v>1913.72</v>
      </c>
      <c r="F112" s="36" t="n">
        <v>16762.24</v>
      </c>
      <c r="G112" s="71">
        <f>IF(F112&gt;0, D112/F112, 0)</f>
        <v/>
      </c>
    </row>
    <row r="113">
      <c r="A113" s="36" t="inlineStr">
        <is>
          <t>2025-04-22</t>
        </is>
      </c>
      <c r="B113" s="36" t="n">
        <v>4</v>
      </c>
      <c r="C113" s="36" t="n">
        <v>12.17</v>
      </c>
      <c r="D113" s="36" t="n">
        <v>15619.86</v>
      </c>
      <c r="E113" s="36" t="n">
        <v>4625.71</v>
      </c>
      <c r="F113" s="36" t="n">
        <v>20245.58</v>
      </c>
      <c r="G113" s="71">
        <f>IF(F113&gt;0, D113/F113, 0)</f>
        <v/>
      </c>
    </row>
    <row r="114">
      <c r="A114" s="36" t="inlineStr">
        <is>
          <t>2025-04-23</t>
        </is>
      </c>
      <c r="B114" s="36" t="n">
        <v>4</v>
      </c>
      <c r="C114" s="36" t="n">
        <v>11.42</v>
      </c>
      <c r="D114" s="36" t="n">
        <v>7635.01</v>
      </c>
      <c r="E114" s="36" t="n">
        <v>5897.48</v>
      </c>
      <c r="F114" s="36" t="n">
        <v>13532.49</v>
      </c>
      <c r="G114" s="71">
        <f>IF(F114&gt;0, D114/F114, 0)</f>
        <v/>
      </c>
    </row>
    <row r="115">
      <c r="A115" s="36" t="inlineStr">
        <is>
          <t>2025-04-24</t>
        </is>
      </c>
      <c r="B115" s="36" t="n">
        <v>4</v>
      </c>
      <c r="C115" s="36" t="n">
        <v>11.33</v>
      </c>
      <c r="D115" s="36" t="n">
        <v>5.54</v>
      </c>
      <c r="E115" s="36" t="n">
        <v>5782.72</v>
      </c>
      <c r="F115" s="36" t="n">
        <v>5788.26</v>
      </c>
      <c r="G115" s="71">
        <f>IF(F115&gt;0, D115/F115, 0)</f>
        <v/>
      </c>
    </row>
    <row r="116">
      <c r="A116" s="36" t="inlineStr">
        <is>
          <t>2025-04-25</t>
        </is>
      </c>
      <c r="B116" s="36" t="n">
        <v>4</v>
      </c>
      <c r="C116" s="36" t="n">
        <v>12.25</v>
      </c>
      <c r="D116" s="36" t="n">
        <v>8581.23</v>
      </c>
      <c r="E116" s="36" t="n">
        <v>8357.66</v>
      </c>
      <c r="F116" s="36" t="n">
        <v>16938.89</v>
      </c>
      <c r="G116" s="71">
        <f>IF(F116&gt;0, D116/F116, 0)</f>
        <v/>
      </c>
    </row>
    <row r="117">
      <c r="A117" s="36" t="inlineStr">
        <is>
          <t>2025-04-26</t>
        </is>
      </c>
      <c r="B117" s="36" t="n">
        <v>4</v>
      </c>
      <c r="C117" s="36" t="n">
        <v>12.25</v>
      </c>
      <c r="D117" s="36" t="n">
        <v>8423.77</v>
      </c>
      <c r="E117" s="36" t="n">
        <v>6555.7</v>
      </c>
      <c r="F117" s="36" t="n">
        <v>14979.47</v>
      </c>
      <c r="G117" s="71">
        <f>IF(F117&gt;0, D117/F117, 0)</f>
        <v/>
      </c>
    </row>
    <row r="118">
      <c r="A118" s="36" t="inlineStr">
        <is>
          <t>2025-04-27</t>
        </is>
      </c>
      <c r="B118" s="36" t="n">
        <v>4</v>
      </c>
      <c r="C118" s="36" t="n">
        <v>12.5</v>
      </c>
      <c r="D118" s="36" t="n">
        <v>13658.8</v>
      </c>
      <c r="E118" s="36" t="n">
        <v>5560.06</v>
      </c>
      <c r="F118" s="36" t="n">
        <v>19218.86</v>
      </c>
      <c r="G118" s="71">
        <f>IF(F118&gt;0, D118/F118, 0)</f>
        <v/>
      </c>
    </row>
    <row r="119">
      <c r="A119" s="36" t="inlineStr">
        <is>
          <t>2025-04-28</t>
        </is>
      </c>
      <c r="B119" s="36" t="n">
        <v>4</v>
      </c>
      <c r="C119" s="36" t="n">
        <v>12.58</v>
      </c>
      <c r="D119" s="36" t="n">
        <v>14473.46</v>
      </c>
      <c r="E119" s="36" t="n">
        <v>6577.01</v>
      </c>
      <c r="F119" s="36" t="n">
        <v>21050.47</v>
      </c>
      <c r="G119" s="71">
        <f>IF(F119&gt;0, D119/F119, 0)</f>
        <v/>
      </c>
    </row>
    <row r="120">
      <c r="A120" s="36" t="inlineStr">
        <is>
          <t>2025-04-29</t>
        </is>
      </c>
      <c r="B120" s="36" t="n">
        <v>4</v>
      </c>
      <c r="C120" s="36" t="n">
        <v>12.25</v>
      </c>
      <c r="D120" s="36" t="n">
        <v>12722.15</v>
      </c>
      <c r="E120" s="36" t="n">
        <v>6377.92</v>
      </c>
      <c r="F120" s="36" t="n">
        <v>19100.07</v>
      </c>
      <c r="G120" s="71">
        <f>IF(F120&gt;0, D120/F120, 0)</f>
        <v/>
      </c>
    </row>
    <row r="121">
      <c r="A121" s="36" t="inlineStr">
        <is>
          <t>2025-04-30</t>
        </is>
      </c>
      <c r="B121" s="36" t="n">
        <v>4</v>
      </c>
      <c r="C121" s="36" t="n">
        <v>11.25</v>
      </c>
      <c r="D121" s="36" t="n">
        <v>0</v>
      </c>
      <c r="E121" s="36" t="n">
        <v>6120.66</v>
      </c>
      <c r="F121" s="36" t="n">
        <v>6120.66</v>
      </c>
      <c r="G121" s="71">
        <f>IF(F121&gt;0, D121/F121, 0)</f>
        <v/>
      </c>
    </row>
    <row r="122">
      <c r="A122" s="36" t="inlineStr">
        <is>
          <t>2025-05-01</t>
        </is>
      </c>
      <c r="B122" s="36" t="n">
        <v>5</v>
      </c>
      <c r="C122" s="36" t="n">
        <v>10.74</v>
      </c>
      <c r="D122" s="36" t="n">
        <v>11405.94</v>
      </c>
      <c r="E122" s="36" t="n">
        <v>8996.16</v>
      </c>
      <c r="F122" s="36" t="n">
        <v>20402.1</v>
      </c>
      <c r="G122" s="71">
        <f>IF(F122&gt;0, D122/F122, 0)</f>
        <v/>
      </c>
    </row>
    <row r="123">
      <c r="A123" s="36" t="inlineStr">
        <is>
          <t>2025-05-02</t>
        </is>
      </c>
      <c r="B123" s="36" t="n">
        <v>5</v>
      </c>
      <c r="C123" s="36" t="n">
        <v>9.76</v>
      </c>
      <c r="D123" s="36" t="n">
        <v>5686.64</v>
      </c>
      <c r="E123" s="36" t="n">
        <v>12288.71</v>
      </c>
      <c r="F123" s="36" t="n">
        <v>17975.35</v>
      </c>
      <c r="G123" s="71">
        <f>IF(F123&gt;0, D123/F123, 0)</f>
        <v/>
      </c>
    </row>
    <row r="124">
      <c r="A124" s="36" t="inlineStr">
        <is>
          <t>2025-05-03</t>
        </is>
      </c>
      <c r="B124" s="36" t="n">
        <v>5</v>
      </c>
      <c r="C124" s="36" t="n">
        <v>6.79</v>
      </c>
      <c r="D124" s="36" t="n">
        <v>4665.65</v>
      </c>
      <c r="E124" s="36" t="n">
        <v>8149.12</v>
      </c>
      <c r="F124" s="36" t="n">
        <v>12814.77</v>
      </c>
      <c r="G124" s="71">
        <f>IF(F124&gt;0, D124/F124, 0)</f>
        <v/>
      </c>
    </row>
    <row r="125">
      <c r="A125" s="36" t="inlineStr">
        <is>
          <t>2025-05-04</t>
        </is>
      </c>
      <c r="B125" s="36" t="n">
        <v>5</v>
      </c>
      <c r="C125" s="36" t="n">
        <v>9.029999999999999</v>
      </c>
      <c r="D125" s="36" t="n">
        <v>13647.6</v>
      </c>
      <c r="E125" s="36" t="n">
        <v>3500.67</v>
      </c>
      <c r="F125" s="36" t="n">
        <v>17148.27</v>
      </c>
      <c r="G125" s="71">
        <f>IF(F125&gt;0, D125/F125, 0)</f>
        <v/>
      </c>
    </row>
    <row r="126">
      <c r="A126" s="36" t="inlineStr">
        <is>
          <t>2025-05-05</t>
        </is>
      </c>
      <c r="B126" s="36" t="n">
        <v>5</v>
      </c>
      <c r="C126" s="36" t="n">
        <v>11.22</v>
      </c>
      <c r="D126" s="36" t="n">
        <v>15097.59</v>
      </c>
      <c r="E126" s="36" t="n">
        <v>6098.06</v>
      </c>
      <c r="F126" s="36" t="n">
        <v>21195.65</v>
      </c>
      <c r="G126" s="71">
        <f>IF(F126&gt;0, D126/F126, 0)</f>
        <v/>
      </c>
    </row>
    <row r="127">
      <c r="A127" s="36" t="inlineStr">
        <is>
          <t>2025-05-06</t>
        </is>
      </c>
      <c r="B127" s="36" t="n">
        <v>5</v>
      </c>
      <c r="C127" s="36" t="n">
        <v>11.6</v>
      </c>
      <c r="D127" s="36" t="n">
        <v>14050</v>
      </c>
      <c r="E127" s="36" t="n">
        <v>7814.5</v>
      </c>
      <c r="F127" s="36" t="n">
        <v>21864.5</v>
      </c>
      <c r="G127" s="71">
        <f>IF(F127&gt;0, D127/F127, 0)</f>
        <v/>
      </c>
    </row>
    <row r="128">
      <c r="A128" s="36" t="inlineStr">
        <is>
          <t>2025-05-07</t>
        </is>
      </c>
      <c r="B128" s="36" t="n">
        <v>5</v>
      </c>
      <c r="C128" s="36" t="n">
        <v>11.17</v>
      </c>
      <c r="D128" s="36" t="n">
        <v>14763.16</v>
      </c>
      <c r="E128" s="36" t="n">
        <v>6360.46</v>
      </c>
      <c r="F128" s="36" t="n">
        <v>21123.62</v>
      </c>
      <c r="G128" s="71">
        <f>IF(F128&gt;0, D128/F128, 0)</f>
        <v/>
      </c>
    </row>
    <row r="129">
      <c r="A129" s="36" t="inlineStr">
        <is>
          <t>2025-05-08</t>
        </is>
      </c>
      <c r="B129" s="36" t="n">
        <v>5</v>
      </c>
      <c r="C129" s="36" t="n">
        <v>9.34</v>
      </c>
      <c r="D129" s="36" t="n">
        <v>9213.799999999999</v>
      </c>
      <c r="E129" s="36" t="n">
        <v>8246.440000000001</v>
      </c>
      <c r="F129" s="36" t="n">
        <v>17460.24</v>
      </c>
      <c r="G129" s="71">
        <f>IF(F129&gt;0, D129/F129, 0)</f>
        <v/>
      </c>
    </row>
    <row r="130">
      <c r="A130" s="36" t="inlineStr">
        <is>
          <t>2025-05-09</t>
        </is>
      </c>
      <c r="B130" s="36" t="n">
        <v>5</v>
      </c>
      <c r="C130" s="36" t="n">
        <v>10.09</v>
      </c>
      <c r="D130" s="36" t="n">
        <v>11331.06</v>
      </c>
      <c r="E130" s="36" t="n">
        <v>7324.82</v>
      </c>
      <c r="F130" s="36" t="n">
        <v>18655.88</v>
      </c>
      <c r="G130" s="71">
        <f>IF(F130&gt;0, D130/F130, 0)</f>
        <v/>
      </c>
    </row>
    <row r="131">
      <c r="A131" s="36" t="inlineStr">
        <is>
          <t>2025-05-10</t>
        </is>
      </c>
      <c r="B131" s="36" t="n">
        <v>5</v>
      </c>
      <c r="C131" s="36" t="n">
        <v>10.46</v>
      </c>
      <c r="D131" s="36" t="n">
        <v>11120.62</v>
      </c>
      <c r="E131" s="36" t="n">
        <v>8514.059999999999</v>
      </c>
      <c r="F131" s="36" t="n">
        <v>19634.68</v>
      </c>
      <c r="G131" s="71">
        <f>IF(F131&gt;0, D131/F131, 0)</f>
        <v/>
      </c>
    </row>
    <row r="132">
      <c r="A132" s="36" t="inlineStr">
        <is>
          <t>2025-05-11</t>
        </is>
      </c>
      <c r="B132" s="36" t="n">
        <v>5</v>
      </c>
      <c r="C132" s="36" t="n">
        <v>7.28</v>
      </c>
      <c r="D132" s="36" t="n">
        <v>5347.18</v>
      </c>
      <c r="E132" s="36" t="n">
        <v>7940.21</v>
      </c>
      <c r="F132" s="36" t="n">
        <v>13287.39</v>
      </c>
      <c r="G132" s="71">
        <f>IF(F132&gt;0, D132/F132, 0)</f>
        <v/>
      </c>
    </row>
    <row r="133">
      <c r="A133" s="36" t="inlineStr">
        <is>
          <t>2025-05-12</t>
        </is>
      </c>
      <c r="B133" s="36" t="n">
        <v>5</v>
      </c>
      <c r="C133" s="36" t="n">
        <v>10.67</v>
      </c>
      <c r="D133" s="36" t="n">
        <v>8863.91</v>
      </c>
      <c r="E133" s="36" t="n">
        <v>11089.02</v>
      </c>
      <c r="F133" s="36" t="n">
        <v>19952.93</v>
      </c>
      <c r="G133" s="71">
        <f>IF(F133&gt;0, D133/F133, 0)</f>
        <v/>
      </c>
    </row>
    <row r="134">
      <c r="A134" s="36" t="inlineStr">
        <is>
          <t>2025-05-13</t>
        </is>
      </c>
      <c r="B134" s="36" t="n">
        <v>5</v>
      </c>
      <c r="C134" s="36" t="n">
        <v>9.51</v>
      </c>
      <c r="D134" s="36" t="n">
        <v>13724.99</v>
      </c>
      <c r="E134" s="36" t="n">
        <v>4242.4</v>
      </c>
      <c r="F134" s="36" t="n">
        <v>17967.39</v>
      </c>
      <c r="G134" s="71">
        <f>IF(F134&gt;0, D134/F134, 0)</f>
        <v/>
      </c>
    </row>
    <row r="135">
      <c r="A135" s="36" t="inlineStr">
        <is>
          <t>2025-05-14</t>
        </is>
      </c>
      <c r="B135" s="36" t="n">
        <v>5</v>
      </c>
      <c r="C135" s="36" t="n">
        <v>9.130000000000001</v>
      </c>
      <c r="D135" s="36" t="n">
        <v>8987.889999999999</v>
      </c>
      <c r="E135" s="36" t="n">
        <v>8282.129999999999</v>
      </c>
      <c r="F135" s="36" t="n">
        <v>17270.02</v>
      </c>
      <c r="G135" s="71">
        <f>IF(F135&gt;0, D135/F135, 0)</f>
        <v/>
      </c>
    </row>
    <row r="136">
      <c r="A136" s="36" t="inlineStr">
        <is>
          <t>2025-05-15</t>
        </is>
      </c>
      <c r="B136" s="36" t="n">
        <v>5</v>
      </c>
      <c r="C136" s="36" t="n">
        <v>11.02</v>
      </c>
      <c r="D136" s="36" t="n">
        <v>11451.21</v>
      </c>
      <c r="E136" s="36" t="n">
        <v>9469.93</v>
      </c>
      <c r="F136" s="36" t="n">
        <v>20921.14</v>
      </c>
      <c r="G136" s="71">
        <f>IF(F136&gt;0, D136/F136, 0)</f>
        <v/>
      </c>
    </row>
    <row r="137">
      <c r="A137" s="36" t="inlineStr">
        <is>
          <t>2025-05-16</t>
        </is>
      </c>
      <c r="B137" s="36" t="n">
        <v>5</v>
      </c>
      <c r="C137" s="36" t="n">
        <v>9.289999999999999</v>
      </c>
      <c r="D137" s="36" t="n">
        <v>9278.67</v>
      </c>
      <c r="E137" s="36" t="n">
        <v>8208.870000000001</v>
      </c>
      <c r="F137" s="36" t="n">
        <v>17487.54</v>
      </c>
      <c r="G137" s="71">
        <f>IF(F137&gt;0, D137/F137, 0)</f>
        <v/>
      </c>
    </row>
    <row r="138">
      <c r="A138" s="36" t="inlineStr">
        <is>
          <t>2025-05-17</t>
        </is>
      </c>
      <c r="B138" s="36" t="n">
        <v>5</v>
      </c>
      <c r="C138" s="36" t="n">
        <v>8.869999999999999</v>
      </c>
      <c r="D138" s="36" t="n">
        <v>10219.09</v>
      </c>
      <c r="E138" s="36" t="n">
        <v>6589.91</v>
      </c>
      <c r="F138" s="36" t="n">
        <v>16809</v>
      </c>
      <c r="G138" s="71">
        <f>IF(F138&gt;0, D138/F138, 0)</f>
        <v/>
      </c>
    </row>
    <row r="139">
      <c r="A139" s="36" t="inlineStr">
        <is>
          <t>2025-05-18</t>
        </is>
      </c>
      <c r="B139" s="36" t="n">
        <v>5</v>
      </c>
      <c r="C139" s="36" t="n">
        <v>9.93</v>
      </c>
      <c r="D139" s="36" t="n">
        <v>17465.26</v>
      </c>
      <c r="E139" s="36" t="n">
        <v>1354.87</v>
      </c>
      <c r="F139" s="36" t="n">
        <v>18820.13</v>
      </c>
      <c r="G139" s="71">
        <f>IF(F139&gt;0, D139/F139, 0)</f>
        <v/>
      </c>
    </row>
    <row r="140">
      <c r="A140" s="36" t="inlineStr">
        <is>
          <t>2025-05-19</t>
        </is>
      </c>
      <c r="B140" s="36" t="n">
        <v>5</v>
      </c>
      <c r="C140" s="36" t="n">
        <v>12.15</v>
      </c>
      <c r="D140" s="36" t="n">
        <v>13914.01</v>
      </c>
      <c r="E140" s="36" t="n">
        <v>9088.040000000001</v>
      </c>
      <c r="F140" s="36" t="n">
        <v>23002.05</v>
      </c>
      <c r="G140" s="71">
        <f>IF(F140&gt;0, D140/F140, 0)</f>
        <v/>
      </c>
    </row>
    <row r="141">
      <c r="A141" s="36" t="inlineStr">
        <is>
          <t>2025-05-20</t>
        </is>
      </c>
      <c r="B141" s="36" t="n">
        <v>5</v>
      </c>
      <c r="C141" s="36" t="n">
        <v>10.24</v>
      </c>
      <c r="D141" s="36" t="n">
        <v>7505.4</v>
      </c>
      <c r="E141" s="36" t="n">
        <v>11750.18</v>
      </c>
      <c r="F141" s="36" t="n">
        <v>19255.58</v>
      </c>
      <c r="G141" s="71">
        <f>IF(F141&gt;0, D141/F141, 0)</f>
        <v/>
      </c>
    </row>
    <row r="142">
      <c r="A142" s="36" t="inlineStr">
        <is>
          <t>2025-05-21</t>
        </is>
      </c>
      <c r="B142" s="36" t="n">
        <v>5</v>
      </c>
      <c r="C142" s="36" t="n">
        <v>12.06</v>
      </c>
      <c r="D142" s="36" t="n">
        <v>11044.85</v>
      </c>
      <c r="E142" s="36" t="n">
        <v>11520.23</v>
      </c>
      <c r="F142" s="36" t="n">
        <v>22565.08</v>
      </c>
      <c r="G142" s="71">
        <f>IF(F142&gt;0, D142/F142, 0)</f>
        <v/>
      </c>
    </row>
    <row r="143">
      <c r="A143" s="36" t="inlineStr">
        <is>
          <t>2025-05-22</t>
        </is>
      </c>
      <c r="B143" s="36" t="n">
        <v>5</v>
      </c>
      <c r="C143" s="36" t="n">
        <v>10.11</v>
      </c>
      <c r="D143" s="36" t="n">
        <v>7197.97</v>
      </c>
      <c r="E143" s="36" t="n">
        <v>11807.48</v>
      </c>
      <c r="F143" s="36" t="n">
        <v>19005.45</v>
      </c>
      <c r="G143" s="71">
        <f>IF(F143&gt;0, D143/F143, 0)</f>
        <v/>
      </c>
    </row>
    <row r="144">
      <c r="A144" s="36" t="inlineStr">
        <is>
          <t>2025-05-23</t>
        </is>
      </c>
      <c r="B144" s="36" t="n">
        <v>5</v>
      </c>
      <c r="C144" s="36" t="n">
        <v>11.45</v>
      </c>
      <c r="D144" s="36" t="n">
        <v>8164.62</v>
      </c>
      <c r="E144" s="36" t="n">
        <v>13385.25</v>
      </c>
      <c r="F144" s="36" t="n">
        <v>21549.87</v>
      </c>
      <c r="G144" s="71">
        <f>IF(F144&gt;0, D144/F144, 0)</f>
        <v/>
      </c>
    </row>
    <row r="145">
      <c r="A145" s="36" t="inlineStr">
        <is>
          <t>2025-05-24</t>
        </is>
      </c>
      <c r="B145" s="36" t="n">
        <v>5</v>
      </c>
      <c r="C145" s="36" t="n">
        <v>12</v>
      </c>
      <c r="D145" s="36" t="n">
        <v>10859.71</v>
      </c>
      <c r="E145" s="36" t="n">
        <v>11844.74</v>
      </c>
      <c r="F145" s="36" t="n">
        <v>22704.45</v>
      </c>
      <c r="G145" s="71">
        <f>IF(F145&gt;0, D145/F145, 0)</f>
        <v/>
      </c>
    </row>
    <row r="146">
      <c r="A146" s="36" t="inlineStr">
        <is>
          <t>2025-05-25</t>
        </is>
      </c>
      <c r="B146" s="36" t="n">
        <v>5</v>
      </c>
      <c r="C146" s="36" t="n">
        <v>11.41</v>
      </c>
      <c r="D146" s="36" t="n">
        <v>11417.16</v>
      </c>
      <c r="E146" s="36" t="n">
        <v>10015.05</v>
      </c>
      <c r="F146" s="36" t="n">
        <v>21432.21</v>
      </c>
      <c r="G146" s="71">
        <f>IF(F146&gt;0, D146/F146, 0)</f>
        <v/>
      </c>
    </row>
    <row r="147">
      <c r="A147" s="36" t="inlineStr">
        <is>
          <t>2025-05-26</t>
        </is>
      </c>
      <c r="B147" s="36" t="n">
        <v>5</v>
      </c>
      <c r="C147" s="36" t="n">
        <v>7.53</v>
      </c>
      <c r="D147" s="36" t="n">
        <v>4466.34</v>
      </c>
      <c r="E147" s="36" t="n">
        <v>9694.459999999999</v>
      </c>
      <c r="F147" s="36" t="n">
        <v>14160.8</v>
      </c>
      <c r="G147" s="71">
        <f>IF(F147&gt;0, D147/F147, 0)</f>
        <v/>
      </c>
    </row>
    <row r="148">
      <c r="A148" s="36" t="inlineStr">
        <is>
          <t>2025-05-27</t>
        </is>
      </c>
      <c r="B148" s="36" t="n">
        <v>5</v>
      </c>
      <c r="C148" s="36" t="n">
        <v>11.06</v>
      </c>
      <c r="D148" s="36" t="n">
        <v>5324.59</v>
      </c>
      <c r="E148" s="36" t="n">
        <v>15447.43</v>
      </c>
      <c r="F148" s="36" t="n">
        <v>20772.02</v>
      </c>
      <c r="G148" s="71">
        <f>IF(F148&gt;0, D148/F148, 0)</f>
        <v/>
      </c>
    </row>
    <row r="149">
      <c r="A149" s="36" t="inlineStr">
        <is>
          <t>2025-05-28</t>
        </is>
      </c>
      <c r="B149" s="36" t="n">
        <v>5</v>
      </c>
      <c r="C149" s="36" t="n">
        <v>11.16</v>
      </c>
      <c r="D149" s="36" t="n">
        <v>5414.37</v>
      </c>
      <c r="E149" s="36" t="n">
        <v>15811.15</v>
      </c>
      <c r="F149" s="36" t="n">
        <v>21225.52</v>
      </c>
      <c r="G149" s="71">
        <f>IF(F149&gt;0, D149/F149, 0)</f>
        <v/>
      </c>
    </row>
    <row r="150">
      <c r="A150" s="36" t="inlineStr">
        <is>
          <t>2025-05-29</t>
        </is>
      </c>
      <c r="B150" s="36" t="n">
        <v>5</v>
      </c>
      <c r="C150" s="36" t="n">
        <v>9.210000000000001</v>
      </c>
      <c r="D150" s="36" t="n">
        <v>3185.94</v>
      </c>
      <c r="E150" s="36" t="n">
        <v>14198.43</v>
      </c>
      <c r="F150" s="36" t="n">
        <v>17384.37</v>
      </c>
      <c r="G150" s="71">
        <f>IF(F150&gt;0, D150/F150, 0)</f>
        <v/>
      </c>
    </row>
    <row r="151">
      <c r="A151" s="36" t="inlineStr">
        <is>
          <t>2025-05-30</t>
        </is>
      </c>
      <c r="B151" s="36" t="n">
        <v>5</v>
      </c>
      <c r="C151" s="36" t="n">
        <v>12.21</v>
      </c>
      <c r="D151" s="36" t="n">
        <v>6616.03</v>
      </c>
      <c r="E151" s="36" t="n">
        <v>16519.91</v>
      </c>
      <c r="F151" s="36" t="n">
        <v>23135.94</v>
      </c>
      <c r="G151" s="71">
        <f>IF(F151&gt;0, D151/F151, 0)</f>
        <v/>
      </c>
    </row>
    <row r="152">
      <c r="A152" s="36" t="inlineStr">
        <is>
          <t>2025-05-31</t>
        </is>
      </c>
      <c r="B152" s="36" t="n">
        <v>5</v>
      </c>
      <c r="C152" s="36" t="n">
        <v>9.880000000000001</v>
      </c>
      <c r="D152" s="36" t="n">
        <v>6138</v>
      </c>
      <c r="E152" s="36" t="n">
        <v>12541.67</v>
      </c>
      <c r="F152" s="36" t="n">
        <v>18679.67</v>
      </c>
      <c r="G152" s="71">
        <f>IF(F152&gt;0, D152/F152, 0)</f>
        <v/>
      </c>
    </row>
    <row r="153">
      <c r="A153" s="36" t="inlineStr">
        <is>
          <t>2025-06-01</t>
        </is>
      </c>
      <c r="B153" s="36" t="n">
        <v>6</v>
      </c>
      <c r="C153" s="36" t="n">
        <v>12.42</v>
      </c>
      <c r="D153" s="36" t="n">
        <v>14544.92</v>
      </c>
      <c r="E153" s="36" t="n">
        <v>4316.8</v>
      </c>
      <c r="F153" s="36" t="n">
        <v>18861.72</v>
      </c>
      <c r="G153" s="71">
        <f>IF(F153&gt;0, D153/F153, 0)</f>
        <v/>
      </c>
    </row>
    <row r="154">
      <c r="A154" s="36" t="inlineStr">
        <is>
          <t>2025-06-02</t>
        </is>
      </c>
      <c r="B154" s="36" t="n">
        <v>6</v>
      </c>
      <c r="C154" s="36" t="n">
        <v>13.33</v>
      </c>
      <c r="D154" s="36" t="n">
        <v>9430.879999999999</v>
      </c>
      <c r="E154" s="36" t="n">
        <v>11184.74</v>
      </c>
      <c r="F154" s="36" t="n">
        <v>20615.62</v>
      </c>
      <c r="G154" s="71">
        <f>IF(F154&gt;0, D154/F154, 0)</f>
        <v/>
      </c>
    </row>
    <row r="155">
      <c r="A155" s="36" t="inlineStr">
        <is>
          <t>2025-06-03</t>
        </is>
      </c>
      <c r="B155" s="36" t="n">
        <v>6</v>
      </c>
      <c r="C155" s="36" t="n">
        <v>13.5</v>
      </c>
      <c r="D155" s="36" t="n">
        <v>9121.469999999999</v>
      </c>
      <c r="E155" s="36" t="n">
        <v>13646.77</v>
      </c>
      <c r="F155" s="36" t="n">
        <v>22768.24</v>
      </c>
      <c r="G155" s="71">
        <f>IF(F155&gt;0, D155/F155, 0)</f>
        <v/>
      </c>
    </row>
    <row r="156">
      <c r="A156" s="36" t="inlineStr">
        <is>
          <t>2025-06-04</t>
        </is>
      </c>
      <c r="B156" s="36" t="n">
        <v>6</v>
      </c>
      <c r="C156" s="36" t="n">
        <v>13.25</v>
      </c>
      <c r="D156" s="36" t="n">
        <v>9540.709999999999</v>
      </c>
      <c r="E156" s="36" t="n">
        <v>12995.97</v>
      </c>
      <c r="F156" s="36" t="n">
        <v>22536.68</v>
      </c>
      <c r="G156" s="71">
        <f>IF(F156&gt;0, D156/F156, 0)</f>
        <v/>
      </c>
    </row>
    <row r="157">
      <c r="A157" s="36" t="inlineStr">
        <is>
          <t>2025-06-05</t>
        </is>
      </c>
      <c r="B157" s="36" t="n">
        <v>6</v>
      </c>
      <c r="C157" s="36" t="n">
        <v>13.42</v>
      </c>
      <c r="D157" s="36" t="n">
        <v>7976.33</v>
      </c>
      <c r="E157" s="36" t="n">
        <v>14581.79</v>
      </c>
      <c r="F157" s="36" t="n">
        <v>22558.12</v>
      </c>
      <c r="G157" s="71">
        <f>IF(F157&gt;0, D157/F157, 0)</f>
        <v/>
      </c>
    </row>
    <row r="158">
      <c r="A158" s="36" t="inlineStr">
        <is>
          <t>2025-06-06</t>
        </is>
      </c>
      <c r="B158" s="36" t="n">
        <v>6</v>
      </c>
      <c r="C158" s="36" t="n">
        <v>13.33</v>
      </c>
      <c r="D158" s="36" t="n">
        <v>8095.87</v>
      </c>
      <c r="E158" s="36" t="n">
        <v>13913.74</v>
      </c>
      <c r="F158" s="36" t="n">
        <v>22009.61</v>
      </c>
      <c r="G158" s="71">
        <f>IF(F158&gt;0, D158/F158, 0)</f>
        <v/>
      </c>
    </row>
    <row r="159">
      <c r="A159" s="36" t="inlineStr">
        <is>
          <t>2025-06-07</t>
        </is>
      </c>
      <c r="B159" s="36" t="n">
        <v>6</v>
      </c>
      <c r="C159" s="36" t="n">
        <v>13.42</v>
      </c>
      <c r="D159" s="36" t="n">
        <v>11347.78</v>
      </c>
      <c r="E159" s="36" t="n">
        <v>11284.06</v>
      </c>
      <c r="F159" s="36" t="n">
        <v>22631.84</v>
      </c>
      <c r="G159" s="71">
        <f>IF(F159&gt;0, D159/F159, 0)</f>
        <v/>
      </c>
    </row>
    <row r="160">
      <c r="A160" s="36" t="inlineStr">
        <is>
          <t>2025-06-08</t>
        </is>
      </c>
      <c r="B160" s="36" t="n">
        <v>6</v>
      </c>
      <c r="C160" s="36" t="n">
        <v>13</v>
      </c>
      <c r="D160" s="36" t="n">
        <v>15300.47</v>
      </c>
      <c r="E160" s="36" t="n">
        <v>6320.93</v>
      </c>
      <c r="F160" s="36" t="n">
        <v>21621.4</v>
      </c>
      <c r="G160" s="71">
        <f>IF(F160&gt;0, D160/F160, 0)</f>
        <v/>
      </c>
    </row>
    <row r="161">
      <c r="A161" s="36" t="inlineStr">
        <is>
          <t>2025-06-09</t>
        </is>
      </c>
      <c r="B161" s="36" t="n">
        <v>6</v>
      </c>
      <c r="C161" s="36" t="n">
        <v>13.17</v>
      </c>
      <c r="D161" s="36" t="n">
        <v>16179.99</v>
      </c>
      <c r="E161" s="36" t="n">
        <v>5434.52</v>
      </c>
      <c r="F161" s="36" t="n">
        <v>21614.51</v>
      </c>
      <c r="G161" s="71">
        <f>IF(F161&gt;0, D161/F161, 0)</f>
        <v/>
      </c>
    </row>
    <row r="162">
      <c r="A162" s="36" t="inlineStr">
        <is>
          <t>2025-06-10</t>
        </is>
      </c>
      <c r="B162" s="36" t="n">
        <v>6</v>
      </c>
      <c r="C162" s="36" t="n">
        <v>13</v>
      </c>
      <c r="D162" s="36" t="n">
        <v>4898.95</v>
      </c>
      <c r="E162" s="36" t="n">
        <v>16095.14</v>
      </c>
      <c r="F162" s="36" t="n">
        <v>20994.09</v>
      </c>
      <c r="G162" s="71">
        <f>IF(F162&gt;0, D162/F162, 0)</f>
        <v/>
      </c>
    </row>
    <row r="163">
      <c r="A163" s="36" t="inlineStr">
        <is>
          <t>2025-06-11</t>
        </is>
      </c>
      <c r="B163" s="36" t="n">
        <v>6</v>
      </c>
      <c r="C163" s="36" t="n">
        <v>13.33</v>
      </c>
      <c r="D163" s="36" t="n">
        <v>1811.66</v>
      </c>
      <c r="E163" s="36" t="n">
        <v>18547.23</v>
      </c>
      <c r="F163" s="36" t="n">
        <v>20358.89</v>
      </c>
      <c r="G163" s="71">
        <f>IF(F163&gt;0, D163/F163, 0)</f>
        <v/>
      </c>
    </row>
    <row r="164">
      <c r="A164" s="36" t="inlineStr">
        <is>
          <t>2025-06-12</t>
        </is>
      </c>
      <c r="B164" s="36" t="n">
        <v>6</v>
      </c>
      <c r="C164" s="36" t="n">
        <v>13.33</v>
      </c>
      <c r="D164" s="36" t="n">
        <v>8569.74</v>
      </c>
      <c r="E164" s="36" t="n">
        <v>10831.53</v>
      </c>
      <c r="F164" s="36" t="n">
        <v>19401.27</v>
      </c>
      <c r="G164" s="71">
        <f>IF(F164&gt;0, D164/F164, 0)</f>
        <v/>
      </c>
    </row>
    <row r="165">
      <c r="A165" s="36" t="inlineStr">
        <is>
          <t>2025-06-13</t>
        </is>
      </c>
      <c r="B165" s="36" t="n">
        <v>6</v>
      </c>
      <c r="C165" s="36" t="n">
        <v>13.33</v>
      </c>
      <c r="D165" s="36" t="n">
        <v>0</v>
      </c>
      <c r="E165" s="36" t="n">
        <v>0</v>
      </c>
      <c r="F165" s="36" t="n">
        <v>0</v>
      </c>
      <c r="G165" s="71">
        <f>IF(F165&gt;0, D165/F165, 0)</f>
        <v/>
      </c>
    </row>
    <row r="166">
      <c r="A166" s="36" t="inlineStr">
        <is>
          <t>2025-06-14</t>
        </is>
      </c>
      <c r="B166" s="36" t="n">
        <v>6</v>
      </c>
      <c r="C166" s="36" t="n">
        <v>13.08</v>
      </c>
      <c r="D166" s="36" t="n">
        <v>6950.63</v>
      </c>
      <c r="E166" s="36" t="n">
        <v>15183.37</v>
      </c>
      <c r="F166" s="36" t="n">
        <v>22134</v>
      </c>
      <c r="G166" s="71">
        <f>IF(F166&gt;0, D166/F166, 0)</f>
        <v/>
      </c>
    </row>
    <row r="167">
      <c r="A167" s="36" t="inlineStr">
        <is>
          <t>2025-06-15</t>
        </is>
      </c>
      <c r="B167" s="36" t="n">
        <v>6</v>
      </c>
      <c r="C167" s="36" t="n">
        <v>13</v>
      </c>
      <c r="D167" s="36" t="n">
        <v>8163.4</v>
      </c>
      <c r="E167" s="36" t="n">
        <v>10481.74</v>
      </c>
      <c r="F167" s="36" t="n">
        <v>18645.14</v>
      </c>
      <c r="G167" s="71">
        <f>IF(F167&gt;0, D167/F167, 0)</f>
        <v/>
      </c>
    </row>
    <row r="168">
      <c r="A168" s="36" t="inlineStr">
        <is>
          <t>2025-06-16</t>
        </is>
      </c>
      <c r="B168" s="36" t="n">
        <v>6</v>
      </c>
      <c r="C168" s="36" t="n">
        <v>12.75</v>
      </c>
      <c r="D168" s="36" t="n">
        <v>1418.47</v>
      </c>
      <c r="E168" s="36" t="n">
        <v>16343.97</v>
      </c>
      <c r="F168" s="36" t="n">
        <v>17762.44</v>
      </c>
      <c r="G168" s="71">
        <f>IF(F168&gt;0, D168/F168, 0)</f>
        <v/>
      </c>
    </row>
    <row r="169">
      <c r="A169" s="36" t="inlineStr">
        <is>
          <t>2025-06-17</t>
        </is>
      </c>
      <c r="B169" s="36" t="n">
        <v>6</v>
      </c>
      <c r="C169" s="36" t="n">
        <v>13.5</v>
      </c>
      <c r="D169" s="36" t="n">
        <v>13746.71</v>
      </c>
      <c r="E169" s="36" t="n">
        <v>8780.26</v>
      </c>
      <c r="F169" s="36" t="n">
        <v>22526.97</v>
      </c>
      <c r="G169" s="71">
        <f>IF(F169&gt;0, D169/F169, 0)</f>
        <v/>
      </c>
    </row>
    <row r="170">
      <c r="A170" s="36" t="inlineStr">
        <is>
          <t>2025-06-18</t>
        </is>
      </c>
      <c r="B170" s="36" t="n">
        <v>6</v>
      </c>
      <c r="C170" s="36" t="n">
        <v>13.5</v>
      </c>
      <c r="D170" s="36" t="n">
        <v>5742.61</v>
      </c>
      <c r="E170" s="36" t="n">
        <v>17351.97</v>
      </c>
      <c r="F170" s="36" t="n">
        <v>23094.58</v>
      </c>
      <c r="G170" s="71">
        <f>IF(F170&gt;0, D170/F170, 0)</f>
        <v/>
      </c>
    </row>
    <row r="171">
      <c r="A171" s="36" t="inlineStr">
        <is>
          <t>2025-06-19</t>
        </is>
      </c>
      <c r="B171" s="36" t="n">
        <v>6</v>
      </c>
      <c r="C171" s="36" t="n">
        <v>13.5</v>
      </c>
      <c r="D171" s="36" t="n">
        <v>2689.15</v>
      </c>
      <c r="E171" s="36" t="n">
        <v>19861.54</v>
      </c>
      <c r="F171" s="36" t="n">
        <v>22550.69</v>
      </c>
      <c r="G171" s="71">
        <f>IF(F171&gt;0, D171/F171, 0)</f>
        <v/>
      </c>
    </row>
    <row r="172">
      <c r="A172" s="36" t="inlineStr">
        <is>
          <t>2025-06-20</t>
        </is>
      </c>
      <c r="B172" s="36" t="n">
        <v>6</v>
      </c>
      <c r="C172" s="36" t="n">
        <v>13.5</v>
      </c>
      <c r="D172" s="36" t="n">
        <v>1098.11</v>
      </c>
      <c r="E172" s="36" t="n">
        <v>20913.49</v>
      </c>
      <c r="F172" s="36" t="n">
        <v>22011.6</v>
      </c>
      <c r="G172" s="71">
        <f>IF(F172&gt;0, D172/F172, 0)</f>
        <v/>
      </c>
    </row>
    <row r="173">
      <c r="A173" s="36" t="inlineStr">
        <is>
          <t>2025-06-21</t>
        </is>
      </c>
      <c r="B173" s="36" t="n">
        <v>6</v>
      </c>
      <c r="C173" s="36" t="n">
        <v>13.42</v>
      </c>
      <c r="D173" s="36" t="n">
        <v>3954.85</v>
      </c>
      <c r="E173" s="36" t="n">
        <v>17973.59</v>
      </c>
      <c r="F173" s="36" t="n">
        <v>21928.44</v>
      </c>
      <c r="G173" s="71">
        <f>IF(F173&gt;0, D173/F173, 0)</f>
        <v/>
      </c>
    </row>
    <row r="174">
      <c r="A174" s="36" t="inlineStr">
        <is>
          <t>2025-06-22</t>
        </is>
      </c>
      <c r="B174" s="36" t="n">
        <v>6</v>
      </c>
      <c r="C174" s="36" t="n">
        <v>13.08</v>
      </c>
      <c r="D174" s="36" t="n">
        <v>9024.469999999999</v>
      </c>
      <c r="E174" s="36" t="n">
        <v>13149.76</v>
      </c>
      <c r="F174" s="36" t="n">
        <v>22174.23</v>
      </c>
      <c r="G174" s="71">
        <f>IF(F174&gt;0, D174/F174, 0)</f>
        <v/>
      </c>
    </row>
    <row r="175">
      <c r="A175" s="36" t="inlineStr">
        <is>
          <t>2025-06-23</t>
        </is>
      </c>
      <c r="B175" s="36" t="n">
        <v>6</v>
      </c>
      <c r="C175" s="36" t="n">
        <v>13.42</v>
      </c>
      <c r="D175" s="36" t="n">
        <v>658.25</v>
      </c>
      <c r="E175" s="36" t="n">
        <v>20618.65</v>
      </c>
      <c r="F175" s="36" t="n">
        <v>21276.91</v>
      </c>
      <c r="G175" s="71">
        <f>IF(F175&gt;0, D175/F175, 0)</f>
        <v/>
      </c>
    </row>
    <row r="176">
      <c r="A176" s="36" t="inlineStr">
        <is>
          <t>2025-06-24</t>
        </is>
      </c>
      <c r="B176" s="36" t="n">
        <v>6</v>
      </c>
      <c r="C176" s="36" t="n">
        <v>13.58</v>
      </c>
      <c r="D176" s="36" t="n">
        <v>1323.68</v>
      </c>
      <c r="E176" s="36" t="n">
        <v>21163.74</v>
      </c>
      <c r="F176" s="36" t="n">
        <v>22487.42</v>
      </c>
      <c r="G176" s="71">
        <f>IF(F176&gt;0, D176/F176, 0)</f>
        <v/>
      </c>
    </row>
    <row r="177">
      <c r="A177" s="36" t="inlineStr">
        <is>
          <t>2025-06-25</t>
        </is>
      </c>
      <c r="B177" s="36" t="n">
        <v>6</v>
      </c>
      <c r="C177" s="36" t="n">
        <v>13.58</v>
      </c>
      <c r="D177" s="36" t="n">
        <v>982.88</v>
      </c>
      <c r="E177" s="36" t="n">
        <v>21563.03</v>
      </c>
      <c r="F177" s="36" t="n">
        <v>22545.91</v>
      </c>
      <c r="G177" s="71">
        <f>IF(F177&gt;0, D177/F177, 0)</f>
        <v/>
      </c>
    </row>
    <row r="178">
      <c r="A178" s="36" t="inlineStr">
        <is>
          <t>2025-06-26</t>
        </is>
      </c>
      <c r="B178" s="36" t="n">
        <v>6</v>
      </c>
      <c r="C178" s="36" t="n">
        <v>13.5</v>
      </c>
      <c r="D178" s="36" t="n">
        <v>1016.77</v>
      </c>
      <c r="E178" s="36" t="n">
        <v>20848.19</v>
      </c>
      <c r="F178" s="36" t="n">
        <v>21864.96</v>
      </c>
      <c r="G178" s="71">
        <f>IF(F178&gt;0, D178/F178, 0)</f>
        <v/>
      </c>
    </row>
    <row r="179">
      <c r="A179" s="36" t="inlineStr">
        <is>
          <t>2025-06-27</t>
        </is>
      </c>
      <c r="B179" s="36" t="n">
        <v>6</v>
      </c>
      <c r="C179" s="36" t="n">
        <v>13.25</v>
      </c>
      <c r="D179" s="36" t="n">
        <v>736.38</v>
      </c>
      <c r="E179" s="36" t="n">
        <v>18150.95</v>
      </c>
      <c r="F179" s="36" t="n">
        <v>18887.33</v>
      </c>
      <c r="G179" s="71">
        <f>IF(F179&gt;0, D179/F179, 0)</f>
        <v/>
      </c>
    </row>
    <row r="180">
      <c r="A180" s="36" t="inlineStr">
        <is>
          <t>2025-06-28</t>
        </is>
      </c>
      <c r="B180" s="36" t="n">
        <v>6</v>
      </c>
      <c r="C180" s="36" t="n">
        <v>12.83</v>
      </c>
      <c r="D180" s="36" t="n">
        <v>2521.65</v>
      </c>
      <c r="E180" s="36" t="n">
        <v>18607.94</v>
      </c>
      <c r="F180" s="36" t="n">
        <v>21129.59</v>
      </c>
      <c r="G180" s="71">
        <f>IF(F180&gt;0, D180/F180, 0)</f>
        <v/>
      </c>
    </row>
    <row r="181">
      <c r="A181" s="36" t="inlineStr">
        <is>
          <t>2025-06-29</t>
        </is>
      </c>
      <c r="B181" s="36" t="n">
        <v>6</v>
      </c>
      <c r="C181" s="36" t="n">
        <v>13.5</v>
      </c>
      <c r="D181" s="36" t="n">
        <v>7408.65</v>
      </c>
      <c r="E181" s="36" t="n">
        <v>14478.62</v>
      </c>
      <c r="F181" s="36" t="n">
        <v>21887.27</v>
      </c>
      <c r="G181" s="71">
        <f>IF(F181&gt;0, D181/F181, 0)</f>
        <v/>
      </c>
    </row>
    <row r="182">
      <c r="A182" s="36" t="inlineStr">
        <is>
          <t>2025-06-30</t>
        </is>
      </c>
      <c r="B182" s="36" t="n">
        <v>6</v>
      </c>
      <c r="C182" s="36" t="n">
        <v>13.5</v>
      </c>
      <c r="D182" s="36" t="n">
        <v>4050.92</v>
      </c>
      <c r="E182" s="36" t="n">
        <v>18071.97</v>
      </c>
      <c r="F182" s="36" t="n">
        <v>22122.89</v>
      </c>
      <c r="G182" s="71">
        <f>IF(F182&gt;0, D182/F182, 0)</f>
        <v/>
      </c>
    </row>
    <row r="183">
      <c r="A183" s="36" t="inlineStr">
        <is>
          <t>2025-07-01</t>
        </is>
      </c>
      <c r="B183" s="36" t="n">
        <v>7</v>
      </c>
      <c r="C183" s="36" t="n">
        <v>13.58</v>
      </c>
      <c r="D183" s="36" t="n">
        <v>10650.21</v>
      </c>
      <c r="E183" s="36" t="n">
        <v>11981.93</v>
      </c>
      <c r="F183" s="36" t="n">
        <v>22632.14</v>
      </c>
      <c r="G183" s="71">
        <f>IF(F183&gt;0, D183/F183, 0)</f>
        <v/>
      </c>
    </row>
    <row r="184">
      <c r="A184" s="36" t="inlineStr">
        <is>
          <t>2025-07-02</t>
        </is>
      </c>
      <c r="B184" s="36" t="n">
        <v>7</v>
      </c>
      <c r="C184" s="36" t="n">
        <v>13.5</v>
      </c>
      <c r="D184" s="36" t="n">
        <v>6930.68</v>
      </c>
      <c r="E184" s="36" t="n">
        <v>15221.4</v>
      </c>
      <c r="F184" s="36" t="n">
        <v>22152.08</v>
      </c>
      <c r="G184" s="71">
        <f>IF(F184&gt;0, D184/F184, 0)</f>
        <v/>
      </c>
    </row>
    <row r="185">
      <c r="A185" s="36" t="inlineStr">
        <is>
          <t>2025-07-03</t>
        </is>
      </c>
      <c r="B185" s="36" t="n">
        <v>7</v>
      </c>
      <c r="C185" s="36" t="n">
        <v>13.5</v>
      </c>
      <c r="D185" s="36" t="n">
        <v>3989.03</v>
      </c>
      <c r="E185" s="36" t="n">
        <v>18304.97</v>
      </c>
      <c r="F185" s="36" t="n">
        <v>22294</v>
      </c>
      <c r="G185" s="71">
        <f>IF(F185&gt;0, D185/F185, 0)</f>
        <v/>
      </c>
    </row>
    <row r="186">
      <c r="A186" s="36" t="inlineStr">
        <is>
          <t>2025-07-04</t>
        </is>
      </c>
      <c r="B186" s="36" t="n">
        <v>7</v>
      </c>
      <c r="C186" s="36" t="n">
        <v>13.58</v>
      </c>
      <c r="D186" s="36" t="n">
        <v>8245.73</v>
      </c>
      <c r="E186" s="36" t="n">
        <v>14913.38</v>
      </c>
      <c r="F186" s="36" t="n">
        <v>23159.11</v>
      </c>
      <c r="G186" s="71">
        <f>IF(F186&gt;0, D186/F186, 0)</f>
        <v/>
      </c>
    </row>
    <row r="187">
      <c r="A187" s="36" t="inlineStr">
        <is>
          <t>2025-07-05</t>
        </is>
      </c>
      <c r="B187" s="36" t="n">
        <v>7</v>
      </c>
      <c r="C187" s="36" t="n">
        <v>13.5</v>
      </c>
      <c r="D187" s="36" t="n">
        <v>10639.98</v>
      </c>
      <c r="E187" s="36" t="n">
        <v>12702.5</v>
      </c>
      <c r="F187" s="36" t="n">
        <v>23342.48</v>
      </c>
      <c r="G187" s="71">
        <f>IF(F187&gt;0, D187/F187, 0)</f>
        <v/>
      </c>
    </row>
    <row r="188">
      <c r="A188" s="36" t="inlineStr">
        <is>
          <t>2025-07-06</t>
        </is>
      </c>
      <c r="B188" s="36" t="n">
        <v>7</v>
      </c>
      <c r="C188" s="36" t="n">
        <v>13.5</v>
      </c>
      <c r="D188" s="36" t="n">
        <v>11000.45</v>
      </c>
      <c r="E188" s="36" t="n">
        <v>12148.92</v>
      </c>
      <c r="F188" s="36" t="n">
        <v>23149.38</v>
      </c>
      <c r="G188" s="71">
        <f>IF(F188&gt;0, D188/F188, 0)</f>
        <v/>
      </c>
    </row>
    <row r="189">
      <c r="A189" s="36" t="inlineStr">
        <is>
          <t>2025-07-07</t>
        </is>
      </c>
      <c r="B189" s="36" t="n">
        <v>7</v>
      </c>
      <c r="C189" s="36" t="n">
        <v>13.67</v>
      </c>
      <c r="D189" s="36" t="n">
        <v>1667.58</v>
      </c>
      <c r="E189" s="36" t="n">
        <v>20285.12</v>
      </c>
      <c r="F189" s="36" t="n">
        <v>21952.7</v>
      </c>
      <c r="G189" s="71">
        <f>IF(F189&gt;0, D189/F189, 0)</f>
        <v/>
      </c>
    </row>
    <row r="190">
      <c r="A190" s="36" t="inlineStr">
        <is>
          <t>2025-07-08</t>
        </is>
      </c>
      <c r="B190" s="36" t="n">
        <v>7</v>
      </c>
      <c r="C190" s="36" t="n">
        <v>13.58</v>
      </c>
      <c r="D190" s="36" t="n">
        <v>410.28</v>
      </c>
      <c r="E190" s="36" t="n">
        <v>20834.41</v>
      </c>
      <c r="F190" s="36" t="n">
        <v>21244.69</v>
      </c>
      <c r="G190" s="71">
        <f>IF(F190&gt;0, D190/F190, 0)</f>
        <v/>
      </c>
    </row>
    <row r="191">
      <c r="A191" s="36" t="inlineStr">
        <is>
          <t>2025-07-09</t>
        </is>
      </c>
      <c r="B191" s="36" t="n">
        <v>7</v>
      </c>
      <c r="C191" s="36" t="n">
        <v>13.33</v>
      </c>
      <c r="D191" s="36" t="n">
        <v>2523.18</v>
      </c>
      <c r="E191" s="36" t="n">
        <v>18989.24</v>
      </c>
      <c r="F191" s="36" t="n">
        <v>21512.42</v>
      </c>
      <c r="G191" s="71">
        <f>IF(F191&gt;0, D191/F191, 0)</f>
        <v/>
      </c>
    </row>
    <row r="192">
      <c r="A192" s="36" t="inlineStr">
        <is>
          <t>2025-07-10</t>
        </is>
      </c>
      <c r="B192" s="36" t="n">
        <v>7</v>
      </c>
      <c r="C192" s="36" t="n">
        <v>13.08</v>
      </c>
      <c r="D192" s="36" t="n">
        <v>235.35</v>
      </c>
      <c r="E192" s="36" t="n">
        <v>19971.21</v>
      </c>
      <c r="F192" s="36" t="n">
        <v>20206.56</v>
      </c>
      <c r="G192" s="71">
        <f>IF(F192&gt;0, D192/F192, 0)</f>
        <v/>
      </c>
    </row>
    <row r="193">
      <c r="A193" s="36" t="inlineStr">
        <is>
          <t>2025-07-11</t>
        </is>
      </c>
      <c r="B193" s="36" t="n">
        <v>7</v>
      </c>
      <c r="C193" s="36" t="n">
        <v>13.17</v>
      </c>
      <c r="D193" s="36" t="n">
        <v>1561.41</v>
      </c>
      <c r="E193" s="36" t="n">
        <v>16325.32</v>
      </c>
      <c r="F193" s="36" t="n">
        <v>17886.73</v>
      </c>
      <c r="G193" s="71">
        <f>IF(F193&gt;0, D193/F193, 0)</f>
        <v/>
      </c>
    </row>
    <row r="194">
      <c r="A194" s="36" t="inlineStr">
        <is>
          <t>2025-07-12</t>
        </is>
      </c>
      <c r="B194" s="36" t="n">
        <v>7</v>
      </c>
      <c r="C194" s="36" t="n">
        <v>13.17</v>
      </c>
      <c r="D194" s="36" t="n">
        <v>5670.59</v>
      </c>
      <c r="E194" s="36" t="n">
        <v>4290.19</v>
      </c>
      <c r="F194" s="36" t="n">
        <v>9960.780000000001</v>
      </c>
      <c r="G194" s="71">
        <f>IF(F194&gt;0, D194/F194, 0)</f>
        <v/>
      </c>
    </row>
    <row r="195">
      <c r="A195" s="36" t="inlineStr">
        <is>
          <t>2025-07-13</t>
        </is>
      </c>
      <c r="B195" s="36" t="n">
        <v>7</v>
      </c>
      <c r="C195" s="36" t="n">
        <v>13.33</v>
      </c>
      <c r="D195" s="36" t="n">
        <v>12062.22</v>
      </c>
      <c r="E195" s="36" t="n">
        <v>9965.4</v>
      </c>
      <c r="F195" s="36" t="n">
        <v>22027.62</v>
      </c>
      <c r="G195" s="71">
        <f>IF(F195&gt;0, D195/F195, 0)</f>
        <v/>
      </c>
    </row>
    <row r="196">
      <c r="A196" s="36" t="inlineStr">
        <is>
          <t>2025-07-14</t>
        </is>
      </c>
      <c r="B196" s="36" t="n">
        <v>7</v>
      </c>
      <c r="C196" s="36" t="n">
        <v>13.17</v>
      </c>
      <c r="D196" s="36" t="n">
        <v>5768.81</v>
      </c>
      <c r="E196" s="36" t="n">
        <v>14304.7</v>
      </c>
      <c r="F196" s="36" t="n">
        <v>20073.51</v>
      </c>
      <c r="G196" s="71">
        <f>IF(F196&gt;0, D196/F196, 0)</f>
        <v/>
      </c>
    </row>
    <row r="197">
      <c r="A197" s="36" t="inlineStr">
        <is>
          <t>2025-07-15</t>
        </is>
      </c>
      <c r="B197" s="36" t="n">
        <v>7</v>
      </c>
      <c r="C197" s="36" t="n">
        <v>12.83</v>
      </c>
      <c r="D197" s="36" t="n">
        <v>318.35</v>
      </c>
      <c r="E197" s="36" t="n">
        <v>18441.2</v>
      </c>
      <c r="F197" s="36" t="n">
        <v>18759.55</v>
      </c>
      <c r="G197" s="71">
        <f>IF(F197&gt;0, D197/F197, 0)</f>
        <v/>
      </c>
    </row>
    <row r="198">
      <c r="A198" s="36" t="inlineStr">
        <is>
          <t>2025-07-16</t>
        </is>
      </c>
      <c r="B198" s="36" t="n">
        <v>7</v>
      </c>
      <c r="C198" s="36" t="n">
        <v>12.5</v>
      </c>
      <c r="D198" s="36" t="n">
        <v>1647.46</v>
      </c>
      <c r="E198" s="36" t="n">
        <v>14012.45</v>
      </c>
      <c r="F198" s="36" t="n">
        <v>15659.91</v>
      </c>
      <c r="G198" s="71">
        <f>IF(F198&gt;0, D198/F198, 0)</f>
        <v/>
      </c>
    </row>
    <row r="199">
      <c r="A199" s="36" t="inlineStr">
        <is>
          <t>2025-07-17</t>
        </is>
      </c>
      <c r="B199" s="36" t="n">
        <v>7</v>
      </c>
      <c r="C199" s="36" t="n">
        <v>12.75</v>
      </c>
      <c r="D199" s="36" t="n">
        <v>0</v>
      </c>
      <c r="E199" s="36" t="n">
        <v>17680.25</v>
      </c>
      <c r="F199" s="36" t="n">
        <v>17680.25</v>
      </c>
      <c r="G199" s="71">
        <f>IF(F199&gt;0, D199/F199, 0)</f>
        <v/>
      </c>
    </row>
    <row r="200">
      <c r="A200" s="36" t="inlineStr">
        <is>
          <t>2025-07-18</t>
        </is>
      </c>
      <c r="B200" s="36" t="n">
        <v>7</v>
      </c>
      <c r="C200" s="36" t="n">
        <v>13</v>
      </c>
      <c r="D200" s="36" t="n">
        <v>5442.89</v>
      </c>
      <c r="E200" s="36" t="n">
        <v>14897.38</v>
      </c>
      <c r="F200" s="36" t="n">
        <v>20340.27</v>
      </c>
      <c r="G200" s="71">
        <f>IF(F200&gt;0, D200/F200, 0)</f>
        <v/>
      </c>
    </row>
    <row r="201">
      <c r="A201" s="36" t="inlineStr">
        <is>
          <t>2025-07-19</t>
        </is>
      </c>
      <c r="B201" s="36" t="n">
        <v>7</v>
      </c>
      <c r="C201" s="36" t="n">
        <v>13.17</v>
      </c>
      <c r="D201" s="36" t="n">
        <v>7597.64</v>
      </c>
      <c r="E201" s="36" t="n">
        <v>12799.28</v>
      </c>
      <c r="F201" s="36" t="n">
        <v>20396.92</v>
      </c>
      <c r="G201" s="71">
        <f>IF(F201&gt;0, D201/F201, 0)</f>
        <v/>
      </c>
    </row>
    <row r="202">
      <c r="A202" s="36" t="inlineStr">
        <is>
          <t>2025-07-20</t>
        </is>
      </c>
      <c r="B202" s="36" t="n">
        <v>7</v>
      </c>
      <c r="C202" s="36" t="n">
        <v>12.92</v>
      </c>
      <c r="D202" s="36" t="n">
        <v>5501.66</v>
      </c>
      <c r="E202" s="36" t="n">
        <v>14317.61</v>
      </c>
      <c r="F202" s="36" t="n">
        <v>19819.27</v>
      </c>
      <c r="G202" s="71">
        <f>IF(F202&gt;0, D202/F202, 0)</f>
        <v/>
      </c>
    </row>
    <row r="203">
      <c r="A203" s="36" t="inlineStr">
        <is>
          <t>2025-07-21</t>
        </is>
      </c>
      <c r="B203" s="36" t="n">
        <v>7</v>
      </c>
      <c r="C203" s="36" t="n">
        <v>12.92</v>
      </c>
      <c r="D203" s="36" t="n">
        <v>569.78</v>
      </c>
      <c r="E203" s="36" t="n">
        <v>18122.43</v>
      </c>
      <c r="F203" s="36" t="n">
        <v>18692.21</v>
      </c>
      <c r="G203" s="71">
        <f>IF(F203&gt;0, D203/F203, 0)</f>
        <v/>
      </c>
    </row>
    <row r="204">
      <c r="A204" s="36" t="inlineStr">
        <is>
          <t>2025-07-22</t>
        </is>
      </c>
      <c r="B204" s="36" t="n">
        <v>7</v>
      </c>
      <c r="C204" s="36" t="n">
        <v>12.92</v>
      </c>
      <c r="D204" s="36" t="n">
        <v>0</v>
      </c>
      <c r="E204" s="36" t="n">
        <v>19275.27</v>
      </c>
      <c r="F204" s="36" t="n">
        <v>19275.27</v>
      </c>
      <c r="G204" s="71">
        <f>IF(F204&gt;0, D204/F204, 0)</f>
        <v/>
      </c>
    </row>
    <row r="205">
      <c r="A205" s="36" t="inlineStr">
        <is>
          <t>2025-07-23</t>
        </is>
      </c>
      <c r="B205" s="36" t="n">
        <v>7</v>
      </c>
      <c r="C205" s="36" t="n">
        <v>13.08</v>
      </c>
      <c r="D205" s="36" t="n">
        <v>282.62</v>
      </c>
      <c r="E205" s="36" t="n">
        <v>19136.39</v>
      </c>
      <c r="F205" s="36" t="n">
        <v>19419.01</v>
      </c>
      <c r="G205" s="71">
        <f>IF(F205&gt;0, D205/F205, 0)</f>
        <v/>
      </c>
    </row>
    <row r="206">
      <c r="A206" s="36" t="inlineStr">
        <is>
          <t>2025-07-24</t>
        </is>
      </c>
      <c r="B206" s="36" t="n">
        <v>7</v>
      </c>
      <c r="C206" s="36" t="n">
        <v>13</v>
      </c>
      <c r="D206" s="36" t="n">
        <v>1648.44</v>
      </c>
      <c r="E206" s="36" t="n">
        <v>18441.36</v>
      </c>
      <c r="F206" s="36" t="n">
        <v>20089.8</v>
      </c>
      <c r="G206" s="71">
        <f>IF(F206&gt;0, D206/F206, 0)</f>
        <v/>
      </c>
    </row>
    <row r="207">
      <c r="A207" s="36" t="inlineStr">
        <is>
          <t>2025-07-25</t>
        </is>
      </c>
      <c r="B207" s="36" t="n">
        <v>7</v>
      </c>
      <c r="C207" s="36" t="n">
        <v>12.92</v>
      </c>
      <c r="D207" s="36" t="n">
        <v>0</v>
      </c>
      <c r="E207" s="36" t="n">
        <v>19631.81</v>
      </c>
      <c r="F207" s="36" t="n">
        <v>19631.81</v>
      </c>
      <c r="G207" s="71">
        <f>IF(F207&gt;0, D207/F207, 0)</f>
        <v/>
      </c>
    </row>
    <row r="208">
      <c r="A208" s="36" t="inlineStr">
        <is>
          <t>2025-07-26</t>
        </is>
      </c>
      <c r="B208" s="36" t="n">
        <v>7</v>
      </c>
      <c r="C208" s="36" t="n">
        <v>12.83</v>
      </c>
      <c r="D208" s="36" t="n">
        <v>296.66</v>
      </c>
      <c r="E208" s="36" t="n">
        <v>18668.74</v>
      </c>
      <c r="F208" s="36" t="n">
        <v>18965.4</v>
      </c>
      <c r="G208" s="71">
        <f>IF(F208&gt;0, D208/F208, 0)</f>
        <v/>
      </c>
    </row>
    <row r="209">
      <c r="A209" s="36" t="inlineStr">
        <is>
          <t>2025-07-27</t>
        </is>
      </c>
      <c r="B209" s="36" t="n">
        <v>7</v>
      </c>
      <c r="C209" s="36" t="n">
        <v>12.92</v>
      </c>
      <c r="D209" s="36" t="n">
        <v>3795.71</v>
      </c>
      <c r="E209" s="36" t="n">
        <v>15947.6</v>
      </c>
      <c r="F209" s="36" t="n">
        <v>19743.31</v>
      </c>
      <c r="G209" s="71">
        <f>IF(F209&gt;0, D209/F209, 0)</f>
        <v/>
      </c>
    </row>
    <row r="210">
      <c r="A210" s="36" t="inlineStr">
        <is>
          <t>2025-07-28</t>
        </is>
      </c>
      <c r="B210" s="36" t="n">
        <v>7</v>
      </c>
      <c r="C210" s="36" t="n">
        <v>12.92</v>
      </c>
      <c r="D210" s="36" t="n">
        <v>770.63</v>
      </c>
      <c r="E210" s="36" t="n">
        <v>19038.88</v>
      </c>
      <c r="F210" s="36" t="n">
        <v>19809.51</v>
      </c>
      <c r="G210" s="71">
        <f>IF(F210&gt;0, D210/F210, 0)</f>
        <v/>
      </c>
    </row>
    <row r="211">
      <c r="A211" s="36" t="inlineStr">
        <is>
          <t>2025-07-29</t>
        </is>
      </c>
      <c r="B211" s="36" t="n">
        <v>7</v>
      </c>
      <c r="C211" s="36" t="n">
        <v>12.75</v>
      </c>
      <c r="D211" s="36" t="n">
        <v>1719.63</v>
      </c>
      <c r="E211" s="36" t="n">
        <v>16003.36</v>
      </c>
      <c r="F211" s="36" t="n">
        <v>17722.99</v>
      </c>
      <c r="G211" s="71">
        <f>IF(F211&gt;0, D211/F211, 0)</f>
        <v/>
      </c>
    </row>
    <row r="212">
      <c r="A212" s="36" t="inlineStr">
        <is>
          <t>2025-07-30</t>
        </is>
      </c>
      <c r="B212" s="36" t="n">
        <v>7</v>
      </c>
      <c r="C212" s="36" t="n">
        <v>12.75</v>
      </c>
      <c r="D212" s="36" t="n">
        <v>7172.07</v>
      </c>
      <c r="E212" s="36" t="n">
        <v>10400.04</v>
      </c>
      <c r="F212" s="36" t="n">
        <v>17572.11</v>
      </c>
      <c r="G212" s="71">
        <f>IF(F212&gt;0, D212/F212, 0)</f>
        <v/>
      </c>
    </row>
    <row r="213">
      <c r="A213" s="36" t="inlineStr">
        <is>
          <t>2025-07-31</t>
        </is>
      </c>
      <c r="B213" s="36" t="n">
        <v>7</v>
      </c>
      <c r="C213" s="36" t="n">
        <v>12.83</v>
      </c>
      <c r="D213" s="36" t="n">
        <v>9031.43</v>
      </c>
      <c r="E213" s="36" t="n">
        <v>9746.93</v>
      </c>
      <c r="F213" s="36" t="n">
        <v>18778.36</v>
      </c>
      <c r="G213" s="71">
        <f>IF(F213&gt;0, D213/F213, 0)</f>
        <v/>
      </c>
    </row>
    <row r="214">
      <c r="A214" s="36" t="inlineStr">
        <is>
          <t>2025-08-01</t>
        </is>
      </c>
      <c r="B214" s="36" t="n">
        <v>8</v>
      </c>
      <c r="C214" s="36" t="n">
        <v>12.75</v>
      </c>
      <c r="D214" s="36" t="n">
        <v>4214.61</v>
      </c>
      <c r="E214" s="36" t="n">
        <v>15155.78</v>
      </c>
      <c r="F214" s="36" t="n">
        <v>19370.39</v>
      </c>
      <c r="G214" s="71">
        <f>IF(F214&gt;0, D214/F214, 0)</f>
        <v/>
      </c>
    </row>
    <row r="215">
      <c r="A215" s="36" t="inlineStr">
        <is>
          <t>2025-08-02</t>
        </is>
      </c>
      <c r="B215" s="36" t="n">
        <v>8</v>
      </c>
      <c r="C215" s="36" t="n">
        <v>12.58</v>
      </c>
      <c r="D215" s="36" t="n">
        <v>5134.09</v>
      </c>
      <c r="E215" s="36" t="n">
        <v>13371.14</v>
      </c>
      <c r="F215" s="36" t="n">
        <v>18505.22</v>
      </c>
      <c r="G215" s="71">
        <f>IF(F215&gt;0, D215/F215, 0)</f>
        <v/>
      </c>
    </row>
    <row r="216">
      <c r="A216" s="36" t="inlineStr">
        <is>
          <t>2025-08-03</t>
        </is>
      </c>
      <c r="B216" s="36" t="n">
        <v>8</v>
      </c>
      <c r="C216" s="36" t="n">
        <v>12.83</v>
      </c>
      <c r="D216" s="36" t="n">
        <v>9900.48</v>
      </c>
      <c r="E216" s="36" t="n">
        <v>10548.94</v>
      </c>
      <c r="F216" s="36" t="n">
        <v>20449.42</v>
      </c>
      <c r="G216" s="71">
        <f>IF(F216&gt;0, D216/F216, 0)</f>
        <v/>
      </c>
    </row>
    <row r="217">
      <c r="A217" s="36" t="inlineStr">
        <is>
          <t>2025-08-04</t>
        </is>
      </c>
      <c r="B217" s="36" t="n">
        <v>8</v>
      </c>
      <c r="C217" s="36" t="n">
        <v>12.75</v>
      </c>
      <c r="D217" s="36" t="n">
        <v>3953.32</v>
      </c>
      <c r="E217" s="36" t="n">
        <v>15546.74</v>
      </c>
      <c r="F217" s="36" t="n">
        <v>19500.06</v>
      </c>
      <c r="G217" s="71">
        <f>IF(F217&gt;0, D217/F217, 0)</f>
        <v/>
      </c>
    </row>
    <row r="218">
      <c r="A218" s="36" t="inlineStr">
        <is>
          <t>2025-08-05</t>
        </is>
      </c>
      <c r="B218" s="36" t="n">
        <v>8</v>
      </c>
      <c r="C218" s="36" t="n">
        <v>12.75</v>
      </c>
      <c r="D218" s="36" t="n">
        <v>4599.19</v>
      </c>
      <c r="E218" s="36" t="n">
        <v>14107.06</v>
      </c>
      <c r="F218" s="36" t="n">
        <v>18706.25</v>
      </c>
      <c r="G218" s="71">
        <f>IF(F218&gt;0, D218/F218, 0)</f>
        <v/>
      </c>
    </row>
    <row r="219">
      <c r="A219" s="36" t="inlineStr">
        <is>
          <t>2025-08-06</t>
        </is>
      </c>
      <c r="B219" s="36" t="n">
        <v>8</v>
      </c>
      <c r="C219" s="36" t="n">
        <v>12.67</v>
      </c>
      <c r="D219" s="36" t="n">
        <v>2318.98</v>
      </c>
      <c r="E219" s="36" t="n">
        <v>16312.57</v>
      </c>
      <c r="F219" s="36" t="n">
        <v>18631.55</v>
      </c>
      <c r="G219" s="71">
        <f>IF(F219&gt;0, D219/F219, 0)</f>
        <v/>
      </c>
    </row>
    <row r="220">
      <c r="A220" s="36" t="inlineStr">
        <is>
          <t>2025-08-07</t>
        </is>
      </c>
      <c r="B220" s="36" t="n">
        <v>8</v>
      </c>
      <c r="C220" s="36" t="n">
        <v>12.67</v>
      </c>
      <c r="D220" s="36" t="n">
        <v>2225.53</v>
      </c>
      <c r="E220" s="36" t="n">
        <v>17320.61</v>
      </c>
      <c r="F220" s="36" t="n">
        <v>19546.15</v>
      </c>
      <c r="G220" s="71">
        <f>IF(F220&gt;0, D220/F220, 0)</f>
        <v/>
      </c>
    </row>
    <row r="221">
      <c r="A221" s="36" t="inlineStr">
        <is>
          <t>2025-08-08</t>
        </is>
      </c>
      <c r="B221" s="36" t="n">
        <v>8</v>
      </c>
      <c r="C221" s="36" t="n">
        <v>12.75</v>
      </c>
      <c r="D221" s="36" t="n">
        <v>102.31</v>
      </c>
      <c r="E221" s="36" t="n">
        <v>18881.13</v>
      </c>
      <c r="F221" s="36" t="n">
        <v>18983.44</v>
      </c>
      <c r="G221" s="71">
        <f>IF(F221&gt;0, D221/F221, 0)</f>
        <v/>
      </c>
    </row>
    <row r="222">
      <c r="A222" s="36" t="inlineStr">
        <is>
          <t>2025-08-09</t>
        </is>
      </c>
      <c r="B222" s="36" t="n">
        <v>8</v>
      </c>
      <c r="C222" s="36" t="n">
        <v>12.5</v>
      </c>
      <c r="D222" s="36" t="n">
        <v>1947.88</v>
      </c>
      <c r="E222" s="36" t="n">
        <v>16481.65</v>
      </c>
      <c r="F222" s="36" t="n">
        <v>18429.53</v>
      </c>
      <c r="G222" s="71">
        <f>IF(F222&gt;0, D222/F222, 0)</f>
        <v/>
      </c>
    </row>
    <row r="223">
      <c r="A223" s="36" t="inlineStr">
        <is>
          <t>2025-08-10</t>
        </is>
      </c>
      <c r="B223" s="36" t="n">
        <v>8</v>
      </c>
      <c r="C223" s="36" t="n">
        <v>12.5</v>
      </c>
      <c r="D223" s="36" t="n">
        <v>5225.32</v>
      </c>
      <c r="E223" s="36" t="n">
        <v>13716.94</v>
      </c>
      <c r="F223" s="36" t="n">
        <v>18942.26</v>
      </c>
      <c r="G223" s="71">
        <f>IF(F223&gt;0, D223/F223, 0)</f>
        <v/>
      </c>
    </row>
    <row r="224">
      <c r="A224" s="36" t="inlineStr">
        <is>
          <t>2025-08-11</t>
        </is>
      </c>
      <c r="B224" s="36" t="n">
        <v>8</v>
      </c>
      <c r="C224" s="36" t="n">
        <v>12.5</v>
      </c>
      <c r="D224" s="36" t="n">
        <v>538.8</v>
      </c>
      <c r="E224" s="36" t="n">
        <v>17641.04</v>
      </c>
      <c r="F224" s="36" t="n">
        <v>18179.84</v>
      </c>
      <c r="G224" s="71">
        <f>IF(F224&gt;0, D224/F224, 0)</f>
        <v/>
      </c>
    </row>
    <row r="225">
      <c r="A225" s="36" t="inlineStr">
        <is>
          <t>2025-08-12</t>
        </is>
      </c>
      <c r="B225" s="36" t="n">
        <v>8</v>
      </c>
      <c r="C225" s="36" t="n">
        <v>12.5</v>
      </c>
      <c r="D225" s="36" t="n">
        <v>2738.16</v>
      </c>
      <c r="E225" s="36" t="n">
        <v>15982.92</v>
      </c>
      <c r="F225" s="36" t="n">
        <v>18721.08</v>
      </c>
      <c r="G225" s="71">
        <f>IF(F225&gt;0, D225/F225, 0)</f>
        <v/>
      </c>
    </row>
    <row r="226">
      <c r="A226" s="36" t="inlineStr">
        <is>
          <t>2025-08-13</t>
        </is>
      </c>
      <c r="B226" s="36" t="n">
        <v>8</v>
      </c>
      <c r="C226" s="36" t="n">
        <v>12.42</v>
      </c>
      <c r="D226" s="36" t="n">
        <v>1781.03</v>
      </c>
      <c r="E226" s="36" t="n">
        <v>15998.23</v>
      </c>
      <c r="F226" s="36" t="n">
        <v>17779.26</v>
      </c>
      <c r="G226" s="71">
        <f>IF(F226&gt;0, D226/F226, 0)</f>
        <v/>
      </c>
    </row>
    <row r="227">
      <c r="A227" s="36" t="inlineStr">
        <is>
          <t>2025-08-14</t>
        </is>
      </c>
      <c r="B227" s="36" t="n">
        <v>8</v>
      </c>
      <c r="C227" s="36" t="n">
        <v>12.33</v>
      </c>
      <c r="D227" s="36" t="n">
        <v>1219.84</v>
      </c>
      <c r="E227" s="36" t="n">
        <v>15929.16</v>
      </c>
      <c r="F227" s="36" t="n">
        <v>17149</v>
      </c>
      <c r="G227" s="71">
        <f>IF(F227&gt;0, D227/F227, 0)</f>
        <v/>
      </c>
    </row>
    <row r="228">
      <c r="A228" s="36" t="inlineStr">
        <is>
          <t>2025-08-15</t>
        </is>
      </c>
      <c r="B228" s="36" t="n">
        <v>8</v>
      </c>
      <c r="C228" s="36" t="n">
        <v>12.42</v>
      </c>
      <c r="D228" s="36" t="n">
        <v>9852.559999999999</v>
      </c>
      <c r="E228" s="36" t="n">
        <v>9257.959999999999</v>
      </c>
      <c r="F228" s="36" t="n">
        <v>19110.52</v>
      </c>
      <c r="G228" s="71">
        <f>IF(F228&gt;0, D228/F228, 0)</f>
        <v/>
      </c>
    </row>
    <row r="229">
      <c r="A229" s="36" t="inlineStr">
        <is>
          <t>2025-08-16</t>
        </is>
      </c>
      <c r="B229" s="36" t="n">
        <v>8</v>
      </c>
      <c r="C229" s="36" t="n">
        <v>12.42</v>
      </c>
      <c r="D229" s="36" t="n">
        <v>10269.47</v>
      </c>
      <c r="E229" s="36" t="n">
        <v>8693.110000000001</v>
      </c>
      <c r="F229" s="36" t="n">
        <v>18962.58</v>
      </c>
      <c r="G229" s="71">
        <f>IF(F229&gt;0, D229/F229, 0)</f>
        <v/>
      </c>
    </row>
    <row r="230">
      <c r="A230" s="36" t="inlineStr">
        <is>
          <t>2025-08-17</t>
        </is>
      </c>
      <c r="B230" s="36" t="n">
        <v>8</v>
      </c>
      <c r="C230" s="36" t="n">
        <v>12.25</v>
      </c>
      <c r="D230" s="36" t="n">
        <v>0</v>
      </c>
      <c r="E230" s="36" t="n">
        <v>6840.57</v>
      </c>
      <c r="F230" s="36" t="n">
        <v>6840.57</v>
      </c>
      <c r="G230" s="71">
        <f>IF(F230&gt;0, D230/F230, 0)</f>
        <v/>
      </c>
    </row>
    <row r="231">
      <c r="A231" s="36" t="inlineStr">
        <is>
          <t>2025-08-18</t>
        </is>
      </c>
      <c r="B231" s="36" t="n">
        <v>8</v>
      </c>
      <c r="C231" s="36" t="n">
        <v>12.33</v>
      </c>
      <c r="D231" s="36" t="n">
        <v>5298.85</v>
      </c>
      <c r="E231" s="36" t="n">
        <v>12739.73</v>
      </c>
      <c r="F231" s="36" t="n">
        <v>18038.58</v>
      </c>
      <c r="G231" s="71">
        <f>IF(F231&gt;0, D231/F231, 0)</f>
        <v/>
      </c>
    </row>
    <row r="232">
      <c r="A232" s="36" t="inlineStr">
        <is>
          <t>2025-08-19</t>
        </is>
      </c>
      <c r="B232" s="36" t="n">
        <v>8</v>
      </c>
      <c r="C232" s="36" t="n">
        <v>12.25</v>
      </c>
      <c r="D232" s="36" t="n">
        <v>4638.27</v>
      </c>
      <c r="E232" s="36" t="n">
        <v>13938.22</v>
      </c>
      <c r="F232" s="36" t="n">
        <v>18576.49</v>
      </c>
      <c r="G232" s="71">
        <f>IF(F232&gt;0, D232/F232, 0)</f>
        <v/>
      </c>
    </row>
    <row r="233">
      <c r="A233" s="36" t="inlineStr">
        <is>
          <t>2025-08-20</t>
        </is>
      </c>
      <c r="B233" s="36" t="n">
        <v>8</v>
      </c>
      <c r="C233" s="36" t="n">
        <v>12.33</v>
      </c>
      <c r="D233" s="36" t="n">
        <v>5743.2</v>
      </c>
      <c r="E233" s="36" t="n">
        <v>13253.93</v>
      </c>
      <c r="F233" s="36" t="n">
        <v>18997.13</v>
      </c>
      <c r="G233" s="71">
        <f>IF(F233&gt;0, D233/F233, 0)</f>
        <v/>
      </c>
    </row>
    <row r="234">
      <c r="A234" s="36" t="inlineStr">
        <is>
          <t>2025-08-21</t>
        </is>
      </c>
      <c r="B234" s="36" t="n">
        <v>8</v>
      </c>
      <c r="C234" s="36" t="n">
        <v>12.17</v>
      </c>
      <c r="D234" s="36" t="n">
        <v>3058.19</v>
      </c>
      <c r="E234" s="36" t="n">
        <v>13711.32</v>
      </c>
      <c r="F234" s="36" t="n">
        <v>16769.51</v>
      </c>
      <c r="G234" s="71">
        <f>IF(F234&gt;0, D234/F234, 0)</f>
        <v/>
      </c>
    </row>
    <row r="235">
      <c r="A235" s="36" t="inlineStr">
        <is>
          <t>2025-08-22</t>
        </is>
      </c>
      <c r="B235" s="36" t="n">
        <v>8</v>
      </c>
      <c r="C235" s="36" t="n">
        <v>12.25</v>
      </c>
      <c r="D235" s="36" t="n">
        <v>5582.83</v>
      </c>
      <c r="E235" s="36" t="n">
        <v>8516.91</v>
      </c>
      <c r="F235" s="36" t="n">
        <v>14099.74</v>
      </c>
      <c r="G235" s="71">
        <f>IF(F235&gt;0, D235/F235, 0)</f>
        <v/>
      </c>
    </row>
    <row r="236">
      <c r="A236" s="36" t="inlineStr">
        <is>
          <t>2025-08-23</t>
        </is>
      </c>
      <c r="B236" s="36" t="n">
        <v>8</v>
      </c>
      <c r="C236" s="36" t="n">
        <v>12.17</v>
      </c>
      <c r="D236" s="36" t="n">
        <v>2733.66</v>
      </c>
      <c r="E236" s="36" t="n">
        <v>15669.25</v>
      </c>
      <c r="F236" s="36" t="n">
        <v>18402.91</v>
      </c>
      <c r="G236" s="71">
        <f>IF(F236&gt;0, D236/F236, 0)</f>
        <v/>
      </c>
    </row>
    <row r="237">
      <c r="A237" s="36" t="inlineStr">
        <is>
          <t>2025-08-24</t>
        </is>
      </c>
      <c r="B237" s="36" t="n">
        <v>8</v>
      </c>
      <c r="C237" s="36" t="n">
        <v>12.08</v>
      </c>
      <c r="D237" s="36" t="n">
        <v>6916.76</v>
      </c>
      <c r="E237" s="36" t="n">
        <v>11037.55</v>
      </c>
      <c r="F237" s="36" t="n">
        <v>17954.31</v>
      </c>
      <c r="G237" s="71">
        <f>IF(F237&gt;0, D237/F237, 0)</f>
        <v/>
      </c>
    </row>
    <row r="238">
      <c r="A238" s="36" t="inlineStr">
        <is>
          <t>2025-08-25</t>
        </is>
      </c>
      <c r="B238" s="36" t="n">
        <v>8</v>
      </c>
      <c r="C238" s="36" t="n">
        <v>12.08</v>
      </c>
      <c r="D238" s="36" t="n">
        <v>3539.87</v>
      </c>
      <c r="E238" s="36" t="n">
        <v>12588.18</v>
      </c>
      <c r="F238" s="36" t="n">
        <v>16128.05</v>
      </c>
      <c r="G238" s="71">
        <f>IF(F238&gt;0, D238/F238, 0)</f>
        <v/>
      </c>
    </row>
    <row r="239">
      <c r="A239" s="36" t="inlineStr">
        <is>
          <t>2025-08-26</t>
        </is>
      </c>
      <c r="B239" s="36" t="n">
        <v>8</v>
      </c>
      <c r="C239" s="36" t="n">
        <v>12</v>
      </c>
      <c r="D239" s="36" t="n">
        <v>4265.84</v>
      </c>
      <c r="E239" s="36" t="n">
        <v>11548.44</v>
      </c>
      <c r="F239" s="36" t="n">
        <v>15814.28</v>
      </c>
      <c r="G239" s="71">
        <f>IF(F239&gt;0, D239/F239, 0)</f>
        <v/>
      </c>
    </row>
    <row r="240">
      <c r="A240" s="36" t="inlineStr">
        <is>
          <t>2025-08-27</t>
        </is>
      </c>
      <c r="B240" s="36" t="n">
        <v>8</v>
      </c>
      <c r="C240" s="36" t="n">
        <v>12</v>
      </c>
      <c r="D240" s="36" t="n">
        <v>2750.67</v>
      </c>
      <c r="E240" s="36" t="n">
        <v>14335.85</v>
      </c>
      <c r="F240" s="36" t="n">
        <v>17086.52</v>
      </c>
      <c r="G240" s="71">
        <f>IF(F240&gt;0, D240/F240, 0)</f>
        <v/>
      </c>
    </row>
    <row r="241">
      <c r="A241" s="36" t="inlineStr">
        <is>
          <t>2025-08-28</t>
        </is>
      </c>
      <c r="B241" s="36" t="n">
        <v>8</v>
      </c>
      <c r="C241" s="36" t="n">
        <v>12</v>
      </c>
      <c r="D241" s="36" t="n">
        <v>7094.19</v>
      </c>
      <c r="E241" s="36" t="n">
        <v>10636.13</v>
      </c>
      <c r="F241" s="36" t="n">
        <v>17730.32</v>
      </c>
      <c r="G241" s="71">
        <f>IF(F241&gt;0, D241/F241, 0)</f>
        <v/>
      </c>
    </row>
    <row r="242">
      <c r="A242" s="36" t="inlineStr">
        <is>
          <t>2025-08-29</t>
        </is>
      </c>
      <c r="B242" s="36" t="n">
        <v>8</v>
      </c>
      <c r="C242" s="36" t="n">
        <v>11.92</v>
      </c>
      <c r="D242" s="36" t="n">
        <v>5997.77</v>
      </c>
      <c r="E242" s="36" t="n">
        <v>11953.5</v>
      </c>
      <c r="F242" s="36" t="n">
        <v>17951.27</v>
      </c>
      <c r="G242" s="71">
        <f>IF(F242&gt;0, D242/F242, 0)</f>
        <v/>
      </c>
    </row>
    <row r="243">
      <c r="A243" s="36" t="inlineStr">
        <is>
          <t>2025-08-30</t>
        </is>
      </c>
      <c r="B243" s="36" t="n">
        <v>8</v>
      </c>
      <c r="C243" s="36" t="n">
        <v>11.92</v>
      </c>
      <c r="D243" s="36" t="n">
        <v>6475.98</v>
      </c>
      <c r="E243" s="36" t="n">
        <v>10562.44</v>
      </c>
      <c r="F243" s="36" t="n">
        <v>17038.42</v>
      </c>
      <c r="G243" s="71">
        <f>IF(F243&gt;0, D243/F243, 0)</f>
        <v/>
      </c>
    </row>
    <row r="244">
      <c r="A244" s="36" t="inlineStr">
        <is>
          <t>2025-08-31</t>
        </is>
      </c>
      <c r="B244" s="36" t="n">
        <v>8</v>
      </c>
      <c r="C244" s="36" t="n">
        <v>11.92</v>
      </c>
      <c r="D244" s="36" t="n">
        <v>11606.93</v>
      </c>
      <c r="E244" s="36" t="n">
        <v>5795.73</v>
      </c>
      <c r="F244" s="36" t="n">
        <v>17402.66</v>
      </c>
      <c r="G244" s="71">
        <f>IF(F244&gt;0, D244/F244, 0)</f>
        <v/>
      </c>
    </row>
    <row r="245">
      <c r="A245" s="36" t="inlineStr">
        <is>
          <t>2025-09-01</t>
        </is>
      </c>
      <c r="B245" s="36" t="n">
        <v>9</v>
      </c>
      <c r="C245" s="36" t="n">
        <v>11.92</v>
      </c>
      <c r="D245" s="36" t="n">
        <v>2886.88</v>
      </c>
      <c r="E245" s="36" t="n">
        <v>14411.31</v>
      </c>
      <c r="F245" s="36" t="n">
        <v>17298.18</v>
      </c>
      <c r="G245" s="71">
        <f>IF(F245&gt;0, D245/F245, 0)</f>
        <v/>
      </c>
    </row>
    <row r="246">
      <c r="A246" s="36" t="inlineStr">
        <is>
          <t>2025-09-02</t>
        </is>
      </c>
      <c r="B246" s="36" t="n">
        <v>9</v>
      </c>
      <c r="C246" s="36" t="n">
        <v>11.75</v>
      </c>
      <c r="D246" s="36" t="n">
        <v>1822.3</v>
      </c>
      <c r="E246" s="36" t="n">
        <v>15387.29</v>
      </c>
      <c r="F246" s="36" t="n">
        <v>17209.59</v>
      </c>
      <c r="G246" s="71">
        <f>IF(F246&gt;0, D246/F246, 0)</f>
        <v/>
      </c>
    </row>
    <row r="247">
      <c r="A247" s="36" t="inlineStr">
        <is>
          <t>2025-09-03</t>
        </is>
      </c>
      <c r="B247" s="36" t="n">
        <v>9</v>
      </c>
      <c r="C247" s="36" t="n">
        <v>11.75</v>
      </c>
      <c r="D247" s="36" t="n">
        <v>2740.08</v>
      </c>
      <c r="E247" s="36" t="n">
        <v>10824.99</v>
      </c>
      <c r="F247" s="36" t="n">
        <v>13565.07</v>
      </c>
      <c r="G247" s="71">
        <f>IF(F247&gt;0, D247/F247, 0)</f>
        <v/>
      </c>
    </row>
    <row r="248">
      <c r="A248" s="36" t="inlineStr">
        <is>
          <t>2025-09-04</t>
        </is>
      </c>
      <c r="B248" s="36" t="n">
        <v>9</v>
      </c>
      <c r="C248" s="36" t="n">
        <v>11.5</v>
      </c>
      <c r="D248" s="36" t="n">
        <v>6287.92</v>
      </c>
      <c r="E248" s="36" t="n">
        <v>9283.940000000001</v>
      </c>
      <c r="F248" s="36" t="n">
        <v>15571.86</v>
      </c>
      <c r="G248" s="71">
        <f>IF(F248&gt;0, D248/F248, 0)</f>
        <v/>
      </c>
    </row>
    <row r="249">
      <c r="A249" s="36" t="inlineStr">
        <is>
          <t>2025-09-05</t>
        </is>
      </c>
      <c r="B249" s="36" t="n">
        <v>9</v>
      </c>
      <c r="C249" s="36" t="n">
        <v>11.67</v>
      </c>
      <c r="D249" s="36" t="n">
        <v>2569.34</v>
      </c>
      <c r="E249" s="36" t="n">
        <v>13017.1</v>
      </c>
      <c r="F249" s="36" t="n">
        <v>15586.44</v>
      </c>
      <c r="G249" s="71">
        <f>IF(F249&gt;0, D249/F249, 0)</f>
        <v/>
      </c>
    </row>
    <row r="250">
      <c r="A250" s="36" t="inlineStr">
        <is>
          <t>2025-09-06</t>
        </is>
      </c>
      <c r="B250" s="36" t="n">
        <v>9</v>
      </c>
      <c r="C250" s="36" t="n">
        <v>11.58</v>
      </c>
      <c r="D250" s="36" t="n">
        <v>2871.9</v>
      </c>
      <c r="E250" s="36" t="n">
        <v>13583.83</v>
      </c>
      <c r="F250" s="36" t="n">
        <v>16455.73</v>
      </c>
      <c r="G250" s="71">
        <f>IF(F250&gt;0, D250/F250, 0)</f>
        <v/>
      </c>
    </row>
    <row r="251">
      <c r="A251" s="36" t="inlineStr">
        <is>
          <t>2025-09-07</t>
        </is>
      </c>
      <c r="B251" s="36" t="n">
        <v>9</v>
      </c>
      <c r="C251" s="36" t="n">
        <v>11.58</v>
      </c>
      <c r="D251" s="36" t="n">
        <v>9593.809999999999</v>
      </c>
      <c r="E251" s="36" t="n">
        <v>7115.68</v>
      </c>
      <c r="F251" s="36" t="n">
        <v>16709.49</v>
      </c>
      <c r="G251" s="71">
        <f>IF(F251&gt;0, D251/F251, 0)</f>
        <v/>
      </c>
    </row>
    <row r="252">
      <c r="A252" s="36" t="inlineStr">
        <is>
          <t>2025-09-08</t>
        </is>
      </c>
      <c r="B252" s="36" t="n">
        <v>9</v>
      </c>
      <c r="C252" s="36" t="n">
        <v>11.5</v>
      </c>
      <c r="D252" s="36" t="n">
        <v>6685.05</v>
      </c>
      <c r="E252" s="36" t="n">
        <v>8265.4</v>
      </c>
      <c r="F252" s="36" t="n">
        <v>14950.45</v>
      </c>
      <c r="G252" s="71">
        <f>IF(F252&gt;0, D252/F252, 0)</f>
        <v/>
      </c>
    </row>
    <row r="253">
      <c r="A253" s="36" t="inlineStr">
        <is>
          <t>2025-09-09</t>
        </is>
      </c>
      <c r="B253" s="36" t="n">
        <v>9</v>
      </c>
      <c r="C253" s="36" t="n">
        <v>11.58</v>
      </c>
      <c r="D253" s="36" t="n">
        <v>5768.48</v>
      </c>
      <c r="E253" s="36" t="n">
        <v>8973.040000000001</v>
      </c>
      <c r="F253" s="36" t="n">
        <v>14741.52</v>
      </c>
      <c r="G253" s="71">
        <f>IF(F253&gt;0, D253/F253, 0)</f>
        <v/>
      </c>
    </row>
    <row r="254">
      <c r="A254" s="36" t="inlineStr">
        <is>
          <t>2025-09-10</t>
        </is>
      </c>
      <c r="B254" s="36" t="n">
        <v>9</v>
      </c>
      <c r="C254" s="36" t="n">
        <v>11.58</v>
      </c>
      <c r="D254" s="36" t="n">
        <v>5960.62</v>
      </c>
      <c r="E254" s="36" t="n">
        <v>9203.559999999999</v>
      </c>
      <c r="F254" s="36" t="n">
        <v>15164.18</v>
      </c>
      <c r="G254" s="71">
        <f>IF(F254&gt;0, D254/F254, 0)</f>
        <v/>
      </c>
    </row>
    <row r="255">
      <c r="A255" s="36" t="inlineStr">
        <is>
          <t>2025-09-11</t>
        </is>
      </c>
      <c r="B255" s="36" t="n">
        <v>9</v>
      </c>
      <c r="C255" s="36" t="n">
        <v>11.5</v>
      </c>
      <c r="D255" s="36" t="n">
        <v>5406.49</v>
      </c>
      <c r="E255" s="36" t="n">
        <v>10986.44</v>
      </c>
      <c r="F255" s="36" t="n">
        <v>16392.93</v>
      </c>
      <c r="G255" s="71">
        <f>IF(F255&gt;0, D255/F255, 0)</f>
        <v/>
      </c>
    </row>
    <row r="256">
      <c r="A256" s="36" t="inlineStr">
        <is>
          <t>2025-09-12</t>
        </is>
      </c>
      <c r="B256" s="36" t="n">
        <v>9</v>
      </c>
      <c r="C256" s="36" t="n">
        <v>11.5</v>
      </c>
      <c r="D256" s="36" t="n">
        <v>7489.62</v>
      </c>
      <c r="E256" s="36" t="n">
        <v>8451.209999999999</v>
      </c>
      <c r="F256" s="36" t="n">
        <v>15940.83</v>
      </c>
      <c r="G256" s="71">
        <f>IF(F256&gt;0, D256/F256, 0)</f>
        <v/>
      </c>
    </row>
    <row r="257">
      <c r="A257" s="36" t="inlineStr">
        <is>
          <t>2025-09-13</t>
        </is>
      </c>
      <c r="B257" s="36" t="n">
        <v>9</v>
      </c>
      <c r="C257" s="36" t="n">
        <v>11.42</v>
      </c>
      <c r="D257" s="36" t="n">
        <v>4547.99</v>
      </c>
      <c r="E257" s="36" t="n">
        <v>11492.75</v>
      </c>
      <c r="F257" s="36" t="n">
        <v>16040.74</v>
      </c>
      <c r="G257" s="71">
        <f>IF(F257&gt;0, D257/F257, 0)</f>
        <v/>
      </c>
    </row>
    <row r="258">
      <c r="A258" s="36" t="inlineStr">
        <is>
          <t>2025-09-14</t>
        </is>
      </c>
      <c r="B258" s="36" t="n">
        <v>9</v>
      </c>
      <c r="C258" s="36" t="n">
        <v>11.42</v>
      </c>
      <c r="D258" s="36" t="n">
        <v>6353.43</v>
      </c>
      <c r="E258" s="36" t="n">
        <v>9119.25</v>
      </c>
      <c r="F258" s="36" t="n">
        <v>15472.68</v>
      </c>
      <c r="G258" s="71">
        <f>IF(F258&gt;0, D258/F258, 0)</f>
        <v/>
      </c>
    </row>
    <row r="259">
      <c r="A259" s="36" t="inlineStr">
        <is>
          <t>2025-09-15</t>
        </is>
      </c>
      <c r="B259" s="36" t="n">
        <v>9</v>
      </c>
      <c r="C259" s="36" t="n">
        <v>11.33</v>
      </c>
      <c r="D259" s="36" t="n">
        <v>4213.81</v>
      </c>
      <c r="E259" s="36" t="n">
        <v>11216.04</v>
      </c>
      <c r="F259" s="36" t="n">
        <v>15429.85</v>
      </c>
      <c r="G259" s="71">
        <f>IF(F259&gt;0, D259/F259, 0)</f>
        <v/>
      </c>
    </row>
    <row r="260">
      <c r="A260" s="36" t="inlineStr">
        <is>
          <t>2025-09-16</t>
        </is>
      </c>
      <c r="B260" s="36" t="n">
        <v>9</v>
      </c>
      <c r="C260" s="36" t="n">
        <v>11</v>
      </c>
      <c r="D260" s="36" t="n">
        <v>6325.21</v>
      </c>
      <c r="E260" s="36" t="n">
        <v>7944.21</v>
      </c>
      <c r="F260" s="36" t="n">
        <v>14269.42</v>
      </c>
      <c r="G260" s="71">
        <f>IF(F260&gt;0, D260/F260, 0)</f>
        <v/>
      </c>
    </row>
    <row r="261">
      <c r="A261" s="36" t="inlineStr">
        <is>
          <t>2025-09-17</t>
        </is>
      </c>
      <c r="B261" s="36" t="n">
        <v>9</v>
      </c>
      <c r="C261" s="36" t="n">
        <v>11.25</v>
      </c>
      <c r="D261" s="36" t="n">
        <v>1276.67</v>
      </c>
      <c r="E261" s="36" t="n">
        <v>13999.31</v>
      </c>
      <c r="F261" s="36" t="n">
        <v>15275.98</v>
      </c>
      <c r="G261" s="71">
        <f>IF(F261&gt;0, D261/F261, 0)</f>
        <v/>
      </c>
    </row>
    <row r="262">
      <c r="A262" s="36" t="inlineStr">
        <is>
          <t>2025-09-18</t>
        </is>
      </c>
      <c r="B262" s="36" t="n">
        <v>9</v>
      </c>
      <c r="C262" s="36" t="n">
        <v>11</v>
      </c>
      <c r="D262" s="36" t="n">
        <v>1671.47</v>
      </c>
      <c r="E262" s="36" t="n">
        <v>12838.13</v>
      </c>
      <c r="F262" s="36" t="n">
        <v>14509.6</v>
      </c>
      <c r="G262" s="71">
        <f>IF(F262&gt;0, D262/F262, 0)</f>
        <v/>
      </c>
    </row>
    <row r="263">
      <c r="A263" s="36" t="inlineStr">
        <is>
          <t>2025-09-19</t>
        </is>
      </c>
      <c r="B263" s="36" t="n">
        <v>9</v>
      </c>
      <c r="C263" s="36" t="n">
        <v>11.25</v>
      </c>
      <c r="D263" s="36" t="n">
        <v>5269.65</v>
      </c>
      <c r="E263" s="36" t="n">
        <v>10346.61</v>
      </c>
      <c r="F263" s="36" t="n">
        <v>15616.26</v>
      </c>
      <c r="G263" s="71">
        <f>IF(F263&gt;0, D263/F263, 0)</f>
        <v/>
      </c>
    </row>
    <row r="264">
      <c r="A264" s="36" t="inlineStr">
        <is>
          <t>2025-09-20</t>
        </is>
      </c>
      <c r="B264" s="36" t="n">
        <v>9</v>
      </c>
      <c r="C264" s="36" t="n">
        <v>11.25</v>
      </c>
      <c r="D264" s="36" t="n">
        <v>9780.49</v>
      </c>
      <c r="E264" s="36" t="n">
        <v>5968.55</v>
      </c>
      <c r="F264" s="36" t="n">
        <v>15749.04</v>
      </c>
      <c r="G264" s="71">
        <f>IF(F264&gt;0, D264/F264, 0)</f>
        <v/>
      </c>
    </row>
    <row r="265">
      <c r="A265" s="36" t="inlineStr">
        <is>
          <t>2025-09-21</t>
        </is>
      </c>
      <c r="B265" s="36" t="n">
        <v>9</v>
      </c>
      <c r="C265" s="36" t="n">
        <v>11.25</v>
      </c>
      <c r="D265" s="36" t="n">
        <v>10451.11</v>
      </c>
      <c r="E265" s="36" t="n">
        <v>5256.51</v>
      </c>
      <c r="F265" s="36" t="n">
        <v>15707.62</v>
      </c>
      <c r="G265" s="71">
        <f>IF(F265&gt;0, D265/F265, 0)</f>
        <v/>
      </c>
    </row>
    <row r="266">
      <c r="A266" s="36" t="inlineStr">
        <is>
          <t>2025-09-22</t>
        </is>
      </c>
      <c r="B266" s="36" t="n">
        <v>9</v>
      </c>
      <c r="C266" s="36" t="n">
        <v>11.17</v>
      </c>
      <c r="D266" s="36" t="n">
        <v>3058.37</v>
      </c>
      <c r="E266" s="36" t="n">
        <v>12362.77</v>
      </c>
      <c r="F266" s="36" t="n">
        <v>15421.14</v>
      </c>
      <c r="G266" s="71">
        <f>IF(F266&gt;0, D266/F266, 0)</f>
        <v/>
      </c>
    </row>
    <row r="267">
      <c r="A267" s="36" t="inlineStr">
        <is>
          <t>2025-09-23</t>
        </is>
      </c>
      <c r="B267" s="36" t="n">
        <v>9</v>
      </c>
      <c r="C267" s="36" t="n">
        <v>11.08</v>
      </c>
      <c r="D267" s="36" t="n">
        <v>1971.02</v>
      </c>
      <c r="E267" s="36" t="n">
        <v>12929.25</v>
      </c>
      <c r="F267" s="36" t="n">
        <v>14900.27</v>
      </c>
      <c r="G267" s="71">
        <f>IF(F267&gt;0, D267/F267, 0)</f>
        <v/>
      </c>
    </row>
    <row r="268">
      <c r="A268" s="36" t="inlineStr">
        <is>
          <t>2025-09-24</t>
        </is>
      </c>
      <c r="B268" s="36" t="n">
        <v>9</v>
      </c>
      <c r="C268" s="36" t="n">
        <v>11.08</v>
      </c>
      <c r="D268" s="36" t="n">
        <v>1258.62</v>
      </c>
      <c r="E268" s="36" t="n">
        <v>13074.14</v>
      </c>
      <c r="F268" s="36" t="n">
        <v>14332.76</v>
      </c>
      <c r="G268" s="71">
        <f>IF(F268&gt;0, D268/F268, 0)</f>
        <v/>
      </c>
    </row>
    <row r="269">
      <c r="A269" s="36" t="inlineStr">
        <is>
          <t>2025-09-25</t>
        </is>
      </c>
      <c r="B269" s="36" t="n">
        <v>9</v>
      </c>
      <c r="C269" s="36" t="n">
        <v>10.92</v>
      </c>
      <c r="D269" s="36" t="n">
        <v>3185</v>
      </c>
      <c r="E269" s="36" t="n">
        <v>10500.48</v>
      </c>
      <c r="F269" s="36" t="n">
        <v>13685.48</v>
      </c>
      <c r="G269" s="71">
        <f>IF(F269&gt;0, D269/F269, 0)</f>
        <v/>
      </c>
    </row>
    <row r="270">
      <c r="A270" s="36" t="inlineStr">
        <is>
          <t>2025-09-26</t>
        </is>
      </c>
      <c r="B270" s="36" t="n">
        <v>9</v>
      </c>
      <c r="C270" s="36" t="n">
        <v>10.92</v>
      </c>
      <c r="D270" s="36" t="n">
        <v>1932.49</v>
      </c>
      <c r="E270" s="36" t="n">
        <v>12661.63</v>
      </c>
      <c r="F270" s="36" t="n">
        <v>14594.12</v>
      </c>
      <c r="G270" s="71">
        <f>IF(F270&gt;0, D270/F270, 0)</f>
        <v/>
      </c>
    </row>
    <row r="271">
      <c r="A271" s="36" t="inlineStr">
        <is>
          <t>2025-09-27</t>
        </is>
      </c>
      <c r="B271" s="36" t="n">
        <v>9</v>
      </c>
      <c r="C271" s="36" t="n">
        <v>10.92</v>
      </c>
      <c r="D271" s="36" t="n">
        <v>6094.1</v>
      </c>
      <c r="E271" s="36" t="n">
        <v>8097.08</v>
      </c>
      <c r="F271" s="36" t="n">
        <v>14191.18</v>
      </c>
      <c r="G271" s="71">
        <f>IF(F271&gt;0, D271/F271, 0)</f>
        <v/>
      </c>
    </row>
    <row r="272">
      <c r="A272" s="36" t="inlineStr">
        <is>
          <t>2025-09-28</t>
        </is>
      </c>
      <c r="B272" s="36" t="n">
        <v>9</v>
      </c>
      <c r="C272" s="36" t="n">
        <v>10.83</v>
      </c>
      <c r="D272" s="36" t="n">
        <v>7756.54</v>
      </c>
      <c r="E272" s="36" t="n">
        <v>6437.16</v>
      </c>
      <c r="F272" s="36" t="n">
        <v>14193.7</v>
      </c>
      <c r="G272" s="71">
        <f>IF(F272&gt;0, D272/F272, 0)</f>
        <v/>
      </c>
    </row>
    <row r="273">
      <c r="A273" s="36" t="inlineStr">
        <is>
          <t>2025-09-29</t>
        </is>
      </c>
      <c r="B273" s="36" t="n">
        <v>9</v>
      </c>
      <c r="C273" s="36" t="n">
        <v>10.92</v>
      </c>
      <c r="D273" s="36" t="n">
        <v>3991.24</v>
      </c>
      <c r="E273" s="36" t="n">
        <v>9842.08</v>
      </c>
      <c r="F273" s="36" t="n">
        <v>13833.32</v>
      </c>
      <c r="G273" s="71">
        <f>IF(F273&gt;0, D273/F273, 0)</f>
        <v/>
      </c>
    </row>
    <row r="274">
      <c r="A274" s="36" t="inlineStr">
        <is>
          <t>2025-09-30</t>
        </is>
      </c>
      <c r="B274" s="36" t="n">
        <v>9</v>
      </c>
      <c r="C274" s="36" t="n">
        <v>10.83</v>
      </c>
      <c r="D274" s="36" t="n">
        <v>7180.92</v>
      </c>
      <c r="E274" s="36" t="n">
        <v>6453.03</v>
      </c>
      <c r="F274" s="36" t="n">
        <v>13633.95</v>
      </c>
      <c r="G274" s="71">
        <f>IF(F274&gt;0, D274/F274, 0)</f>
        <v/>
      </c>
    </row>
    <row r="275">
      <c r="A275" s="36" t="inlineStr">
        <is>
          <t>2025-10-01</t>
        </is>
      </c>
      <c r="B275" s="36" t="n">
        <v>10</v>
      </c>
      <c r="C275" s="36" t="n">
        <v>10.67</v>
      </c>
      <c r="D275" s="36" t="n">
        <v>7270.74</v>
      </c>
      <c r="E275" s="36" t="n">
        <v>5925.61</v>
      </c>
      <c r="F275" s="36" t="n">
        <v>13196.35</v>
      </c>
      <c r="G275" s="71">
        <f>IF(F275&gt;0, D275/F275, 0)</f>
        <v/>
      </c>
    </row>
    <row r="276">
      <c r="A276" s="36" t="inlineStr">
        <is>
          <t>2025-10-02</t>
        </is>
      </c>
      <c r="B276" s="36" t="n">
        <v>10</v>
      </c>
      <c r="C276" s="36" t="n">
        <v>10.75</v>
      </c>
      <c r="D276" s="36" t="n">
        <v>5137.34</v>
      </c>
      <c r="E276" s="36" t="n">
        <v>7736.06</v>
      </c>
      <c r="F276" s="36" t="n">
        <v>12873.4</v>
      </c>
      <c r="G276" s="71">
        <f>IF(F276&gt;0, D276/F276, 0)</f>
        <v/>
      </c>
    </row>
    <row r="277">
      <c r="A277" s="36" t="inlineStr">
        <is>
          <t>2025-10-03</t>
        </is>
      </c>
      <c r="B277" s="36" t="n">
        <v>10</v>
      </c>
      <c r="C277" s="36" t="n">
        <v>10.58</v>
      </c>
      <c r="D277" s="36" t="n">
        <v>8429.85</v>
      </c>
      <c r="E277" s="36" t="n">
        <v>4261.01</v>
      </c>
      <c r="F277" s="36" t="n">
        <v>12690.86</v>
      </c>
      <c r="G277" s="71">
        <f>IF(F277&gt;0, D277/F277, 0)</f>
        <v/>
      </c>
    </row>
    <row r="278">
      <c r="A278" s="36" t="inlineStr">
        <is>
          <t>2025-10-04</t>
        </is>
      </c>
      <c r="B278" s="36" t="n">
        <v>10</v>
      </c>
      <c r="C278" s="36" t="n">
        <v>10.42</v>
      </c>
      <c r="D278" s="36" t="n">
        <v>7187.52</v>
      </c>
      <c r="E278" s="36" t="n">
        <v>6319.78</v>
      </c>
      <c r="F278" s="36" t="n">
        <v>13507.3</v>
      </c>
      <c r="G278" s="71">
        <f>IF(F278&gt;0, D278/F278, 0)</f>
        <v/>
      </c>
    </row>
    <row r="279">
      <c r="A279" s="36" t="inlineStr">
        <is>
          <t>2025-10-05</t>
        </is>
      </c>
      <c r="B279" s="36" t="n">
        <v>10</v>
      </c>
      <c r="C279" s="36" t="n">
        <v>10.42</v>
      </c>
      <c r="D279" s="36" t="n">
        <v>10485.66</v>
      </c>
      <c r="E279" s="36" t="n">
        <v>2029.06</v>
      </c>
      <c r="F279" s="36" t="n">
        <v>12514.72</v>
      </c>
      <c r="G279" s="71">
        <f>IF(F279&gt;0, D279/F279, 0)</f>
        <v/>
      </c>
    </row>
    <row r="280">
      <c r="A280" s="36" t="inlineStr">
        <is>
          <t>2025-10-06</t>
        </is>
      </c>
      <c r="B280" s="36" t="n">
        <v>10</v>
      </c>
      <c r="C280" s="36" t="n">
        <v>10.75</v>
      </c>
      <c r="D280" s="36" t="n">
        <v>8359.58</v>
      </c>
      <c r="E280" s="36" t="n">
        <v>4865.58</v>
      </c>
      <c r="F280" s="36" t="n">
        <v>13225.16</v>
      </c>
      <c r="G280" s="71">
        <f>IF(F280&gt;0, D280/F280, 0)</f>
        <v/>
      </c>
    </row>
    <row r="281">
      <c r="A281" s="36" t="inlineStr">
        <is>
          <t>2025-10-07</t>
        </is>
      </c>
      <c r="B281" s="36" t="n">
        <v>10</v>
      </c>
      <c r="C281" s="36" t="n">
        <v>10.5</v>
      </c>
      <c r="D281" s="36" t="n">
        <v>6569.17</v>
      </c>
      <c r="E281" s="36" t="n">
        <v>5956.24</v>
      </c>
      <c r="F281" s="36" t="n">
        <v>12525.41</v>
      </c>
      <c r="G281" s="71">
        <f>IF(F281&gt;0, D281/F281, 0)</f>
        <v/>
      </c>
    </row>
    <row r="282">
      <c r="A282" s="36" t="inlineStr">
        <is>
          <t>2025-10-08</t>
        </is>
      </c>
      <c r="B282" s="36" t="n">
        <v>10</v>
      </c>
      <c r="C282" s="36" t="n">
        <v>9.25</v>
      </c>
      <c r="D282" s="36" t="n">
        <v>10913.62</v>
      </c>
      <c r="E282" s="36" t="n">
        <v>1064.95</v>
      </c>
      <c r="F282" s="36" t="n">
        <v>11978.57</v>
      </c>
      <c r="G282" s="71">
        <f>IF(F282&gt;0, D282/F282, 0)</f>
        <v/>
      </c>
    </row>
    <row r="283">
      <c r="A283" s="36" t="inlineStr">
        <is>
          <t>2025-10-09</t>
        </is>
      </c>
      <c r="B283" s="36" t="n">
        <v>10</v>
      </c>
      <c r="C283" s="36" t="n">
        <v>10.67</v>
      </c>
      <c r="D283" s="36" t="n">
        <v>8088.26</v>
      </c>
      <c r="E283" s="36" t="n">
        <v>1981.29</v>
      </c>
      <c r="F283" s="36" t="n">
        <v>10069.55</v>
      </c>
      <c r="G283" s="71">
        <f>IF(F283&gt;0, D283/F283, 0)</f>
        <v/>
      </c>
    </row>
    <row r="284">
      <c r="A284" s="36" t="inlineStr">
        <is>
          <t>2025-10-10</t>
        </is>
      </c>
      <c r="B284" s="36" t="n">
        <v>10</v>
      </c>
      <c r="C284" s="36" t="n">
        <v>10.5</v>
      </c>
      <c r="D284" s="36" t="n">
        <v>7609.26</v>
      </c>
      <c r="E284" s="36" t="n">
        <v>4935.05</v>
      </c>
      <c r="F284" s="36" t="n">
        <v>12544.31</v>
      </c>
      <c r="G284" s="71">
        <f>IF(F284&gt;0, D284/F284, 0)</f>
        <v/>
      </c>
    </row>
    <row r="285">
      <c r="A285" s="36" t="inlineStr">
        <is>
          <t>2025-10-11</t>
        </is>
      </c>
      <c r="B285" s="36" t="n">
        <v>10</v>
      </c>
      <c r="C285" s="36" t="n">
        <v>10.5</v>
      </c>
      <c r="D285" s="36" t="n">
        <v>11388.89</v>
      </c>
      <c r="E285" s="36" t="n">
        <v>2891.49</v>
      </c>
      <c r="F285" s="36" t="n">
        <v>14280.38</v>
      </c>
      <c r="G285" s="71">
        <f>IF(F285&gt;0, D285/F285, 0)</f>
        <v/>
      </c>
    </row>
    <row r="286">
      <c r="A286" s="36" t="inlineStr">
        <is>
          <t>2025-10-12</t>
        </is>
      </c>
      <c r="B286" s="36" t="n">
        <v>10</v>
      </c>
      <c r="C286" s="36" t="n">
        <v>10.25</v>
      </c>
      <c r="D286" s="36" t="n">
        <v>9583.709999999999</v>
      </c>
      <c r="E286" s="36" t="n">
        <v>1388.71</v>
      </c>
      <c r="F286" s="36" t="n">
        <v>10972.42</v>
      </c>
      <c r="G286" s="71">
        <f>IF(F286&gt;0, D286/F286, 0)</f>
        <v/>
      </c>
    </row>
    <row r="287">
      <c r="A287" s="36" t="inlineStr">
        <is>
          <t>2025-10-13</t>
        </is>
      </c>
      <c r="B287" s="36" t="n">
        <v>10</v>
      </c>
      <c r="C287" s="36" t="n">
        <v>10.42</v>
      </c>
      <c r="D287" s="36" t="n">
        <v>10516.57</v>
      </c>
      <c r="E287" s="36" t="n">
        <v>3936.95</v>
      </c>
      <c r="F287" s="36" t="n">
        <v>14453.52</v>
      </c>
      <c r="G287" s="71">
        <f>IF(F287&gt;0, D287/F287, 0)</f>
        <v/>
      </c>
    </row>
    <row r="288">
      <c r="A288" s="36" t="inlineStr">
        <is>
          <t>2025-10-14</t>
        </is>
      </c>
      <c r="B288" s="36" t="n">
        <v>10</v>
      </c>
      <c r="C288" s="36" t="n">
        <v>10.08</v>
      </c>
      <c r="D288" s="36" t="n">
        <v>10861.83</v>
      </c>
      <c r="E288" s="36" t="n">
        <v>2954.24</v>
      </c>
      <c r="F288" s="36" t="n">
        <v>13816.07</v>
      </c>
      <c r="G288" s="71">
        <f>IF(F288&gt;0, D288/F288, 0)</f>
        <v/>
      </c>
    </row>
    <row r="289">
      <c r="A289" s="36" t="inlineStr">
        <is>
          <t>2025-10-15</t>
        </is>
      </c>
      <c r="B289" s="36" t="n">
        <v>10</v>
      </c>
      <c r="C289" s="36" t="n">
        <v>10.42</v>
      </c>
      <c r="D289" s="36" t="n">
        <v>7855.62</v>
      </c>
      <c r="E289" s="36" t="n">
        <v>3701.54</v>
      </c>
      <c r="F289" s="36" t="n">
        <v>11557.16</v>
      </c>
      <c r="G289" s="71">
        <f>IF(F289&gt;0, D289/F289, 0)</f>
        <v/>
      </c>
    </row>
    <row r="290">
      <c r="A290" s="36" t="inlineStr">
        <is>
          <t>2025-10-16</t>
        </is>
      </c>
      <c r="B290" s="36" t="n">
        <v>10</v>
      </c>
      <c r="C290" s="36" t="n">
        <v>10.33</v>
      </c>
      <c r="D290" s="36" t="n">
        <v>7839.79</v>
      </c>
      <c r="E290" s="36" t="n">
        <v>5417.52</v>
      </c>
      <c r="F290" s="36" t="n">
        <v>13257.31</v>
      </c>
      <c r="G290" s="71">
        <f>IF(F290&gt;0, D290/F290, 0)</f>
        <v/>
      </c>
    </row>
    <row r="291">
      <c r="A291" s="36" t="inlineStr">
        <is>
          <t>2025-10-17</t>
        </is>
      </c>
      <c r="B291" s="36" t="n">
        <v>10</v>
      </c>
      <c r="C291" s="36" t="n">
        <v>10.25</v>
      </c>
      <c r="D291" s="36" t="n">
        <v>9795.99</v>
      </c>
      <c r="E291" s="36" t="n">
        <v>4012.98</v>
      </c>
      <c r="F291" s="36" t="n">
        <v>13808.97</v>
      </c>
      <c r="G291" s="71">
        <f>IF(F291&gt;0, D291/F291, 0)</f>
        <v/>
      </c>
    </row>
    <row r="292">
      <c r="A292" s="36" t="inlineStr">
        <is>
          <t>2025-10-18</t>
        </is>
      </c>
      <c r="B292" s="36" t="n">
        <v>10</v>
      </c>
      <c r="C292" s="36" t="n">
        <v>10.25</v>
      </c>
      <c r="D292" s="36" t="n">
        <v>10228.52</v>
      </c>
      <c r="E292" s="36" t="n">
        <v>2986.73</v>
      </c>
      <c r="F292" s="36" t="n">
        <v>13215.25</v>
      </c>
      <c r="G292" s="71">
        <f>IF(F292&gt;0, D292/F292, 0)</f>
        <v/>
      </c>
    </row>
    <row r="293">
      <c r="A293" s="36" t="inlineStr">
        <is>
          <t>2025-10-19</t>
        </is>
      </c>
      <c r="B293" s="36" t="n">
        <v>10</v>
      </c>
      <c r="C293" s="36" t="n">
        <v>10.25</v>
      </c>
      <c r="D293" s="36" t="n">
        <v>9452.870000000001</v>
      </c>
      <c r="E293" s="36" t="n">
        <v>3059.18</v>
      </c>
      <c r="F293" s="36" t="n">
        <v>12512.05</v>
      </c>
      <c r="G293" s="71">
        <f>IF(F293&gt;0, D293/F293, 0)</f>
        <v/>
      </c>
    </row>
    <row r="294">
      <c r="A294" s="36" t="inlineStr">
        <is>
          <t>2025-10-20</t>
        </is>
      </c>
      <c r="B294" s="36" t="n">
        <v>10</v>
      </c>
      <c r="C294" s="36" t="n">
        <v>10.17</v>
      </c>
      <c r="D294" s="36" t="n">
        <v>8426.190000000001</v>
      </c>
      <c r="E294" s="36" t="n">
        <v>3908.59</v>
      </c>
      <c r="F294" s="36" t="n">
        <v>12334.78</v>
      </c>
      <c r="G294" s="71">
        <f>IF(F294&gt;0, D294/F294, 0)</f>
        <v/>
      </c>
    </row>
    <row r="295">
      <c r="A295" s="36" t="inlineStr">
        <is>
          <t>2025-10-21</t>
        </is>
      </c>
      <c r="B295" s="36" t="n">
        <v>10</v>
      </c>
      <c r="C295" s="36" t="n">
        <v>8.67</v>
      </c>
      <c r="D295" s="36" t="n">
        <v>6389.9</v>
      </c>
      <c r="E295" s="36" t="n">
        <v>1176.19</v>
      </c>
      <c r="F295" s="36" t="n">
        <v>7566.09</v>
      </c>
      <c r="G295" s="71">
        <f>IF(F295&gt;0, D295/F295, 0)</f>
        <v/>
      </c>
    </row>
    <row r="296">
      <c r="A296" s="36" t="inlineStr">
        <is>
          <t>2025-10-22</t>
        </is>
      </c>
      <c r="B296" s="36" t="n">
        <v>10</v>
      </c>
      <c r="C296" s="36" t="n">
        <v>9.58</v>
      </c>
      <c r="D296" s="36" t="n">
        <v>7169.6</v>
      </c>
      <c r="E296" s="36" t="n">
        <v>3750.65</v>
      </c>
      <c r="F296" s="36" t="n">
        <v>10920.25</v>
      </c>
      <c r="G296" s="71">
        <f>IF(F296&gt;0, D296/F296, 0)</f>
        <v/>
      </c>
    </row>
    <row r="297">
      <c r="A297" s="36" t="inlineStr">
        <is>
          <t>2025-10-23</t>
        </is>
      </c>
      <c r="B297" s="36" t="n">
        <v>10</v>
      </c>
      <c r="C297" s="36" t="n">
        <v>10.17</v>
      </c>
      <c r="D297" s="36" t="n">
        <v>6609.23</v>
      </c>
      <c r="E297" s="36" t="n">
        <v>5378.92</v>
      </c>
      <c r="F297" s="36" t="n">
        <v>11988.15</v>
      </c>
      <c r="G297" s="71">
        <f>IF(F297&gt;0, D297/F297, 0)</f>
        <v/>
      </c>
    </row>
    <row r="298">
      <c r="A298" s="36" t="inlineStr">
        <is>
          <t>2025-10-24</t>
        </is>
      </c>
      <c r="B298" s="36" t="n">
        <v>10</v>
      </c>
      <c r="C298" s="36" t="n">
        <v>9.83</v>
      </c>
      <c r="D298" s="36" t="n">
        <v>5143.48</v>
      </c>
      <c r="E298" s="36" t="n">
        <v>6945.68</v>
      </c>
      <c r="F298" s="36" t="n">
        <v>12089.17</v>
      </c>
      <c r="G298" s="71">
        <f>IF(F298&gt;0, D298/F298, 0)</f>
        <v/>
      </c>
    </row>
    <row r="299">
      <c r="A299" s="36" t="inlineStr">
        <is>
          <t>2025-10-25</t>
        </is>
      </c>
      <c r="B299" s="36" t="n">
        <v>10</v>
      </c>
      <c r="C299" s="36" t="n">
        <v>9.42</v>
      </c>
      <c r="D299" s="36" t="n">
        <v>7714.28</v>
      </c>
      <c r="E299" s="36" t="n">
        <v>3120.11</v>
      </c>
      <c r="F299" s="36" t="n">
        <v>10834.39</v>
      </c>
      <c r="G299" s="71">
        <f>IF(F299&gt;0, D299/F299, 0)</f>
        <v/>
      </c>
    </row>
    <row r="300">
      <c r="A300" s="36" t="inlineStr">
        <is>
          <t>2025-10-26</t>
        </is>
      </c>
      <c r="B300" s="36" t="n">
        <v>10</v>
      </c>
      <c r="C300" s="36" t="n">
        <v>9.75</v>
      </c>
      <c r="D300" s="36" t="n">
        <v>10617.72</v>
      </c>
      <c r="E300" s="36" t="n">
        <v>1385.08</v>
      </c>
      <c r="F300" s="36" t="n">
        <v>12002.8</v>
      </c>
      <c r="G300" s="71">
        <f>IF(F300&gt;0, D300/F300, 0)</f>
        <v/>
      </c>
    </row>
    <row r="301">
      <c r="A301" s="36" t="inlineStr">
        <is>
          <t>2025-10-27</t>
        </is>
      </c>
      <c r="B301" s="36" t="n">
        <v>10</v>
      </c>
      <c r="C301" s="36" t="n">
        <v>9.75</v>
      </c>
      <c r="D301" s="36" t="n">
        <v>5889.71</v>
      </c>
      <c r="E301" s="36" t="n">
        <v>6049.9</v>
      </c>
      <c r="F301" s="36" t="n">
        <v>11939.61</v>
      </c>
      <c r="G301" s="71">
        <f>IF(F301&gt;0, D301/F301, 0)</f>
        <v/>
      </c>
    </row>
    <row r="302">
      <c r="A302" s="36" t="inlineStr">
        <is>
          <t>2025-10-28</t>
        </is>
      </c>
      <c r="B302" s="36" t="n">
        <v>10</v>
      </c>
      <c r="C302" s="36" t="n">
        <v>9.58</v>
      </c>
      <c r="D302" s="36" t="n">
        <v>6477.62</v>
      </c>
      <c r="E302" s="36" t="n">
        <v>4005.38</v>
      </c>
      <c r="F302" s="36" t="n">
        <v>10483</v>
      </c>
      <c r="G302" s="71">
        <f>IF(F302&gt;0, D302/F302, 0)</f>
        <v/>
      </c>
    </row>
    <row r="303">
      <c r="A303" s="36" t="inlineStr">
        <is>
          <t>2025-10-29</t>
        </is>
      </c>
      <c r="B303" s="36" t="n">
        <v>10</v>
      </c>
      <c r="C303" s="36" t="n">
        <v>9.58</v>
      </c>
      <c r="D303" s="36" t="n">
        <v>3757.72</v>
      </c>
      <c r="E303" s="36" t="n">
        <v>5205.58</v>
      </c>
      <c r="F303" s="36" t="n">
        <v>8963.299999999999</v>
      </c>
      <c r="G303" s="71">
        <f>IF(F303&gt;0, D303/F303, 0)</f>
        <v/>
      </c>
    </row>
    <row r="304">
      <c r="A304" s="36" t="inlineStr">
        <is>
          <t>2025-10-30</t>
        </is>
      </c>
      <c r="B304" s="36" t="n">
        <v>10</v>
      </c>
      <c r="C304" s="36" t="n">
        <v>9.92</v>
      </c>
      <c r="D304" s="36" t="n">
        <v>7438.57</v>
      </c>
      <c r="E304" s="36" t="n">
        <v>4280.15</v>
      </c>
      <c r="F304" s="36" t="n">
        <v>11718.72</v>
      </c>
      <c r="G304" s="71">
        <f>IF(F304&gt;0, D304/F304, 0)</f>
        <v/>
      </c>
    </row>
    <row r="305">
      <c r="A305" s="36" t="inlineStr">
        <is>
          <t>2025-10-31</t>
        </is>
      </c>
      <c r="B305" s="36" t="n">
        <v>10</v>
      </c>
      <c r="C305" s="36" t="n">
        <v>9.83</v>
      </c>
      <c r="D305" s="36" t="n">
        <v>6430.24</v>
      </c>
      <c r="E305" s="36" t="n">
        <v>5274.33</v>
      </c>
      <c r="F305" s="36" t="n">
        <v>11704.58</v>
      </c>
      <c r="G305" s="71">
        <f>IF(F305&gt;0, D305/F305, 0)</f>
        <v/>
      </c>
    </row>
    <row r="306">
      <c r="A306" s="36" t="inlineStr">
        <is>
          <t>2025-11-01</t>
        </is>
      </c>
      <c r="B306" s="36" t="n">
        <v>11</v>
      </c>
      <c r="C306" s="36" t="n">
        <v>9.75</v>
      </c>
      <c r="D306" s="36" t="n">
        <v>6691.12</v>
      </c>
      <c r="E306" s="36" t="n">
        <v>4522.65</v>
      </c>
      <c r="F306" s="36" t="n">
        <v>11213.77</v>
      </c>
      <c r="G306" s="71">
        <f>IF(F306&gt;0, D306/F306, 0)</f>
        <v/>
      </c>
    </row>
    <row r="307">
      <c r="A307" s="36" t="inlineStr">
        <is>
          <t>2025-11-02</t>
        </is>
      </c>
      <c r="B307" s="36" t="n">
        <v>11</v>
      </c>
      <c r="C307" s="36" t="n">
        <v>9.58</v>
      </c>
      <c r="D307" s="36" t="n">
        <v>5010.69</v>
      </c>
      <c r="E307" s="36" t="n">
        <v>5231.87</v>
      </c>
      <c r="F307" s="36" t="n">
        <v>10242.56</v>
      </c>
      <c r="G307" s="71">
        <f>IF(F307&gt;0, D307/F307, 0)</f>
        <v/>
      </c>
    </row>
    <row r="308">
      <c r="A308" s="36" t="inlineStr">
        <is>
          <t>2025-11-03</t>
        </is>
      </c>
      <c r="B308" s="36" t="n">
        <v>11</v>
      </c>
      <c r="C308" s="36" t="n">
        <v>9.58</v>
      </c>
      <c r="D308" s="36" t="n">
        <v>2353.24</v>
      </c>
      <c r="E308" s="36" t="n">
        <v>5664.73</v>
      </c>
      <c r="F308" s="36" t="n">
        <v>8017.97</v>
      </c>
      <c r="G308" s="71">
        <f>IF(F308&gt;0, D308/F308, 0)</f>
        <v/>
      </c>
    </row>
    <row r="309">
      <c r="A309" s="36" t="inlineStr">
        <is>
          <t>2025-11-04</t>
        </is>
      </c>
      <c r="B309" s="36" t="n">
        <v>11</v>
      </c>
      <c r="C309" s="36" t="n">
        <v>9.58</v>
      </c>
      <c r="D309" s="36" t="n">
        <v>4484.54</v>
      </c>
      <c r="E309" s="36" t="n">
        <v>5058.63</v>
      </c>
      <c r="F309" s="36" t="n">
        <v>9543.17</v>
      </c>
      <c r="G309" s="71">
        <f>IF(F309&gt;0, D309/F309, 0)</f>
        <v/>
      </c>
    </row>
    <row r="310">
      <c r="A310" s="36" t="inlineStr">
        <is>
          <t>2025-11-05</t>
        </is>
      </c>
      <c r="B310" s="36" t="n">
        <v>11</v>
      </c>
      <c r="C310" s="36" t="n">
        <v>9.42</v>
      </c>
      <c r="D310" s="36" t="n">
        <v>2811.59</v>
      </c>
      <c r="E310" s="36" t="n">
        <v>4781.35</v>
      </c>
      <c r="F310" s="36" t="n">
        <v>7592.94</v>
      </c>
      <c r="G310" s="71">
        <f>IF(F310&gt;0, D310/F310, 0)</f>
        <v/>
      </c>
    </row>
    <row r="311">
      <c r="A311" s="36" t="inlineStr">
        <is>
          <t>2025-11-06</t>
        </is>
      </c>
      <c r="B311" s="36" t="n">
        <v>11</v>
      </c>
      <c r="C311" s="36" t="n">
        <v>9.42</v>
      </c>
      <c r="D311" s="36" t="n">
        <v>3580.69</v>
      </c>
      <c r="E311" s="36" t="n">
        <v>4529.32</v>
      </c>
      <c r="F311" s="36" t="n">
        <v>8110.01</v>
      </c>
      <c r="G311" s="71">
        <f>IF(F311&gt;0, D311/F311, 0)</f>
        <v/>
      </c>
    </row>
    <row r="312">
      <c r="A312" s="36" t="inlineStr">
        <is>
          <t>2025-11-07</t>
        </is>
      </c>
      <c r="B312" s="36" t="n">
        <v>11</v>
      </c>
      <c r="C312" s="36" t="n">
        <v>9.42</v>
      </c>
      <c r="D312" s="36" t="n">
        <v>2538.18</v>
      </c>
      <c r="E312" s="36" t="n">
        <v>5004.54</v>
      </c>
      <c r="F312" s="36" t="n">
        <v>7542.72</v>
      </c>
      <c r="G312" s="71">
        <f>IF(F312&gt;0, D312/F312, 0)</f>
        <v/>
      </c>
    </row>
    <row r="313">
      <c r="A313" s="36" t="inlineStr">
        <is>
          <t>2025-11-08</t>
        </is>
      </c>
      <c r="B313" s="36" t="n">
        <v>11</v>
      </c>
      <c r="C313" s="36" t="n">
        <v>9.42</v>
      </c>
      <c r="D313" s="36" t="n">
        <v>6799.56</v>
      </c>
      <c r="E313" s="36" t="n">
        <v>2346.72</v>
      </c>
      <c r="F313" s="36" t="n">
        <v>9146.280000000001</v>
      </c>
      <c r="G313" s="71">
        <f>IF(F313&gt;0, D313/F313, 0)</f>
        <v/>
      </c>
    </row>
    <row r="314">
      <c r="A314" s="36" t="inlineStr">
        <is>
          <t>2025-11-09</t>
        </is>
      </c>
      <c r="B314" s="36" t="n">
        <v>11</v>
      </c>
      <c r="C314" s="36" t="n">
        <v>9.42</v>
      </c>
      <c r="D314" s="36" t="n">
        <v>7492.79</v>
      </c>
      <c r="E314" s="36" t="n">
        <v>1336.16</v>
      </c>
      <c r="F314" s="36" t="n">
        <v>8828.950000000001</v>
      </c>
      <c r="G314" s="71">
        <f>IF(F314&gt;0, D314/F314, 0)</f>
        <v/>
      </c>
    </row>
    <row r="315">
      <c r="A315" s="36" t="inlineStr">
        <is>
          <t>2025-11-10</t>
        </is>
      </c>
      <c r="B315" s="36" t="n">
        <v>11</v>
      </c>
      <c r="C315" s="36" t="n">
        <v>9.08</v>
      </c>
      <c r="D315" s="36" t="n">
        <v>1793.13</v>
      </c>
      <c r="E315" s="36" t="n">
        <v>6349.25</v>
      </c>
      <c r="F315" s="36" t="n">
        <v>8142.38</v>
      </c>
      <c r="G315" s="71">
        <f>IF(F315&gt;0, D315/F315, 0)</f>
        <v/>
      </c>
    </row>
    <row r="316">
      <c r="A316" s="36" t="inlineStr">
        <is>
          <t>2025-11-11</t>
        </is>
      </c>
      <c r="B316" s="36" t="n">
        <v>11</v>
      </c>
      <c r="C316" s="36" t="n">
        <v>8.25</v>
      </c>
      <c r="D316" s="36" t="n">
        <v>4584.07</v>
      </c>
      <c r="E316" s="36" t="n">
        <v>1243.02</v>
      </c>
      <c r="F316" s="36" t="n">
        <v>5827.09</v>
      </c>
      <c r="G316" s="71">
        <f>IF(F316&gt;0, D316/F316, 0)</f>
        <v/>
      </c>
    </row>
    <row r="317">
      <c r="A317" s="36" t="inlineStr">
        <is>
          <t>2025-11-12</t>
        </is>
      </c>
      <c r="B317" s="36" t="n">
        <v>11</v>
      </c>
      <c r="C317" s="36" t="n">
        <v>8.83</v>
      </c>
      <c r="D317" s="36" t="n">
        <v>2989</v>
      </c>
      <c r="E317" s="36" t="n">
        <v>5640.99</v>
      </c>
      <c r="F317" s="36" t="n">
        <v>8629.99</v>
      </c>
      <c r="G317" s="71">
        <f>IF(F317&gt;0, D317/F317, 0)</f>
        <v/>
      </c>
    </row>
    <row r="318">
      <c r="A318" s="36" t="inlineStr">
        <is>
          <t>2025-11-13</t>
        </is>
      </c>
      <c r="B318" s="36" t="n">
        <v>11</v>
      </c>
      <c r="C318" s="36" t="n">
        <v>8.58</v>
      </c>
      <c r="D318" s="36" t="n">
        <v>2363</v>
      </c>
      <c r="E318" s="36" t="n">
        <v>4758.09</v>
      </c>
      <c r="F318" s="36" t="n">
        <v>7121.09</v>
      </c>
      <c r="G318" s="71">
        <f>IF(F318&gt;0, D318/F318, 0)</f>
        <v/>
      </c>
    </row>
    <row r="319">
      <c r="A319" s="36" t="inlineStr">
        <is>
          <t>2025-11-14</t>
        </is>
      </c>
      <c r="B319" s="36" t="n">
        <v>11</v>
      </c>
      <c r="C319" s="36" t="n">
        <v>8.17</v>
      </c>
      <c r="D319" s="36" t="n">
        <v>6002.54</v>
      </c>
      <c r="E319" s="36" t="n">
        <v>2064.8</v>
      </c>
      <c r="F319" s="36" t="n">
        <v>8067.34</v>
      </c>
      <c r="G319" s="71">
        <f>IF(F319&gt;0, D319/F319, 0)</f>
        <v/>
      </c>
    </row>
    <row r="320">
      <c r="A320" s="36" t="inlineStr">
        <is>
          <t>2025-11-15</t>
        </is>
      </c>
      <c r="B320" s="36" t="n">
        <v>11</v>
      </c>
      <c r="C320" s="36" t="n">
        <v>9.25</v>
      </c>
      <c r="D320" s="36" t="n">
        <v>6956.23</v>
      </c>
      <c r="E320" s="36" t="n">
        <v>3162.88</v>
      </c>
      <c r="F320" s="36" t="n">
        <v>10119.11</v>
      </c>
      <c r="G320" s="71">
        <f>IF(F320&gt;0, D320/F320, 0)</f>
        <v/>
      </c>
    </row>
    <row r="321">
      <c r="A321" s="36" t="inlineStr">
        <is>
          <t>2025-11-16</t>
        </is>
      </c>
      <c r="B321" s="36" t="n">
        <v>11</v>
      </c>
      <c r="C321" s="36" t="n">
        <v>9.33</v>
      </c>
      <c r="D321" s="36" t="n">
        <v>5403.29</v>
      </c>
      <c r="E321" s="36" t="n">
        <v>3768.18</v>
      </c>
      <c r="F321" s="36" t="n">
        <v>9171.469999999999</v>
      </c>
      <c r="G321" s="71">
        <f>IF(F321&gt;0, D321/F321, 0)</f>
        <v/>
      </c>
    </row>
    <row r="322">
      <c r="A322" s="36" t="inlineStr">
        <is>
          <t>2025-11-17</t>
        </is>
      </c>
      <c r="B322" s="36" t="n">
        <v>11</v>
      </c>
      <c r="C322" s="36" t="n">
        <v>9.08</v>
      </c>
      <c r="D322" s="36" t="n">
        <v>5576.38</v>
      </c>
      <c r="E322" s="36" t="n">
        <v>3569.76</v>
      </c>
      <c r="F322" s="36" t="n">
        <v>9146.139999999999</v>
      </c>
      <c r="G322" s="71">
        <f>IF(F322&gt;0, D322/F322, 0)</f>
        <v/>
      </c>
    </row>
    <row r="323">
      <c r="A323" s="36" t="inlineStr">
        <is>
          <t>2025-11-18</t>
        </is>
      </c>
      <c r="B323" s="36" t="n">
        <v>11</v>
      </c>
      <c r="C323" s="36" t="n">
        <v>6</v>
      </c>
      <c r="D323" s="36" t="n">
        <v>108.19</v>
      </c>
      <c r="E323" s="36" t="n">
        <v>5184.16</v>
      </c>
      <c r="F323" s="36" t="n">
        <v>5292.35</v>
      </c>
      <c r="G323" s="71">
        <f>IF(F323&gt;0, D323/F323, 0)</f>
        <v/>
      </c>
    </row>
    <row r="324">
      <c r="A324" s="36" t="inlineStr">
        <is>
          <t>2025-11-19</t>
        </is>
      </c>
      <c r="B324" s="36" t="n">
        <v>11</v>
      </c>
      <c r="C324" s="36" t="n">
        <v>9.17</v>
      </c>
      <c r="D324" s="36" t="n">
        <v>5278.55</v>
      </c>
      <c r="E324" s="36" t="n">
        <v>3358.44</v>
      </c>
      <c r="F324" s="36" t="n">
        <v>8636.99</v>
      </c>
      <c r="G324" s="71">
        <f>IF(F324&gt;0, D324/F324, 0)</f>
        <v/>
      </c>
    </row>
    <row r="325">
      <c r="A325" s="36" t="inlineStr">
        <is>
          <t>2025-11-20</t>
        </is>
      </c>
      <c r="B325" s="36" t="n">
        <v>11</v>
      </c>
      <c r="C325" s="36" t="n">
        <v>8.92</v>
      </c>
      <c r="D325" s="36" t="n">
        <v>4824.88</v>
      </c>
      <c r="E325" s="36" t="n">
        <v>3898.12</v>
      </c>
      <c r="F325" s="36" t="n">
        <v>8723</v>
      </c>
      <c r="G325" s="71">
        <f>IF(F325&gt;0, D325/F325, 0)</f>
        <v/>
      </c>
    </row>
    <row r="326">
      <c r="A326" s="36" t="inlineStr">
        <is>
          <t>2025-11-21</t>
        </is>
      </c>
      <c r="B326" s="36" t="n">
        <v>11</v>
      </c>
      <c r="C326" s="36" t="n">
        <v>9.08</v>
      </c>
      <c r="D326" s="36" t="n">
        <v>5019.26</v>
      </c>
      <c r="E326" s="36" t="n">
        <v>3643.02</v>
      </c>
      <c r="F326" s="36" t="n">
        <v>8662.280000000001</v>
      </c>
      <c r="G326" s="71">
        <f>IF(F326&gt;0, D326/F326, 0)</f>
        <v/>
      </c>
    </row>
    <row r="327">
      <c r="A327" s="36" t="inlineStr">
        <is>
          <t>2025-11-22</t>
        </is>
      </c>
      <c r="B327" s="36" t="n">
        <v>11</v>
      </c>
      <c r="C327" s="36" t="n">
        <v>9</v>
      </c>
      <c r="D327" s="36" t="n">
        <v>5957.41</v>
      </c>
      <c r="E327" s="36" t="n">
        <v>2558.02</v>
      </c>
      <c r="F327" s="36" t="n">
        <v>8515.43</v>
      </c>
      <c r="G327" s="71">
        <f>IF(F327&gt;0, D327/F327, 0)</f>
        <v/>
      </c>
    </row>
    <row r="328">
      <c r="A328" s="36" t="inlineStr">
        <is>
          <t>2025-11-23</t>
        </is>
      </c>
      <c r="B328" s="36" t="n">
        <v>11</v>
      </c>
      <c r="C328" s="36" t="n">
        <v>8.83</v>
      </c>
      <c r="D328" s="36" t="n">
        <v>6639.6</v>
      </c>
      <c r="E328" s="36" t="n">
        <v>1786.02</v>
      </c>
      <c r="F328" s="36" t="n">
        <v>8425.620000000001</v>
      </c>
      <c r="G328" s="71">
        <f>IF(F328&gt;0, D328/F328, 0)</f>
        <v/>
      </c>
    </row>
    <row r="329">
      <c r="A329" s="36" t="inlineStr">
        <is>
          <t>2025-11-24</t>
        </is>
      </c>
      <c r="B329" s="36" t="n">
        <v>11</v>
      </c>
      <c r="C329" s="36" t="n">
        <v>8.67</v>
      </c>
      <c r="D329" s="36" t="n">
        <v>2262.32</v>
      </c>
      <c r="E329" s="36" t="n">
        <v>3734.13</v>
      </c>
      <c r="F329" s="36" t="n">
        <v>5996.45</v>
      </c>
      <c r="G329" s="71">
        <f>IF(F329&gt;0, D329/F329, 0)</f>
        <v/>
      </c>
    </row>
    <row r="330">
      <c r="A330" s="36" t="inlineStr">
        <is>
          <t>2025-11-25</t>
        </is>
      </c>
      <c r="B330" s="36" t="n">
        <v>11</v>
      </c>
      <c r="C330" s="36" t="n">
        <v>6.92</v>
      </c>
      <c r="D330" s="36" t="n">
        <v>976.53</v>
      </c>
      <c r="E330" s="36" t="n">
        <v>2924.75</v>
      </c>
      <c r="F330" s="36" t="n">
        <v>3901.28</v>
      </c>
      <c r="G330" s="71">
        <f>IF(F330&gt;0, D330/F330, 0)</f>
        <v/>
      </c>
    </row>
    <row r="331">
      <c r="A331" s="36" t="inlineStr">
        <is>
          <t>2025-11-26</t>
        </is>
      </c>
      <c r="B331" s="36" t="n">
        <v>11</v>
      </c>
      <c r="C331" s="36" t="n">
        <v>8.83</v>
      </c>
      <c r="D331" s="36" t="n">
        <v>4416.29</v>
      </c>
      <c r="E331" s="36" t="n">
        <v>3419.97</v>
      </c>
      <c r="F331" s="36" t="n">
        <v>7836.26</v>
      </c>
      <c r="G331" s="71">
        <f>IF(F331&gt;0, D331/F331, 0)</f>
        <v/>
      </c>
    </row>
    <row r="332">
      <c r="A332" s="36" t="inlineStr">
        <is>
          <t>2025-11-27</t>
        </is>
      </c>
      <c r="B332" s="36" t="n">
        <v>11</v>
      </c>
      <c r="C332" s="36" t="n">
        <v>8.58</v>
      </c>
      <c r="D332" s="36" t="n">
        <v>4883.65</v>
      </c>
      <c r="E332" s="36" t="n">
        <v>1854.79</v>
      </c>
      <c r="F332" s="36" t="n">
        <v>6738.44</v>
      </c>
      <c r="G332" s="71">
        <f>IF(F332&gt;0, D332/F332, 0)</f>
        <v/>
      </c>
    </row>
    <row r="333">
      <c r="A333" s="36" t="inlineStr">
        <is>
          <t>2025-11-28</t>
        </is>
      </c>
      <c r="B333" s="36" t="n">
        <v>11</v>
      </c>
      <c r="C333" s="36" t="n">
        <v>8.17</v>
      </c>
      <c r="D333" s="36" t="n">
        <v>4339.19</v>
      </c>
      <c r="E333" s="36" t="n">
        <v>2878.08</v>
      </c>
      <c r="F333" s="36" t="n">
        <v>7217.27</v>
      </c>
      <c r="G333" s="71">
        <f>IF(F333&gt;0, D333/F333, 0)</f>
        <v/>
      </c>
    </row>
    <row r="334">
      <c r="A334" s="36" t="inlineStr">
        <is>
          <t>2025-11-29</t>
        </is>
      </c>
      <c r="B334" s="36" t="n">
        <v>11</v>
      </c>
      <c r="C334" s="36" t="n">
        <v>8.67</v>
      </c>
      <c r="D334" s="36" t="n">
        <v>3604.48</v>
      </c>
      <c r="E334" s="36" t="n">
        <v>2236.75</v>
      </c>
      <c r="F334" s="36" t="n">
        <v>5841.23</v>
      </c>
      <c r="G334" s="71">
        <f>IF(F334&gt;0, D334/F334, 0)</f>
        <v/>
      </c>
    </row>
    <row r="335">
      <c r="A335" s="36" t="inlineStr">
        <is>
          <t>2025-11-30</t>
        </is>
      </c>
      <c r="B335" s="36" t="n">
        <v>11</v>
      </c>
      <c r="C335" s="36" t="n">
        <v>8.58</v>
      </c>
      <c r="D335" s="36" t="n">
        <v>4422.92</v>
      </c>
      <c r="E335" s="36" t="n">
        <v>2499.51</v>
      </c>
      <c r="F335" s="36" t="n">
        <v>6922.43</v>
      </c>
      <c r="G335" s="71">
        <f>IF(F335&gt;0, D335/F335, 0)</f>
        <v/>
      </c>
    </row>
    <row r="336">
      <c r="A336" s="36" t="inlineStr">
        <is>
          <t>2025-12-01</t>
        </is>
      </c>
      <c r="B336" s="36" t="n">
        <v>12</v>
      </c>
      <c r="C336" s="36" t="n">
        <v>8.67</v>
      </c>
      <c r="D336" s="36" t="n">
        <v>4713.87</v>
      </c>
      <c r="E336" s="36" t="n">
        <v>3788.7</v>
      </c>
      <c r="F336" s="36" t="n">
        <v>8502.57</v>
      </c>
      <c r="G336" s="71">
        <f>IF(F336&gt;0, D336/F336, 0)</f>
        <v/>
      </c>
    </row>
    <row r="337">
      <c r="A337" s="36" t="inlineStr">
        <is>
          <t>2025-12-02</t>
        </is>
      </c>
      <c r="B337" s="36" t="n">
        <v>12</v>
      </c>
      <c r="C337" s="36" t="n">
        <v>8.17</v>
      </c>
      <c r="D337" s="36" t="n">
        <v>3254.2</v>
      </c>
      <c r="E337" s="36" t="n">
        <v>3128.53</v>
      </c>
      <c r="F337" s="36" t="n">
        <v>6382.73</v>
      </c>
      <c r="G337" s="71">
        <f>IF(F337&gt;0, D337/F337, 0)</f>
        <v/>
      </c>
    </row>
    <row r="338">
      <c r="A338" s="36" t="inlineStr">
        <is>
          <t>2025-12-03</t>
        </is>
      </c>
      <c r="B338" s="36" t="n">
        <v>12</v>
      </c>
      <c r="C338" s="36" t="n">
        <v>8.42</v>
      </c>
      <c r="D338" s="36" t="n">
        <v>1594.05</v>
      </c>
      <c r="E338" s="36" t="n">
        <v>4482.03</v>
      </c>
      <c r="F338" s="36" t="n">
        <v>6076.08</v>
      </c>
      <c r="G338" s="71">
        <f>IF(F338&gt;0, D338/F338, 0)</f>
        <v/>
      </c>
    </row>
    <row r="339">
      <c r="A339" s="36" t="inlineStr">
        <is>
          <t>2025-12-04</t>
        </is>
      </c>
      <c r="B339" s="36" t="n">
        <v>12</v>
      </c>
      <c r="C339" s="36" t="n">
        <v>8.25</v>
      </c>
      <c r="D339" s="36" t="n">
        <v>3309.99</v>
      </c>
      <c r="E339" s="36" t="n">
        <v>2150.52</v>
      </c>
      <c r="F339" s="36" t="n">
        <v>5460.51</v>
      </c>
      <c r="G339" s="71">
        <f>IF(F339&gt;0, D339/F339, 0)</f>
        <v/>
      </c>
    </row>
    <row r="340">
      <c r="A340" s="36" t="inlineStr">
        <is>
          <t>2025-12-05</t>
        </is>
      </c>
      <c r="B340" s="36" t="n">
        <v>12</v>
      </c>
      <c r="C340" s="36" t="n">
        <v>7.5</v>
      </c>
      <c r="D340" s="36" t="n">
        <v>3765.18</v>
      </c>
      <c r="E340" s="36" t="n">
        <v>1718.38</v>
      </c>
      <c r="F340" s="36" t="n">
        <v>5483.56</v>
      </c>
      <c r="G340" s="71">
        <f>IF(F340&gt;0, D340/F340, 0)</f>
        <v/>
      </c>
    </row>
    <row r="341">
      <c r="A341" s="36" t="inlineStr">
        <is>
          <t>2025-12-06</t>
        </is>
      </c>
      <c r="B341" s="36" t="n">
        <v>12</v>
      </c>
      <c r="C341" s="36" t="n">
        <v>5.17</v>
      </c>
      <c r="D341" s="36" t="n">
        <v>0</v>
      </c>
      <c r="E341" s="36" t="n">
        <v>2165.48</v>
      </c>
      <c r="F341" s="36" t="n">
        <v>2165.48</v>
      </c>
      <c r="G341" s="71">
        <f>IF(F341&gt;0, D341/F341, 0)</f>
        <v/>
      </c>
    </row>
    <row r="342">
      <c r="A342" s="36" t="inlineStr">
        <is>
          <t>2025-12-07</t>
        </is>
      </c>
      <c r="B342" s="36" t="n">
        <v>12</v>
      </c>
      <c r="C342" s="36" t="n">
        <v>6.58</v>
      </c>
      <c r="D342" s="36" t="n">
        <v>0</v>
      </c>
      <c r="E342" s="36" t="n">
        <v>2851.64</v>
      </c>
      <c r="F342" s="36" t="n">
        <v>2851.64</v>
      </c>
      <c r="G342" s="71">
        <f>IF(F342&gt;0, D342/F342, 0)</f>
        <v/>
      </c>
    </row>
    <row r="343">
      <c r="A343" s="36" t="inlineStr">
        <is>
          <t>2025-12-08</t>
        </is>
      </c>
      <c r="B343" s="36" t="n">
        <v>12</v>
      </c>
      <c r="C343" s="36" t="n">
        <v>7.75</v>
      </c>
      <c r="D343" s="36" t="n">
        <v>450.63</v>
      </c>
      <c r="E343" s="36" t="n">
        <v>2965.46</v>
      </c>
      <c r="F343" s="36" t="n">
        <v>3416.09</v>
      </c>
      <c r="G343" s="71">
        <f>IF(F343&gt;0, D343/F343, 0)</f>
        <v/>
      </c>
    </row>
    <row r="344">
      <c r="A344" s="36" t="inlineStr">
        <is>
          <t>2025-12-09</t>
        </is>
      </c>
      <c r="B344" s="36" t="n">
        <v>12</v>
      </c>
      <c r="C344" s="36" t="n">
        <v>8.25</v>
      </c>
      <c r="D344" s="36" t="n">
        <v>0</v>
      </c>
      <c r="E344" s="36" t="n">
        <v>3148.77</v>
      </c>
      <c r="F344" s="36" t="n">
        <v>3148.77</v>
      </c>
      <c r="G344" s="71">
        <f>IF(F344&gt;0, D344/F344, 0)</f>
        <v/>
      </c>
    </row>
    <row r="345">
      <c r="A345" s="36" t="inlineStr">
        <is>
          <t>2025-12-10</t>
        </is>
      </c>
      <c r="B345" s="36" t="n">
        <v>12</v>
      </c>
      <c r="C345" s="36" t="n">
        <v>1.67</v>
      </c>
      <c r="D345" s="36" t="n">
        <v>0</v>
      </c>
      <c r="E345" s="36" t="n">
        <v>517.3</v>
      </c>
      <c r="F345" s="36" t="n">
        <v>517.3</v>
      </c>
      <c r="G345" s="71">
        <f>IF(F345&gt;0, D345/F345, 0)</f>
        <v/>
      </c>
    </row>
    <row r="346">
      <c r="A346" s="36" t="inlineStr">
        <is>
          <t>2025-12-11</t>
        </is>
      </c>
      <c r="B346" s="36" t="n">
        <v>12</v>
      </c>
      <c r="C346" s="36" t="n">
        <v>7.92</v>
      </c>
      <c r="D346" s="36" t="n">
        <v>519.08</v>
      </c>
      <c r="E346" s="36" t="n">
        <v>3552.17</v>
      </c>
      <c r="F346" s="36" t="n">
        <v>4071.24</v>
      </c>
      <c r="G346" s="71">
        <f>IF(F346&gt;0, D346/F346, 0)</f>
        <v/>
      </c>
    </row>
    <row r="347">
      <c r="A347" s="36" t="inlineStr">
        <is>
          <t>2025-12-12</t>
        </is>
      </c>
      <c r="B347" s="36" t="n">
        <v>12</v>
      </c>
      <c r="C347" s="36" t="n">
        <v>8.67</v>
      </c>
      <c r="D347" s="36" t="n">
        <v>3246.57</v>
      </c>
      <c r="E347" s="36" t="n">
        <v>4259.17</v>
      </c>
      <c r="F347" s="36" t="n">
        <v>7505.74</v>
      </c>
      <c r="G347" s="71">
        <f>IF(F347&gt;0, D347/F347, 0)</f>
        <v/>
      </c>
    </row>
    <row r="348">
      <c r="A348" s="36" t="inlineStr">
        <is>
          <t>2025-12-13</t>
        </is>
      </c>
      <c r="B348" s="36" t="n">
        <v>12</v>
      </c>
      <c r="C348" s="36" t="n">
        <v>8.75</v>
      </c>
      <c r="D348" s="36" t="n">
        <v>5396.49</v>
      </c>
      <c r="E348" s="36" t="n">
        <v>3035.04</v>
      </c>
      <c r="F348" s="36" t="n">
        <v>8431.530000000001</v>
      </c>
      <c r="G348" s="71">
        <f>IF(F348&gt;0, D348/F348, 0)</f>
        <v/>
      </c>
    </row>
    <row r="349">
      <c r="A349" s="36" t="inlineStr">
        <is>
          <t>2025-12-14</t>
        </is>
      </c>
      <c r="B349" s="36" t="n">
        <v>12</v>
      </c>
      <c r="C349" s="36" t="n">
        <v>8.75</v>
      </c>
      <c r="D349" s="36" t="n">
        <v>4603.01</v>
      </c>
      <c r="E349" s="36" t="n">
        <v>3512.61</v>
      </c>
      <c r="F349" s="36" t="n">
        <v>8115.62</v>
      </c>
      <c r="G349" s="71">
        <f>IF(F349&gt;0, D349/F349, 0)</f>
        <v/>
      </c>
    </row>
    <row r="350">
      <c r="A350" s="36" t="inlineStr">
        <is>
          <t>2025-12-15</t>
        </is>
      </c>
      <c r="B350" s="36" t="n">
        <v>12</v>
      </c>
      <c r="C350" s="36" t="n">
        <v>7.33</v>
      </c>
      <c r="D350" s="36" t="n">
        <v>0</v>
      </c>
      <c r="E350" s="36" t="n">
        <v>1403.64</v>
      </c>
      <c r="F350" s="36" t="n">
        <v>1403.64</v>
      </c>
      <c r="G350" s="71">
        <f>IF(F350&gt;0, D350/F350, 0)</f>
        <v/>
      </c>
    </row>
    <row r="351">
      <c r="A351" s="36" t="inlineStr">
        <is>
          <t>2025-12-16</t>
        </is>
      </c>
      <c r="B351" s="36" t="n">
        <v>12</v>
      </c>
      <c r="C351" s="36" t="n">
        <v>7.83</v>
      </c>
      <c r="D351" s="36" t="n">
        <v>4137</v>
      </c>
      <c r="E351" s="36" t="n">
        <v>2719.61</v>
      </c>
      <c r="F351" s="36" t="n">
        <v>6856.61</v>
      </c>
      <c r="G351" s="71">
        <f>IF(F351&gt;0, D351/F351, 0)</f>
        <v/>
      </c>
    </row>
    <row r="352">
      <c r="A352" s="36" t="inlineStr">
        <is>
          <t>2025-12-17</t>
        </is>
      </c>
      <c r="B352" s="36" t="n">
        <v>12</v>
      </c>
      <c r="C352" s="36" t="n">
        <v>8.75</v>
      </c>
      <c r="D352" s="36" t="n">
        <v>5047.01</v>
      </c>
      <c r="E352" s="36" t="n">
        <v>3134.3</v>
      </c>
      <c r="F352" s="36" t="n">
        <v>8181.31</v>
      </c>
      <c r="G352" s="71">
        <f>IF(F352&gt;0, D352/F352, 0)</f>
        <v/>
      </c>
    </row>
    <row r="353">
      <c r="A353" s="36" t="inlineStr">
        <is>
          <t>2025-12-18</t>
        </is>
      </c>
      <c r="B353" s="36" t="n">
        <v>12</v>
      </c>
      <c r="C353" s="36" t="n">
        <v>8.67</v>
      </c>
      <c r="D353" s="36" t="n">
        <v>5134.99</v>
      </c>
      <c r="E353" s="36" t="n">
        <v>3394.73</v>
      </c>
      <c r="F353" s="36" t="n">
        <v>8529.719999999999</v>
      </c>
      <c r="G353" s="71">
        <f>IF(F353&gt;0, D353/F353, 0)</f>
        <v/>
      </c>
    </row>
    <row r="354">
      <c r="A354" s="36" t="inlineStr">
        <is>
          <t>2025-12-19</t>
        </is>
      </c>
      <c r="B354" s="36" t="n">
        <v>12</v>
      </c>
      <c r="C354" s="36" t="n">
        <v>8.5</v>
      </c>
      <c r="D354" s="36" t="n">
        <v>4976.26</v>
      </c>
      <c r="E354" s="36" t="n">
        <v>1886.23</v>
      </c>
      <c r="F354" s="36" t="n">
        <v>6862.49</v>
      </c>
      <c r="G354" s="71">
        <f>IF(F354&gt;0, D354/F354, 0)</f>
        <v/>
      </c>
    </row>
    <row r="355">
      <c r="A355" s="36" t="inlineStr">
        <is>
          <t>2025-12-20</t>
        </is>
      </c>
      <c r="B355" s="36" t="n">
        <v>12</v>
      </c>
      <c r="C355" s="36" t="n">
        <v>8.33</v>
      </c>
      <c r="D355" s="36" t="n">
        <v>3816.4</v>
      </c>
      <c r="E355" s="36" t="n">
        <v>2389.36</v>
      </c>
      <c r="F355" s="36" t="n">
        <v>6205.76</v>
      </c>
      <c r="G355" s="71">
        <f>IF(F355&gt;0, D355/F355, 0)</f>
        <v/>
      </c>
    </row>
    <row r="356">
      <c r="A356" s="36" t="inlineStr">
        <is>
          <t>2025-12-21</t>
        </is>
      </c>
      <c r="B356" s="36" t="n">
        <v>12</v>
      </c>
      <c r="C356" s="36" t="n">
        <v>7.58</v>
      </c>
      <c r="D356" s="36" t="n">
        <v>555.21</v>
      </c>
      <c r="E356" s="36" t="n">
        <v>2720.95</v>
      </c>
      <c r="F356" s="36" t="n">
        <v>3276.16</v>
      </c>
      <c r="G356" s="71">
        <f>IF(F356&gt;0, D356/F356, 0)</f>
        <v/>
      </c>
    </row>
    <row r="357">
      <c r="A357" s="36" t="inlineStr">
        <is>
          <t>2025-12-22</t>
        </is>
      </c>
      <c r="B357" s="36" t="n">
        <v>12</v>
      </c>
      <c r="C357" s="36" t="n">
        <v>6.75</v>
      </c>
      <c r="D357" s="36" t="n">
        <v>263.93</v>
      </c>
      <c r="E357" s="36" t="n">
        <v>3089.72</v>
      </c>
      <c r="F357" s="36" t="n">
        <v>3353.64</v>
      </c>
      <c r="G357" s="71">
        <f>IF(F357&gt;0, D357/F357, 0)</f>
        <v/>
      </c>
    </row>
    <row r="358">
      <c r="A358" s="36" t="inlineStr">
        <is>
          <t>2025-12-23</t>
        </is>
      </c>
      <c r="B358" s="36" t="n">
        <v>12</v>
      </c>
      <c r="C358" s="36" t="n">
        <v>8.17</v>
      </c>
      <c r="D358" s="36" t="n">
        <v>470.82</v>
      </c>
      <c r="E358" s="36" t="n">
        <v>3692.06</v>
      </c>
      <c r="F358" s="36" t="n">
        <v>4162.88</v>
      </c>
      <c r="G358" s="71">
        <f>IF(F358&gt;0, D358/F358, 0)</f>
        <v/>
      </c>
    </row>
    <row r="359">
      <c r="A359" s="36" t="inlineStr">
        <is>
          <t>2025-12-24</t>
        </is>
      </c>
      <c r="B359" s="36" t="n">
        <v>12</v>
      </c>
      <c r="C359" s="36" t="n">
        <v>7.5</v>
      </c>
      <c r="D359" s="36" t="n">
        <v>2887.2</v>
      </c>
      <c r="E359" s="36" t="n">
        <v>1625.92</v>
      </c>
      <c r="F359" s="36" t="n">
        <v>4513.12</v>
      </c>
      <c r="G359" s="71">
        <f>IF(F359&gt;0, D359/F359, 0)</f>
        <v/>
      </c>
    </row>
    <row r="360">
      <c r="A360" s="36" t="inlineStr">
        <is>
          <t>2025-12-25</t>
        </is>
      </c>
      <c r="B360" s="36" t="n">
        <v>12</v>
      </c>
      <c r="C360" s="36" t="n">
        <v>7.92</v>
      </c>
      <c r="D360" s="36" t="n">
        <v>287.26</v>
      </c>
      <c r="E360" s="36" t="n">
        <v>2313.31</v>
      </c>
      <c r="F360" s="36" t="n">
        <v>2600.57</v>
      </c>
      <c r="G360" s="71">
        <f>IF(F360&gt;0, D360/F360, 0)</f>
        <v/>
      </c>
    </row>
    <row r="361">
      <c r="A361" s="36" t="inlineStr">
        <is>
          <t>2025-12-26</t>
        </is>
      </c>
      <c r="B361" s="36" t="n">
        <v>12</v>
      </c>
      <c r="C361" s="36" t="n">
        <v>8.25</v>
      </c>
      <c r="D361" s="36" t="n">
        <v>2432.03</v>
      </c>
      <c r="E361" s="36" t="n">
        <v>2127.53</v>
      </c>
      <c r="F361" s="36" t="n">
        <v>4559.56</v>
      </c>
      <c r="G361" s="71">
        <f>IF(F361&gt;0, D361/F361, 0)</f>
        <v/>
      </c>
    </row>
    <row r="362">
      <c r="A362" s="36" t="inlineStr">
        <is>
          <t>2025-12-27</t>
        </is>
      </c>
      <c r="B362" s="36" t="n">
        <v>12</v>
      </c>
      <c r="C362" s="36" t="n">
        <v>8.75</v>
      </c>
      <c r="D362" s="36" t="n">
        <v>5250.86</v>
      </c>
      <c r="E362" s="36" t="n">
        <v>1834.1</v>
      </c>
      <c r="F362" s="36" t="n">
        <v>7084.96</v>
      </c>
      <c r="G362" s="71">
        <f>IF(F362&gt;0, D362/F362, 0)</f>
        <v/>
      </c>
    </row>
    <row r="363">
      <c r="A363" s="36" t="inlineStr">
        <is>
          <t>2025-12-28</t>
        </is>
      </c>
      <c r="B363" s="36" t="n">
        <v>12</v>
      </c>
      <c r="C363" s="36" t="n">
        <v>8.5</v>
      </c>
      <c r="D363" s="36" t="n">
        <v>7012.91</v>
      </c>
      <c r="E363" s="36" t="n">
        <v>1548.47</v>
      </c>
      <c r="F363" s="36" t="n">
        <v>8561.379999999999</v>
      </c>
      <c r="G363" s="71">
        <f>IF(F363&gt;0, D363/F363, 0)</f>
        <v/>
      </c>
    </row>
    <row r="364">
      <c r="A364" s="36" t="inlineStr">
        <is>
          <t>2025-12-29</t>
        </is>
      </c>
      <c r="B364" s="36" t="n">
        <v>12</v>
      </c>
      <c r="C364" s="36" t="n">
        <v>8.92</v>
      </c>
      <c r="D364" s="36" t="n">
        <v>5180.19</v>
      </c>
      <c r="E364" s="36" t="n">
        <v>3661.79</v>
      </c>
      <c r="F364" s="36" t="n">
        <v>8841.98</v>
      </c>
      <c r="G364" s="71">
        <f>IF(F364&gt;0, D364/F364, 0)</f>
        <v/>
      </c>
    </row>
    <row r="365">
      <c r="A365" s="36" t="inlineStr">
        <is>
          <t>2025-12-30</t>
        </is>
      </c>
      <c r="B365" s="36" t="n">
        <v>12</v>
      </c>
      <c r="C365" s="36" t="n">
        <v>8.67</v>
      </c>
      <c r="D365" s="36" t="n">
        <v>1189.85</v>
      </c>
      <c r="E365" s="36" t="n">
        <v>6083.81</v>
      </c>
      <c r="F365" s="36" t="n">
        <v>7273.66</v>
      </c>
      <c r="G365" s="71">
        <f>IF(F365&gt;0, D365/F365, 0)</f>
        <v/>
      </c>
    </row>
    <row r="366">
      <c r="A366" s="36" t="inlineStr">
        <is>
          <t>2025-12-31</t>
        </is>
      </c>
      <c r="B366" s="36" t="n">
        <v>12</v>
      </c>
      <c r="C366" s="36" t="n">
        <v>6.17</v>
      </c>
      <c r="D366" s="36" t="n">
        <v>1189.85</v>
      </c>
      <c r="E366" s="36" t="n">
        <v>1641.24</v>
      </c>
      <c r="F366" s="36" t="n">
        <v>2831.09</v>
      </c>
      <c r="G366" s="71">
        <f>IF(F366&gt;0, D366/F366, 0)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6AA84F"/>
    <outlinePr summaryBelow="1" summaryRight="1"/>
    <pageSetUpPr/>
  </sheetPr>
  <dimension ref="A1:J37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1">
      <c r="A1" s="4" t="inlineStr">
        <is>
          <t>TSOC DAM Hourly Price Profile (Oct 2025 - Feb 2026, 6576 records)</t>
        </is>
      </c>
    </row>
    <row r="2">
      <c r="A2" s="35" t="inlineStr">
        <is>
          <t>Hour</t>
        </is>
      </c>
      <c r="B2" s="35" t="inlineStr">
        <is>
          <t>Avg EUR/MWh</t>
        </is>
      </c>
      <c r="C2" s="35" t="inlineStr">
        <is>
          <t>Median</t>
        </is>
      </c>
      <c r="D2" s="35" t="inlineStr">
        <is>
          <t>P10</t>
        </is>
      </c>
      <c r="E2" s="35" t="inlineStr">
        <is>
          <t>P90</t>
        </is>
      </c>
      <c r="F2" s="35" t="inlineStr">
        <is>
          <t>Min</t>
        </is>
      </c>
      <c r="G2" s="35" t="inlineStr">
        <is>
          <t>Max</t>
        </is>
      </c>
      <c r="H2" s="35" t="inlineStr">
        <is>
          <t>Zero-Price %</t>
        </is>
      </c>
      <c r="I2" s="35" t="inlineStr">
        <is>
          <t>Count</t>
        </is>
      </c>
      <c r="J2" s="35" t="inlineStr">
        <is>
          <t>Band</t>
        </is>
      </c>
    </row>
    <row r="3">
      <c r="A3" s="36" t="inlineStr">
        <is>
          <t>00:00</t>
        </is>
      </c>
      <c r="B3" s="38" t="n">
        <v>173.15</v>
      </c>
      <c r="C3" s="38" t="n">
        <v>174</v>
      </c>
      <c r="D3" s="38" t="n">
        <v>157.5</v>
      </c>
      <c r="E3" s="38" t="n">
        <v>187</v>
      </c>
      <c r="F3" s="38" t="n">
        <v>150</v>
      </c>
      <c r="G3" s="38" t="n">
        <v>194</v>
      </c>
      <c r="H3" s="71" t="n">
        <v>0</v>
      </c>
      <c r="I3" s="36" t="n">
        <v>274</v>
      </c>
      <c r="J3" s="36" t="inlineStr">
        <is>
          <t>Night</t>
        </is>
      </c>
    </row>
    <row r="4">
      <c r="A4" s="36" t="inlineStr">
        <is>
          <t>01:00</t>
        </is>
      </c>
      <c r="B4" s="38" t="n">
        <v>170.28</v>
      </c>
      <c r="C4" s="38" t="n">
        <v>171</v>
      </c>
      <c r="D4" s="38" t="n">
        <v>155.5</v>
      </c>
      <c r="E4" s="38" t="n">
        <v>184</v>
      </c>
      <c r="F4" s="38" t="n">
        <v>150</v>
      </c>
      <c r="G4" s="38" t="n">
        <v>192.5</v>
      </c>
      <c r="H4" s="71" t="n">
        <v>0</v>
      </c>
      <c r="I4" s="36" t="n">
        <v>274</v>
      </c>
      <c r="J4" s="36" t="inlineStr">
        <is>
          <t>Night</t>
        </is>
      </c>
    </row>
    <row r="5">
      <c r="A5" s="36" t="inlineStr">
        <is>
          <t>02:00</t>
        </is>
      </c>
      <c r="B5" s="38" t="n">
        <v>169.56</v>
      </c>
      <c r="C5" s="38" t="n">
        <v>170</v>
      </c>
      <c r="D5" s="38" t="n">
        <v>155</v>
      </c>
      <c r="E5" s="38" t="n">
        <v>183</v>
      </c>
      <c r="F5" s="38" t="n">
        <v>150</v>
      </c>
      <c r="G5" s="38" t="n">
        <v>192</v>
      </c>
      <c r="H5" s="71" t="n">
        <v>0</v>
      </c>
      <c r="I5" s="36" t="n">
        <v>274</v>
      </c>
      <c r="J5" s="36" t="inlineStr">
        <is>
          <t>Night</t>
        </is>
      </c>
    </row>
    <row r="6">
      <c r="A6" s="36" t="inlineStr">
        <is>
          <t>03:00</t>
        </is>
      </c>
      <c r="B6" s="38" t="n">
        <v>169.25</v>
      </c>
      <c r="C6" s="38" t="n">
        <v>169</v>
      </c>
      <c r="D6" s="38" t="n">
        <v>155</v>
      </c>
      <c r="E6" s="38" t="n">
        <v>182</v>
      </c>
      <c r="F6" s="38" t="n">
        <v>150</v>
      </c>
      <c r="G6" s="38" t="n">
        <v>192</v>
      </c>
      <c r="H6" s="71" t="n">
        <v>0</v>
      </c>
      <c r="I6" s="36" t="n">
        <v>274</v>
      </c>
      <c r="J6" s="36" t="inlineStr">
        <is>
          <t>Night</t>
        </is>
      </c>
    </row>
    <row r="7">
      <c r="A7" s="36" t="inlineStr">
        <is>
          <t>04:00</t>
        </is>
      </c>
      <c r="B7" s="38" t="n">
        <v>169.37</v>
      </c>
      <c r="C7" s="38" t="n">
        <v>169</v>
      </c>
      <c r="D7" s="38" t="n">
        <v>155</v>
      </c>
      <c r="E7" s="38" t="n">
        <v>182</v>
      </c>
      <c r="F7" s="38" t="n">
        <v>150</v>
      </c>
      <c r="G7" s="38" t="n">
        <v>193</v>
      </c>
      <c r="H7" s="71" t="n">
        <v>0</v>
      </c>
      <c r="I7" s="36" t="n">
        <v>274</v>
      </c>
      <c r="J7" s="36" t="inlineStr">
        <is>
          <t>Night</t>
        </is>
      </c>
    </row>
    <row r="8">
      <c r="A8" s="36" t="inlineStr">
        <is>
          <t>05:00</t>
        </is>
      </c>
      <c r="B8" s="38" t="n">
        <v>171.31</v>
      </c>
      <c r="C8" s="38" t="n">
        <v>171</v>
      </c>
      <c r="D8" s="38" t="n">
        <v>157</v>
      </c>
      <c r="E8" s="38" t="n">
        <v>185</v>
      </c>
      <c r="F8" s="38" t="n">
        <v>150</v>
      </c>
      <c r="G8" s="38" t="n">
        <v>194.5</v>
      </c>
      <c r="H8" s="71" t="n">
        <v>0</v>
      </c>
      <c r="I8" s="36" t="n">
        <v>274</v>
      </c>
      <c r="J8" s="36" t="inlineStr">
        <is>
          <t>Night</t>
        </is>
      </c>
    </row>
    <row r="9">
      <c r="A9" s="36" t="inlineStr">
        <is>
          <t>06:00</t>
        </is>
      </c>
      <c r="B9" s="38" t="n">
        <v>174.6</v>
      </c>
      <c r="C9" s="38" t="n">
        <v>175.5</v>
      </c>
      <c r="D9" s="38" t="n">
        <v>157.5</v>
      </c>
      <c r="E9" s="38" t="n">
        <v>188.2</v>
      </c>
      <c r="F9" s="38" t="n">
        <v>152</v>
      </c>
      <c r="G9" s="38" t="n">
        <v>198</v>
      </c>
      <c r="H9" s="71" t="n">
        <v>0</v>
      </c>
      <c r="I9" s="36" t="n">
        <v>274</v>
      </c>
      <c r="J9" s="36" t="inlineStr">
        <is>
          <t>Morning</t>
        </is>
      </c>
    </row>
    <row r="10">
      <c r="A10" s="36" t="inlineStr">
        <is>
          <t>07:00</t>
        </is>
      </c>
      <c r="B10" s="38" t="n">
        <v>174.76</v>
      </c>
      <c r="C10" s="38" t="n">
        <v>175</v>
      </c>
      <c r="D10" s="38" t="n">
        <v>160</v>
      </c>
      <c r="E10" s="38" t="n">
        <v>188</v>
      </c>
      <c r="F10" s="38" t="n">
        <v>153</v>
      </c>
      <c r="G10" s="38" t="n">
        <v>200</v>
      </c>
      <c r="H10" s="71" t="n">
        <v>0</v>
      </c>
      <c r="I10" s="36" t="n">
        <v>274</v>
      </c>
      <c r="J10" s="36" t="inlineStr">
        <is>
          <t>Morning</t>
        </is>
      </c>
    </row>
    <row r="11">
      <c r="A11" s="36" t="inlineStr">
        <is>
          <t>08:00</t>
        </is>
      </c>
      <c r="B11" s="38" t="n">
        <v>166.98</v>
      </c>
      <c r="C11" s="38" t="n">
        <v>169</v>
      </c>
      <c r="D11" s="38" t="n">
        <v>154</v>
      </c>
      <c r="E11" s="38" t="n">
        <v>185</v>
      </c>
      <c r="F11" s="38" t="n">
        <v>0</v>
      </c>
      <c r="G11" s="38" t="n">
        <v>195</v>
      </c>
      <c r="H11" s="71" t="n">
        <v>0.0146</v>
      </c>
      <c r="I11" s="36" t="n">
        <v>274</v>
      </c>
      <c r="J11" s="36" t="inlineStr">
        <is>
          <t>Morning</t>
        </is>
      </c>
    </row>
    <row r="12">
      <c r="A12" s="39" t="inlineStr">
        <is>
          <t>09:00</t>
        </is>
      </c>
      <c r="B12" s="40" t="n">
        <v>146.09</v>
      </c>
      <c r="C12" s="40" t="n">
        <v>159</v>
      </c>
      <c r="D12" s="40" t="n">
        <v>69</v>
      </c>
      <c r="E12" s="40" t="n">
        <v>179</v>
      </c>
      <c r="F12" s="40" t="n">
        <v>0</v>
      </c>
      <c r="G12" s="40" t="n">
        <v>192</v>
      </c>
      <c r="H12" s="72" t="n">
        <v>0.0584</v>
      </c>
      <c r="I12" s="39" t="n">
        <v>274</v>
      </c>
      <c r="J12" s="39" t="inlineStr">
        <is>
          <t>Midday Trough</t>
        </is>
      </c>
    </row>
    <row r="13">
      <c r="A13" s="39" t="inlineStr">
        <is>
          <t>10:00</t>
        </is>
      </c>
      <c r="B13" s="40" t="n">
        <v>102.79</v>
      </c>
      <c r="C13" s="40" t="n">
        <v>152</v>
      </c>
      <c r="D13" s="40" t="n">
        <v>0</v>
      </c>
      <c r="E13" s="40" t="n">
        <v>171</v>
      </c>
      <c r="F13" s="40" t="n">
        <v>0</v>
      </c>
      <c r="G13" s="40" t="n">
        <v>193.5</v>
      </c>
      <c r="H13" s="72" t="n">
        <v>0.2153</v>
      </c>
      <c r="I13" s="39" t="n">
        <v>274</v>
      </c>
      <c r="J13" s="39" t="inlineStr">
        <is>
          <t>Midday Trough</t>
        </is>
      </c>
    </row>
    <row r="14">
      <c r="A14" s="39" t="inlineStr">
        <is>
          <t>11:00</t>
        </is>
      </c>
      <c r="B14" s="40" t="n">
        <v>80.43000000000001</v>
      </c>
      <c r="C14" s="40" t="n">
        <v>38.5</v>
      </c>
      <c r="D14" s="40" t="n">
        <v>0</v>
      </c>
      <c r="E14" s="40" t="n">
        <v>170</v>
      </c>
      <c r="F14" s="40" t="n">
        <v>0</v>
      </c>
      <c r="G14" s="40" t="n">
        <v>193.5</v>
      </c>
      <c r="H14" s="72" t="n">
        <v>0.3358</v>
      </c>
      <c r="I14" s="39" t="n">
        <v>274</v>
      </c>
      <c r="J14" s="39" t="inlineStr">
        <is>
          <t>Midday Trough</t>
        </is>
      </c>
    </row>
    <row r="15">
      <c r="A15" s="39" t="inlineStr">
        <is>
          <t>12:00</t>
        </is>
      </c>
      <c r="B15" s="40" t="n">
        <v>77.83</v>
      </c>
      <c r="C15" s="40" t="n">
        <v>19.9</v>
      </c>
      <c r="D15" s="40" t="n">
        <v>0</v>
      </c>
      <c r="E15" s="40" t="n">
        <v>170</v>
      </c>
      <c r="F15" s="40" t="n">
        <v>0</v>
      </c>
      <c r="G15" s="40" t="n">
        <v>195</v>
      </c>
      <c r="H15" s="72" t="n">
        <v>0.3504</v>
      </c>
      <c r="I15" s="39" t="n">
        <v>274</v>
      </c>
      <c r="J15" s="39" t="inlineStr">
        <is>
          <t>Midday Trough</t>
        </is>
      </c>
    </row>
    <row r="16">
      <c r="A16" s="39" t="inlineStr">
        <is>
          <t>13:00</t>
        </is>
      </c>
      <c r="B16" s="40" t="n">
        <v>104.89</v>
      </c>
      <c r="C16" s="40" t="n">
        <v>154</v>
      </c>
      <c r="D16" s="40" t="n">
        <v>0</v>
      </c>
      <c r="E16" s="40" t="n">
        <v>172</v>
      </c>
      <c r="F16" s="40" t="n">
        <v>0</v>
      </c>
      <c r="G16" s="40" t="n">
        <v>195</v>
      </c>
      <c r="H16" s="72" t="n">
        <v>0.2263</v>
      </c>
      <c r="I16" s="39" t="n">
        <v>274</v>
      </c>
      <c r="J16" s="39" t="inlineStr">
        <is>
          <t>Midday Trough</t>
        </is>
      </c>
    </row>
    <row r="17">
      <c r="A17" s="39" t="inlineStr">
        <is>
          <t>14:00</t>
        </is>
      </c>
      <c r="B17" s="40" t="n">
        <v>141.52</v>
      </c>
      <c r="C17" s="40" t="n">
        <v>164.2</v>
      </c>
      <c r="D17" s="40" t="n">
        <v>13</v>
      </c>
      <c r="E17" s="40" t="n">
        <v>178</v>
      </c>
      <c r="F17" s="40" t="n">
        <v>0</v>
      </c>
      <c r="G17" s="40" t="n">
        <v>195.5</v>
      </c>
      <c r="H17" s="72" t="n">
        <v>0.0547</v>
      </c>
      <c r="I17" s="39" t="n">
        <v>274</v>
      </c>
      <c r="J17" s="39" t="inlineStr">
        <is>
          <t>Afternoon</t>
        </is>
      </c>
    </row>
    <row r="18">
      <c r="A18" s="36" t="inlineStr">
        <is>
          <t>15:00</t>
        </is>
      </c>
      <c r="B18" s="38" t="n">
        <v>167.01</v>
      </c>
      <c r="C18" s="38" t="n">
        <v>171</v>
      </c>
      <c r="D18" s="38" t="n">
        <v>154</v>
      </c>
      <c r="E18" s="38" t="n">
        <v>185.5</v>
      </c>
      <c r="F18" s="38" t="n">
        <v>0</v>
      </c>
      <c r="G18" s="38" t="n">
        <v>196</v>
      </c>
      <c r="H18" s="71" t="n">
        <v>0.0109</v>
      </c>
      <c r="I18" s="36" t="n">
        <v>274</v>
      </c>
      <c r="J18" s="36" t="inlineStr">
        <is>
          <t>Afternoon</t>
        </is>
      </c>
    </row>
    <row r="19">
      <c r="A19" s="36" t="inlineStr">
        <is>
          <t>16:00</t>
        </is>
      </c>
      <c r="B19" s="38" t="n">
        <v>175.54</v>
      </c>
      <c r="C19" s="38" t="n">
        <v>178</v>
      </c>
      <c r="D19" s="38" t="n">
        <v>156</v>
      </c>
      <c r="E19" s="38" t="n">
        <v>189</v>
      </c>
      <c r="F19" s="38" t="n">
        <v>144</v>
      </c>
      <c r="G19" s="38" t="n">
        <v>200</v>
      </c>
      <c r="H19" s="71" t="n">
        <v>0</v>
      </c>
      <c r="I19" s="36" t="n">
        <v>274</v>
      </c>
      <c r="J19" s="36" t="inlineStr">
        <is>
          <t>Afternoon</t>
        </is>
      </c>
    </row>
    <row r="20">
      <c r="A20" s="42" t="inlineStr">
        <is>
          <t>17:00</t>
        </is>
      </c>
      <c r="B20" s="43" t="n">
        <v>181.17</v>
      </c>
      <c r="C20" s="43" t="n">
        <v>183</v>
      </c>
      <c r="D20" s="43" t="n">
        <v>162.5</v>
      </c>
      <c r="E20" s="43" t="n">
        <v>193</v>
      </c>
      <c r="F20" s="43" t="n">
        <v>150</v>
      </c>
      <c r="G20" s="43" t="n">
        <v>274</v>
      </c>
      <c r="H20" s="73" t="n">
        <v>0</v>
      </c>
      <c r="I20" s="42" t="n">
        <v>274</v>
      </c>
      <c r="J20" s="42" t="inlineStr">
        <is>
          <t>Peak Evening</t>
        </is>
      </c>
    </row>
    <row r="21">
      <c r="A21" s="42" t="inlineStr">
        <is>
          <t>18:00</t>
        </is>
      </c>
      <c r="B21" s="43" t="n">
        <v>185.58</v>
      </c>
      <c r="C21" s="43" t="n">
        <v>185</v>
      </c>
      <c r="D21" s="43" t="n">
        <v>170</v>
      </c>
      <c r="E21" s="43" t="n">
        <v>195</v>
      </c>
      <c r="F21" s="43" t="n">
        <v>153.5</v>
      </c>
      <c r="G21" s="43" t="n">
        <v>500</v>
      </c>
      <c r="H21" s="73" t="n">
        <v>0</v>
      </c>
      <c r="I21" s="42" t="n">
        <v>274</v>
      </c>
      <c r="J21" s="42" t="inlineStr">
        <is>
          <t>Peak Evening</t>
        </is>
      </c>
    </row>
    <row r="22">
      <c r="A22" s="42" t="inlineStr">
        <is>
          <t>19:00</t>
        </is>
      </c>
      <c r="B22" s="43" t="n">
        <v>186.29</v>
      </c>
      <c r="C22" s="43" t="n">
        <v>185</v>
      </c>
      <c r="D22" s="43" t="n">
        <v>170</v>
      </c>
      <c r="E22" s="43" t="n">
        <v>195</v>
      </c>
      <c r="F22" s="43" t="n">
        <v>153.5</v>
      </c>
      <c r="G22" s="43" t="n">
        <v>500</v>
      </c>
      <c r="H22" s="73" t="n">
        <v>0</v>
      </c>
      <c r="I22" s="42" t="n">
        <v>274</v>
      </c>
      <c r="J22" s="42" t="inlineStr">
        <is>
          <t>Peak Evening</t>
        </is>
      </c>
    </row>
    <row r="23">
      <c r="A23" s="42" t="inlineStr">
        <is>
          <t>20:00</t>
        </is>
      </c>
      <c r="B23" s="43" t="n">
        <v>183.47</v>
      </c>
      <c r="C23" s="43" t="n">
        <v>183.5</v>
      </c>
      <c r="D23" s="43" t="n">
        <v>168.5</v>
      </c>
      <c r="E23" s="43" t="n">
        <v>194</v>
      </c>
      <c r="F23" s="43" t="n">
        <v>153.5</v>
      </c>
      <c r="G23" s="43" t="n">
        <v>500</v>
      </c>
      <c r="H23" s="73" t="n">
        <v>0</v>
      </c>
      <c r="I23" s="42" t="n">
        <v>274</v>
      </c>
      <c r="J23" s="42" t="inlineStr">
        <is>
          <t>Peak Evening</t>
        </is>
      </c>
    </row>
    <row r="24">
      <c r="A24" s="36" t="inlineStr">
        <is>
          <t>21:00</t>
        </is>
      </c>
      <c r="B24" s="38" t="n">
        <v>179.46</v>
      </c>
      <c r="C24" s="38" t="n">
        <v>181</v>
      </c>
      <c r="D24" s="38" t="n">
        <v>165</v>
      </c>
      <c r="E24" s="38" t="n">
        <v>192</v>
      </c>
      <c r="F24" s="38" t="n">
        <v>153</v>
      </c>
      <c r="G24" s="38" t="n">
        <v>250</v>
      </c>
      <c r="H24" s="71" t="n">
        <v>0</v>
      </c>
      <c r="I24" s="36" t="n">
        <v>274</v>
      </c>
      <c r="J24" s="36" t="inlineStr">
        <is>
          <t>Late Evening</t>
        </is>
      </c>
    </row>
    <row r="25">
      <c r="A25" s="36" t="inlineStr">
        <is>
          <t>22:00</t>
        </is>
      </c>
      <c r="B25" s="38" t="n">
        <v>176.5</v>
      </c>
      <c r="C25" s="38" t="n">
        <v>177.5</v>
      </c>
      <c r="D25" s="38" t="n">
        <v>161.5</v>
      </c>
      <c r="E25" s="38" t="n">
        <v>190</v>
      </c>
      <c r="F25" s="38" t="n">
        <v>150</v>
      </c>
      <c r="G25" s="38" t="n">
        <v>200</v>
      </c>
      <c r="H25" s="71" t="n">
        <v>0</v>
      </c>
      <c r="I25" s="36" t="n">
        <v>274</v>
      </c>
      <c r="J25" s="36" t="inlineStr">
        <is>
          <t>Late Evening</t>
        </is>
      </c>
    </row>
    <row r="26">
      <c r="A26" s="36" t="inlineStr">
        <is>
          <t>23:00</t>
        </is>
      </c>
      <c r="B26" s="38" t="n">
        <v>173.86</v>
      </c>
      <c r="C26" s="38" t="n">
        <v>175</v>
      </c>
      <c r="D26" s="38" t="n">
        <v>157</v>
      </c>
      <c r="E26" s="38" t="n">
        <v>188</v>
      </c>
      <c r="F26" s="38" t="n">
        <v>150</v>
      </c>
      <c r="G26" s="38" t="n">
        <v>195</v>
      </c>
      <c r="H26" s="71" t="n">
        <v>0</v>
      </c>
      <c r="I26" s="36" t="n">
        <v>274</v>
      </c>
      <c r="J26" s="36" t="inlineStr">
        <is>
          <t>Late Evening</t>
        </is>
      </c>
    </row>
    <row r="28">
      <c r="A28" s="4" t="inlineStr">
        <is>
          <t>Band Summary</t>
        </is>
      </c>
    </row>
    <row r="29">
      <c r="A29" s="35" t="inlineStr">
        <is>
          <t>Band</t>
        </is>
      </c>
      <c r="B29" s="35" t="inlineStr">
        <is>
          <t>Hours</t>
        </is>
      </c>
      <c r="C29" s="35" t="inlineStr">
        <is>
          <t>Avg EUR/MWh</t>
        </is>
      </c>
      <c r="D29" s="35" t="inlineStr">
        <is>
          <t>Zero %</t>
        </is>
      </c>
      <c r="E29" s="35" t="inlineStr">
        <is>
          <t>&lt;=EUR50 %</t>
        </is>
      </c>
    </row>
    <row r="30">
      <c r="A30" t="inlineStr">
        <is>
          <t>Night (00-06)</t>
        </is>
      </c>
      <c r="B30" t="inlineStr">
        <is>
          <t>00:00-06:00</t>
        </is>
      </c>
      <c r="C30" s="45" t="n">
        <v>170.49</v>
      </c>
      <c r="D30" s="64" t="n">
        <v>0</v>
      </c>
      <c r="E30" s="64" t="n">
        <v>0</v>
      </c>
    </row>
    <row r="31">
      <c r="A31" t="inlineStr">
        <is>
          <t>Morning (06-09)</t>
        </is>
      </c>
      <c r="B31" t="inlineStr">
        <is>
          <t>06:00-09:00</t>
        </is>
      </c>
      <c r="C31" s="45" t="n">
        <v>172.11</v>
      </c>
      <c r="D31" s="64" t="n">
        <v>0.0049</v>
      </c>
      <c r="E31" s="64" t="n">
        <v>0.0049</v>
      </c>
    </row>
    <row r="32">
      <c r="A32" t="inlineStr">
        <is>
          <t>Midday Trough (09-14)</t>
        </is>
      </c>
      <c r="B32" t="inlineStr">
        <is>
          <t>09:00-14:00</t>
        </is>
      </c>
      <c r="C32" s="45" t="n">
        <v>102.4</v>
      </c>
      <c r="D32" s="64" t="n">
        <v>0.2372</v>
      </c>
      <c r="E32" s="64" t="n">
        <v>0.3759</v>
      </c>
    </row>
    <row r="33">
      <c r="A33" t="inlineStr">
        <is>
          <t>Afternoon (14-17)</t>
        </is>
      </c>
      <c r="B33" t="inlineStr">
        <is>
          <t>14:00-17:00</t>
        </is>
      </c>
      <c r="C33" s="45" t="n">
        <v>161.35</v>
      </c>
      <c r="D33" s="64" t="n">
        <v>0.0219</v>
      </c>
      <c r="E33" s="64" t="n">
        <v>0.0596</v>
      </c>
    </row>
    <row r="34">
      <c r="A34" s="46" t="inlineStr">
        <is>
          <t>Peak Evening (17-21)</t>
        </is>
      </c>
      <c r="B34" s="46" t="inlineStr">
        <is>
          <t>17:00-21:00</t>
        </is>
      </c>
      <c r="C34" s="47" t="n">
        <v>184.13</v>
      </c>
      <c r="D34" s="74" t="n">
        <v>0</v>
      </c>
      <c r="E34" s="74" t="n">
        <v>0</v>
      </c>
    </row>
    <row r="35">
      <c r="A35" t="inlineStr">
        <is>
          <t>Late Evening (21-24)</t>
        </is>
      </c>
      <c r="B35" t="inlineStr">
        <is>
          <t>21:00-24:00</t>
        </is>
      </c>
      <c r="C35" s="45" t="n">
        <v>176.61</v>
      </c>
      <c r="D35" s="64" t="n">
        <v>0</v>
      </c>
      <c r="E35" s="64" t="n">
        <v>0</v>
      </c>
    </row>
    <row r="37">
      <c r="A37" s="20" t="inlineStr">
        <is>
          <t>Peak Evening Avg (17-21):</t>
        </is>
      </c>
      <c r="B37" s="49" t="n">
        <v>184.13</v>
      </c>
    </row>
  </sheetData>
  <mergeCells count="1"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9900FF"/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Linyang SOH Degradation Curve (0.5P, 1 cycle/day, 25 +/- 2C)</t>
        </is>
      </c>
    </row>
    <row r="2">
      <c r="A2" s="35" t="inlineStr">
        <is>
          <t>Year</t>
        </is>
      </c>
      <c r="B2" s="35" t="inlineStr">
        <is>
          <t>SOH %</t>
        </is>
      </c>
      <c r="C2" s="35" t="inlineStr">
        <is>
          <t>Usable Capacity (MWh)</t>
        </is>
      </c>
      <c r="D2" s="35" t="inlineStr">
        <is>
          <t>Max Daily Charge (kWh)</t>
        </is>
      </c>
      <c r="E2" s="35" t="inlineStr">
        <is>
          <t>Cumulative Cycles</t>
        </is>
      </c>
      <c r="F2" s="35" t="inlineStr">
        <is>
          <t>Cycle Headroom vs 7000</t>
        </is>
      </c>
    </row>
    <row r="3">
      <c r="A3" s="36" t="n">
        <v>1</v>
      </c>
      <c r="B3" s="50" t="n">
        <v>0.9462</v>
      </c>
      <c r="C3" s="51">
        <f>Inputs!C9*B3*Inputs!C11/100</f>
        <v/>
      </c>
      <c r="D3" s="52">
        <f>C3*1000</f>
        <v/>
      </c>
      <c r="E3" s="52">
        <f>CashFlow!E4</f>
        <v/>
      </c>
      <c r="F3" s="71">
        <f>1-E3/Inputs!C13</f>
        <v/>
      </c>
    </row>
    <row r="4">
      <c r="A4" s="36" t="n">
        <v>2</v>
      </c>
      <c r="B4" s="50" t="n">
        <v>0.9177</v>
      </c>
      <c r="C4" s="51">
        <f>Inputs!C9*B4*Inputs!C11/100</f>
        <v/>
      </c>
      <c r="D4" s="52">
        <f>C4*1000</f>
        <v/>
      </c>
      <c r="E4" s="52">
        <f>CashFlow!E5</f>
        <v/>
      </c>
      <c r="F4" s="71">
        <f>1-E4/Inputs!C13</f>
        <v/>
      </c>
    </row>
    <row r="5">
      <c r="A5" s="36" t="n">
        <v>3</v>
      </c>
      <c r="B5" s="50" t="n">
        <v>0.8991</v>
      </c>
      <c r="C5" s="51">
        <f>Inputs!C9*B5*Inputs!C11/100</f>
        <v/>
      </c>
      <c r="D5" s="52">
        <f>C5*1000</f>
        <v/>
      </c>
      <c r="E5" s="52">
        <f>CashFlow!E6</f>
        <v/>
      </c>
      <c r="F5" s="71">
        <f>1-E5/Inputs!C13</f>
        <v/>
      </c>
    </row>
    <row r="6">
      <c r="A6" s="36" t="n">
        <v>4</v>
      </c>
      <c r="B6" s="50" t="n">
        <v>0.8835</v>
      </c>
      <c r="C6" s="51">
        <f>Inputs!C9*B6*Inputs!C11/100</f>
        <v/>
      </c>
      <c r="D6" s="52">
        <f>C6*1000</f>
        <v/>
      </c>
      <c r="E6" s="52">
        <f>CashFlow!E7</f>
        <v/>
      </c>
      <c r="F6" s="71">
        <f>1-E6/Inputs!C13</f>
        <v/>
      </c>
    </row>
    <row r="7">
      <c r="A7" s="36" t="n">
        <v>5</v>
      </c>
      <c r="B7" s="50" t="n">
        <v>0.8678</v>
      </c>
      <c r="C7" s="51">
        <f>Inputs!C9*B7*Inputs!C11/100</f>
        <v/>
      </c>
      <c r="D7" s="52">
        <f>C7*1000</f>
        <v/>
      </c>
      <c r="E7" s="52">
        <f>CashFlow!E8</f>
        <v/>
      </c>
      <c r="F7" s="71">
        <f>1-E7/Inputs!C13</f>
        <v/>
      </c>
    </row>
    <row r="8">
      <c r="A8" s="36" t="n">
        <v>6</v>
      </c>
      <c r="B8" s="50" t="n">
        <v>0.8534</v>
      </c>
      <c r="C8" s="51">
        <f>Inputs!C9*B8*Inputs!C11/100</f>
        <v/>
      </c>
      <c r="D8" s="52">
        <f>C8*1000</f>
        <v/>
      </c>
      <c r="E8" s="52">
        <f>CashFlow!E9</f>
        <v/>
      </c>
      <c r="F8" s="71">
        <f>1-E8/Inputs!C13</f>
        <v/>
      </c>
    </row>
    <row r="9">
      <c r="A9" s="36" t="n">
        <v>7</v>
      </c>
      <c r="B9" s="50" t="n">
        <v>0.839</v>
      </c>
      <c r="C9" s="51">
        <f>Inputs!C9*B9*Inputs!C11/100</f>
        <v/>
      </c>
      <c r="D9" s="52">
        <f>C9*1000</f>
        <v/>
      </c>
      <c r="E9" s="52">
        <f>CashFlow!E10</f>
        <v/>
      </c>
      <c r="F9" s="71">
        <f>1-E9/Inputs!C13</f>
        <v/>
      </c>
    </row>
    <row r="10">
      <c r="A10" s="36" t="n">
        <v>8</v>
      </c>
      <c r="B10" s="50" t="n">
        <v>0.8246</v>
      </c>
      <c r="C10" s="51">
        <f>Inputs!C9*B10*Inputs!C11/100</f>
        <v/>
      </c>
      <c r="D10" s="52">
        <f>C10*1000</f>
        <v/>
      </c>
      <c r="E10" s="52">
        <f>CashFlow!E11</f>
        <v/>
      </c>
      <c r="F10" s="71">
        <f>1-E10/Inputs!C13</f>
        <v/>
      </c>
    </row>
    <row r="11">
      <c r="A11" s="36" t="n">
        <v>9</v>
      </c>
      <c r="B11" s="50" t="n">
        <v>0.8102</v>
      </c>
      <c r="C11" s="51">
        <f>Inputs!C9*B11*Inputs!C11/100</f>
        <v/>
      </c>
      <c r="D11" s="52">
        <f>C11*1000</f>
        <v/>
      </c>
      <c r="E11" s="52">
        <f>CashFlow!E12</f>
        <v/>
      </c>
      <c r="F11" s="71">
        <f>1-E11/Inputs!C13</f>
        <v/>
      </c>
    </row>
    <row r="12">
      <c r="A12" s="36" t="n">
        <v>10</v>
      </c>
      <c r="B12" s="50" t="n">
        <v>0.7958</v>
      </c>
      <c r="C12" s="51">
        <f>Inputs!C9*B12*Inputs!C11/100</f>
        <v/>
      </c>
      <c r="D12" s="52">
        <f>C12*1000</f>
        <v/>
      </c>
      <c r="E12" s="52">
        <f>CashFlow!E13</f>
        <v/>
      </c>
      <c r="F12" s="71">
        <f>1-E12/Inputs!C13</f>
        <v/>
      </c>
    </row>
    <row r="13">
      <c r="A13" s="36" t="n">
        <v>11</v>
      </c>
      <c r="B13" s="50" t="n">
        <v>0.7839</v>
      </c>
      <c r="C13" s="51">
        <f>Inputs!C9*B13*Inputs!C11/100</f>
        <v/>
      </c>
      <c r="D13" s="52">
        <f>C13*1000</f>
        <v/>
      </c>
      <c r="E13" s="52">
        <f>CashFlow!E14</f>
        <v/>
      </c>
      <c r="F13" s="71">
        <f>1-E13/Inputs!C13</f>
        <v/>
      </c>
    </row>
    <row r="14">
      <c r="A14" s="36" t="n">
        <v>12</v>
      </c>
      <c r="B14" s="50" t="n">
        <v>0.772</v>
      </c>
      <c r="C14" s="51">
        <f>Inputs!C9*B14*Inputs!C11/100</f>
        <v/>
      </c>
      <c r="D14" s="52">
        <f>C14*1000</f>
        <v/>
      </c>
      <c r="E14" s="52">
        <f>CashFlow!E15</f>
        <v/>
      </c>
      <c r="F14" s="71">
        <f>1-E14/Inputs!C13</f>
        <v/>
      </c>
    </row>
    <row r="15">
      <c r="A15" s="36" t="n">
        <v>13</v>
      </c>
      <c r="B15" s="50" t="n">
        <v>0.7601</v>
      </c>
      <c r="C15" s="51">
        <f>Inputs!C9*B15*Inputs!C11/100</f>
        <v/>
      </c>
      <c r="D15" s="52">
        <f>C15*1000</f>
        <v/>
      </c>
      <c r="E15" s="52">
        <f>CashFlow!E16</f>
        <v/>
      </c>
      <c r="F15" s="71">
        <f>1-E15/Inputs!C13</f>
        <v/>
      </c>
    </row>
    <row r="16">
      <c r="A16" s="36" t="n">
        <v>14</v>
      </c>
      <c r="B16" s="50" t="n">
        <v>0.7481</v>
      </c>
      <c r="C16" s="51">
        <f>Inputs!C9*B16*Inputs!C11/100</f>
        <v/>
      </c>
      <c r="D16" s="52">
        <f>C16*1000</f>
        <v/>
      </c>
      <c r="E16" s="52">
        <f>CashFlow!E17</f>
        <v/>
      </c>
      <c r="F16" s="71">
        <f>1-E16/Inputs!C13</f>
        <v/>
      </c>
    </row>
    <row r="17">
      <c r="A17" s="36" t="n">
        <v>15</v>
      </c>
      <c r="B17" s="50" t="n">
        <v>0.7361</v>
      </c>
      <c r="C17" s="51">
        <f>Inputs!C9*B17*Inputs!C11/100</f>
        <v/>
      </c>
      <c r="D17" s="52">
        <f>C17*1000</f>
        <v/>
      </c>
      <c r="E17" s="52">
        <f>CashFlow!E18</f>
        <v/>
      </c>
      <c r="F17" s="71">
        <f>1-E17/Inputs!C13</f>
        <v/>
      </c>
    </row>
  </sheetData>
  <mergeCells count="1">
    <mergeCell ref="A1:F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3D85C6"/>
    <outlinePr summaryBelow="1" summaryRight="1"/>
    <pageSetUpPr/>
  </sheetPr>
  <dimension ref="A1:J369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</cols>
  <sheetData>
    <row r="1">
      <c r="A1" s="35" t="inlineStr">
        <is>
          <t>Date</t>
        </is>
      </c>
      <c r="B1" s="35" t="inlineStr">
        <is>
          <t>Month</t>
        </is>
      </c>
      <c r="C1" s="35" t="inlineStr">
        <is>
          <t>Curtailed Ref (kWh)</t>
        </is>
      </c>
      <c r="D1" s="35" t="inlineStr">
        <is>
          <t>Curtailed Scaled (kWh)</t>
        </is>
      </c>
      <c r="E1" s="35" t="inlineStr">
        <is>
          <t>BESS Usable Cap Yr1 (kWh)</t>
        </is>
      </c>
      <c r="F1" s="35" t="inlineStr">
        <is>
          <t>Overflow (kWh)</t>
        </is>
      </c>
      <c r="G1" s="35" t="inlineStr">
        <is>
          <t>Captured (kWh)</t>
        </is>
      </c>
      <c r="H1" s="35" t="inlineStr">
        <is>
          <t>Fill %</t>
        </is>
      </c>
      <c r="I1" s="35" t="inlineStr">
        <is>
          <t>Discharged (kWh)</t>
        </is>
      </c>
      <c r="J1" s="35" t="inlineStr">
        <is>
          <t>Revenue (EUR)</t>
        </is>
      </c>
    </row>
    <row r="2">
      <c r="A2" t="inlineStr">
        <is>
          <t>2025-01-01</t>
        </is>
      </c>
      <c r="B2" t="n">
        <v>1</v>
      </c>
      <c r="C2">
        <f>CurtailmentData!D2</f>
        <v/>
      </c>
      <c r="D2" s="63">
        <f>C2*Inputs!C7</f>
        <v/>
      </c>
      <c r="E2" s="53">
        <f>SOH_Degradation!D3</f>
        <v/>
      </c>
      <c r="F2" s="63">
        <f>MAX(0, D2-E2)</f>
        <v/>
      </c>
      <c r="G2" s="63">
        <f>MIN(D2, E2)</f>
        <v/>
      </c>
      <c r="H2" s="64">
        <f>IF(E2&gt;0, G2/E2, 0)</f>
        <v/>
      </c>
      <c r="I2" s="63">
        <f>G2*Inputs!C12/100</f>
        <v/>
      </c>
      <c r="J2" s="53">
        <f>(I2/1000)*(Inputs!C27-Inputs!C28)</f>
        <v/>
      </c>
    </row>
    <row r="3">
      <c r="A3" t="inlineStr">
        <is>
          <t>2025-01-02</t>
        </is>
      </c>
      <c r="B3" t="n">
        <v>1</v>
      </c>
      <c r="C3">
        <f>CurtailmentData!D3</f>
        <v/>
      </c>
      <c r="D3" s="63">
        <f>C3*Inputs!C7</f>
        <v/>
      </c>
      <c r="E3" s="53">
        <f>SOH_Degradation!D3</f>
        <v/>
      </c>
      <c r="F3" s="63">
        <f>MAX(0, D3-E3)</f>
        <v/>
      </c>
      <c r="G3" s="63">
        <f>MIN(D3, E3)</f>
        <v/>
      </c>
      <c r="H3" s="64">
        <f>IF(E3&gt;0, G3/E3, 0)</f>
        <v/>
      </c>
      <c r="I3" s="63">
        <f>G3*Inputs!C12/100</f>
        <v/>
      </c>
      <c r="J3" s="53">
        <f>(I3/1000)*(Inputs!C27-Inputs!C28)</f>
        <v/>
      </c>
    </row>
    <row r="4">
      <c r="A4" t="inlineStr">
        <is>
          <t>2025-01-03</t>
        </is>
      </c>
      <c r="B4" t="n">
        <v>1</v>
      </c>
      <c r="C4">
        <f>CurtailmentData!D4</f>
        <v/>
      </c>
      <c r="D4" s="63">
        <f>C4*Inputs!C7</f>
        <v/>
      </c>
      <c r="E4" s="53">
        <f>SOH_Degradation!D3</f>
        <v/>
      </c>
      <c r="F4" s="63">
        <f>MAX(0, D4-E4)</f>
        <v/>
      </c>
      <c r="G4" s="63">
        <f>MIN(D4, E4)</f>
        <v/>
      </c>
      <c r="H4" s="64">
        <f>IF(E4&gt;0, G4/E4, 0)</f>
        <v/>
      </c>
      <c r="I4" s="63">
        <f>G4*Inputs!C12/100</f>
        <v/>
      </c>
      <c r="J4" s="53">
        <f>(I4/1000)*(Inputs!C27-Inputs!C28)</f>
        <v/>
      </c>
    </row>
    <row r="5">
      <c r="A5" t="inlineStr">
        <is>
          <t>2025-01-04</t>
        </is>
      </c>
      <c r="B5" t="n">
        <v>1</v>
      </c>
      <c r="C5">
        <f>CurtailmentData!D5</f>
        <v/>
      </c>
      <c r="D5" s="63">
        <f>C5*Inputs!C7</f>
        <v/>
      </c>
      <c r="E5" s="53">
        <f>SOH_Degradation!D3</f>
        <v/>
      </c>
      <c r="F5" s="63">
        <f>MAX(0, D5-E5)</f>
        <v/>
      </c>
      <c r="G5" s="63">
        <f>MIN(D5, E5)</f>
        <v/>
      </c>
      <c r="H5" s="64">
        <f>IF(E5&gt;0, G5/E5, 0)</f>
        <v/>
      </c>
      <c r="I5" s="63">
        <f>G5*Inputs!C12/100</f>
        <v/>
      </c>
      <c r="J5" s="53">
        <f>(I5/1000)*(Inputs!C27-Inputs!C28)</f>
        <v/>
      </c>
    </row>
    <row r="6">
      <c r="A6" t="inlineStr">
        <is>
          <t>2025-01-05</t>
        </is>
      </c>
      <c r="B6" t="n">
        <v>1</v>
      </c>
      <c r="C6">
        <f>CurtailmentData!D6</f>
        <v/>
      </c>
      <c r="D6" s="63">
        <f>C6*Inputs!C7</f>
        <v/>
      </c>
      <c r="E6" s="53">
        <f>SOH_Degradation!D3</f>
        <v/>
      </c>
      <c r="F6" s="63">
        <f>MAX(0, D6-E6)</f>
        <v/>
      </c>
      <c r="G6" s="63">
        <f>MIN(D6, E6)</f>
        <v/>
      </c>
      <c r="H6" s="64">
        <f>IF(E6&gt;0, G6/E6, 0)</f>
        <v/>
      </c>
      <c r="I6" s="63">
        <f>G6*Inputs!C12/100</f>
        <v/>
      </c>
      <c r="J6" s="53">
        <f>(I6/1000)*(Inputs!C27-Inputs!C28)</f>
        <v/>
      </c>
    </row>
    <row r="7">
      <c r="A7" t="inlineStr">
        <is>
          <t>2025-01-06</t>
        </is>
      </c>
      <c r="B7" t="n">
        <v>1</v>
      </c>
      <c r="C7">
        <f>CurtailmentData!D7</f>
        <v/>
      </c>
      <c r="D7" s="63">
        <f>C7*Inputs!C7</f>
        <v/>
      </c>
      <c r="E7" s="53">
        <f>SOH_Degradation!D3</f>
        <v/>
      </c>
      <c r="F7" s="63">
        <f>MAX(0, D7-E7)</f>
        <v/>
      </c>
      <c r="G7" s="63">
        <f>MIN(D7, E7)</f>
        <v/>
      </c>
      <c r="H7" s="64">
        <f>IF(E7&gt;0, G7/E7, 0)</f>
        <v/>
      </c>
      <c r="I7" s="63">
        <f>G7*Inputs!C12/100</f>
        <v/>
      </c>
      <c r="J7" s="53">
        <f>(I7/1000)*(Inputs!C27-Inputs!C28)</f>
        <v/>
      </c>
    </row>
    <row r="8">
      <c r="A8" t="inlineStr">
        <is>
          <t>2025-01-07</t>
        </is>
      </c>
      <c r="B8" t="n">
        <v>1</v>
      </c>
      <c r="C8">
        <f>CurtailmentData!D8</f>
        <v/>
      </c>
      <c r="D8" s="63">
        <f>C8*Inputs!C7</f>
        <v/>
      </c>
      <c r="E8" s="53">
        <f>SOH_Degradation!D3</f>
        <v/>
      </c>
      <c r="F8" s="63">
        <f>MAX(0, D8-E8)</f>
        <v/>
      </c>
      <c r="G8" s="63">
        <f>MIN(D8, E8)</f>
        <v/>
      </c>
      <c r="H8" s="64">
        <f>IF(E8&gt;0, G8/E8, 0)</f>
        <v/>
      </c>
      <c r="I8" s="63">
        <f>G8*Inputs!C12/100</f>
        <v/>
      </c>
      <c r="J8" s="53">
        <f>(I8/1000)*(Inputs!C27-Inputs!C28)</f>
        <v/>
      </c>
    </row>
    <row r="9">
      <c r="A9" t="inlineStr">
        <is>
          <t>2025-01-08</t>
        </is>
      </c>
      <c r="B9" t="n">
        <v>1</v>
      </c>
      <c r="C9">
        <f>CurtailmentData!D9</f>
        <v/>
      </c>
      <c r="D9" s="63">
        <f>C9*Inputs!C7</f>
        <v/>
      </c>
      <c r="E9" s="53">
        <f>SOH_Degradation!D3</f>
        <v/>
      </c>
      <c r="F9" s="63">
        <f>MAX(0, D9-E9)</f>
        <v/>
      </c>
      <c r="G9" s="63">
        <f>MIN(D9, E9)</f>
        <v/>
      </c>
      <c r="H9" s="64">
        <f>IF(E9&gt;0, G9/E9, 0)</f>
        <v/>
      </c>
      <c r="I9" s="63">
        <f>G9*Inputs!C12/100</f>
        <v/>
      </c>
      <c r="J9" s="53">
        <f>(I9/1000)*(Inputs!C27-Inputs!C28)</f>
        <v/>
      </c>
    </row>
    <row r="10">
      <c r="A10" t="inlineStr">
        <is>
          <t>2025-01-09</t>
        </is>
      </c>
      <c r="B10" t="n">
        <v>1</v>
      </c>
      <c r="C10">
        <f>CurtailmentData!D10</f>
        <v/>
      </c>
      <c r="D10" s="63">
        <f>C10*Inputs!C7</f>
        <v/>
      </c>
      <c r="E10" s="53">
        <f>SOH_Degradation!D3</f>
        <v/>
      </c>
      <c r="F10" s="63">
        <f>MAX(0, D10-E10)</f>
        <v/>
      </c>
      <c r="G10" s="63">
        <f>MIN(D10, E10)</f>
        <v/>
      </c>
      <c r="H10" s="64">
        <f>IF(E10&gt;0, G10/E10, 0)</f>
        <v/>
      </c>
      <c r="I10" s="63">
        <f>G10*Inputs!C12/100</f>
        <v/>
      </c>
      <c r="J10" s="53">
        <f>(I10/1000)*(Inputs!C27-Inputs!C28)</f>
        <v/>
      </c>
    </row>
    <row r="11">
      <c r="A11" t="inlineStr">
        <is>
          <t>2025-01-10</t>
        </is>
      </c>
      <c r="B11" t="n">
        <v>1</v>
      </c>
      <c r="C11">
        <f>CurtailmentData!D11</f>
        <v/>
      </c>
      <c r="D11" s="63">
        <f>C11*Inputs!C7</f>
        <v/>
      </c>
      <c r="E11" s="53">
        <f>SOH_Degradation!D3</f>
        <v/>
      </c>
      <c r="F11" s="63">
        <f>MAX(0, D11-E11)</f>
        <v/>
      </c>
      <c r="G11" s="63">
        <f>MIN(D11, E11)</f>
        <v/>
      </c>
      <c r="H11" s="64">
        <f>IF(E11&gt;0, G11/E11, 0)</f>
        <v/>
      </c>
      <c r="I11" s="63">
        <f>G11*Inputs!C12/100</f>
        <v/>
      </c>
      <c r="J11" s="53">
        <f>(I11/1000)*(Inputs!C27-Inputs!C28)</f>
        <v/>
      </c>
    </row>
    <row r="12">
      <c r="A12" t="inlineStr">
        <is>
          <t>2025-01-11</t>
        </is>
      </c>
      <c r="B12" t="n">
        <v>1</v>
      </c>
      <c r="C12">
        <f>CurtailmentData!D12</f>
        <v/>
      </c>
      <c r="D12" s="63">
        <f>C12*Inputs!C7</f>
        <v/>
      </c>
      <c r="E12" s="53">
        <f>SOH_Degradation!D3</f>
        <v/>
      </c>
      <c r="F12" s="63">
        <f>MAX(0, D12-E12)</f>
        <v/>
      </c>
      <c r="G12" s="63">
        <f>MIN(D12, E12)</f>
        <v/>
      </c>
      <c r="H12" s="64">
        <f>IF(E12&gt;0, G12/E12, 0)</f>
        <v/>
      </c>
      <c r="I12" s="63">
        <f>G12*Inputs!C12/100</f>
        <v/>
      </c>
      <c r="J12" s="53">
        <f>(I12/1000)*(Inputs!C27-Inputs!C28)</f>
        <v/>
      </c>
    </row>
    <row r="13">
      <c r="A13" t="inlineStr">
        <is>
          <t>2025-01-12</t>
        </is>
      </c>
      <c r="B13" t="n">
        <v>1</v>
      </c>
      <c r="C13">
        <f>CurtailmentData!D13</f>
        <v/>
      </c>
      <c r="D13" s="63">
        <f>C13*Inputs!C7</f>
        <v/>
      </c>
      <c r="E13" s="53">
        <f>SOH_Degradation!D3</f>
        <v/>
      </c>
      <c r="F13" s="63">
        <f>MAX(0, D13-E13)</f>
        <v/>
      </c>
      <c r="G13" s="63">
        <f>MIN(D13, E13)</f>
        <v/>
      </c>
      <c r="H13" s="64">
        <f>IF(E13&gt;0, G13/E13, 0)</f>
        <v/>
      </c>
      <c r="I13" s="63">
        <f>G13*Inputs!C12/100</f>
        <v/>
      </c>
      <c r="J13" s="53">
        <f>(I13/1000)*(Inputs!C27-Inputs!C28)</f>
        <v/>
      </c>
    </row>
    <row r="14">
      <c r="A14" t="inlineStr">
        <is>
          <t>2025-01-13</t>
        </is>
      </c>
      <c r="B14" t="n">
        <v>1</v>
      </c>
      <c r="C14">
        <f>CurtailmentData!D14</f>
        <v/>
      </c>
      <c r="D14" s="63">
        <f>C14*Inputs!C7</f>
        <v/>
      </c>
      <c r="E14" s="53">
        <f>SOH_Degradation!D3</f>
        <v/>
      </c>
      <c r="F14" s="63">
        <f>MAX(0, D14-E14)</f>
        <v/>
      </c>
      <c r="G14" s="63">
        <f>MIN(D14, E14)</f>
        <v/>
      </c>
      <c r="H14" s="64">
        <f>IF(E14&gt;0, G14/E14, 0)</f>
        <v/>
      </c>
      <c r="I14" s="63">
        <f>G14*Inputs!C12/100</f>
        <v/>
      </c>
      <c r="J14" s="53">
        <f>(I14/1000)*(Inputs!C27-Inputs!C28)</f>
        <v/>
      </c>
    </row>
    <row r="15">
      <c r="A15" t="inlineStr">
        <is>
          <t>2025-01-14</t>
        </is>
      </c>
      <c r="B15" t="n">
        <v>1</v>
      </c>
      <c r="C15">
        <f>CurtailmentData!D15</f>
        <v/>
      </c>
      <c r="D15" s="63">
        <f>C15*Inputs!C7</f>
        <v/>
      </c>
      <c r="E15" s="53">
        <f>SOH_Degradation!D3</f>
        <v/>
      </c>
      <c r="F15" s="63">
        <f>MAX(0, D15-E15)</f>
        <v/>
      </c>
      <c r="G15" s="63">
        <f>MIN(D15, E15)</f>
        <v/>
      </c>
      <c r="H15" s="64">
        <f>IF(E15&gt;0, G15/E15, 0)</f>
        <v/>
      </c>
      <c r="I15" s="63">
        <f>G15*Inputs!C12/100</f>
        <v/>
      </c>
      <c r="J15" s="53">
        <f>(I15/1000)*(Inputs!C27-Inputs!C28)</f>
        <v/>
      </c>
    </row>
    <row r="16">
      <c r="A16" t="inlineStr">
        <is>
          <t>2025-01-15</t>
        </is>
      </c>
      <c r="B16" t="n">
        <v>1</v>
      </c>
      <c r="C16">
        <f>CurtailmentData!D16</f>
        <v/>
      </c>
      <c r="D16" s="63">
        <f>C16*Inputs!C7</f>
        <v/>
      </c>
      <c r="E16" s="53">
        <f>SOH_Degradation!D3</f>
        <v/>
      </c>
      <c r="F16" s="63">
        <f>MAX(0, D16-E16)</f>
        <v/>
      </c>
      <c r="G16" s="63">
        <f>MIN(D16, E16)</f>
        <v/>
      </c>
      <c r="H16" s="64">
        <f>IF(E16&gt;0, G16/E16, 0)</f>
        <v/>
      </c>
      <c r="I16" s="63">
        <f>G16*Inputs!C12/100</f>
        <v/>
      </c>
      <c r="J16" s="53">
        <f>(I16/1000)*(Inputs!C27-Inputs!C28)</f>
        <v/>
      </c>
    </row>
    <row r="17">
      <c r="A17" t="inlineStr">
        <is>
          <t>2025-01-16</t>
        </is>
      </c>
      <c r="B17" t="n">
        <v>1</v>
      </c>
      <c r="C17">
        <f>CurtailmentData!D17</f>
        <v/>
      </c>
      <c r="D17" s="63">
        <f>C17*Inputs!C7</f>
        <v/>
      </c>
      <c r="E17" s="53">
        <f>SOH_Degradation!D3</f>
        <v/>
      </c>
      <c r="F17" s="63">
        <f>MAX(0, D17-E17)</f>
        <v/>
      </c>
      <c r="G17" s="63">
        <f>MIN(D17, E17)</f>
        <v/>
      </c>
      <c r="H17" s="64">
        <f>IF(E17&gt;0, G17/E17, 0)</f>
        <v/>
      </c>
      <c r="I17" s="63">
        <f>G17*Inputs!C12/100</f>
        <v/>
      </c>
      <c r="J17" s="53">
        <f>(I17/1000)*(Inputs!C27-Inputs!C28)</f>
        <v/>
      </c>
    </row>
    <row r="18">
      <c r="A18" t="inlineStr">
        <is>
          <t>2025-01-17</t>
        </is>
      </c>
      <c r="B18" t="n">
        <v>1</v>
      </c>
      <c r="C18">
        <f>CurtailmentData!D18</f>
        <v/>
      </c>
      <c r="D18" s="63">
        <f>C18*Inputs!C7</f>
        <v/>
      </c>
      <c r="E18" s="53">
        <f>SOH_Degradation!D3</f>
        <v/>
      </c>
      <c r="F18" s="63">
        <f>MAX(0, D18-E18)</f>
        <v/>
      </c>
      <c r="G18" s="63">
        <f>MIN(D18, E18)</f>
        <v/>
      </c>
      <c r="H18" s="64">
        <f>IF(E18&gt;0, G18/E18, 0)</f>
        <v/>
      </c>
      <c r="I18" s="63">
        <f>G18*Inputs!C12/100</f>
        <v/>
      </c>
      <c r="J18" s="53">
        <f>(I18/1000)*(Inputs!C27-Inputs!C28)</f>
        <v/>
      </c>
    </row>
    <row r="19">
      <c r="A19" t="inlineStr">
        <is>
          <t>2025-01-18</t>
        </is>
      </c>
      <c r="B19" t="n">
        <v>1</v>
      </c>
      <c r="C19">
        <f>CurtailmentData!D19</f>
        <v/>
      </c>
      <c r="D19" s="63">
        <f>C19*Inputs!C7</f>
        <v/>
      </c>
      <c r="E19" s="53">
        <f>SOH_Degradation!D3</f>
        <v/>
      </c>
      <c r="F19" s="63">
        <f>MAX(0, D19-E19)</f>
        <v/>
      </c>
      <c r="G19" s="63">
        <f>MIN(D19, E19)</f>
        <v/>
      </c>
      <c r="H19" s="64">
        <f>IF(E19&gt;0, G19/E19, 0)</f>
        <v/>
      </c>
      <c r="I19" s="63">
        <f>G19*Inputs!C12/100</f>
        <v/>
      </c>
      <c r="J19" s="53">
        <f>(I19/1000)*(Inputs!C27-Inputs!C28)</f>
        <v/>
      </c>
    </row>
    <row r="20">
      <c r="A20" t="inlineStr">
        <is>
          <t>2025-01-19</t>
        </is>
      </c>
      <c r="B20" t="n">
        <v>1</v>
      </c>
      <c r="C20">
        <f>CurtailmentData!D20</f>
        <v/>
      </c>
      <c r="D20" s="63">
        <f>C20*Inputs!C7</f>
        <v/>
      </c>
      <c r="E20" s="53">
        <f>SOH_Degradation!D3</f>
        <v/>
      </c>
      <c r="F20" s="63">
        <f>MAX(0, D20-E20)</f>
        <v/>
      </c>
      <c r="G20" s="63">
        <f>MIN(D20, E20)</f>
        <v/>
      </c>
      <c r="H20" s="64">
        <f>IF(E20&gt;0, G20/E20, 0)</f>
        <v/>
      </c>
      <c r="I20" s="63">
        <f>G20*Inputs!C12/100</f>
        <v/>
      </c>
      <c r="J20" s="53">
        <f>(I20/1000)*(Inputs!C27-Inputs!C28)</f>
        <v/>
      </c>
    </row>
    <row r="21">
      <c r="A21" t="inlineStr">
        <is>
          <t>2025-01-20</t>
        </is>
      </c>
      <c r="B21" t="n">
        <v>1</v>
      </c>
      <c r="C21">
        <f>CurtailmentData!D21</f>
        <v/>
      </c>
      <c r="D21" s="63">
        <f>C21*Inputs!C7</f>
        <v/>
      </c>
      <c r="E21" s="53">
        <f>SOH_Degradation!D3</f>
        <v/>
      </c>
      <c r="F21" s="63">
        <f>MAX(0, D21-E21)</f>
        <v/>
      </c>
      <c r="G21" s="63">
        <f>MIN(D21, E21)</f>
        <v/>
      </c>
      <c r="H21" s="64">
        <f>IF(E21&gt;0, G21/E21, 0)</f>
        <v/>
      </c>
      <c r="I21" s="63">
        <f>G21*Inputs!C12/100</f>
        <v/>
      </c>
      <c r="J21" s="53">
        <f>(I21/1000)*(Inputs!C27-Inputs!C28)</f>
        <v/>
      </c>
    </row>
    <row r="22">
      <c r="A22" t="inlineStr">
        <is>
          <t>2025-01-21</t>
        </is>
      </c>
      <c r="B22" t="n">
        <v>1</v>
      </c>
      <c r="C22">
        <f>CurtailmentData!D22</f>
        <v/>
      </c>
      <c r="D22" s="63">
        <f>C22*Inputs!C7</f>
        <v/>
      </c>
      <c r="E22" s="53">
        <f>SOH_Degradation!D3</f>
        <v/>
      </c>
      <c r="F22" s="63">
        <f>MAX(0, D22-E22)</f>
        <v/>
      </c>
      <c r="G22" s="63">
        <f>MIN(D22, E22)</f>
        <v/>
      </c>
      <c r="H22" s="64">
        <f>IF(E22&gt;0, G22/E22, 0)</f>
        <v/>
      </c>
      <c r="I22" s="63">
        <f>G22*Inputs!C12/100</f>
        <v/>
      </c>
      <c r="J22" s="53">
        <f>(I22/1000)*(Inputs!C27-Inputs!C28)</f>
        <v/>
      </c>
    </row>
    <row r="23">
      <c r="A23" t="inlineStr">
        <is>
          <t>2025-01-22</t>
        </is>
      </c>
      <c r="B23" t="n">
        <v>1</v>
      </c>
      <c r="C23">
        <f>CurtailmentData!D23</f>
        <v/>
      </c>
      <c r="D23" s="63">
        <f>C23*Inputs!C7</f>
        <v/>
      </c>
      <c r="E23" s="53">
        <f>SOH_Degradation!D3</f>
        <v/>
      </c>
      <c r="F23" s="63">
        <f>MAX(0, D23-E23)</f>
        <v/>
      </c>
      <c r="G23" s="63">
        <f>MIN(D23, E23)</f>
        <v/>
      </c>
      <c r="H23" s="64">
        <f>IF(E23&gt;0, G23/E23, 0)</f>
        <v/>
      </c>
      <c r="I23" s="63">
        <f>G23*Inputs!C12/100</f>
        <v/>
      </c>
      <c r="J23" s="53">
        <f>(I23/1000)*(Inputs!C27-Inputs!C28)</f>
        <v/>
      </c>
    </row>
    <row r="24">
      <c r="A24" t="inlineStr">
        <is>
          <t>2025-01-23</t>
        </is>
      </c>
      <c r="B24" t="n">
        <v>1</v>
      </c>
      <c r="C24">
        <f>CurtailmentData!D24</f>
        <v/>
      </c>
      <c r="D24" s="63">
        <f>C24*Inputs!C7</f>
        <v/>
      </c>
      <c r="E24" s="53">
        <f>SOH_Degradation!D3</f>
        <v/>
      </c>
      <c r="F24" s="63">
        <f>MAX(0, D24-E24)</f>
        <v/>
      </c>
      <c r="G24" s="63">
        <f>MIN(D24, E24)</f>
        <v/>
      </c>
      <c r="H24" s="64">
        <f>IF(E24&gt;0, G24/E24, 0)</f>
        <v/>
      </c>
      <c r="I24" s="63">
        <f>G24*Inputs!C12/100</f>
        <v/>
      </c>
      <c r="J24" s="53">
        <f>(I24/1000)*(Inputs!C27-Inputs!C28)</f>
        <v/>
      </c>
    </row>
    <row r="25">
      <c r="A25" t="inlineStr">
        <is>
          <t>2025-01-24</t>
        </is>
      </c>
      <c r="B25" t="n">
        <v>1</v>
      </c>
      <c r="C25">
        <f>CurtailmentData!D25</f>
        <v/>
      </c>
      <c r="D25" s="63">
        <f>C25*Inputs!C7</f>
        <v/>
      </c>
      <c r="E25" s="53">
        <f>SOH_Degradation!D3</f>
        <v/>
      </c>
      <c r="F25" s="63">
        <f>MAX(0, D25-E25)</f>
        <v/>
      </c>
      <c r="G25" s="63">
        <f>MIN(D25, E25)</f>
        <v/>
      </c>
      <c r="H25" s="64">
        <f>IF(E25&gt;0, G25/E25, 0)</f>
        <v/>
      </c>
      <c r="I25" s="63">
        <f>G25*Inputs!C12/100</f>
        <v/>
      </c>
      <c r="J25" s="53">
        <f>(I25/1000)*(Inputs!C27-Inputs!C28)</f>
        <v/>
      </c>
    </row>
    <row r="26">
      <c r="A26" t="inlineStr">
        <is>
          <t>2025-01-25</t>
        </is>
      </c>
      <c r="B26" t="n">
        <v>1</v>
      </c>
      <c r="C26">
        <f>CurtailmentData!D26</f>
        <v/>
      </c>
      <c r="D26" s="63">
        <f>C26*Inputs!C7</f>
        <v/>
      </c>
      <c r="E26" s="53">
        <f>SOH_Degradation!D3</f>
        <v/>
      </c>
      <c r="F26" s="63">
        <f>MAX(0, D26-E26)</f>
        <v/>
      </c>
      <c r="G26" s="63">
        <f>MIN(D26, E26)</f>
        <v/>
      </c>
      <c r="H26" s="64">
        <f>IF(E26&gt;0, G26/E26, 0)</f>
        <v/>
      </c>
      <c r="I26" s="63">
        <f>G26*Inputs!C12/100</f>
        <v/>
      </c>
      <c r="J26" s="53">
        <f>(I26/1000)*(Inputs!C27-Inputs!C28)</f>
        <v/>
      </c>
    </row>
    <row r="27">
      <c r="A27" t="inlineStr">
        <is>
          <t>2025-01-26</t>
        </is>
      </c>
      <c r="B27" t="n">
        <v>1</v>
      </c>
      <c r="C27">
        <f>CurtailmentData!D27</f>
        <v/>
      </c>
      <c r="D27" s="63">
        <f>C27*Inputs!C7</f>
        <v/>
      </c>
      <c r="E27" s="53">
        <f>SOH_Degradation!D3</f>
        <v/>
      </c>
      <c r="F27" s="63">
        <f>MAX(0, D27-E27)</f>
        <v/>
      </c>
      <c r="G27" s="63">
        <f>MIN(D27, E27)</f>
        <v/>
      </c>
      <c r="H27" s="64">
        <f>IF(E27&gt;0, G27/E27, 0)</f>
        <v/>
      </c>
      <c r="I27" s="63">
        <f>G27*Inputs!C12/100</f>
        <v/>
      </c>
      <c r="J27" s="53">
        <f>(I27/1000)*(Inputs!C27-Inputs!C28)</f>
        <v/>
      </c>
    </row>
    <row r="28">
      <c r="A28" t="inlineStr">
        <is>
          <t>2025-01-27</t>
        </is>
      </c>
      <c r="B28" t="n">
        <v>1</v>
      </c>
      <c r="C28">
        <f>CurtailmentData!D28</f>
        <v/>
      </c>
      <c r="D28" s="63">
        <f>C28*Inputs!C7</f>
        <v/>
      </c>
      <c r="E28" s="53">
        <f>SOH_Degradation!D3</f>
        <v/>
      </c>
      <c r="F28" s="63">
        <f>MAX(0, D28-E28)</f>
        <v/>
      </c>
      <c r="G28" s="63">
        <f>MIN(D28, E28)</f>
        <v/>
      </c>
      <c r="H28" s="64">
        <f>IF(E28&gt;0, G28/E28, 0)</f>
        <v/>
      </c>
      <c r="I28" s="63">
        <f>G28*Inputs!C12/100</f>
        <v/>
      </c>
      <c r="J28" s="53">
        <f>(I28/1000)*(Inputs!C27-Inputs!C28)</f>
        <v/>
      </c>
    </row>
    <row r="29">
      <c r="A29" t="inlineStr">
        <is>
          <t>2025-01-28</t>
        </is>
      </c>
      <c r="B29" t="n">
        <v>1</v>
      </c>
      <c r="C29">
        <f>CurtailmentData!D29</f>
        <v/>
      </c>
      <c r="D29" s="63">
        <f>C29*Inputs!C7</f>
        <v/>
      </c>
      <c r="E29" s="53">
        <f>SOH_Degradation!D3</f>
        <v/>
      </c>
      <c r="F29" s="63">
        <f>MAX(0, D29-E29)</f>
        <v/>
      </c>
      <c r="G29" s="63">
        <f>MIN(D29, E29)</f>
        <v/>
      </c>
      <c r="H29" s="64">
        <f>IF(E29&gt;0, G29/E29, 0)</f>
        <v/>
      </c>
      <c r="I29" s="63">
        <f>G29*Inputs!C12/100</f>
        <v/>
      </c>
      <c r="J29" s="53">
        <f>(I29/1000)*(Inputs!C27-Inputs!C28)</f>
        <v/>
      </c>
    </row>
    <row r="30">
      <c r="A30" t="inlineStr">
        <is>
          <t>2025-01-29</t>
        </is>
      </c>
      <c r="B30" t="n">
        <v>1</v>
      </c>
      <c r="C30">
        <f>CurtailmentData!D30</f>
        <v/>
      </c>
      <c r="D30" s="63">
        <f>C30*Inputs!C7</f>
        <v/>
      </c>
      <c r="E30" s="53">
        <f>SOH_Degradation!D3</f>
        <v/>
      </c>
      <c r="F30" s="63">
        <f>MAX(0, D30-E30)</f>
        <v/>
      </c>
      <c r="G30" s="63">
        <f>MIN(D30, E30)</f>
        <v/>
      </c>
      <c r="H30" s="64">
        <f>IF(E30&gt;0, G30/E30, 0)</f>
        <v/>
      </c>
      <c r="I30" s="63">
        <f>G30*Inputs!C12/100</f>
        <v/>
      </c>
      <c r="J30" s="53">
        <f>(I30/1000)*(Inputs!C27-Inputs!C28)</f>
        <v/>
      </c>
    </row>
    <row r="31">
      <c r="A31" t="inlineStr">
        <is>
          <t>2025-01-30</t>
        </is>
      </c>
      <c r="B31" t="n">
        <v>1</v>
      </c>
      <c r="C31">
        <f>CurtailmentData!D31</f>
        <v/>
      </c>
      <c r="D31" s="63">
        <f>C31*Inputs!C7</f>
        <v/>
      </c>
      <c r="E31" s="53">
        <f>SOH_Degradation!D3</f>
        <v/>
      </c>
      <c r="F31" s="63">
        <f>MAX(0, D31-E31)</f>
        <v/>
      </c>
      <c r="G31" s="63">
        <f>MIN(D31, E31)</f>
        <v/>
      </c>
      <c r="H31" s="64">
        <f>IF(E31&gt;0, G31/E31, 0)</f>
        <v/>
      </c>
      <c r="I31" s="63">
        <f>G31*Inputs!C12/100</f>
        <v/>
      </c>
      <c r="J31" s="53">
        <f>(I31/1000)*(Inputs!C27-Inputs!C28)</f>
        <v/>
      </c>
    </row>
    <row r="32">
      <c r="A32" t="inlineStr">
        <is>
          <t>2025-01-31</t>
        </is>
      </c>
      <c r="B32" t="n">
        <v>1</v>
      </c>
      <c r="C32">
        <f>CurtailmentData!D32</f>
        <v/>
      </c>
      <c r="D32" s="63">
        <f>C32*Inputs!C7</f>
        <v/>
      </c>
      <c r="E32" s="53">
        <f>SOH_Degradation!D3</f>
        <v/>
      </c>
      <c r="F32" s="63">
        <f>MAX(0, D32-E32)</f>
        <v/>
      </c>
      <c r="G32" s="63">
        <f>MIN(D32, E32)</f>
        <v/>
      </c>
      <c r="H32" s="64">
        <f>IF(E32&gt;0, G32/E32, 0)</f>
        <v/>
      </c>
      <c r="I32" s="63">
        <f>G32*Inputs!C12/100</f>
        <v/>
      </c>
      <c r="J32" s="53">
        <f>(I32/1000)*(Inputs!C27-Inputs!C28)</f>
        <v/>
      </c>
    </row>
    <row r="33">
      <c r="A33" t="inlineStr">
        <is>
          <t>2025-02-01</t>
        </is>
      </c>
      <c r="B33" t="n">
        <v>2</v>
      </c>
      <c r="C33">
        <f>CurtailmentData!D33</f>
        <v/>
      </c>
      <c r="D33" s="63">
        <f>C33*Inputs!C7</f>
        <v/>
      </c>
      <c r="E33" s="53">
        <f>SOH_Degradation!D3</f>
        <v/>
      </c>
      <c r="F33" s="63">
        <f>MAX(0, D33-E33)</f>
        <v/>
      </c>
      <c r="G33" s="63">
        <f>MIN(D33, E33)</f>
        <v/>
      </c>
      <c r="H33" s="64">
        <f>IF(E33&gt;0, G33/E33, 0)</f>
        <v/>
      </c>
      <c r="I33" s="63">
        <f>G33*Inputs!C12/100</f>
        <v/>
      </c>
      <c r="J33" s="53">
        <f>(I33/1000)*(Inputs!C27-Inputs!C28)</f>
        <v/>
      </c>
    </row>
    <row r="34">
      <c r="A34" t="inlineStr">
        <is>
          <t>2025-02-02</t>
        </is>
      </c>
      <c r="B34" t="n">
        <v>2</v>
      </c>
      <c r="C34">
        <f>CurtailmentData!D34</f>
        <v/>
      </c>
      <c r="D34" s="63">
        <f>C34*Inputs!C7</f>
        <v/>
      </c>
      <c r="E34" s="53">
        <f>SOH_Degradation!D3</f>
        <v/>
      </c>
      <c r="F34" s="63">
        <f>MAX(0, D34-E34)</f>
        <v/>
      </c>
      <c r="G34" s="63">
        <f>MIN(D34, E34)</f>
        <v/>
      </c>
      <c r="H34" s="64">
        <f>IF(E34&gt;0, G34/E34, 0)</f>
        <v/>
      </c>
      <c r="I34" s="63">
        <f>G34*Inputs!C12/100</f>
        <v/>
      </c>
      <c r="J34" s="53">
        <f>(I34/1000)*(Inputs!C27-Inputs!C28)</f>
        <v/>
      </c>
    </row>
    <row r="35">
      <c r="A35" t="inlineStr">
        <is>
          <t>2025-02-03</t>
        </is>
      </c>
      <c r="B35" t="n">
        <v>2</v>
      </c>
      <c r="C35">
        <f>CurtailmentData!D35</f>
        <v/>
      </c>
      <c r="D35" s="63">
        <f>C35*Inputs!C7</f>
        <v/>
      </c>
      <c r="E35" s="53">
        <f>SOH_Degradation!D3</f>
        <v/>
      </c>
      <c r="F35" s="63">
        <f>MAX(0, D35-E35)</f>
        <v/>
      </c>
      <c r="G35" s="63">
        <f>MIN(D35, E35)</f>
        <v/>
      </c>
      <c r="H35" s="64">
        <f>IF(E35&gt;0, G35/E35, 0)</f>
        <v/>
      </c>
      <c r="I35" s="63">
        <f>G35*Inputs!C12/100</f>
        <v/>
      </c>
      <c r="J35" s="53">
        <f>(I35/1000)*(Inputs!C27-Inputs!C28)</f>
        <v/>
      </c>
    </row>
    <row r="36">
      <c r="A36" t="inlineStr">
        <is>
          <t>2025-02-04</t>
        </is>
      </c>
      <c r="B36" t="n">
        <v>2</v>
      </c>
      <c r="C36">
        <f>CurtailmentData!D36</f>
        <v/>
      </c>
      <c r="D36" s="63">
        <f>C36*Inputs!C7</f>
        <v/>
      </c>
      <c r="E36" s="53">
        <f>SOH_Degradation!D3</f>
        <v/>
      </c>
      <c r="F36" s="63">
        <f>MAX(0, D36-E36)</f>
        <v/>
      </c>
      <c r="G36" s="63">
        <f>MIN(D36, E36)</f>
        <v/>
      </c>
      <c r="H36" s="64">
        <f>IF(E36&gt;0, G36/E36, 0)</f>
        <v/>
      </c>
      <c r="I36" s="63">
        <f>G36*Inputs!C12/100</f>
        <v/>
      </c>
      <c r="J36" s="53">
        <f>(I36/1000)*(Inputs!C27-Inputs!C28)</f>
        <v/>
      </c>
    </row>
    <row r="37">
      <c r="A37" t="inlineStr">
        <is>
          <t>2025-02-05</t>
        </is>
      </c>
      <c r="B37" t="n">
        <v>2</v>
      </c>
      <c r="C37">
        <f>CurtailmentData!D37</f>
        <v/>
      </c>
      <c r="D37" s="63">
        <f>C37*Inputs!C7</f>
        <v/>
      </c>
      <c r="E37" s="53">
        <f>SOH_Degradation!D3</f>
        <v/>
      </c>
      <c r="F37" s="63">
        <f>MAX(0, D37-E37)</f>
        <v/>
      </c>
      <c r="G37" s="63">
        <f>MIN(D37, E37)</f>
        <v/>
      </c>
      <c r="H37" s="64">
        <f>IF(E37&gt;0, G37/E37, 0)</f>
        <v/>
      </c>
      <c r="I37" s="63">
        <f>G37*Inputs!C12/100</f>
        <v/>
      </c>
      <c r="J37" s="53">
        <f>(I37/1000)*(Inputs!C27-Inputs!C28)</f>
        <v/>
      </c>
    </row>
    <row r="38">
      <c r="A38" t="inlineStr">
        <is>
          <t>2025-02-06</t>
        </is>
      </c>
      <c r="B38" t="n">
        <v>2</v>
      </c>
      <c r="C38">
        <f>CurtailmentData!D38</f>
        <v/>
      </c>
      <c r="D38" s="63">
        <f>C38*Inputs!C7</f>
        <v/>
      </c>
      <c r="E38" s="53">
        <f>SOH_Degradation!D3</f>
        <v/>
      </c>
      <c r="F38" s="63">
        <f>MAX(0, D38-E38)</f>
        <v/>
      </c>
      <c r="G38" s="63">
        <f>MIN(D38, E38)</f>
        <v/>
      </c>
      <c r="H38" s="64">
        <f>IF(E38&gt;0, G38/E38, 0)</f>
        <v/>
      </c>
      <c r="I38" s="63">
        <f>G38*Inputs!C12/100</f>
        <v/>
      </c>
      <c r="J38" s="53">
        <f>(I38/1000)*(Inputs!C27-Inputs!C28)</f>
        <v/>
      </c>
    </row>
    <row r="39">
      <c r="A39" t="inlineStr">
        <is>
          <t>2025-02-07</t>
        </is>
      </c>
      <c r="B39" t="n">
        <v>2</v>
      </c>
      <c r="C39">
        <f>CurtailmentData!D39</f>
        <v/>
      </c>
      <c r="D39" s="63">
        <f>C39*Inputs!C7</f>
        <v/>
      </c>
      <c r="E39" s="53">
        <f>SOH_Degradation!D3</f>
        <v/>
      </c>
      <c r="F39" s="63">
        <f>MAX(0, D39-E39)</f>
        <v/>
      </c>
      <c r="G39" s="63">
        <f>MIN(D39, E39)</f>
        <v/>
      </c>
      <c r="H39" s="64">
        <f>IF(E39&gt;0, G39/E39, 0)</f>
        <v/>
      </c>
      <c r="I39" s="63">
        <f>G39*Inputs!C12/100</f>
        <v/>
      </c>
      <c r="J39" s="53">
        <f>(I39/1000)*(Inputs!C27-Inputs!C28)</f>
        <v/>
      </c>
    </row>
    <row r="40">
      <c r="A40" t="inlineStr">
        <is>
          <t>2025-02-08</t>
        </is>
      </c>
      <c r="B40" t="n">
        <v>2</v>
      </c>
      <c r="C40">
        <f>CurtailmentData!D40</f>
        <v/>
      </c>
      <c r="D40" s="63">
        <f>C40*Inputs!C7</f>
        <v/>
      </c>
      <c r="E40" s="53">
        <f>SOH_Degradation!D3</f>
        <v/>
      </c>
      <c r="F40" s="63">
        <f>MAX(0, D40-E40)</f>
        <v/>
      </c>
      <c r="G40" s="63">
        <f>MIN(D40, E40)</f>
        <v/>
      </c>
      <c r="H40" s="64">
        <f>IF(E40&gt;0, G40/E40, 0)</f>
        <v/>
      </c>
      <c r="I40" s="63">
        <f>G40*Inputs!C12/100</f>
        <v/>
      </c>
      <c r="J40" s="53">
        <f>(I40/1000)*(Inputs!C27-Inputs!C28)</f>
        <v/>
      </c>
    </row>
    <row r="41">
      <c r="A41" t="inlineStr">
        <is>
          <t>2025-02-09</t>
        </is>
      </c>
      <c r="B41" t="n">
        <v>2</v>
      </c>
      <c r="C41">
        <f>CurtailmentData!D41</f>
        <v/>
      </c>
      <c r="D41" s="63">
        <f>C41*Inputs!C7</f>
        <v/>
      </c>
      <c r="E41" s="53">
        <f>SOH_Degradation!D3</f>
        <v/>
      </c>
      <c r="F41" s="63">
        <f>MAX(0, D41-E41)</f>
        <v/>
      </c>
      <c r="G41" s="63">
        <f>MIN(D41, E41)</f>
        <v/>
      </c>
      <c r="H41" s="64">
        <f>IF(E41&gt;0, G41/E41, 0)</f>
        <v/>
      </c>
      <c r="I41" s="63">
        <f>G41*Inputs!C12/100</f>
        <v/>
      </c>
      <c r="J41" s="53">
        <f>(I41/1000)*(Inputs!C27-Inputs!C28)</f>
        <v/>
      </c>
    </row>
    <row r="42">
      <c r="A42" t="inlineStr">
        <is>
          <t>2025-02-10</t>
        </is>
      </c>
      <c r="B42" t="n">
        <v>2</v>
      </c>
      <c r="C42">
        <f>CurtailmentData!D42</f>
        <v/>
      </c>
      <c r="D42" s="63">
        <f>C42*Inputs!C7</f>
        <v/>
      </c>
      <c r="E42" s="53">
        <f>SOH_Degradation!D3</f>
        <v/>
      </c>
      <c r="F42" s="63">
        <f>MAX(0, D42-E42)</f>
        <v/>
      </c>
      <c r="G42" s="63">
        <f>MIN(D42, E42)</f>
        <v/>
      </c>
      <c r="H42" s="64">
        <f>IF(E42&gt;0, G42/E42, 0)</f>
        <v/>
      </c>
      <c r="I42" s="63">
        <f>G42*Inputs!C12/100</f>
        <v/>
      </c>
      <c r="J42" s="53">
        <f>(I42/1000)*(Inputs!C27-Inputs!C28)</f>
        <v/>
      </c>
    </row>
    <row r="43">
      <c r="A43" t="inlineStr">
        <is>
          <t>2025-02-11</t>
        </is>
      </c>
      <c r="B43" t="n">
        <v>2</v>
      </c>
      <c r="C43">
        <f>CurtailmentData!D43</f>
        <v/>
      </c>
      <c r="D43" s="63">
        <f>C43*Inputs!C7</f>
        <v/>
      </c>
      <c r="E43" s="53">
        <f>SOH_Degradation!D3</f>
        <v/>
      </c>
      <c r="F43" s="63">
        <f>MAX(0, D43-E43)</f>
        <v/>
      </c>
      <c r="G43" s="63">
        <f>MIN(D43, E43)</f>
        <v/>
      </c>
      <c r="H43" s="64">
        <f>IF(E43&gt;0, G43/E43, 0)</f>
        <v/>
      </c>
      <c r="I43" s="63">
        <f>G43*Inputs!C12/100</f>
        <v/>
      </c>
      <c r="J43" s="53">
        <f>(I43/1000)*(Inputs!C27-Inputs!C28)</f>
        <v/>
      </c>
    </row>
    <row r="44">
      <c r="A44" t="inlineStr">
        <is>
          <t>2025-02-12</t>
        </is>
      </c>
      <c r="B44" t="n">
        <v>2</v>
      </c>
      <c r="C44">
        <f>CurtailmentData!D44</f>
        <v/>
      </c>
      <c r="D44" s="63">
        <f>C44*Inputs!C7</f>
        <v/>
      </c>
      <c r="E44" s="53">
        <f>SOH_Degradation!D3</f>
        <v/>
      </c>
      <c r="F44" s="63">
        <f>MAX(0, D44-E44)</f>
        <v/>
      </c>
      <c r="G44" s="63">
        <f>MIN(D44, E44)</f>
        <v/>
      </c>
      <c r="H44" s="64">
        <f>IF(E44&gt;0, G44/E44, 0)</f>
        <v/>
      </c>
      <c r="I44" s="63">
        <f>G44*Inputs!C12/100</f>
        <v/>
      </c>
      <c r="J44" s="53">
        <f>(I44/1000)*(Inputs!C27-Inputs!C28)</f>
        <v/>
      </c>
    </row>
    <row r="45">
      <c r="A45" t="inlineStr">
        <is>
          <t>2025-02-13</t>
        </is>
      </c>
      <c r="B45" t="n">
        <v>2</v>
      </c>
      <c r="C45">
        <f>CurtailmentData!D45</f>
        <v/>
      </c>
      <c r="D45" s="63">
        <f>C45*Inputs!C7</f>
        <v/>
      </c>
      <c r="E45" s="53">
        <f>SOH_Degradation!D3</f>
        <v/>
      </c>
      <c r="F45" s="63">
        <f>MAX(0, D45-E45)</f>
        <v/>
      </c>
      <c r="G45" s="63">
        <f>MIN(D45, E45)</f>
        <v/>
      </c>
      <c r="H45" s="64">
        <f>IF(E45&gt;0, G45/E45, 0)</f>
        <v/>
      </c>
      <c r="I45" s="63">
        <f>G45*Inputs!C12/100</f>
        <v/>
      </c>
      <c r="J45" s="53">
        <f>(I45/1000)*(Inputs!C27-Inputs!C28)</f>
        <v/>
      </c>
    </row>
    <row r="46">
      <c r="A46" t="inlineStr">
        <is>
          <t>2025-02-14</t>
        </is>
      </c>
      <c r="B46" t="n">
        <v>2</v>
      </c>
      <c r="C46">
        <f>CurtailmentData!D46</f>
        <v/>
      </c>
      <c r="D46" s="63">
        <f>C46*Inputs!C7</f>
        <v/>
      </c>
      <c r="E46" s="53">
        <f>SOH_Degradation!D3</f>
        <v/>
      </c>
      <c r="F46" s="63">
        <f>MAX(0, D46-E46)</f>
        <v/>
      </c>
      <c r="G46" s="63">
        <f>MIN(D46, E46)</f>
        <v/>
      </c>
      <c r="H46" s="64">
        <f>IF(E46&gt;0, G46/E46, 0)</f>
        <v/>
      </c>
      <c r="I46" s="63">
        <f>G46*Inputs!C12/100</f>
        <v/>
      </c>
      <c r="J46" s="53">
        <f>(I46/1000)*(Inputs!C27-Inputs!C28)</f>
        <v/>
      </c>
    </row>
    <row r="47">
      <c r="A47" t="inlineStr">
        <is>
          <t>2025-02-15</t>
        </is>
      </c>
      <c r="B47" t="n">
        <v>2</v>
      </c>
      <c r="C47">
        <f>CurtailmentData!D47</f>
        <v/>
      </c>
      <c r="D47" s="63">
        <f>C47*Inputs!C7</f>
        <v/>
      </c>
      <c r="E47" s="53">
        <f>SOH_Degradation!D3</f>
        <v/>
      </c>
      <c r="F47" s="63">
        <f>MAX(0, D47-E47)</f>
        <v/>
      </c>
      <c r="G47" s="63">
        <f>MIN(D47, E47)</f>
        <v/>
      </c>
      <c r="H47" s="64">
        <f>IF(E47&gt;0, G47/E47, 0)</f>
        <v/>
      </c>
      <c r="I47" s="63">
        <f>G47*Inputs!C12/100</f>
        <v/>
      </c>
      <c r="J47" s="53">
        <f>(I47/1000)*(Inputs!C27-Inputs!C28)</f>
        <v/>
      </c>
    </row>
    <row r="48">
      <c r="A48" t="inlineStr">
        <is>
          <t>2025-02-16</t>
        </is>
      </c>
      <c r="B48" t="n">
        <v>2</v>
      </c>
      <c r="C48">
        <f>CurtailmentData!D48</f>
        <v/>
      </c>
      <c r="D48" s="63">
        <f>C48*Inputs!C7</f>
        <v/>
      </c>
      <c r="E48" s="53">
        <f>SOH_Degradation!D3</f>
        <v/>
      </c>
      <c r="F48" s="63">
        <f>MAX(0, D48-E48)</f>
        <v/>
      </c>
      <c r="G48" s="63">
        <f>MIN(D48, E48)</f>
        <v/>
      </c>
      <c r="H48" s="64">
        <f>IF(E48&gt;0, G48/E48, 0)</f>
        <v/>
      </c>
      <c r="I48" s="63">
        <f>G48*Inputs!C12/100</f>
        <v/>
      </c>
      <c r="J48" s="53">
        <f>(I48/1000)*(Inputs!C27-Inputs!C28)</f>
        <v/>
      </c>
    </row>
    <row r="49">
      <c r="A49" t="inlineStr">
        <is>
          <t>2025-02-17</t>
        </is>
      </c>
      <c r="B49" t="n">
        <v>2</v>
      </c>
      <c r="C49">
        <f>CurtailmentData!D49</f>
        <v/>
      </c>
      <c r="D49" s="63">
        <f>C49*Inputs!C7</f>
        <v/>
      </c>
      <c r="E49" s="53">
        <f>SOH_Degradation!D3</f>
        <v/>
      </c>
      <c r="F49" s="63">
        <f>MAX(0, D49-E49)</f>
        <v/>
      </c>
      <c r="G49" s="63">
        <f>MIN(D49, E49)</f>
        <v/>
      </c>
      <c r="H49" s="64">
        <f>IF(E49&gt;0, G49/E49, 0)</f>
        <v/>
      </c>
      <c r="I49" s="63">
        <f>G49*Inputs!C12/100</f>
        <v/>
      </c>
      <c r="J49" s="53">
        <f>(I49/1000)*(Inputs!C27-Inputs!C28)</f>
        <v/>
      </c>
    </row>
    <row r="50">
      <c r="A50" t="inlineStr">
        <is>
          <t>2025-02-18</t>
        </is>
      </c>
      <c r="B50" t="n">
        <v>2</v>
      </c>
      <c r="C50">
        <f>CurtailmentData!D50</f>
        <v/>
      </c>
      <c r="D50" s="63">
        <f>C50*Inputs!C7</f>
        <v/>
      </c>
      <c r="E50" s="53">
        <f>SOH_Degradation!D3</f>
        <v/>
      </c>
      <c r="F50" s="63">
        <f>MAX(0, D50-E50)</f>
        <v/>
      </c>
      <c r="G50" s="63">
        <f>MIN(D50, E50)</f>
        <v/>
      </c>
      <c r="H50" s="64">
        <f>IF(E50&gt;0, G50/E50, 0)</f>
        <v/>
      </c>
      <c r="I50" s="63">
        <f>G50*Inputs!C12/100</f>
        <v/>
      </c>
      <c r="J50" s="53">
        <f>(I50/1000)*(Inputs!C27-Inputs!C28)</f>
        <v/>
      </c>
    </row>
    <row r="51">
      <c r="A51" t="inlineStr">
        <is>
          <t>2025-02-19</t>
        </is>
      </c>
      <c r="B51" t="n">
        <v>2</v>
      </c>
      <c r="C51">
        <f>CurtailmentData!D51</f>
        <v/>
      </c>
      <c r="D51" s="63">
        <f>C51*Inputs!C7</f>
        <v/>
      </c>
      <c r="E51" s="53">
        <f>SOH_Degradation!D3</f>
        <v/>
      </c>
      <c r="F51" s="63">
        <f>MAX(0, D51-E51)</f>
        <v/>
      </c>
      <c r="G51" s="63">
        <f>MIN(D51, E51)</f>
        <v/>
      </c>
      <c r="H51" s="64">
        <f>IF(E51&gt;0, G51/E51, 0)</f>
        <v/>
      </c>
      <c r="I51" s="63">
        <f>G51*Inputs!C12/100</f>
        <v/>
      </c>
      <c r="J51" s="53">
        <f>(I51/1000)*(Inputs!C27-Inputs!C28)</f>
        <v/>
      </c>
    </row>
    <row r="52">
      <c r="A52" t="inlineStr">
        <is>
          <t>2025-02-20</t>
        </is>
      </c>
      <c r="B52" t="n">
        <v>2</v>
      </c>
      <c r="C52">
        <f>CurtailmentData!D52</f>
        <v/>
      </c>
      <c r="D52" s="63">
        <f>C52*Inputs!C7</f>
        <v/>
      </c>
      <c r="E52" s="53">
        <f>SOH_Degradation!D3</f>
        <v/>
      </c>
      <c r="F52" s="63">
        <f>MAX(0, D52-E52)</f>
        <v/>
      </c>
      <c r="G52" s="63">
        <f>MIN(D52, E52)</f>
        <v/>
      </c>
      <c r="H52" s="64">
        <f>IF(E52&gt;0, G52/E52, 0)</f>
        <v/>
      </c>
      <c r="I52" s="63">
        <f>G52*Inputs!C12/100</f>
        <v/>
      </c>
      <c r="J52" s="53">
        <f>(I52/1000)*(Inputs!C27-Inputs!C28)</f>
        <v/>
      </c>
    </row>
    <row r="53">
      <c r="A53" t="inlineStr">
        <is>
          <t>2025-02-21</t>
        </is>
      </c>
      <c r="B53" t="n">
        <v>2</v>
      </c>
      <c r="C53">
        <f>CurtailmentData!D53</f>
        <v/>
      </c>
      <c r="D53" s="63">
        <f>C53*Inputs!C7</f>
        <v/>
      </c>
      <c r="E53" s="53">
        <f>SOH_Degradation!D3</f>
        <v/>
      </c>
      <c r="F53" s="63">
        <f>MAX(0, D53-E53)</f>
        <v/>
      </c>
      <c r="G53" s="63">
        <f>MIN(D53, E53)</f>
        <v/>
      </c>
      <c r="H53" s="64">
        <f>IF(E53&gt;0, G53/E53, 0)</f>
        <v/>
      </c>
      <c r="I53" s="63">
        <f>G53*Inputs!C12/100</f>
        <v/>
      </c>
      <c r="J53" s="53">
        <f>(I53/1000)*(Inputs!C27-Inputs!C28)</f>
        <v/>
      </c>
    </row>
    <row r="54">
      <c r="A54" t="inlineStr">
        <is>
          <t>2025-02-22</t>
        </is>
      </c>
      <c r="B54" t="n">
        <v>2</v>
      </c>
      <c r="C54">
        <f>CurtailmentData!D54</f>
        <v/>
      </c>
      <c r="D54" s="63">
        <f>C54*Inputs!C7</f>
        <v/>
      </c>
      <c r="E54" s="53">
        <f>SOH_Degradation!D3</f>
        <v/>
      </c>
      <c r="F54" s="63">
        <f>MAX(0, D54-E54)</f>
        <v/>
      </c>
      <c r="G54" s="63">
        <f>MIN(D54, E54)</f>
        <v/>
      </c>
      <c r="H54" s="64">
        <f>IF(E54&gt;0, G54/E54, 0)</f>
        <v/>
      </c>
      <c r="I54" s="63">
        <f>G54*Inputs!C12/100</f>
        <v/>
      </c>
      <c r="J54" s="53">
        <f>(I54/1000)*(Inputs!C27-Inputs!C28)</f>
        <v/>
      </c>
    </row>
    <row r="55">
      <c r="A55" t="inlineStr">
        <is>
          <t>2025-02-23</t>
        </is>
      </c>
      <c r="B55" t="n">
        <v>2</v>
      </c>
      <c r="C55">
        <f>CurtailmentData!D55</f>
        <v/>
      </c>
      <c r="D55" s="63">
        <f>C55*Inputs!C7</f>
        <v/>
      </c>
      <c r="E55" s="53">
        <f>SOH_Degradation!D3</f>
        <v/>
      </c>
      <c r="F55" s="63">
        <f>MAX(0, D55-E55)</f>
        <v/>
      </c>
      <c r="G55" s="63">
        <f>MIN(D55, E55)</f>
        <v/>
      </c>
      <c r="H55" s="64">
        <f>IF(E55&gt;0, G55/E55, 0)</f>
        <v/>
      </c>
      <c r="I55" s="63">
        <f>G55*Inputs!C12/100</f>
        <v/>
      </c>
      <c r="J55" s="53">
        <f>(I55/1000)*(Inputs!C27-Inputs!C28)</f>
        <v/>
      </c>
    </row>
    <row r="56">
      <c r="A56" t="inlineStr">
        <is>
          <t>2025-02-24</t>
        </is>
      </c>
      <c r="B56" t="n">
        <v>2</v>
      </c>
      <c r="C56">
        <f>CurtailmentData!D56</f>
        <v/>
      </c>
      <c r="D56" s="63">
        <f>C56*Inputs!C7</f>
        <v/>
      </c>
      <c r="E56" s="53">
        <f>SOH_Degradation!D3</f>
        <v/>
      </c>
      <c r="F56" s="63">
        <f>MAX(0, D56-E56)</f>
        <v/>
      </c>
      <c r="G56" s="63">
        <f>MIN(D56, E56)</f>
        <v/>
      </c>
      <c r="H56" s="64">
        <f>IF(E56&gt;0, G56/E56, 0)</f>
        <v/>
      </c>
      <c r="I56" s="63">
        <f>G56*Inputs!C12/100</f>
        <v/>
      </c>
      <c r="J56" s="53">
        <f>(I56/1000)*(Inputs!C27-Inputs!C28)</f>
        <v/>
      </c>
    </row>
    <row r="57">
      <c r="A57" t="inlineStr">
        <is>
          <t>2025-02-25</t>
        </is>
      </c>
      <c r="B57" t="n">
        <v>2</v>
      </c>
      <c r="C57">
        <f>CurtailmentData!D57</f>
        <v/>
      </c>
      <c r="D57" s="63">
        <f>C57*Inputs!C7</f>
        <v/>
      </c>
      <c r="E57" s="53">
        <f>SOH_Degradation!D3</f>
        <v/>
      </c>
      <c r="F57" s="63">
        <f>MAX(0, D57-E57)</f>
        <v/>
      </c>
      <c r="G57" s="63">
        <f>MIN(D57, E57)</f>
        <v/>
      </c>
      <c r="H57" s="64">
        <f>IF(E57&gt;0, G57/E57, 0)</f>
        <v/>
      </c>
      <c r="I57" s="63">
        <f>G57*Inputs!C12/100</f>
        <v/>
      </c>
      <c r="J57" s="53">
        <f>(I57/1000)*(Inputs!C27-Inputs!C28)</f>
        <v/>
      </c>
    </row>
    <row r="58">
      <c r="A58" t="inlineStr">
        <is>
          <t>2025-02-26</t>
        </is>
      </c>
      <c r="B58" t="n">
        <v>2</v>
      </c>
      <c r="C58">
        <f>CurtailmentData!D58</f>
        <v/>
      </c>
      <c r="D58" s="63">
        <f>C58*Inputs!C7</f>
        <v/>
      </c>
      <c r="E58" s="53">
        <f>SOH_Degradation!D3</f>
        <v/>
      </c>
      <c r="F58" s="63">
        <f>MAX(0, D58-E58)</f>
        <v/>
      </c>
      <c r="G58" s="63">
        <f>MIN(D58, E58)</f>
        <v/>
      </c>
      <c r="H58" s="64">
        <f>IF(E58&gt;0, G58/E58, 0)</f>
        <v/>
      </c>
      <c r="I58" s="63">
        <f>G58*Inputs!C12/100</f>
        <v/>
      </c>
      <c r="J58" s="53">
        <f>(I58/1000)*(Inputs!C27-Inputs!C28)</f>
        <v/>
      </c>
    </row>
    <row r="59">
      <c r="A59" t="inlineStr">
        <is>
          <t>2025-02-27</t>
        </is>
      </c>
      <c r="B59" t="n">
        <v>2</v>
      </c>
      <c r="C59">
        <f>CurtailmentData!D59</f>
        <v/>
      </c>
      <c r="D59" s="63">
        <f>C59*Inputs!C7</f>
        <v/>
      </c>
      <c r="E59" s="53">
        <f>SOH_Degradation!D3</f>
        <v/>
      </c>
      <c r="F59" s="63">
        <f>MAX(0, D59-E59)</f>
        <v/>
      </c>
      <c r="G59" s="63">
        <f>MIN(D59, E59)</f>
        <v/>
      </c>
      <c r="H59" s="64">
        <f>IF(E59&gt;0, G59/E59, 0)</f>
        <v/>
      </c>
      <c r="I59" s="63">
        <f>G59*Inputs!C12/100</f>
        <v/>
      </c>
      <c r="J59" s="53">
        <f>(I59/1000)*(Inputs!C27-Inputs!C28)</f>
        <v/>
      </c>
    </row>
    <row r="60">
      <c r="A60" t="inlineStr">
        <is>
          <t>2025-02-28</t>
        </is>
      </c>
      <c r="B60" t="n">
        <v>2</v>
      </c>
      <c r="C60">
        <f>CurtailmentData!D60</f>
        <v/>
      </c>
      <c r="D60" s="63">
        <f>C60*Inputs!C7</f>
        <v/>
      </c>
      <c r="E60" s="53">
        <f>SOH_Degradation!D3</f>
        <v/>
      </c>
      <c r="F60" s="63">
        <f>MAX(0, D60-E60)</f>
        <v/>
      </c>
      <c r="G60" s="63">
        <f>MIN(D60, E60)</f>
        <v/>
      </c>
      <c r="H60" s="64">
        <f>IF(E60&gt;0, G60/E60, 0)</f>
        <v/>
      </c>
      <c r="I60" s="63">
        <f>G60*Inputs!C12/100</f>
        <v/>
      </c>
      <c r="J60" s="53">
        <f>(I60/1000)*(Inputs!C27-Inputs!C28)</f>
        <v/>
      </c>
    </row>
    <row r="61">
      <c r="A61" t="inlineStr">
        <is>
          <t>2025-03-01</t>
        </is>
      </c>
      <c r="B61" t="n">
        <v>3</v>
      </c>
      <c r="C61">
        <f>CurtailmentData!D61</f>
        <v/>
      </c>
      <c r="D61" s="63">
        <f>C61*Inputs!C7</f>
        <v/>
      </c>
      <c r="E61" s="53">
        <f>SOH_Degradation!D3</f>
        <v/>
      </c>
      <c r="F61" s="63">
        <f>MAX(0, D61-E61)</f>
        <v/>
      </c>
      <c r="G61" s="63">
        <f>MIN(D61, E61)</f>
        <v/>
      </c>
      <c r="H61" s="64">
        <f>IF(E61&gt;0, G61/E61, 0)</f>
        <v/>
      </c>
      <c r="I61" s="63">
        <f>G61*Inputs!C12/100</f>
        <v/>
      </c>
      <c r="J61" s="53">
        <f>(I61/1000)*(Inputs!C27-Inputs!C28)</f>
        <v/>
      </c>
    </row>
    <row r="62">
      <c r="A62" t="inlineStr">
        <is>
          <t>2025-03-02</t>
        </is>
      </c>
      <c r="B62" t="n">
        <v>3</v>
      </c>
      <c r="C62">
        <f>CurtailmentData!D62</f>
        <v/>
      </c>
      <c r="D62" s="63">
        <f>C62*Inputs!C7</f>
        <v/>
      </c>
      <c r="E62" s="53">
        <f>SOH_Degradation!D3</f>
        <v/>
      </c>
      <c r="F62" s="63">
        <f>MAX(0, D62-E62)</f>
        <v/>
      </c>
      <c r="G62" s="63">
        <f>MIN(D62, E62)</f>
        <v/>
      </c>
      <c r="H62" s="64">
        <f>IF(E62&gt;0, G62/E62, 0)</f>
        <v/>
      </c>
      <c r="I62" s="63">
        <f>G62*Inputs!C12/100</f>
        <v/>
      </c>
      <c r="J62" s="53">
        <f>(I62/1000)*(Inputs!C27-Inputs!C28)</f>
        <v/>
      </c>
    </row>
    <row r="63">
      <c r="A63" t="inlineStr">
        <is>
          <t>2025-03-03</t>
        </is>
      </c>
      <c r="B63" t="n">
        <v>3</v>
      </c>
      <c r="C63">
        <f>CurtailmentData!D63</f>
        <v/>
      </c>
      <c r="D63" s="63">
        <f>C63*Inputs!C7</f>
        <v/>
      </c>
      <c r="E63" s="53">
        <f>SOH_Degradation!D3</f>
        <v/>
      </c>
      <c r="F63" s="63">
        <f>MAX(0, D63-E63)</f>
        <v/>
      </c>
      <c r="G63" s="63">
        <f>MIN(D63, E63)</f>
        <v/>
      </c>
      <c r="H63" s="64">
        <f>IF(E63&gt;0, G63/E63, 0)</f>
        <v/>
      </c>
      <c r="I63" s="63">
        <f>G63*Inputs!C12/100</f>
        <v/>
      </c>
      <c r="J63" s="53">
        <f>(I63/1000)*(Inputs!C27-Inputs!C28)</f>
        <v/>
      </c>
    </row>
    <row r="64">
      <c r="A64" t="inlineStr">
        <is>
          <t>2025-03-04</t>
        </is>
      </c>
      <c r="B64" t="n">
        <v>3</v>
      </c>
      <c r="C64">
        <f>CurtailmentData!D64</f>
        <v/>
      </c>
      <c r="D64" s="63">
        <f>C64*Inputs!C7</f>
        <v/>
      </c>
      <c r="E64" s="53">
        <f>SOH_Degradation!D3</f>
        <v/>
      </c>
      <c r="F64" s="63">
        <f>MAX(0, D64-E64)</f>
        <v/>
      </c>
      <c r="G64" s="63">
        <f>MIN(D64, E64)</f>
        <v/>
      </c>
      <c r="H64" s="64">
        <f>IF(E64&gt;0, G64/E64, 0)</f>
        <v/>
      </c>
      <c r="I64" s="63">
        <f>G64*Inputs!C12/100</f>
        <v/>
      </c>
      <c r="J64" s="53">
        <f>(I64/1000)*(Inputs!C27-Inputs!C28)</f>
        <v/>
      </c>
    </row>
    <row r="65">
      <c r="A65" t="inlineStr">
        <is>
          <t>2025-03-05</t>
        </is>
      </c>
      <c r="B65" t="n">
        <v>3</v>
      </c>
      <c r="C65">
        <f>CurtailmentData!D65</f>
        <v/>
      </c>
      <c r="D65" s="63">
        <f>C65*Inputs!C7</f>
        <v/>
      </c>
      <c r="E65" s="53">
        <f>SOH_Degradation!D3</f>
        <v/>
      </c>
      <c r="F65" s="63">
        <f>MAX(0, D65-E65)</f>
        <v/>
      </c>
      <c r="G65" s="63">
        <f>MIN(D65, E65)</f>
        <v/>
      </c>
      <c r="H65" s="64">
        <f>IF(E65&gt;0, G65/E65, 0)</f>
        <v/>
      </c>
      <c r="I65" s="63">
        <f>G65*Inputs!C12/100</f>
        <v/>
      </c>
      <c r="J65" s="53">
        <f>(I65/1000)*(Inputs!C27-Inputs!C28)</f>
        <v/>
      </c>
    </row>
    <row r="66">
      <c r="A66" t="inlineStr">
        <is>
          <t>2025-03-06</t>
        </is>
      </c>
      <c r="B66" t="n">
        <v>3</v>
      </c>
      <c r="C66">
        <f>CurtailmentData!D66</f>
        <v/>
      </c>
      <c r="D66" s="63">
        <f>C66*Inputs!C7</f>
        <v/>
      </c>
      <c r="E66" s="53">
        <f>SOH_Degradation!D3</f>
        <v/>
      </c>
      <c r="F66" s="63">
        <f>MAX(0, D66-E66)</f>
        <v/>
      </c>
      <c r="G66" s="63">
        <f>MIN(D66, E66)</f>
        <v/>
      </c>
      <c r="H66" s="64">
        <f>IF(E66&gt;0, G66/E66, 0)</f>
        <v/>
      </c>
      <c r="I66" s="63">
        <f>G66*Inputs!C12/100</f>
        <v/>
      </c>
      <c r="J66" s="53">
        <f>(I66/1000)*(Inputs!C27-Inputs!C28)</f>
        <v/>
      </c>
    </row>
    <row r="67">
      <c r="A67" t="inlineStr">
        <is>
          <t>2025-03-07</t>
        </is>
      </c>
      <c r="B67" t="n">
        <v>3</v>
      </c>
      <c r="C67">
        <f>CurtailmentData!D67</f>
        <v/>
      </c>
      <c r="D67" s="63">
        <f>C67*Inputs!C7</f>
        <v/>
      </c>
      <c r="E67" s="53">
        <f>SOH_Degradation!D3</f>
        <v/>
      </c>
      <c r="F67" s="63">
        <f>MAX(0, D67-E67)</f>
        <v/>
      </c>
      <c r="G67" s="63">
        <f>MIN(D67, E67)</f>
        <v/>
      </c>
      <c r="H67" s="64">
        <f>IF(E67&gt;0, G67/E67, 0)</f>
        <v/>
      </c>
      <c r="I67" s="63">
        <f>G67*Inputs!C12/100</f>
        <v/>
      </c>
      <c r="J67" s="53">
        <f>(I67/1000)*(Inputs!C27-Inputs!C28)</f>
        <v/>
      </c>
    </row>
    <row r="68">
      <c r="A68" t="inlineStr">
        <is>
          <t>2025-03-08</t>
        </is>
      </c>
      <c r="B68" t="n">
        <v>3</v>
      </c>
      <c r="C68">
        <f>CurtailmentData!D68</f>
        <v/>
      </c>
      <c r="D68" s="63">
        <f>C68*Inputs!C7</f>
        <v/>
      </c>
      <c r="E68" s="53">
        <f>SOH_Degradation!D3</f>
        <v/>
      </c>
      <c r="F68" s="63">
        <f>MAX(0, D68-E68)</f>
        <v/>
      </c>
      <c r="G68" s="63">
        <f>MIN(D68, E68)</f>
        <v/>
      </c>
      <c r="H68" s="64">
        <f>IF(E68&gt;0, G68/E68, 0)</f>
        <v/>
      </c>
      <c r="I68" s="63">
        <f>G68*Inputs!C12/100</f>
        <v/>
      </c>
      <c r="J68" s="53">
        <f>(I68/1000)*(Inputs!C27-Inputs!C28)</f>
        <v/>
      </c>
    </row>
    <row r="69">
      <c r="A69" t="inlineStr">
        <is>
          <t>2025-03-09</t>
        </is>
      </c>
      <c r="B69" t="n">
        <v>3</v>
      </c>
      <c r="C69">
        <f>CurtailmentData!D69</f>
        <v/>
      </c>
      <c r="D69" s="63">
        <f>C69*Inputs!C7</f>
        <v/>
      </c>
      <c r="E69" s="53">
        <f>SOH_Degradation!D3</f>
        <v/>
      </c>
      <c r="F69" s="63">
        <f>MAX(0, D69-E69)</f>
        <v/>
      </c>
      <c r="G69" s="63">
        <f>MIN(D69, E69)</f>
        <v/>
      </c>
      <c r="H69" s="64">
        <f>IF(E69&gt;0, G69/E69, 0)</f>
        <v/>
      </c>
      <c r="I69" s="63">
        <f>G69*Inputs!C12/100</f>
        <v/>
      </c>
      <c r="J69" s="53">
        <f>(I69/1000)*(Inputs!C27-Inputs!C28)</f>
        <v/>
      </c>
    </row>
    <row r="70">
      <c r="A70" t="inlineStr">
        <is>
          <t>2025-03-10</t>
        </is>
      </c>
      <c r="B70" t="n">
        <v>3</v>
      </c>
      <c r="C70">
        <f>CurtailmentData!D70</f>
        <v/>
      </c>
      <c r="D70" s="63">
        <f>C70*Inputs!C7</f>
        <v/>
      </c>
      <c r="E70" s="53">
        <f>SOH_Degradation!D3</f>
        <v/>
      </c>
      <c r="F70" s="63">
        <f>MAX(0, D70-E70)</f>
        <v/>
      </c>
      <c r="G70" s="63">
        <f>MIN(D70, E70)</f>
        <v/>
      </c>
      <c r="H70" s="64">
        <f>IF(E70&gt;0, G70/E70, 0)</f>
        <v/>
      </c>
      <c r="I70" s="63">
        <f>G70*Inputs!C12/100</f>
        <v/>
      </c>
      <c r="J70" s="53">
        <f>(I70/1000)*(Inputs!C27-Inputs!C28)</f>
        <v/>
      </c>
    </row>
    <row r="71">
      <c r="A71" t="inlineStr">
        <is>
          <t>2025-03-11</t>
        </is>
      </c>
      <c r="B71" t="n">
        <v>3</v>
      </c>
      <c r="C71">
        <f>CurtailmentData!D71</f>
        <v/>
      </c>
      <c r="D71" s="63">
        <f>C71*Inputs!C7</f>
        <v/>
      </c>
      <c r="E71" s="53">
        <f>SOH_Degradation!D3</f>
        <v/>
      </c>
      <c r="F71" s="63">
        <f>MAX(0, D71-E71)</f>
        <v/>
      </c>
      <c r="G71" s="63">
        <f>MIN(D71, E71)</f>
        <v/>
      </c>
      <c r="H71" s="64">
        <f>IF(E71&gt;0, G71/E71, 0)</f>
        <v/>
      </c>
      <c r="I71" s="63">
        <f>G71*Inputs!C12/100</f>
        <v/>
      </c>
      <c r="J71" s="53">
        <f>(I71/1000)*(Inputs!C27-Inputs!C28)</f>
        <v/>
      </c>
    </row>
    <row r="72">
      <c r="A72" t="inlineStr">
        <is>
          <t>2025-03-12</t>
        </is>
      </c>
      <c r="B72" t="n">
        <v>3</v>
      </c>
      <c r="C72">
        <f>CurtailmentData!D72</f>
        <v/>
      </c>
      <c r="D72" s="63">
        <f>C72*Inputs!C7</f>
        <v/>
      </c>
      <c r="E72" s="53">
        <f>SOH_Degradation!D3</f>
        <v/>
      </c>
      <c r="F72" s="63">
        <f>MAX(0, D72-E72)</f>
        <v/>
      </c>
      <c r="G72" s="63">
        <f>MIN(D72, E72)</f>
        <v/>
      </c>
      <c r="H72" s="64">
        <f>IF(E72&gt;0, G72/E72, 0)</f>
        <v/>
      </c>
      <c r="I72" s="63">
        <f>G72*Inputs!C12/100</f>
        <v/>
      </c>
      <c r="J72" s="53">
        <f>(I72/1000)*(Inputs!C27-Inputs!C28)</f>
        <v/>
      </c>
    </row>
    <row r="73">
      <c r="A73" t="inlineStr">
        <is>
          <t>2025-03-13</t>
        </is>
      </c>
      <c r="B73" t="n">
        <v>3</v>
      </c>
      <c r="C73">
        <f>CurtailmentData!D73</f>
        <v/>
      </c>
      <c r="D73" s="63">
        <f>C73*Inputs!C7</f>
        <v/>
      </c>
      <c r="E73" s="53">
        <f>SOH_Degradation!D3</f>
        <v/>
      </c>
      <c r="F73" s="63">
        <f>MAX(0, D73-E73)</f>
        <v/>
      </c>
      <c r="G73" s="63">
        <f>MIN(D73, E73)</f>
        <v/>
      </c>
      <c r="H73" s="64">
        <f>IF(E73&gt;0, G73/E73, 0)</f>
        <v/>
      </c>
      <c r="I73" s="63">
        <f>G73*Inputs!C12/100</f>
        <v/>
      </c>
      <c r="J73" s="53">
        <f>(I73/1000)*(Inputs!C27-Inputs!C28)</f>
        <v/>
      </c>
    </row>
    <row r="74">
      <c r="A74" t="inlineStr">
        <is>
          <t>2025-03-14</t>
        </is>
      </c>
      <c r="B74" t="n">
        <v>3</v>
      </c>
      <c r="C74">
        <f>CurtailmentData!D74</f>
        <v/>
      </c>
      <c r="D74" s="63">
        <f>C74*Inputs!C7</f>
        <v/>
      </c>
      <c r="E74" s="53">
        <f>SOH_Degradation!D3</f>
        <v/>
      </c>
      <c r="F74" s="63">
        <f>MAX(0, D74-E74)</f>
        <v/>
      </c>
      <c r="G74" s="63">
        <f>MIN(D74, E74)</f>
        <v/>
      </c>
      <c r="H74" s="64">
        <f>IF(E74&gt;0, G74/E74, 0)</f>
        <v/>
      </c>
      <c r="I74" s="63">
        <f>G74*Inputs!C12/100</f>
        <v/>
      </c>
      <c r="J74" s="53">
        <f>(I74/1000)*(Inputs!C27-Inputs!C28)</f>
        <v/>
      </c>
    </row>
    <row r="75">
      <c r="A75" t="inlineStr">
        <is>
          <t>2025-03-15</t>
        </is>
      </c>
      <c r="B75" t="n">
        <v>3</v>
      </c>
      <c r="C75">
        <f>CurtailmentData!D75</f>
        <v/>
      </c>
      <c r="D75" s="63">
        <f>C75*Inputs!C7</f>
        <v/>
      </c>
      <c r="E75" s="53">
        <f>SOH_Degradation!D3</f>
        <v/>
      </c>
      <c r="F75" s="63">
        <f>MAX(0, D75-E75)</f>
        <v/>
      </c>
      <c r="G75" s="63">
        <f>MIN(D75, E75)</f>
        <v/>
      </c>
      <c r="H75" s="64">
        <f>IF(E75&gt;0, G75/E75, 0)</f>
        <v/>
      </c>
      <c r="I75" s="63">
        <f>G75*Inputs!C12/100</f>
        <v/>
      </c>
      <c r="J75" s="53">
        <f>(I75/1000)*(Inputs!C27-Inputs!C28)</f>
        <v/>
      </c>
    </row>
    <row r="76">
      <c r="A76" t="inlineStr">
        <is>
          <t>2025-03-16</t>
        </is>
      </c>
      <c r="B76" t="n">
        <v>3</v>
      </c>
      <c r="C76">
        <f>CurtailmentData!D76</f>
        <v/>
      </c>
      <c r="D76" s="63">
        <f>C76*Inputs!C7</f>
        <v/>
      </c>
      <c r="E76" s="53">
        <f>SOH_Degradation!D3</f>
        <v/>
      </c>
      <c r="F76" s="63">
        <f>MAX(0, D76-E76)</f>
        <v/>
      </c>
      <c r="G76" s="63">
        <f>MIN(D76, E76)</f>
        <v/>
      </c>
      <c r="H76" s="64">
        <f>IF(E76&gt;0, G76/E76, 0)</f>
        <v/>
      </c>
      <c r="I76" s="63">
        <f>G76*Inputs!C12/100</f>
        <v/>
      </c>
      <c r="J76" s="53">
        <f>(I76/1000)*(Inputs!C27-Inputs!C28)</f>
        <v/>
      </c>
    </row>
    <row r="77">
      <c r="A77" t="inlineStr">
        <is>
          <t>2025-03-17</t>
        </is>
      </c>
      <c r="B77" t="n">
        <v>3</v>
      </c>
      <c r="C77">
        <f>CurtailmentData!D77</f>
        <v/>
      </c>
      <c r="D77" s="63">
        <f>C77*Inputs!C7</f>
        <v/>
      </c>
      <c r="E77" s="53">
        <f>SOH_Degradation!D3</f>
        <v/>
      </c>
      <c r="F77" s="63">
        <f>MAX(0, D77-E77)</f>
        <v/>
      </c>
      <c r="G77" s="63">
        <f>MIN(D77, E77)</f>
        <v/>
      </c>
      <c r="H77" s="64">
        <f>IF(E77&gt;0, G77/E77, 0)</f>
        <v/>
      </c>
      <c r="I77" s="63">
        <f>G77*Inputs!C12/100</f>
        <v/>
      </c>
      <c r="J77" s="53">
        <f>(I77/1000)*(Inputs!C27-Inputs!C28)</f>
        <v/>
      </c>
    </row>
    <row r="78">
      <c r="A78" t="inlineStr">
        <is>
          <t>2025-03-18</t>
        </is>
      </c>
      <c r="B78" t="n">
        <v>3</v>
      </c>
      <c r="C78">
        <f>CurtailmentData!D78</f>
        <v/>
      </c>
      <c r="D78" s="63">
        <f>C78*Inputs!C7</f>
        <v/>
      </c>
      <c r="E78" s="53">
        <f>SOH_Degradation!D3</f>
        <v/>
      </c>
      <c r="F78" s="63">
        <f>MAX(0, D78-E78)</f>
        <v/>
      </c>
      <c r="G78" s="63">
        <f>MIN(D78, E78)</f>
        <v/>
      </c>
      <c r="H78" s="64">
        <f>IF(E78&gt;0, G78/E78, 0)</f>
        <v/>
      </c>
      <c r="I78" s="63">
        <f>G78*Inputs!C12/100</f>
        <v/>
      </c>
      <c r="J78" s="53">
        <f>(I78/1000)*(Inputs!C27-Inputs!C28)</f>
        <v/>
      </c>
    </row>
    <row r="79">
      <c r="A79" t="inlineStr">
        <is>
          <t>2025-03-19</t>
        </is>
      </c>
      <c r="B79" t="n">
        <v>3</v>
      </c>
      <c r="C79">
        <f>CurtailmentData!D79</f>
        <v/>
      </c>
      <c r="D79" s="63">
        <f>C79*Inputs!C7</f>
        <v/>
      </c>
      <c r="E79" s="53">
        <f>SOH_Degradation!D3</f>
        <v/>
      </c>
      <c r="F79" s="63">
        <f>MAX(0, D79-E79)</f>
        <v/>
      </c>
      <c r="G79" s="63">
        <f>MIN(D79, E79)</f>
        <v/>
      </c>
      <c r="H79" s="64">
        <f>IF(E79&gt;0, G79/E79, 0)</f>
        <v/>
      </c>
      <c r="I79" s="63">
        <f>G79*Inputs!C12/100</f>
        <v/>
      </c>
      <c r="J79" s="53">
        <f>(I79/1000)*(Inputs!C27-Inputs!C28)</f>
        <v/>
      </c>
    </row>
    <row r="80">
      <c r="A80" t="inlineStr">
        <is>
          <t>2025-03-20</t>
        </is>
      </c>
      <c r="B80" t="n">
        <v>3</v>
      </c>
      <c r="C80">
        <f>CurtailmentData!D80</f>
        <v/>
      </c>
      <c r="D80" s="63">
        <f>C80*Inputs!C7</f>
        <v/>
      </c>
      <c r="E80" s="53">
        <f>SOH_Degradation!D3</f>
        <v/>
      </c>
      <c r="F80" s="63">
        <f>MAX(0, D80-E80)</f>
        <v/>
      </c>
      <c r="G80" s="63">
        <f>MIN(D80, E80)</f>
        <v/>
      </c>
      <c r="H80" s="64">
        <f>IF(E80&gt;0, G80/E80, 0)</f>
        <v/>
      </c>
      <c r="I80" s="63">
        <f>G80*Inputs!C12/100</f>
        <v/>
      </c>
      <c r="J80" s="53">
        <f>(I80/1000)*(Inputs!C27-Inputs!C28)</f>
        <v/>
      </c>
    </row>
    <row r="81">
      <c r="A81" t="inlineStr">
        <is>
          <t>2025-03-21</t>
        </is>
      </c>
      <c r="B81" t="n">
        <v>3</v>
      </c>
      <c r="C81">
        <f>CurtailmentData!D81</f>
        <v/>
      </c>
      <c r="D81" s="63">
        <f>C81*Inputs!C7</f>
        <v/>
      </c>
      <c r="E81" s="53">
        <f>SOH_Degradation!D3</f>
        <v/>
      </c>
      <c r="F81" s="63">
        <f>MAX(0, D81-E81)</f>
        <v/>
      </c>
      <c r="G81" s="63">
        <f>MIN(D81, E81)</f>
        <v/>
      </c>
      <c r="H81" s="64">
        <f>IF(E81&gt;0, G81/E81, 0)</f>
        <v/>
      </c>
      <c r="I81" s="63">
        <f>G81*Inputs!C12/100</f>
        <v/>
      </c>
      <c r="J81" s="53">
        <f>(I81/1000)*(Inputs!C27-Inputs!C28)</f>
        <v/>
      </c>
    </row>
    <row r="82">
      <c r="A82" t="inlineStr">
        <is>
          <t>2025-03-22</t>
        </is>
      </c>
      <c r="B82" t="n">
        <v>3</v>
      </c>
      <c r="C82">
        <f>CurtailmentData!D82</f>
        <v/>
      </c>
      <c r="D82" s="63">
        <f>C82*Inputs!C7</f>
        <v/>
      </c>
      <c r="E82" s="53">
        <f>SOH_Degradation!D3</f>
        <v/>
      </c>
      <c r="F82" s="63">
        <f>MAX(0, D82-E82)</f>
        <v/>
      </c>
      <c r="G82" s="63">
        <f>MIN(D82, E82)</f>
        <v/>
      </c>
      <c r="H82" s="64">
        <f>IF(E82&gt;0, G82/E82, 0)</f>
        <v/>
      </c>
      <c r="I82" s="63">
        <f>G82*Inputs!C12/100</f>
        <v/>
      </c>
      <c r="J82" s="53">
        <f>(I82/1000)*(Inputs!C27-Inputs!C28)</f>
        <v/>
      </c>
    </row>
    <row r="83">
      <c r="A83" t="inlineStr">
        <is>
          <t>2025-03-23</t>
        </is>
      </c>
      <c r="B83" t="n">
        <v>3</v>
      </c>
      <c r="C83">
        <f>CurtailmentData!D83</f>
        <v/>
      </c>
      <c r="D83" s="63">
        <f>C83*Inputs!C7</f>
        <v/>
      </c>
      <c r="E83" s="53">
        <f>SOH_Degradation!D3</f>
        <v/>
      </c>
      <c r="F83" s="63">
        <f>MAX(0, D83-E83)</f>
        <v/>
      </c>
      <c r="G83" s="63">
        <f>MIN(D83, E83)</f>
        <v/>
      </c>
      <c r="H83" s="64">
        <f>IF(E83&gt;0, G83/E83, 0)</f>
        <v/>
      </c>
      <c r="I83" s="63">
        <f>G83*Inputs!C12/100</f>
        <v/>
      </c>
      <c r="J83" s="53">
        <f>(I83/1000)*(Inputs!C27-Inputs!C28)</f>
        <v/>
      </c>
    </row>
    <row r="84">
      <c r="A84" t="inlineStr">
        <is>
          <t>2025-03-24</t>
        </is>
      </c>
      <c r="B84" t="n">
        <v>3</v>
      </c>
      <c r="C84">
        <f>CurtailmentData!D84</f>
        <v/>
      </c>
      <c r="D84" s="63">
        <f>C84*Inputs!C7</f>
        <v/>
      </c>
      <c r="E84" s="53">
        <f>SOH_Degradation!D3</f>
        <v/>
      </c>
      <c r="F84" s="63">
        <f>MAX(0, D84-E84)</f>
        <v/>
      </c>
      <c r="G84" s="63">
        <f>MIN(D84, E84)</f>
        <v/>
      </c>
      <c r="H84" s="64">
        <f>IF(E84&gt;0, G84/E84, 0)</f>
        <v/>
      </c>
      <c r="I84" s="63">
        <f>G84*Inputs!C12/100</f>
        <v/>
      </c>
      <c r="J84" s="53">
        <f>(I84/1000)*(Inputs!C27-Inputs!C28)</f>
        <v/>
      </c>
    </row>
    <row r="85">
      <c r="A85" t="inlineStr">
        <is>
          <t>2025-03-25</t>
        </is>
      </c>
      <c r="B85" t="n">
        <v>3</v>
      </c>
      <c r="C85">
        <f>CurtailmentData!D85</f>
        <v/>
      </c>
      <c r="D85" s="63">
        <f>C85*Inputs!C7</f>
        <v/>
      </c>
      <c r="E85" s="53">
        <f>SOH_Degradation!D3</f>
        <v/>
      </c>
      <c r="F85" s="63">
        <f>MAX(0, D85-E85)</f>
        <v/>
      </c>
      <c r="G85" s="63">
        <f>MIN(D85, E85)</f>
        <v/>
      </c>
      <c r="H85" s="64">
        <f>IF(E85&gt;0, G85/E85, 0)</f>
        <v/>
      </c>
      <c r="I85" s="63">
        <f>G85*Inputs!C12/100</f>
        <v/>
      </c>
      <c r="J85" s="53">
        <f>(I85/1000)*(Inputs!C27-Inputs!C28)</f>
        <v/>
      </c>
    </row>
    <row r="86">
      <c r="A86" t="inlineStr">
        <is>
          <t>2025-03-26</t>
        </is>
      </c>
      <c r="B86" t="n">
        <v>3</v>
      </c>
      <c r="C86">
        <f>CurtailmentData!D86</f>
        <v/>
      </c>
      <c r="D86" s="63">
        <f>C86*Inputs!C7</f>
        <v/>
      </c>
      <c r="E86" s="53">
        <f>SOH_Degradation!D3</f>
        <v/>
      </c>
      <c r="F86" s="63">
        <f>MAX(0, D86-E86)</f>
        <v/>
      </c>
      <c r="G86" s="63">
        <f>MIN(D86, E86)</f>
        <v/>
      </c>
      <c r="H86" s="64">
        <f>IF(E86&gt;0, G86/E86, 0)</f>
        <v/>
      </c>
      <c r="I86" s="63">
        <f>G86*Inputs!C12/100</f>
        <v/>
      </c>
      <c r="J86" s="53">
        <f>(I86/1000)*(Inputs!C27-Inputs!C28)</f>
        <v/>
      </c>
    </row>
    <row r="87">
      <c r="A87" t="inlineStr">
        <is>
          <t>2025-03-27</t>
        </is>
      </c>
      <c r="B87" t="n">
        <v>3</v>
      </c>
      <c r="C87">
        <f>CurtailmentData!D87</f>
        <v/>
      </c>
      <c r="D87" s="63">
        <f>C87*Inputs!C7</f>
        <v/>
      </c>
      <c r="E87" s="53">
        <f>SOH_Degradation!D3</f>
        <v/>
      </c>
      <c r="F87" s="63">
        <f>MAX(0, D87-E87)</f>
        <v/>
      </c>
      <c r="G87" s="63">
        <f>MIN(D87, E87)</f>
        <v/>
      </c>
      <c r="H87" s="64">
        <f>IF(E87&gt;0, G87/E87, 0)</f>
        <v/>
      </c>
      <c r="I87" s="63">
        <f>G87*Inputs!C12/100</f>
        <v/>
      </c>
      <c r="J87" s="53">
        <f>(I87/1000)*(Inputs!C27-Inputs!C28)</f>
        <v/>
      </c>
    </row>
    <row r="88">
      <c r="A88" t="inlineStr">
        <is>
          <t>2025-03-28</t>
        </is>
      </c>
      <c r="B88" t="n">
        <v>3</v>
      </c>
      <c r="C88">
        <f>CurtailmentData!D88</f>
        <v/>
      </c>
      <c r="D88" s="63">
        <f>C88*Inputs!C7</f>
        <v/>
      </c>
      <c r="E88" s="53">
        <f>SOH_Degradation!D3</f>
        <v/>
      </c>
      <c r="F88" s="63">
        <f>MAX(0, D88-E88)</f>
        <v/>
      </c>
      <c r="G88" s="63">
        <f>MIN(D88, E88)</f>
        <v/>
      </c>
      <c r="H88" s="64">
        <f>IF(E88&gt;0, G88/E88, 0)</f>
        <v/>
      </c>
      <c r="I88" s="63">
        <f>G88*Inputs!C12/100</f>
        <v/>
      </c>
      <c r="J88" s="53">
        <f>(I88/1000)*(Inputs!C27-Inputs!C28)</f>
        <v/>
      </c>
    </row>
    <row r="89">
      <c r="A89" t="inlineStr">
        <is>
          <t>2025-03-29</t>
        </is>
      </c>
      <c r="B89" t="n">
        <v>3</v>
      </c>
      <c r="C89">
        <f>CurtailmentData!D89</f>
        <v/>
      </c>
      <c r="D89" s="63">
        <f>C89*Inputs!C7</f>
        <v/>
      </c>
      <c r="E89" s="53">
        <f>SOH_Degradation!D3</f>
        <v/>
      </c>
      <c r="F89" s="63">
        <f>MAX(0, D89-E89)</f>
        <v/>
      </c>
      <c r="G89" s="63">
        <f>MIN(D89, E89)</f>
        <v/>
      </c>
      <c r="H89" s="64">
        <f>IF(E89&gt;0, G89/E89, 0)</f>
        <v/>
      </c>
      <c r="I89" s="63">
        <f>G89*Inputs!C12/100</f>
        <v/>
      </c>
      <c r="J89" s="53">
        <f>(I89/1000)*(Inputs!C27-Inputs!C28)</f>
        <v/>
      </c>
    </row>
    <row r="90">
      <c r="A90" t="inlineStr">
        <is>
          <t>2025-03-30</t>
        </is>
      </c>
      <c r="B90" t="n">
        <v>3</v>
      </c>
      <c r="C90">
        <f>CurtailmentData!D90</f>
        <v/>
      </c>
      <c r="D90" s="63">
        <f>C90*Inputs!C7</f>
        <v/>
      </c>
      <c r="E90" s="53">
        <f>SOH_Degradation!D3</f>
        <v/>
      </c>
      <c r="F90" s="63">
        <f>MAX(0, D90-E90)</f>
        <v/>
      </c>
      <c r="G90" s="63">
        <f>MIN(D90, E90)</f>
        <v/>
      </c>
      <c r="H90" s="64">
        <f>IF(E90&gt;0, G90/E90, 0)</f>
        <v/>
      </c>
      <c r="I90" s="63">
        <f>G90*Inputs!C12/100</f>
        <v/>
      </c>
      <c r="J90" s="53">
        <f>(I90/1000)*(Inputs!C27-Inputs!C28)</f>
        <v/>
      </c>
    </row>
    <row r="91">
      <c r="A91" t="inlineStr">
        <is>
          <t>2025-03-31</t>
        </is>
      </c>
      <c r="B91" t="n">
        <v>3</v>
      </c>
      <c r="C91">
        <f>CurtailmentData!D91</f>
        <v/>
      </c>
      <c r="D91" s="63">
        <f>C91*Inputs!C7</f>
        <v/>
      </c>
      <c r="E91" s="53">
        <f>SOH_Degradation!D3</f>
        <v/>
      </c>
      <c r="F91" s="63">
        <f>MAX(0, D91-E91)</f>
        <v/>
      </c>
      <c r="G91" s="63">
        <f>MIN(D91, E91)</f>
        <v/>
      </c>
      <c r="H91" s="64">
        <f>IF(E91&gt;0, G91/E91, 0)</f>
        <v/>
      </c>
      <c r="I91" s="63">
        <f>G91*Inputs!C12/100</f>
        <v/>
      </c>
      <c r="J91" s="53">
        <f>(I91/1000)*(Inputs!C27-Inputs!C28)</f>
        <v/>
      </c>
    </row>
    <row r="92">
      <c r="A92" t="inlineStr">
        <is>
          <t>2025-04-01</t>
        </is>
      </c>
      <c r="B92" t="n">
        <v>4</v>
      </c>
      <c r="C92">
        <f>CurtailmentData!D92</f>
        <v/>
      </c>
      <c r="D92" s="63">
        <f>C92*Inputs!C7</f>
        <v/>
      </c>
      <c r="E92" s="53">
        <f>SOH_Degradation!D3</f>
        <v/>
      </c>
      <c r="F92" s="63">
        <f>MAX(0, D92-E92)</f>
        <v/>
      </c>
      <c r="G92" s="63">
        <f>MIN(D92, E92)</f>
        <v/>
      </c>
      <c r="H92" s="64">
        <f>IF(E92&gt;0, G92/E92, 0)</f>
        <v/>
      </c>
      <c r="I92" s="63">
        <f>G92*Inputs!C12/100</f>
        <v/>
      </c>
      <c r="J92" s="53">
        <f>(I92/1000)*(Inputs!C27-Inputs!C28)</f>
        <v/>
      </c>
    </row>
    <row r="93">
      <c r="A93" t="inlineStr">
        <is>
          <t>2025-04-02</t>
        </is>
      </c>
      <c r="B93" t="n">
        <v>4</v>
      </c>
      <c r="C93">
        <f>CurtailmentData!D93</f>
        <v/>
      </c>
      <c r="D93" s="63">
        <f>C93*Inputs!C7</f>
        <v/>
      </c>
      <c r="E93" s="53">
        <f>SOH_Degradation!D3</f>
        <v/>
      </c>
      <c r="F93" s="63">
        <f>MAX(0, D93-E93)</f>
        <v/>
      </c>
      <c r="G93" s="63">
        <f>MIN(D93, E93)</f>
        <v/>
      </c>
      <c r="H93" s="64">
        <f>IF(E93&gt;0, G93/E93, 0)</f>
        <v/>
      </c>
      <c r="I93" s="63">
        <f>G93*Inputs!C12/100</f>
        <v/>
      </c>
      <c r="J93" s="53">
        <f>(I93/1000)*(Inputs!C27-Inputs!C28)</f>
        <v/>
      </c>
    </row>
    <row r="94">
      <c r="A94" t="inlineStr">
        <is>
          <t>2025-04-03</t>
        </is>
      </c>
      <c r="B94" t="n">
        <v>4</v>
      </c>
      <c r="C94">
        <f>CurtailmentData!D94</f>
        <v/>
      </c>
      <c r="D94" s="63">
        <f>C94*Inputs!C7</f>
        <v/>
      </c>
      <c r="E94" s="53">
        <f>SOH_Degradation!D3</f>
        <v/>
      </c>
      <c r="F94" s="63">
        <f>MAX(0, D94-E94)</f>
        <v/>
      </c>
      <c r="G94" s="63">
        <f>MIN(D94, E94)</f>
        <v/>
      </c>
      <c r="H94" s="64">
        <f>IF(E94&gt;0, G94/E94, 0)</f>
        <v/>
      </c>
      <c r="I94" s="63">
        <f>G94*Inputs!C12/100</f>
        <v/>
      </c>
      <c r="J94" s="53">
        <f>(I94/1000)*(Inputs!C27-Inputs!C28)</f>
        <v/>
      </c>
    </row>
    <row r="95">
      <c r="A95" t="inlineStr">
        <is>
          <t>2025-04-04</t>
        </is>
      </c>
      <c r="B95" t="n">
        <v>4</v>
      </c>
      <c r="C95">
        <f>CurtailmentData!D95</f>
        <v/>
      </c>
      <c r="D95" s="63">
        <f>C95*Inputs!C7</f>
        <v/>
      </c>
      <c r="E95" s="53">
        <f>SOH_Degradation!D3</f>
        <v/>
      </c>
      <c r="F95" s="63">
        <f>MAX(0, D95-E95)</f>
        <v/>
      </c>
      <c r="G95" s="63">
        <f>MIN(D95, E95)</f>
        <v/>
      </c>
      <c r="H95" s="64">
        <f>IF(E95&gt;0, G95/E95, 0)</f>
        <v/>
      </c>
      <c r="I95" s="63">
        <f>G95*Inputs!C12/100</f>
        <v/>
      </c>
      <c r="J95" s="53">
        <f>(I95/1000)*(Inputs!C27-Inputs!C28)</f>
        <v/>
      </c>
    </row>
    <row r="96">
      <c r="A96" t="inlineStr">
        <is>
          <t>2025-04-05</t>
        </is>
      </c>
      <c r="B96" t="n">
        <v>4</v>
      </c>
      <c r="C96">
        <f>CurtailmentData!D96</f>
        <v/>
      </c>
      <c r="D96" s="63">
        <f>C96*Inputs!C7</f>
        <v/>
      </c>
      <c r="E96" s="53">
        <f>SOH_Degradation!D3</f>
        <v/>
      </c>
      <c r="F96" s="63">
        <f>MAX(0, D96-E96)</f>
        <v/>
      </c>
      <c r="G96" s="63">
        <f>MIN(D96, E96)</f>
        <v/>
      </c>
      <c r="H96" s="64">
        <f>IF(E96&gt;0, G96/E96, 0)</f>
        <v/>
      </c>
      <c r="I96" s="63">
        <f>G96*Inputs!C12/100</f>
        <v/>
      </c>
      <c r="J96" s="53">
        <f>(I96/1000)*(Inputs!C27-Inputs!C28)</f>
        <v/>
      </c>
    </row>
    <row r="97">
      <c r="A97" t="inlineStr">
        <is>
          <t>2025-04-06</t>
        </is>
      </c>
      <c r="B97" t="n">
        <v>4</v>
      </c>
      <c r="C97">
        <f>CurtailmentData!D97</f>
        <v/>
      </c>
      <c r="D97" s="63">
        <f>C97*Inputs!C7</f>
        <v/>
      </c>
      <c r="E97" s="53">
        <f>SOH_Degradation!D3</f>
        <v/>
      </c>
      <c r="F97" s="63">
        <f>MAX(0, D97-E97)</f>
        <v/>
      </c>
      <c r="G97" s="63">
        <f>MIN(D97, E97)</f>
        <v/>
      </c>
      <c r="H97" s="64">
        <f>IF(E97&gt;0, G97/E97, 0)</f>
        <v/>
      </c>
      <c r="I97" s="63">
        <f>G97*Inputs!C12/100</f>
        <v/>
      </c>
      <c r="J97" s="53">
        <f>(I97/1000)*(Inputs!C27-Inputs!C28)</f>
        <v/>
      </c>
    </row>
    <row r="98">
      <c r="A98" t="inlineStr">
        <is>
          <t>2025-04-07</t>
        </is>
      </c>
      <c r="B98" t="n">
        <v>4</v>
      </c>
      <c r="C98">
        <f>CurtailmentData!D98</f>
        <v/>
      </c>
      <c r="D98" s="63">
        <f>C98*Inputs!C7</f>
        <v/>
      </c>
      <c r="E98" s="53">
        <f>SOH_Degradation!D3</f>
        <v/>
      </c>
      <c r="F98" s="63">
        <f>MAX(0, D98-E98)</f>
        <v/>
      </c>
      <c r="G98" s="63">
        <f>MIN(D98, E98)</f>
        <v/>
      </c>
      <c r="H98" s="64">
        <f>IF(E98&gt;0, G98/E98, 0)</f>
        <v/>
      </c>
      <c r="I98" s="63">
        <f>G98*Inputs!C12/100</f>
        <v/>
      </c>
      <c r="J98" s="53">
        <f>(I98/1000)*(Inputs!C27-Inputs!C28)</f>
        <v/>
      </c>
    </row>
    <row r="99">
      <c r="A99" t="inlineStr">
        <is>
          <t>2025-04-08</t>
        </is>
      </c>
      <c r="B99" t="n">
        <v>4</v>
      </c>
      <c r="C99">
        <f>CurtailmentData!D99</f>
        <v/>
      </c>
      <c r="D99" s="63">
        <f>C99*Inputs!C7</f>
        <v/>
      </c>
      <c r="E99" s="53">
        <f>SOH_Degradation!D3</f>
        <v/>
      </c>
      <c r="F99" s="63">
        <f>MAX(0, D99-E99)</f>
        <v/>
      </c>
      <c r="G99" s="63">
        <f>MIN(D99, E99)</f>
        <v/>
      </c>
      <c r="H99" s="64">
        <f>IF(E99&gt;0, G99/E99, 0)</f>
        <v/>
      </c>
      <c r="I99" s="63">
        <f>G99*Inputs!C12/100</f>
        <v/>
      </c>
      <c r="J99" s="53">
        <f>(I99/1000)*(Inputs!C27-Inputs!C28)</f>
        <v/>
      </c>
    </row>
    <row r="100">
      <c r="A100" t="inlineStr">
        <is>
          <t>2025-04-09</t>
        </is>
      </c>
      <c r="B100" t="n">
        <v>4</v>
      </c>
      <c r="C100">
        <f>CurtailmentData!D100</f>
        <v/>
      </c>
      <c r="D100" s="63">
        <f>C100*Inputs!C7</f>
        <v/>
      </c>
      <c r="E100" s="53">
        <f>SOH_Degradation!D3</f>
        <v/>
      </c>
      <c r="F100" s="63">
        <f>MAX(0, D100-E100)</f>
        <v/>
      </c>
      <c r="G100" s="63">
        <f>MIN(D100, E100)</f>
        <v/>
      </c>
      <c r="H100" s="64">
        <f>IF(E100&gt;0, G100/E100, 0)</f>
        <v/>
      </c>
      <c r="I100" s="63">
        <f>G100*Inputs!C12/100</f>
        <v/>
      </c>
      <c r="J100" s="53">
        <f>(I100/1000)*(Inputs!C27-Inputs!C28)</f>
        <v/>
      </c>
    </row>
    <row r="101">
      <c r="A101" t="inlineStr">
        <is>
          <t>2025-04-10</t>
        </is>
      </c>
      <c r="B101" t="n">
        <v>4</v>
      </c>
      <c r="C101">
        <f>CurtailmentData!D101</f>
        <v/>
      </c>
      <c r="D101" s="63">
        <f>C101*Inputs!C7</f>
        <v/>
      </c>
      <c r="E101" s="53">
        <f>SOH_Degradation!D3</f>
        <v/>
      </c>
      <c r="F101" s="63">
        <f>MAX(0, D101-E101)</f>
        <v/>
      </c>
      <c r="G101" s="63">
        <f>MIN(D101, E101)</f>
        <v/>
      </c>
      <c r="H101" s="64">
        <f>IF(E101&gt;0, G101/E101, 0)</f>
        <v/>
      </c>
      <c r="I101" s="63">
        <f>G101*Inputs!C12/100</f>
        <v/>
      </c>
      <c r="J101" s="53">
        <f>(I101/1000)*(Inputs!C27-Inputs!C28)</f>
        <v/>
      </c>
    </row>
    <row r="102">
      <c r="A102" t="inlineStr">
        <is>
          <t>2025-04-11</t>
        </is>
      </c>
      <c r="B102" t="n">
        <v>4</v>
      </c>
      <c r="C102">
        <f>CurtailmentData!D102</f>
        <v/>
      </c>
      <c r="D102" s="63">
        <f>C102*Inputs!C7</f>
        <v/>
      </c>
      <c r="E102" s="53">
        <f>SOH_Degradation!D3</f>
        <v/>
      </c>
      <c r="F102" s="63">
        <f>MAX(0, D102-E102)</f>
        <v/>
      </c>
      <c r="G102" s="63">
        <f>MIN(D102, E102)</f>
        <v/>
      </c>
      <c r="H102" s="64">
        <f>IF(E102&gt;0, G102/E102, 0)</f>
        <v/>
      </c>
      <c r="I102" s="63">
        <f>G102*Inputs!C12/100</f>
        <v/>
      </c>
      <c r="J102" s="53">
        <f>(I102/1000)*(Inputs!C27-Inputs!C28)</f>
        <v/>
      </c>
    </row>
    <row r="103">
      <c r="A103" t="inlineStr">
        <is>
          <t>2025-04-12</t>
        </is>
      </c>
      <c r="B103" t="n">
        <v>4</v>
      </c>
      <c r="C103">
        <f>CurtailmentData!D103</f>
        <v/>
      </c>
      <c r="D103" s="63">
        <f>C103*Inputs!C7</f>
        <v/>
      </c>
      <c r="E103" s="53">
        <f>SOH_Degradation!D3</f>
        <v/>
      </c>
      <c r="F103" s="63">
        <f>MAX(0, D103-E103)</f>
        <v/>
      </c>
      <c r="G103" s="63">
        <f>MIN(D103, E103)</f>
        <v/>
      </c>
      <c r="H103" s="64">
        <f>IF(E103&gt;0, G103/E103, 0)</f>
        <v/>
      </c>
      <c r="I103" s="63">
        <f>G103*Inputs!C12/100</f>
        <v/>
      </c>
      <c r="J103" s="53">
        <f>(I103/1000)*(Inputs!C27-Inputs!C28)</f>
        <v/>
      </c>
    </row>
    <row r="104">
      <c r="A104" t="inlineStr">
        <is>
          <t>2025-04-13</t>
        </is>
      </c>
      <c r="B104" t="n">
        <v>4</v>
      </c>
      <c r="C104">
        <f>CurtailmentData!D104</f>
        <v/>
      </c>
      <c r="D104" s="63">
        <f>C104*Inputs!C7</f>
        <v/>
      </c>
      <c r="E104" s="53">
        <f>SOH_Degradation!D3</f>
        <v/>
      </c>
      <c r="F104" s="63">
        <f>MAX(0, D104-E104)</f>
        <v/>
      </c>
      <c r="G104" s="63">
        <f>MIN(D104, E104)</f>
        <v/>
      </c>
      <c r="H104" s="64">
        <f>IF(E104&gt;0, G104/E104, 0)</f>
        <v/>
      </c>
      <c r="I104" s="63">
        <f>G104*Inputs!C12/100</f>
        <v/>
      </c>
      <c r="J104" s="53">
        <f>(I104/1000)*(Inputs!C27-Inputs!C28)</f>
        <v/>
      </c>
    </row>
    <row r="105">
      <c r="A105" t="inlineStr">
        <is>
          <t>2025-04-14</t>
        </is>
      </c>
      <c r="B105" t="n">
        <v>4</v>
      </c>
      <c r="C105">
        <f>CurtailmentData!D105</f>
        <v/>
      </c>
      <c r="D105" s="63">
        <f>C105*Inputs!C7</f>
        <v/>
      </c>
      <c r="E105" s="53">
        <f>SOH_Degradation!D3</f>
        <v/>
      </c>
      <c r="F105" s="63">
        <f>MAX(0, D105-E105)</f>
        <v/>
      </c>
      <c r="G105" s="63">
        <f>MIN(D105, E105)</f>
        <v/>
      </c>
      <c r="H105" s="64">
        <f>IF(E105&gt;0, G105/E105, 0)</f>
        <v/>
      </c>
      <c r="I105" s="63">
        <f>G105*Inputs!C12/100</f>
        <v/>
      </c>
      <c r="J105" s="53">
        <f>(I105/1000)*(Inputs!C27-Inputs!C28)</f>
        <v/>
      </c>
    </row>
    <row r="106">
      <c r="A106" t="inlineStr">
        <is>
          <t>2025-04-15</t>
        </is>
      </c>
      <c r="B106" t="n">
        <v>4</v>
      </c>
      <c r="C106">
        <f>CurtailmentData!D106</f>
        <v/>
      </c>
      <c r="D106" s="63">
        <f>C106*Inputs!C7</f>
        <v/>
      </c>
      <c r="E106" s="53">
        <f>SOH_Degradation!D3</f>
        <v/>
      </c>
      <c r="F106" s="63">
        <f>MAX(0, D106-E106)</f>
        <v/>
      </c>
      <c r="G106" s="63">
        <f>MIN(D106, E106)</f>
        <v/>
      </c>
      <c r="H106" s="64">
        <f>IF(E106&gt;0, G106/E106, 0)</f>
        <v/>
      </c>
      <c r="I106" s="63">
        <f>G106*Inputs!C12/100</f>
        <v/>
      </c>
      <c r="J106" s="53">
        <f>(I106/1000)*(Inputs!C27-Inputs!C28)</f>
        <v/>
      </c>
    </row>
    <row r="107">
      <c r="A107" t="inlineStr">
        <is>
          <t>2025-04-16</t>
        </is>
      </c>
      <c r="B107" t="n">
        <v>4</v>
      </c>
      <c r="C107">
        <f>CurtailmentData!D107</f>
        <v/>
      </c>
      <c r="D107" s="63">
        <f>C107*Inputs!C7</f>
        <v/>
      </c>
      <c r="E107" s="53">
        <f>SOH_Degradation!D3</f>
        <v/>
      </c>
      <c r="F107" s="63">
        <f>MAX(0, D107-E107)</f>
        <v/>
      </c>
      <c r="G107" s="63">
        <f>MIN(D107, E107)</f>
        <v/>
      </c>
      <c r="H107" s="64">
        <f>IF(E107&gt;0, G107/E107, 0)</f>
        <v/>
      </c>
      <c r="I107" s="63">
        <f>G107*Inputs!C12/100</f>
        <v/>
      </c>
      <c r="J107" s="53">
        <f>(I107/1000)*(Inputs!C27-Inputs!C28)</f>
        <v/>
      </c>
    </row>
    <row r="108">
      <c r="A108" t="inlineStr">
        <is>
          <t>2025-04-17</t>
        </is>
      </c>
      <c r="B108" t="n">
        <v>4</v>
      </c>
      <c r="C108">
        <f>CurtailmentData!D108</f>
        <v/>
      </c>
      <c r="D108" s="63">
        <f>C108*Inputs!C7</f>
        <v/>
      </c>
      <c r="E108" s="53">
        <f>SOH_Degradation!D3</f>
        <v/>
      </c>
      <c r="F108" s="63">
        <f>MAX(0, D108-E108)</f>
        <v/>
      </c>
      <c r="G108" s="63">
        <f>MIN(D108, E108)</f>
        <v/>
      </c>
      <c r="H108" s="64">
        <f>IF(E108&gt;0, G108/E108, 0)</f>
        <v/>
      </c>
      <c r="I108" s="63">
        <f>G108*Inputs!C12/100</f>
        <v/>
      </c>
      <c r="J108" s="53">
        <f>(I108/1000)*(Inputs!C27-Inputs!C28)</f>
        <v/>
      </c>
    </row>
    <row r="109">
      <c r="A109" t="inlineStr">
        <is>
          <t>2025-04-18</t>
        </is>
      </c>
      <c r="B109" t="n">
        <v>4</v>
      </c>
      <c r="C109">
        <f>CurtailmentData!D109</f>
        <v/>
      </c>
      <c r="D109" s="63">
        <f>C109*Inputs!C7</f>
        <v/>
      </c>
      <c r="E109" s="53">
        <f>SOH_Degradation!D3</f>
        <v/>
      </c>
      <c r="F109" s="63">
        <f>MAX(0, D109-E109)</f>
        <v/>
      </c>
      <c r="G109" s="63">
        <f>MIN(D109, E109)</f>
        <v/>
      </c>
      <c r="H109" s="64">
        <f>IF(E109&gt;0, G109/E109, 0)</f>
        <v/>
      </c>
      <c r="I109" s="63">
        <f>G109*Inputs!C12/100</f>
        <v/>
      </c>
      <c r="J109" s="53">
        <f>(I109/1000)*(Inputs!C27-Inputs!C28)</f>
        <v/>
      </c>
    </row>
    <row r="110">
      <c r="A110" t="inlineStr">
        <is>
          <t>2025-04-19</t>
        </is>
      </c>
      <c r="B110" t="n">
        <v>4</v>
      </c>
      <c r="C110">
        <f>CurtailmentData!D110</f>
        <v/>
      </c>
      <c r="D110" s="63">
        <f>C110*Inputs!C7</f>
        <v/>
      </c>
      <c r="E110" s="53">
        <f>SOH_Degradation!D3</f>
        <v/>
      </c>
      <c r="F110" s="63">
        <f>MAX(0, D110-E110)</f>
        <v/>
      </c>
      <c r="G110" s="63">
        <f>MIN(D110, E110)</f>
        <v/>
      </c>
      <c r="H110" s="64">
        <f>IF(E110&gt;0, G110/E110, 0)</f>
        <v/>
      </c>
      <c r="I110" s="63">
        <f>G110*Inputs!C12/100</f>
        <v/>
      </c>
      <c r="J110" s="53">
        <f>(I110/1000)*(Inputs!C27-Inputs!C28)</f>
        <v/>
      </c>
    </row>
    <row r="111">
      <c r="A111" t="inlineStr">
        <is>
          <t>2025-04-20</t>
        </is>
      </c>
      <c r="B111" t="n">
        <v>4</v>
      </c>
      <c r="C111">
        <f>CurtailmentData!D111</f>
        <v/>
      </c>
      <c r="D111" s="63">
        <f>C111*Inputs!C7</f>
        <v/>
      </c>
      <c r="E111" s="53">
        <f>SOH_Degradation!D3</f>
        <v/>
      </c>
      <c r="F111" s="63">
        <f>MAX(0, D111-E111)</f>
        <v/>
      </c>
      <c r="G111" s="63">
        <f>MIN(D111, E111)</f>
        <v/>
      </c>
      <c r="H111" s="64">
        <f>IF(E111&gt;0, G111/E111, 0)</f>
        <v/>
      </c>
      <c r="I111" s="63">
        <f>G111*Inputs!C12/100</f>
        <v/>
      </c>
      <c r="J111" s="53">
        <f>(I111/1000)*(Inputs!C27-Inputs!C28)</f>
        <v/>
      </c>
    </row>
    <row r="112">
      <c r="A112" t="inlineStr">
        <is>
          <t>2025-04-21</t>
        </is>
      </c>
      <c r="B112" t="n">
        <v>4</v>
      </c>
      <c r="C112">
        <f>CurtailmentData!D112</f>
        <v/>
      </c>
      <c r="D112" s="63">
        <f>C112*Inputs!C7</f>
        <v/>
      </c>
      <c r="E112" s="53">
        <f>SOH_Degradation!D3</f>
        <v/>
      </c>
      <c r="F112" s="63">
        <f>MAX(0, D112-E112)</f>
        <v/>
      </c>
      <c r="G112" s="63">
        <f>MIN(D112, E112)</f>
        <v/>
      </c>
      <c r="H112" s="64">
        <f>IF(E112&gt;0, G112/E112, 0)</f>
        <v/>
      </c>
      <c r="I112" s="63">
        <f>G112*Inputs!C12/100</f>
        <v/>
      </c>
      <c r="J112" s="53">
        <f>(I112/1000)*(Inputs!C27-Inputs!C28)</f>
        <v/>
      </c>
    </row>
    <row r="113">
      <c r="A113" t="inlineStr">
        <is>
          <t>2025-04-22</t>
        </is>
      </c>
      <c r="B113" t="n">
        <v>4</v>
      </c>
      <c r="C113">
        <f>CurtailmentData!D113</f>
        <v/>
      </c>
      <c r="D113" s="63">
        <f>C113*Inputs!C7</f>
        <v/>
      </c>
      <c r="E113" s="53">
        <f>SOH_Degradation!D3</f>
        <v/>
      </c>
      <c r="F113" s="63">
        <f>MAX(0, D113-E113)</f>
        <v/>
      </c>
      <c r="G113" s="63">
        <f>MIN(D113, E113)</f>
        <v/>
      </c>
      <c r="H113" s="64">
        <f>IF(E113&gt;0, G113/E113, 0)</f>
        <v/>
      </c>
      <c r="I113" s="63">
        <f>G113*Inputs!C12/100</f>
        <v/>
      </c>
      <c r="J113" s="53">
        <f>(I113/1000)*(Inputs!C27-Inputs!C28)</f>
        <v/>
      </c>
    </row>
    <row r="114">
      <c r="A114" t="inlineStr">
        <is>
          <t>2025-04-23</t>
        </is>
      </c>
      <c r="B114" t="n">
        <v>4</v>
      </c>
      <c r="C114">
        <f>CurtailmentData!D114</f>
        <v/>
      </c>
      <c r="D114" s="63">
        <f>C114*Inputs!C7</f>
        <v/>
      </c>
      <c r="E114" s="53">
        <f>SOH_Degradation!D3</f>
        <v/>
      </c>
      <c r="F114" s="63">
        <f>MAX(0, D114-E114)</f>
        <v/>
      </c>
      <c r="G114" s="63">
        <f>MIN(D114, E114)</f>
        <v/>
      </c>
      <c r="H114" s="64">
        <f>IF(E114&gt;0, G114/E114, 0)</f>
        <v/>
      </c>
      <c r="I114" s="63">
        <f>G114*Inputs!C12/100</f>
        <v/>
      </c>
      <c r="J114" s="53">
        <f>(I114/1000)*(Inputs!C27-Inputs!C28)</f>
        <v/>
      </c>
    </row>
    <row r="115">
      <c r="A115" t="inlineStr">
        <is>
          <t>2025-04-24</t>
        </is>
      </c>
      <c r="B115" t="n">
        <v>4</v>
      </c>
      <c r="C115">
        <f>CurtailmentData!D115</f>
        <v/>
      </c>
      <c r="D115" s="63">
        <f>C115*Inputs!C7</f>
        <v/>
      </c>
      <c r="E115" s="53">
        <f>SOH_Degradation!D3</f>
        <v/>
      </c>
      <c r="F115" s="63">
        <f>MAX(0, D115-E115)</f>
        <v/>
      </c>
      <c r="G115" s="63">
        <f>MIN(D115, E115)</f>
        <v/>
      </c>
      <c r="H115" s="64">
        <f>IF(E115&gt;0, G115/E115, 0)</f>
        <v/>
      </c>
      <c r="I115" s="63">
        <f>G115*Inputs!C12/100</f>
        <v/>
      </c>
      <c r="J115" s="53">
        <f>(I115/1000)*(Inputs!C27-Inputs!C28)</f>
        <v/>
      </c>
    </row>
    <row r="116">
      <c r="A116" t="inlineStr">
        <is>
          <t>2025-04-25</t>
        </is>
      </c>
      <c r="B116" t="n">
        <v>4</v>
      </c>
      <c r="C116">
        <f>CurtailmentData!D116</f>
        <v/>
      </c>
      <c r="D116" s="63">
        <f>C116*Inputs!C7</f>
        <v/>
      </c>
      <c r="E116" s="53">
        <f>SOH_Degradation!D3</f>
        <v/>
      </c>
      <c r="F116" s="63">
        <f>MAX(0, D116-E116)</f>
        <v/>
      </c>
      <c r="G116" s="63">
        <f>MIN(D116, E116)</f>
        <v/>
      </c>
      <c r="H116" s="64">
        <f>IF(E116&gt;0, G116/E116, 0)</f>
        <v/>
      </c>
      <c r="I116" s="63">
        <f>G116*Inputs!C12/100</f>
        <v/>
      </c>
      <c r="J116" s="53">
        <f>(I116/1000)*(Inputs!C27-Inputs!C28)</f>
        <v/>
      </c>
    </row>
    <row r="117">
      <c r="A117" t="inlineStr">
        <is>
          <t>2025-04-26</t>
        </is>
      </c>
      <c r="B117" t="n">
        <v>4</v>
      </c>
      <c r="C117">
        <f>CurtailmentData!D117</f>
        <v/>
      </c>
      <c r="D117" s="63">
        <f>C117*Inputs!C7</f>
        <v/>
      </c>
      <c r="E117" s="53">
        <f>SOH_Degradation!D3</f>
        <v/>
      </c>
      <c r="F117" s="63">
        <f>MAX(0, D117-E117)</f>
        <v/>
      </c>
      <c r="G117" s="63">
        <f>MIN(D117, E117)</f>
        <v/>
      </c>
      <c r="H117" s="64">
        <f>IF(E117&gt;0, G117/E117, 0)</f>
        <v/>
      </c>
      <c r="I117" s="63">
        <f>G117*Inputs!C12/100</f>
        <v/>
      </c>
      <c r="J117" s="53">
        <f>(I117/1000)*(Inputs!C27-Inputs!C28)</f>
        <v/>
      </c>
    </row>
    <row r="118">
      <c r="A118" t="inlineStr">
        <is>
          <t>2025-04-27</t>
        </is>
      </c>
      <c r="B118" t="n">
        <v>4</v>
      </c>
      <c r="C118">
        <f>CurtailmentData!D118</f>
        <v/>
      </c>
      <c r="D118" s="63">
        <f>C118*Inputs!C7</f>
        <v/>
      </c>
      <c r="E118" s="53">
        <f>SOH_Degradation!D3</f>
        <v/>
      </c>
      <c r="F118" s="63">
        <f>MAX(0, D118-E118)</f>
        <v/>
      </c>
      <c r="G118" s="63">
        <f>MIN(D118, E118)</f>
        <v/>
      </c>
      <c r="H118" s="64">
        <f>IF(E118&gt;0, G118/E118, 0)</f>
        <v/>
      </c>
      <c r="I118" s="63">
        <f>G118*Inputs!C12/100</f>
        <v/>
      </c>
      <c r="J118" s="53">
        <f>(I118/1000)*(Inputs!C27-Inputs!C28)</f>
        <v/>
      </c>
    </row>
    <row r="119">
      <c r="A119" t="inlineStr">
        <is>
          <t>2025-04-28</t>
        </is>
      </c>
      <c r="B119" t="n">
        <v>4</v>
      </c>
      <c r="C119">
        <f>CurtailmentData!D119</f>
        <v/>
      </c>
      <c r="D119" s="63">
        <f>C119*Inputs!C7</f>
        <v/>
      </c>
      <c r="E119" s="53">
        <f>SOH_Degradation!D3</f>
        <v/>
      </c>
      <c r="F119" s="63">
        <f>MAX(0, D119-E119)</f>
        <v/>
      </c>
      <c r="G119" s="63">
        <f>MIN(D119, E119)</f>
        <v/>
      </c>
      <c r="H119" s="64">
        <f>IF(E119&gt;0, G119/E119, 0)</f>
        <v/>
      </c>
      <c r="I119" s="63">
        <f>G119*Inputs!C12/100</f>
        <v/>
      </c>
      <c r="J119" s="53">
        <f>(I119/1000)*(Inputs!C27-Inputs!C28)</f>
        <v/>
      </c>
    </row>
    <row r="120">
      <c r="A120" t="inlineStr">
        <is>
          <t>2025-04-29</t>
        </is>
      </c>
      <c r="B120" t="n">
        <v>4</v>
      </c>
      <c r="C120">
        <f>CurtailmentData!D120</f>
        <v/>
      </c>
      <c r="D120" s="63">
        <f>C120*Inputs!C7</f>
        <v/>
      </c>
      <c r="E120" s="53">
        <f>SOH_Degradation!D3</f>
        <v/>
      </c>
      <c r="F120" s="63">
        <f>MAX(0, D120-E120)</f>
        <v/>
      </c>
      <c r="G120" s="63">
        <f>MIN(D120, E120)</f>
        <v/>
      </c>
      <c r="H120" s="64">
        <f>IF(E120&gt;0, G120/E120, 0)</f>
        <v/>
      </c>
      <c r="I120" s="63">
        <f>G120*Inputs!C12/100</f>
        <v/>
      </c>
      <c r="J120" s="53">
        <f>(I120/1000)*(Inputs!C27-Inputs!C28)</f>
        <v/>
      </c>
    </row>
    <row r="121">
      <c r="A121" t="inlineStr">
        <is>
          <t>2025-04-30</t>
        </is>
      </c>
      <c r="B121" t="n">
        <v>4</v>
      </c>
      <c r="C121">
        <f>CurtailmentData!D121</f>
        <v/>
      </c>
      <c r="D121" s="63">
        <f>C121*Inputs!C7</f>
        <v/>
      </c>
      <c r="E121" s="53">
        <f>SOH_Degradation!D3</f>
        <v/>
      </c>
      <c r="F121" s="63">
        <f>MAX(0, D121-E121)</f>
        <v/>
      </c>
      <c r="G121" s="63">
        <f>MIN(D121, E121)</f>
        <v/>
      </c>
      <c r="H121" s="64">
        <f>IF(E121&gt;0, G121/E121, 0)</f>
        <v/>
      </c>
      <c r="I121" s="63">
        <f>G121*Inputs!C12/100</f>
        <v/>
      </c>
      <c r="J121" s="53">
        <f>(I121/1000)*(Inputs!C27-Inputs!C28)</f>
        <v/>
      </c>
    </row>
    <row r="122">
      <c r="A122" t="inlineStr">
        <is>
          <t>2025-05-01</t>
        </is>
      </c>
      <c r="B122" t="n">
        <v>5</v>
      </c>
      <c r="C122">
        <f>CurtailmentData!D122</f>
        <v/>
      </c>
      <c r="D122" s="63">
        <f>C122*Inputs!C7</f>
        <v/>
      </c>
      <c r="E122" s="53">
        <f>SOH_Degradation!D3</f>
        <v/>
      </c>
      <c r="F122" s="63">
        <f>MAX(0, D122-E122)</f>
        <v/>
      </c>
      <c r="G122" s="63">
        <f>MIN(D122, E122)</f>
        <v/>
      </c>
      <c r="H122" s="64">
        <f>IF(E122&gt;0, G122/E122, 0)</f>
        <v/>
      </c>
      <c r="I122" s="63">
        <f>G122*Inputs!C12/100</f>
        <v/>
      </c>
      <c r="J122" s="53">
        <f>(I122/1000)*(Inputs!C27-Inputs!C28)</f>
        <v/>
      </c>
    </row>
    <row r="123">
      <c r="A123" t="inlineStr">
        <is>
          <t>2025-05-02</t>
        </is>
      </c>
      <c r="B123" t="n">
        <v>5</v>
      </c>
      <c r="C123">
        <f>CurtailmentData!D123</f>
        <v/>
      </c>
      <c r="D123" s="63">
        <f>C123*Inputs!C7</f>
        <v/>
      </c>
      <c r="E123" s="53">
        <f>SOH_Degradation!D3</f>
        <v/>
      </c>
      <c r="F123" s="63">
        <f>MAX(0, D123-E123)</f>
        <v/>
      </c>
      <c r="G123" s="63">
        <f>MIN(D123, E123)</f>
        <v/>
      </c>
      <c r="H123" s="64">
        <f>IF(E123&gt;0, G123/E123, 0)</f>
        <v/>
      </c>
      <c r="I123" s="63">
        <f>G123*Inputs!C12/100</f>
        <v/>
      </c>
      <c r="J123" s="53">
        <f>(I123/1000)*(Inputs!C27-Inputs!C28)</f>
        <v/>
      </c>
    </row>
    <row r="124">
      <c r="A124" t="inlineStr">
        <is>
          <t>2025-05-03</t>
        </is>
      </c>
      <c r="B124" t="n">
        <v>5</v>
      </c>
      <c r="C124">
        <f>CurtailmentData!D124</f>
        <v/>
      </c>
      <c r="D124" s="63">
        <f>C124*Inputs!C7</f>
        <v/>
      </c>
      <c r="E124" s="53">
        <f>SOH_Degradation!D3</f>
        <v/>
      </c>
      <c r="F124" s="63">
        <f>MAX(0, D124-E124)</f>
        <v/>
      </c>
      <c r="G124" s="63">
        <f>MIN(D124, E124)</f>
        <v/>
      </c>
      <c r="H124" s="64">
        <f>IF(E124&gt;0, G124/E124, 0)</f>
        <v/>
      </c>
      <c r="I124" s="63">
        <f>G124*Inputs!C12/100</f>
        <v/>
      </c>
      <c r="J124" s="53">
        <f>(I124/1000)*(Inputs!C27-Inputs!C28)</f>
        <v/>
      </c>
    </row>
    <row r="125">
      <c r="A125" t="inlineStr">
        <is>
          <t>2025-05-04</t>
        </is>
      </c>
      <c r="B125" t="n">
        <v>5</v>
      </c>
      <c r="C125">
        <f>CurtailmentData!D125</f>
        <v/>
      </c>
      <c r="D125" s="63">
        <f>C125*Inputs!C7</f>
        <v/>
      </c>
      <c r="E125" s="53">
        <f>SOH_Degradation!D3</f>
        <v/>
      </c>
      <c r="F125" s="63">
        <f>MAX(0, D125-E125)</f>
        <v/>
      </c>
      <c r="G125" s="63">
        <f>MIN(D125, E125)</f>
        <v/>
      </c>
      <c r="H125" s="64">
        <f>IF(E125&gt;0, G125/E125, 0)</f>
        <v/>
      </c>
      <c r="I125" s="63">
        <f>G125*Inputs!C12/100</f>
        <v/>
      </c>
      <c r="J125" s="53">
        <f>(I125/1000)*(Inputs!C27-Inputs!C28)</f>
        <v/>
      </c>
    </row>
    <row r="126">
      <c r="A126" t="inlineStr">
        <is>
          <t>2025-05-05</t>
        </is>
      </c>
      <c r="B126" t="n">
        <v>5</v>
      </c>
      <c r="C126">
        <f>CurtailmentData!D126</f>
        <v/>
      </c>
      <c r="D126" s="63">
        <f>C126*Inputs!C7</f>
        <v/>
      </c>
      <c r="E126" s="53">
        <f>SOH_Degradation!D3</f>
        <v/>
      </c>
      <c r="F126" s="63">
        <f>MAX(0, D126-E126)</f>
        <v/>
      </c>
      <c r="G126" s="63">
        <f>MIN(D126, E126)</f>
        <v/>
      </c>
      <c r="H126" s="64">
        <f>IF(E126&gt;0, G126/E126, 0)</f>
        <v/>
      </c>
      <c r="I126" s="63">
        <f>G126*Inputs!C12/100</f>
        <v/>
      </c>
      <c r="J126" s="53">
        <f>(I126/1000)*(Inputs!C27-Inputs!C28)</f>
        <v/>
      </c>
    </row>
    <row r="127">
      <c r="A127" t="inlineStr">
        <is>
          <t>2025-05-06</t>
        </is>
      </c>
      <c r="B127" t="n">
        <v>5</v>
      </c>
      <c r="C127">
        <f>CurtailmentData!D127</f>
        <v/>
      </c>
      <c r="D127" s="63">
        <f>C127*Inputs!C7</f>
        <v/>
      </c>
      <c r="E127" s="53">
        <f>SOH_Degradation!D3</f>
        <v/>
      </c>
      <c r="F127" s="63">
        <f>MAX(0, D127-E127)</f>
        <v/>
      </c>
      <c r="G127" s="63">
        <f>MIN(D127, E127)</f>
        <v/>
      </c>
      <c r="H127" s="64">
        <f>IF(E127&gt;0, G127/E127, 0)</f>
        <v/>
      </c>
      <c r="I127" s="63">
        <f>G127*Inputs!C12/100</f>
        <v/>
      </c>
      <c r="J127" s="53">
        <f>(I127/1000)*(Inputs!C27-Inputs!C28)</f>
        <v/>
      </c>
    </row>
    <row r="128">
      <c r="A128" t="inlineStr">
        <is>
          <t>2025-05-07</t>
        </is>
      </c>
      <c r="B128" t="n">
        <v>5</v>
      </c>
      <c r="C128">
        <f>CurtailmentData!D128</f>
        <v/>
      </c>
      <c r="D128" s="63">
        <f>C128*Inputs!C7</f>
        <v/>
      </c>
      <c r="E128" s="53">
        <f>SOH_Degradation!D3</f>
        <v/>
      </c>
      <c r="F128" s="63">
        <f>MAX(0, D128-E128)</f>
        <v/>
      </c>
      <c r="G128" s="63">
        <f>MIN(D128, E128)</f>
        <v/>
      </c>
      <c r="H128" s="64">
        <f>IF(E128&gt;0, G128/E128, 0)</f>
        <v/>
      </c>
      <c r="I128" s="63">
        <f>G128*Inputs!C12/100</f>
        <v/>
      </c>
      <c r="J128" s="53">
        <f>(I128/1000)*(Inputs!C27-Inputs!C28)</f>
        <v/>
      </c>
    </row>
    <row r="129">
      <c r="A129" t="inlineStr">
        <is>
          <t>2025-05-08</t>
        </is>
      </c>
      <c r="B129" t="n">
        <v>5</v>
      </c>
      <c r="C129">
        <f>CurtailmentData!D129</f>
        <v/>
      </c>
      <c r="D129" s="63">
        <f>C129*Inputs!C7</f>
        <v/>
      </c>
      <c r="E129" s="53">
        <f>SOH_Degradation!D3</f>
        <v/>
      </c>
      <c r="F129" s="63">
        <f>MAX(0, D129-E129)</f>
        <v/>
      </c>
      <c r="G129" s="63">
        <f>MIN(D129, E129)</f>
        <v/>
      </c>
      <c r="H129" s="64">
        <f>IF(E129&gt;0, G129/E129, 0)</f>
        <v/>
      </c>
      <c r="I129" s="63">
        <f>G129*Inputs!C12/100</f>
        <v/>
      </c>
      <c r="J129" s="53">
        <f>(I129/1000)*(Inputs!C27-Inputs!C28)</f>
        <v/>
      </c>
    </row>
    <row r="130">
      <c r="A130" t="inlineStr">
        <is>
          <t>2025-05-09</t>
        </is>
      </c>
      <c r="B130" t="n">
        <v>5</v>
      </c>
      <c r="C130">
        <f>CurtailmentData!D130</f>
        <v/>
      </c>
      <c r="D130" s="63">
        <f>C130*Inputs!C7</f>
        <v/>
      </c>
      <c r="E130" s="53">
        <f>SOH_Degradation!D3</f>
        <v/>
      </c>
      <c r="F130" s="63">
        <f>MAX(0, D130-E130)</f>
        <v/>
      </c>
      <c r="G130" s="63">
        <f>MIN(D130, E130)</f>
        <v/>
      </c>
      <c r="H130" s="64">
        <f>IF(E130&gt;0, G130/E130, 0)</f>
        <v/>
      </c>
      <c r="I130" s="63">
        <f>G130*Inputs!C12/100</f>
        <v/>
      </c>
      <c r="J130" s="53">
        <f>(I130/1000)*(Inputs!C27-Inputs!C28)</f>
        <v/>
      </c>
    </row>
    <row r="131">
      <c r="A131" t="inlineStr">
        <is>
          <t>2025-05-10</t>
        </is>
      </c>
      <c r="B131" t="n">
        <v>5</v>
      </c>
      <c r="C131">
        <f>CurtailmentData!D131</f>
        <v/>
      </c>
      <c r="D131" s="63">
        <f>C131*Inputs!C7</f>
        <v/>
      </c>
      <c r="E131" s="53">
        <f>SOH_Degradation!D3</f>
        <v/>
      </c>
      <c r="F131" s="63">
        <f>MAX(0, D131-E131)</f>
        <v/>
      </c>
      <c r="G131" s="63">
        <f>MIN(D131, E131)</f>
        <v/>
      </c>
      <c r="H131" s="64">
        <f>IF(E131&gt;0, G131/E131, 0)</f>
        <v/>
      </c>
      <c r="I131" s="63">
        <f>G131*Inputs!C12/100</f>
        <v/>
      </c>
      <c r="J131" s="53">
        <f>(I131/1000)*(Inputs!C27-Inputs!C28)</f>
        <v/>
      </c>
    </row>
    <row r="132">
      <c r="A132" t="inlineStr">
        <is>
          <t>2025-05-11</t>
        </is>
      </c>
      <c r="B132" t="n">
        <v>5</v>
      </c>
      <c r="C132">
        <f>CurtailmentData!D132</f>
        <v/>
      </c>
      <c r="D132" s="63">
        <f>C132*Inputs!C7</f>
        <v/>
      </c>
      <c r="E132" s="53">
        <f>SOH_Degradation!D3</f>
        <v/>
      </c>
      <c r="F132" s="63">
        <f>MAX(0, D132-E132)</f>
        <v/>
      </c>
      <c r="G132" s="63">
        <f>MIN(D132, E132)</f>
        <v/>
      </c>
      <c r="H132" s="64">
        <f>IF(E132&gt;0, G132/E132, 0)</f>
        <v/>
      </c>
      <c r="I132" s="63">
        <f>G132*Inputs!C12/100</f>
        <v/>
      </c>
      <c r="J132" s="53">
        <f>(I132/1000)*(Inputs!C27-Inputs!C28)</f>
        <v/>
      </c>
    </row>
    <row r="133">
      <c r="A133" t="inlineStr">
        <is>
          <t>2025-05-12</t>
        </is>
      </c>
      <c r="B133" t="n">
        <v>5</v>
      </c>
      <c r="C133">
        <f>CurtailmentData!D133</f>
        <v/>
      </c>
      <c r="D133" s="63">
        <f>C133*Inputs!C7</f>
        <v/>
      </c>
      <c r="E133" s="53">
        <f>SOH_Degradation!D3</f>
        <v/>
      </c>
      <c r="F133" s="63">
        <f>MAX(0, D133-E133)</f>
        <v/>
      </c>
      <c r="G133" s="63">
        <f>MIN(D133, E133)</f>
        <v/>
      </c>
      <c r="H133" s="64">
        <f>IF(E133&gt;0, G133/E133, 0)</f>
        <v/>
      </c>
      <c r="I133" s="63">
        <f>G133*Inputs!C12/100</f>
        <v/>
      </c>
      <c r="J133" s="53">
        <f>(I133/1000)*(Inputs!C27-Inputs!C28)</f>
        <v/>
      </c>
    </row>
    <row r="134">
      <c r="A134" t="inlineStr">
        <is>
          <t>2025-05-13</t>
        </is>
      </c>
      <c r="B134" t="n">
        <v>5</v>
      </c>
      <c r="C134">
        <f>CurtailmentData!D134</f>
        <v/>
      </c>
      <c r="D134" s="63">
        <f>C134*Inputs!C7</f>
        <v/>
      </c>
      <c r="E134" s="53">
        <f>SOH_Degradation!D3</f>
        <v/>
      </c>
      <c r="F134" s="63">
        <f>MAX(0, D134-E134)</f>
        <v/>
      </c>
      <c r="G134" s="63">
        <f>MIN(D134, E134)</f>
        <v/>
      </c>
      <c r="H134" s="64">
        <f>IF(E134&gt;0, G134/E134, 0)</f>
        <v/>
      </c>
      <c r="I134" s="63">
        <f>G134*Inputs!C12/100</f>
        <v/>
      </c>
      <c r="J134" s="53">
        <f>(I134/1000)*(Inputs!C27-Inputs!C28)</f>
        <v/>
      </c>
    </row>
    <row r="135">
      <c r="A135" t="inlineStr">
        <is>
          <t>2025-05-14</t>
        </is>
      </c>
      <c r="B135" t="n">
        <v>5</v>
      </c>
      <c r="C135">
        <f>CurtailmentData!D135</f>
        <v/>
      </c>
      <c r="D135" s="63">
        <f>C135*Inputs!C7</f>
        <v/>
      </c>
      <c r="E135" s="53">
        <f>SOH_Degradation!D3</f>
        <v/>
      </c>
      <c r="F135" s="63">
        <f>MAX(0, D135-E135)</f>
        <v/>
      </c>
      <c r="G135" s="63">
        <f>MIN(D135, E135)</f>
        <v/>
      </c>
      <c r="H135" s="64">
        <f>IF(E135&gt;0, G135/E135, 0)</f>
        <v/>
      </c>
      <c r="I135" s="63">
        <f>G135*Inputs!C12/100</f>
        <v/>
      </c>
      <c r="J135" s="53">
        <f>(I135/1000)*(Inputs!C27-Inputs!C28)</f>
        <v/>
      </c>
    </row>
    <row r="136">
      <c r="A136" t="inlineStr">
        <is>
          <t>2025-05-15</t>
        </is>
      </c>
      <c r="B136" t="n">
        <v>5</v>
      </c>
      <c r="C136">
        <f>CurtailmentData!D136</f>
        <v/>
      </c>
      <c r="D136" s="63">
        <f>C136*Inputs!C7</f>
        <v/>
      </c>
      <c r="E136" s="53">
        <f>SOH_Degradation!D3</f>
        <v/>
      </c>
      <c r="F136" s="63">
        <f>MAX(0, D136-E136)</f>
        <v/>
      </c>
      <c r="G136" s="63">
        <f>MIN(D136, E136)</f>
        <v/>
      </c>
      <c r="H136" s="64">
        <f>IF(E136&gt;0, G136/E136, 0)</f>
        <v/>
      </c>
      <c r="I136" s="63">
        <f>G136*Inputs!C12/100</f>
        <v/>
      </c>
      <c r="J136" s="53">
        <f>(I136/1000)*(Inputs!C27-Inputs!C28)</f>
        <v/>
      </c>
    </row>
    <row r="137">
      <c r="A137" t="inlineStr">
        <is>
          <t>2025-05-16</t>
        </is>
      </c>
      <c r="B137" t="n">
        <v>5</v>
      </c>
      <c r="C137">
        <f>CurtailmentData!D137</f>
        <v/>
      </c>
      <c r="D137" s="63">
        <f>C137*Inputs!C7</f>
        <v/>
      </c>
      <c r="E137" s="53">
        <f>SOH_Degradation!D3</f>
        <v/>
      </c>
      <c r="F137" s="63">
        <f>MAX(0, D137-E137)</f>
        <v/>
      </c>
      <c r="G137" s="63">
        <f>MIN(D137, E137)</f>
        <v/>
      </c>
      <c r="H137" s="64">
        <f>IF(E137&gt;0, G137/E137, 0)</f>
        <v/>
      </c>
      <c r="I137" s="63">
        <f>G137*Inputs!C12/100</f>
        <v/>
      </c>
      <c r="J137" s="53">
        <f>(I137/1000)*(Inputs!C27-Inputs!C28)</f>
        <v/>
      </c>
    </row>
    <row r="138">
      <c r="A138" t="inlineStr">
        <is>
          <t>2025-05-17</t>
        </is>
      </c>
      <c r="B138" t="n">
        <v>5</v>
      </c>
      <c r="C138">
        <f>CurtailmentData!D138</f>
        <v/>
      </c>
      <c r="D138" s="63">
        <f>C138*Inputs!C7</f>
        <v/>
      </c>
      <c r="E138" s="53">
        <f>SOH_Degradation!D3</f>
        <v/>
      </c>
      <c r="F138" s="63">
        <f>MAX(0, D138-E138)</f>
        <v/>
      </c>
      <c r="G138" s="63">
        <f>MIN(D138, E138)</f>
        <v/>
      </c>
      <c r="H138" s="64">
        <f>IF(E138&gt;0, G138/E138, 0)</f>
        <v/>
      </c>
      <c r="I138" s="63">
        <f>G138*Inputs!C12/100</f>
        <v/>
      </c>
      <c r="J138" s="53">
        <f>(I138/1000)*(Inputs!C27-Inputs!C28)</f>
        <v/>
      </c>
    </row>
    <row r="139">
      <c r="A139" t="inlineStr">
        <is>
          <t>2025-05-18</t>
        </is>
      </c>
      <c r="B139" t="n">
        <v>5</v>
      </c>
      <c r="C139">
        <f>CurtailmentData!D139</f>
        <v/>
      </c>
      <c r="D139" s="63">
        <f>C139*Inputs!C7</f>
        <v/>
      </c>
      <c r="E139" s="53">
        <f>SOH_Degradation!D3</f>
        <v/>
      </c>
      <c r="F139" s="63">
        <f>MAX(0, D139-E139)</f>
        <v/>
      </c>
      <c r="G139" s="63">
        <f>MIN(D139, E139)</f>
        <v/>
      </c>
      <c r="H139" s="64">
        <f>IF(E139&gt;0, G139/E139, 0)</f>
        <v/>
      </c>
      <c r="I139" s="63">
        <f>G139*Inputs!C12/100</f>
        <v/>
      </c>
      <c r="J139" s="53">
        <f>(I139/1000)*(Inputs!C27-Inputs!C28)</f>
        <v/>
      </c>
    </row>
    <row r="140">
      <c r="A140" t="inlineStr">
        <is>
          <t>2025-05-19</t>
        </is>
      </c>
      <c r="B140" t="n">
        <v>5</v>
      </c>
      <c r="C140">
        <f>CurtailmentData!D140</f>
        <v/>
      </c>
      <c r="D140" s="63">
        <f>C140*Inputs!C7</f>
        <v/>
      </c>
      <c r="E140" s="53">
        <f>SOH_Degradation!D3</f>
        <v/>
      </c>
      <c r="F140" s="63">
        <f>MAX(0, D140-E140)</f>
        <v/>
      </c>
      <c r="G140" s="63">
        <f>MIN(D140, E140)</f>
        <v/>
      </c>
      <c r="H140" s="64">
        <f>IF(E140&gt;0, G140/E140, 0)</f>
        <v/>
      </c>
      <c r="I140" s="63">
        <f>G140*Inputs!C12/100</f>
        <v/>
      </c>
      <c r="J140" s="53">
        <f>(I140/1000)*(Inputs!C27-Inputs!C28)</f>
        <v/>
      </c>
    </row>
    <row r="141">
      <c r="A141" t="inlineStr">
        <is>
          <t>2025-05-20</t>
        </is>
      </c>
      <c r="B141" t="n">
        <v>5</v>
      </c>
      <c r="C141">
        <f>CurtailmentData!D141</f>
        <v/>
      </c>
      <c r="D141" s="63">
        <f>C141*Inputs!C7</f>
        <v/>
      </c>
      <c r="E141" s="53">
        <f>SOH_Degradation!D3</f>
        <v/>
      </c>
      <c r="F141" s="63">
        <f>MAX(0, D141-E141)</f>
        <v/>
      </c>
      <c r="G141" s="63">
        <f>MIN(D141, E141)</f>
        <v/>
      </c>
      <c r="H141" s="64">
        <f>IF(E141&gt;0, G141/E141, 0)</f>
        <v/>
      </c>
      <c r="I141" s="63">
        <f>G141*Inputs!C12/100</f>
        <v/>
      </c>
      <c r="J141" s="53">
        <f>(I141/1000)*(Inputs!C27-Inputs!C28)</f>
        <v/>
      </c>
    </row>
    <row r="142">
      <c r="A142" t="inlineStr">
        <is>
          <t>2025-05-21</t>
        </is>
      </c>
      <c r="B142" t="n">
        <v>5</v>
      </c>
      <c r="C142">
        <f>CurtailmentData!D142</f>
        <v/>
      </c>
      <c r="D142" s="63">
        <f>C142*Inputs!C7</f>
        <v/>
      </c>
      <c r="E142" s="53">
        <f>SOH_Degradation!D3</f>
        <v/>
      </c>
      <c r="F142" s="63">
        <f>MAX(0, D142-E142)</f>
        <v/>
      </c>
      <c r="G142" s="63">
        <f>MIN(D142, E142)</f>
        <v/>
      </c>
      <c r="H142" s="64">
        <f>IF(E142&gt;0, G142/E142, 0)</f>
        <v/>
      </c>
      <c r="I142" s="63">
        <f>G142*Inputs!C12/100</f>
        <v/>
      </c>
      <c r="J142" s="53">
        <f>(I142/1000)*(Inputs!C27-Inputs!C28)</f>
        <v/>
      </c>
    </row>
    <row r="143">
      <c r="A143" t="inlineStr">
        <is>
          <t>2025-05-22</t>
        </is>
      </c>
      <c r="B143" t="n">
        <v>5</v>
      </c>
      <c r="C143">
        <f>CurtailmentData!D143</f>
        <v/>
      </c>
      <c r="D143" s="63">
        <f>C143*Inputs!C7</f>
        <v/>
      </c>
      <c r="E143" s="53">
        <f>SOH_Degradation!D3</f>
        <v/>
      </c>
      <c r="F143" s="63">
        <f>MAX(0, D143-E143)</f>
        <v/>
      </c>
      <c r="G143" s="63">
        <f>MIN(D143, E143)</f>
        <v/>
      </c>
      <c r="H143" s="64">
        <f>IF(E143&gt;0, G143/E143, 0)</f>
        <v/>
      </c>
      <c r="I143" s="63">
        <f>G143*Inputs!C12/100</f>
        <v/>
      </c>
      <c r="J143" s="53">
        <f>(I143/1000)*(Inputs!C27-Inputs!C28)</f>
        <v/>
      </c>
    </row>
    <row r="144">
      <c r="A144" t="inlineStr">
        <is>
          <t>2025-05-23</t>
        </is>
      </c>
      <c r="B144" t="n">
        <v>5</v>
      </c>
      <c r="C144">
        <f>CurtailmentData!D144</f>
        <v/>
      </c>
      <c r="D144" s="63">
        <f>C144*Inputs!C7</f>
        <v/>
      </c>
      <c r="E144" s="53">
        <f>SOH_Degradation!D3</f>
        <v/>
      </c>
      <c r="F144" s="63">
        <f>MAX(0, D144-E144)</f>
        <v/>
      </c>
      <c r="G144" s="63">
        <f>MIN(D144, E144)</f>
        <v/>
      </c>
      <c r="H144" s="64">
        <f>IF(E144&gt;0, G144/E144, 0)</f>
        <v/>
      </c>
      <c r="I144" s="63">
        <f>G144*Inputs!C12/100</f>
        <v/>
      </c>
      <c r="J144" s="53">
        <f>(I144/1000)*(Inputs!C27-Inputs!C28)</f>
        <v/>
      </c>
    </row>
    <row r="145">
      <c r="A145" t="inlineStr">
        <is>
          <t>2025-05-24</t>
        </is>
      </c>
      <c r="B145" t="n">
        <v>5</v>
      </c>
      <c r="C145">
        <f>CurtailmentData!D145</f>
        <v/>
      </c>
      <c r="D145" s="63">
        <f>C145*Inputs!C7</f>
        <v/>
      </c>
      <c r="E145" s="53">
        <f>SOH_Degradation!D3</f>
        <v/>
      </c>
      <c r="F145" s="63">
        <f>MAX(0, D145-E145)</f>
        <v/>
      </c>
      <c r="G145" s="63">
        <f>MIN(D145, E145)</f>
        <v/>
      </c>
      <c r="H145" s="64">
        <f>IF(E145&gt;0, G145/E145, 0)</f>
        <v/>
      </c>
      <c r="I145" s="63">
        <f>G145*Inputs!C12/100</f>
        <v/>
      </c>
      <c r="J145" s="53">
        <f>(I145/1000)*(Inputs!C27-Inputs!C28)</f>
        <v/>
      </c>
    </row>
    <row r="146">
      <c r="A146" t="inlineStr">
        <is>
          <t>2025-05-25</t>
        </is>
      </c>
      <c r="B146" t="n">
        <v>5</v>
      </c>
      <c r="C146">
        <f>CurtailmentData!D146</f>
        <v/>
      </c>
      <c r="D146" s="63">
        <f>C146*Inputs!C7</f>
        <v/>
      </c>
      <c r="E146" s="53">
        <f>SOH_Degradation!D3</f>
        <v/>
      </c>
      <c r="F146" s="63">
        <f>MAX(0, D146-E146)</f>
        <v/>
      </c>
      <c r="G146" s="63">
        <f>MIN(D146, E146)</f>
        <v/>
      </c>
      <c r="H146" s="64">
        <f>IF(E146&gt;0, G146/E146, 0)</f>
        <v/>
      </c>
      <c r="I146" s="63">
        <f>G146*Inputs!C12/100</f>
        <v/>
      </c>
      <c r="J146" s="53">
        <f>(I146/1000)*(Inputs!C27-Inputs!C28)</f>
        <v/>
      </c>
    </row>
    <row r="147">
      <c r="A147" t="inlineStr">
        <is>
          <t>2025-05-26</t>
        </is>
      </c>
      <c r="B147" t="n">
        <v>5</v>
      </c>
      <c r="C147">
        <f>CurtailmentData!D147</f>
        <v/>
      </c>
      <c r="D147" s="63">
        <f>C147*Inputs!C7</f>
        <v/>
      </c>
      <c r="E147" s="53">
        <f>SOH_Degradation!D3</f>
        <v/>
      </c>
      <c r="F147" s="63">
        <f>MAX(0, D147-E147)</f>
        <v/>
      </c>
      <c r="G147" s="63">
        <f>MIN(D147, E147)</f>
        <v/>
      </c>
      <c r="H147" s="64">
        <f>IF(E147&gt;0, G147/E147, 0)</f>
        <v/>
      </c>
      <c r="I147" s="63">
        <f>G147*Inputs!C12/100</f>
        <v/>
      </c>
      <c r="J147" s="53">
        <f>(I147/1000)*(Inputs!C27-Inputs!C28)</f>
        <v/>
      </c>
    </row>
    <row r="148">
      <c r="A148" t="inlineStr">
        <is>
          <t>2025-05-27</t>
        </is>
      </c>
      <c r="B148" t="n">
        <v>5</v>
      </c>
      <c r="C148">
        <f>CurtailmentData!D148</f>
        <v/>
      </c>
      <c r="D148" s="63">
        <f>C148*Inputs!C7</f>
        <v/>
      </c>
      <c r="E148" s="53">
        <f>SOH_Degradation!D3</f>
        <v/>
      </c>
      <c r="F148" s="63">
        <f>MAX(0, D148-E148)</f>
        <v/>
      </c>
      <c r="G148" s="63">
        <f>MIN(D148, E148)</f>
        <v/>
      </c>
      <c r="H148" s="64">
        <f>IF(E148&gt;0, G148/E148, 0)</f>
        <v/>
      </c>
      <c r="I148" s="63">
        <f>G148*Inputs!C12/100</f>
        <v/>
      </c>
      <c r="J148" s="53">
        <f>(I148/1000)*(Inputs!C27-Inputs!C28)</f>
        <v/>
      </c>
    </row>
    <row r="149">
      <c r="A149" t="inlineStr">
        <is>
          <t>2025-05-28</t>
        </is>
      </c>
      <c r="B149" t="n">
        <v>5</v>
      </c>
      <c r="C149">
        <f>CurtailmentData!D149</f>
        <v/>
      </c>
      <c r="D149" s="63">
        <f>C149*Inputs!C7</f>
        <v/>
      </c>
      <c r="E149" s="53">
        <f>SOH_Degradation!D3</f>
        <v/>
      </c>
      <c r="F149" s="63">
        <f>MAX(0, D149-E149)</f>
        <v/>
      </c>
      <c r="G149" s="63">
        <f>MIN(D149, E149)</f>
        <v/>
      </c>
      <c r="H149" s="64">
        <f>IF(E149&gt;0, G149/E149, 0)</f>
        <v/>
      </c>
      <c r="I149" s="63">
        <f>G149*Inputs!C12/100</f>
        <v/>
      </c>
      <c r="J149" s="53">
        <f>(I149/1000)*(Inputs!C27-Inputs!C28)</f>
        <v/>
      </c>
    </row>
    <row r="150">
      <c r="A150" t="inlineStr">
        <is>
          <t>2025-05-29</t>
        </is>
      </c>
      <c r="B150" t="n">
        <v>5</v>
      </c>
      <c r="C150">
        <f>CurtailmentData!D150</f>
        <v/>
      </c>
      <c r="D150" s="63">
        <f>C150*Inputs!C7</f>
        <v/>
      </c>
      <c r="E150" s="53">
        <f>SOH_Degradation!D3</f>
        <v/>
      </c>
      <c r="F150" s="63">
        <f>MAX(0, D150-E150)</f>
        <v/>
      </c>
      <c r="G150" s="63">
        <f>MIN(D150, E150)</f>
        <v/>
      </c>
      <c r="H150" s="64">
        <f>IF(E150&gt;0, G150/E150, 0)</f>
        <v/>
      </c>
      <c r="I150" s="63">
        <f>G150*Inputs!C12/100</f>
        <v/>
      </c>
      <c r="J150" s="53">
        <f>(I150/1000)*(Inputs!C27-Inputs!C28)</f>
        <v/>
      </c>
    </row>
    <row r="151">
      <c r="A151" t="inlineStr">
        <is>
          <t>2025-05-30</t>
        </is>
      </c>
      <c r="B151" t="n">
        <v>5</v>
      </c>
      <c r="C151">
        <f>CurtailmentData!D151</f>
        <v/>
      </c>
      <c r="D151" s="63">
        <f>C151*Inputs!C7</f>
        <v/>
      </c>
      <c r="E151" s="53">
        <f>SOH_Degradation!D3</f>
        <v/>
      </c>
      <c r="F151" s="63">
        <f>MAX(0, D151-E151)</f>
        <v/>
      </c>
      <c r="G151" s="63">
        <f>MIN(D151, E151)</f>
        <v/>
      </c>
      <c r="H151" s="64">
        <f>IF(E151&gt;0, G151/E151, 0)</f>
        <v/>
      </c>
      <c r="I151" s="63">
        <f>G151*Inputs!C12/100</f>
        <v/>
      </c>
      <c r="J151" s="53">
        <f>(I151/1000)*(Inputs!C27-Inputs!C28)</f>
        <v/>
      </c>
    </row>
    <row r="152">
      <c r="A152" t="inlineStr">
        <is>
          <t>2025-05-31</t>
        </is>
      </c>
      <c r="B152" t="n">
        <v>5</v>
      </c>
      <c r="C152">
        <f>CurtailmentData!D152</f>
        <v/>
      </c>
      <c r="D152" s="63">
        <f>C152*Inputs!C7</f>
        <v/>
      </c>
      <c r="E152" s="53">
        <f>SOH_Degradation!D3</f>
        <v/>
      </c>
      <c r="F152" s="63">
        <f>MAX(0, D152-E152)</f>
        <v/>
      </c>
      <c r="G152" s="63">
        <f>MIN(D152, E152)</f>
        <v/>
      </c>
      <c r="H152" s="64">
        <f>IF(E152&gt;0, G152/E152, 0)</f>
        <v/>
      </c>
      <c r="I152" s="63">
        <f>G152*Inputs!C12/100</f>
        <v/>
      </c>
      <c r="J152" s="53">
        <f>(I152/1000)*(Inputs!C27-Inputs!C28)</f>
        <v/>
      </c>
    </row>
    <row r="153">
      <c r="A153" t="inlineStr">
        <is>
          <t>2025-06-01</t>
        </is>
      </c>
      <c r="B153" t="n">
        <v>6</v>
      </c>
      <c r="C153">
        <f>CurtailmentData!D153</f>
        <v/>
      </c>
      <c r="D153" s="63">
        <f>C153*Inputs!C7</f>
        <v/>
      </c>
      <c r="E153" s="53">
        <f>SOH_Degradation!D3</f>
        <v/>
      </c>
      <c r="F153" s="63">
        <f>MAX(0, D153-E153)</f>
        <v/>
      </c>
      <c r="G153" s="63">
        <f>MIN(D153, E153)</f>
        <v/>
      </c>
      <c r="H153" s="64">
        <f>IF(E153&gt;0, G153/E153, 0)</f>
        <v/>
      </c>
      <c r="I153" s="63">
        <f>G153*Inputs!C12/100</f>
        <v/>
      </c>
      <c r="J153" s="53">
        <f>(I153/1000)*(Inputs!C27-Inputs!C28)</f>
        <v/>
      </c>
    </row>
    <row r="154">
      <c r="A154" t="inlineStr">
        <is>
          <t>2025-06-02</t>
        </is>
      </c>
      <c r="B154" t="n">
        <v>6</v>
      </c>
      <c r="C154">
        <f>CurtailmentData!D154</f>
        <v/>
      </c>
      <c r="D154" s="63">
        <f>C154*Inputs!C7</f>
        <v/>
      </c>
      <c r="E154" s="53">
        <f>SOH_Degradation!D3</f>
        <v/>
      </c>
      <c r="F154" s="63">
        <f>MAX(0, D154-E154)</f>
        <v/>
      </c>
      <c r="G154" s="63">
        <f>MIN(D154, E154)</f>
        <v/>
      </c>
      <c r="H154" s="64">
        <f>IF(E154&gt;0, G154/E154, 0)</f>
        <v/>
      </c>
      <c r="I154" s="63">
        <f>G154*Inputs!C12/100</f>
        <v/>
      </c>
      <c r="J154" s="53">
        <f>(I154/1000)*(Inputs!C27-Inputs!C28)</f>
        <v/>
      </c>
    </row>
    <row r="155">
      <c r="A155" t="inlineStr">
        <is>
          <t>2025-06-03</t>
        </is>
      </c>
      <c r="B155" t="n">
        <v>6</v>
      </c>
      <c r="C155">
        <f>CurtailmentData!D155</f>
        <v/>
      </c>
      <c r="D155" s="63">
        <f>C155*Inputs!C7</f>
        <v/>
      </c>
      <c r="E155" s="53">
        <f>SOH_Degradation!D3</f>
        <v/>
      </c>
      <c r="F155" s="63">
        <f>MAX(0, D155-E155)</f>
        <v/>
      </c>
      <c r="G155" s="63">
        <f>MIN(D155, E155)</f>
        <v/>
      </c>
      <c r="H155" s="64">
        <f>IF(E155&gt;0, G155/E155, 0)</f>
        <v/>
      </c>
      <c r="I155" s="63">
        <f>G155*Inputs!C12/100</f>
        <v/>
      </c>
      <c r="J155" s="53">
        <f>(I155/1000)*(Inputs!C27-Inputs!C28)</f>
        <v/>
      </c>
    </row>
    <row r="156">
      <c r="A156" t="inlineStr">
        <is>
          <t>2025-06-04</t>
        </is>
      </c>
      <c r="B156" t="n">
        <v>6</v>
      </c>
      <c r="C156">
        <f>CurtailmentData!D156</f>
        <v/>
      </c>
      <c r="D156" s="63">
        <f>C156*Inputs!C7</f>
        <v/>
      </c>
      <c r="E156" s="53">
        <f>SOH_Degradation!D3</f>
        <v/>
      </c>
      <c r="F156" s="63">
        <f>MAX(0, D156-E156)</f>
        <v/>
      </c>
      <c r="G156" s="63">
        <f>MIN(D156, E156)</f>
        <v/>
      </c>
      <c r="H156" s="64">
        <f>IF(E156&gt;0, G156/E156, 0)</f>
        <v/>
      </c>
      <c r="I156" s="63">
        <f>G156*Inputs!C12/100</f>
        <v/>
      </c>
      <c r="J156" s="53">
        <f>(I156/1000)*(Inputs!C27-Inputs!C28)</f>
        <v/>
      </c>
    </row>
    <row r="157">
      <c r="A157" t="inlineStr">
        <is>
          <t>2025-06-05</t>
        </is>
      </c>
      <c r="B157" t="n">
        <v>6</v>
      </c>
      <c r="C157">
        <f>CurtailmentData!D157</f>
        <v/>
      </c>
      <c r="D157" s="63">
        <f>C157*Inputs!C7</f>
        <v/>
      </c>
      <c r="E157" s="53">
        <f>SOH_Degradation!D3</f>
        <v/>
      </c>
      <c r="F157" s="63">
        <f>MAX(0, D157-E157)</f>
        <v/>
      </c>
      <c r="G157" s="63">
        <f>MIN(D157, E157)</f>
        <v/>
      </c>
      <c r="H157" s="64">
        <f>IF(E157&gt;0, G157/E157, 0)</f>
        <v/>
      </c>
      <c r="I157" s="63">
        <f>G157*Inputs!C12/100</f>
        <v/>
      </c>
      <c r="J157" s="53">
        <f>(I157/1000)*(Inputs!C27-Inputs!C28)</f>
        <v/>
      </c>
    </row>
    <row r="158">
      <c r="A158" t="inlineStr">
        <is>
          <t>2025-06-06</t>
        </is>
      </c>
      <c r="B158" t="n">
        <v>6</v>
      </c>
      <c r="C158">
        <f>CurtailmentData!D158</f>
        <v/>
      </c>
      <c r="D158" s="63">
        <f>C158*Inputs!C7</f>
        <v/>
      </c>
      <c r="E158" s="53">
        <f>SOH_Degradation!D3</f>
        <v/>
      </c>
      <c r="F158" s="63">
        <f>MAX(0, D158-E158)</f>
        <v/>
      </c>
      <c r="G158" s="63">
        <f>MIN(D158, E158)</f>
        <v/>
      </c>
      <c r="H158" s="64">
        <f>IF(E158&gt;0, G158/E158, 0)</f>
        <v/>
      </c>
      <c r="I158" s="63">
        <f>G158*Inputs!C12/100</f>
        <v/>
      </c>
      <c r="J158" s="53">
        <f>(I158/1000)*(Inputs!C27-Inputs!C28)</f>
        <v/>
      </c>
    </row>
    <row r="159">
      <c r="A159" t="inlineStr">
        <is>
          <t>2025-06-07</t>
        </is>
      </c>
      <c r="B159" t="n">
        <v>6</v>
      </c>
      <c r="C159">
        <f>CurtailmentData!D159</f>
        <v/>
      </c>
      <c r="D159" s="63">
        <f>C159*Inputs!C7</f>
        <v/>
      </c>
      <c r="E159" s="53">
        <f>SOH_Degradation!D3</f>
        <v/>
      </c>
      <c r="F159" s="63">
        <f>MAX(0, D159-E159)</f>
        <v/>
      </c>
      <c r="G159" s="63">
        <f>MIN(D159, E159)</f>
        <v/>
      </c>
      <c r="H159" s="64">
        <f>IF(E159&gt;0, G159/E159, 0)</f>
        <v/>
      </c>
      <c r="I159" s="63">
        <f>G159*Inputs!C12/100</f>
        <v/>
      </c>
      <c r="J159" s="53">
        <f>(I159/1000)*(Inputs!C27-Inputs!C28)</f>
        <v/>
      </c>
    </row>
    <row r="160">
      <c r="A160" t="inlineStr">
        <is>
          <t>2025-06-08</t>
        </is>
      </c>
      <c r="B160" t="n">
        <v>6</v>
      </c>
      <c r="C160">
        <f>CurtailmentData!D160</f>
        <v/>
      </c>
      <c r="D160" s="63">
        <f>C160*Inputs!C7</f>
        <v/>
      </c>
      <c r="E160" s="53">
        <f>SOH_Degradation!D3</f>
        <v/>
      </c>
      <c r="F160" s="63">
        <f>MAX(0, D160-E160)</f>
        <v/>
      </c>
      <c r="G160" s="63">
        <f>MIN(D160, E160)</f>
        <v/>
      </c>
      <c r="H160" s="64">
        <f>IF(E160&gt;0, G160/E160, 0)</f>
        <v/>
      </c>
      <c r="I160" s="63">
        <f>G160*Inputs!C12/100</f>
        <v/>
      </c>
      <c r="J160" s="53">
        <f>(I160/1000)*(Inputs!C27-Inputs!C28)</f>
        <v/>
      </c>
    </row>
    <row r="161">
      <c r="A161" t="inlineStr">
        <is>
          <t>2025-06-09</t>
        </is>
      </c>
      <c r="B161" t="n">
        <v>6</v>
      </c>
      <c r="C161">
        <f>CurtailmentData!D161</f>
        <v/>
      </c>
      <c r="D161" s="63">
        <f>C161*Inputs!C7</f>
        <v/>
      </c>
      <c r="E161" s="53">
        <f>SOH_Degradation!D3</f>
        <v/>
      </c>
      <c r="F161" s="63">
        <f>MAX(0, D161-E161)</f>
        <v/>
      </c>
      <c r="G161" s="63">
        <f>MIN(D161, E161)</f>
        <v/>
      </c>
      <c r="H161" s="64">
        <f>IF(E161&gt;0, G161/E161, 0)</f>
        <v/>
      </c>
      <c r="I161" s="63">
        <f>G161*Inputs!C12/100</f>
        <v/>
      </c>
      <c r="J161" s="53">
        <f>(I161/1000)*(Inputs!C27-Inputs!C28)</f>
        <v/>
      </c>
    </row>
    <row r="162">
      <c r="A162" t="inlineStr">
        <is>
          <t>2025-06-10</t>
        </is>
      </c>
      <c r="B162" t="n">
        <v>6</v>
      </c>
      <c r="C162">
        <f>CurtailmentData!D162</f>
        <v/>
      </c>
      <c r="D162" s="63">
        <f>C162*Inputs!C7</f>
        <v/>
      </c>
      <c r="E162" s="53">
        <f>SOH_Degradation!D3</f>
        <v/>
      </c>
      <c r="F162" s="63">
        <f>MAX(0, D162-E162)</f>
        <v/>
      </c>
      <c r="G162" s="63">
        <f>MIN(D162, E162)</f>
        <v/>
      </c>
      <c r="H162" s="64">
        <f>IF(E162&gt;0, G162/E162, 0)</f>
        <v/>
      </c>
      <c r="I162" s="63">
        <f>G162*Inputs!C12/100</f>
        <v/>
      </c>
      <c r="J162" s="53">
        <f>(I162/1000)*(Inputs!C27-Inputs!C28)</f>
        <v/>
      </c>
    </row>
    <row r="163">
      <c r="A163" t="inlineStr">
        <is>
          <t>2025-06-11</t>
        </is>
      </c>
      <c r="B163" t="n">
        <v>6</v>
      </c>
      <c r="C163">
        <f>CurtailmentData!D163</f>
        <v/>
      </c>
      <c r="D163" s="63">
        <f>C163*Inputs!C7</f>
        <v/>
      </c>
      <c r="E163" s="53">
        <f>SOH_Degradation!D3</f>
        <v/>
      </c>
      <c r="F163" s="63">
        <f>MAX(0, D163-E163)</f>
        <v/>
      </c>
      <c r="G163" s="63">
        <f>MIN(D163, E163)</f>
        <v/>
      </c>
      <c r="H163" s="64">
        <f>IF(E163&gt;0, G163/E163, 0)</f>
        <v/>
      </c>
      <c r="I163" s="63">
        <f>G163*Inputs!C12/100</f>
        <v/>
      </c>
      <c r="J163" s="53">
        <f>(I163/1000)*(Inputs!C27-Inputs!C28)</f>
        <v/>
      </c>
    </row>
    <row r="164">
      <c r="A164" t="inlineStr">
        <is>
          <t>2025-06-12</t>
        </is>
      </c>
      <c r="B164" t="n">
        <v>6</v>
      </c>
      <c r="C164">
        <f>CurtailmentData!D164</f>
        <v/>
      </c>
      <c r="D164" s="63">
        <f>C164*Inputs!C7</f>
        <v/>
      </c>
      <c r="E164" s="53">
        <f>SOH_Degradation!D3</f>
        <v/>
      </c>
      <c r="F164" s="63">
        <f>MAX(0, D164-E164)</f>
        <v/>
      </c>
      <c r="G164" s="63">
        <f>MIN(D164, E164)</f>
        <v/>
      </c>
      <c r="H164" s="64">
        <f>IF(E164&gt;0, G164/E164, 0)</f>
        <v/>
      </c>
      <c r="I164" s="63">
        <f>G164*Inputs!C12/100</f>
        <v/>
      </c>
      <c r="J164" s="53">
        <f>(I164/1000)*(Inputs!C27-Inputs!C28)</f>
        <v/>
      </c>
    </row>
    <row r="165">
      <c r="A165" t="inlineStr">
        <is>
          <t>2025-06-13</t>
        </is>
      </c>
      <c r="B165" t="n">
        <v>6</v>
      </c>
      <c r="C165">
        <f>CurtailmentData!D165</f>
        <v/>
      </c>
      <c r="D165" s="63">
        <f>C165*Inputs!C7</f>
        <v/>
      </c>
      <c r="E165" s="53">
        <f>SOH_Degradation!D3</f>
        <v/>
      </c>
      <c r="F165" s="63">
        <f>MAX(0, D165-E165)</f>
        <v/>
      </c>
      <c r="G165" s="63">
        <f>MIN(D165, E165)</f>
        <v/>
      </c>
      <c r="H165" s="64">
        <f>IF(E165&gt;0, G165/E165, 0)</f>
        <v/>
      </c>
      <c r="I165" s="63">
        <f>G165*Inputs!C12/100</f>
        <v/>
      </c>
      <c r="J165" s="53">
        <f>(I165/1000)*(Inputs!C27-Inputs!C28)</f>
        <v/>
      </c>
    </row>
    <row r="166">
      <c r="A166" t="inlineStr">
        <is>
          <t>2025-06-14</t>
        </is>
      </c>
      <c r="B166" t="n">
        <v>6</v>
      </c>
      <c r="C166">
        <f>CurtailmentData!D166</f>
        <v/>
      </c>
      <c r="D166" s="63">
        <f>C166*Inputs!C7</f>
        <v/>
      </c>
      <c r="E166" s="53">
        <f>SOH_Degradation!D3</f>
        <v/>
      </c>
      <c r="F166" s="63">
        <f>MAX(0, D166-E166)</f>
        <v/>
      </c>
      <c r="G166" s="63">
        <f>MIN(D166, E166)</f>
        <v/>
      </c>
      <c r="H166" s="64">
        <f>IF(E166&gt;0, G166/E166, 0)</f>
        <v/>
      </c>
      <c r="I166" s="63">
        <f>G166*Inputs!C12/100</f>
        <v/>
      </c>
      <c r="J166" s="53">
        <f>(I166/1000)*(Inputs!C27-Inputs!C28)</f>
        <v/>
      </c>
    </row>
    <row r="167">
      <c r="A167" t="inlineStr">
        <is>
          <t>2025-06-15</t>
        </is>
      </c>
      <c r="B167" t="n">
        <v>6</v>
      </c>
      <c r="C167">
        <f>CurtailmentData!D167</f>
        <v/>
      </c>
      <c r="D167" s="63">
        <f>C167*Inputs!C7</f>
        <v/>
      </c>
      <c r="E167" s="53">
        <f>SOH_Degradation!D3</f>
        <v/>
      </c>
      <c r="F167" s="63">
        <f>MAX(0, D167-E167)</f>
        <v/>
      </c>
      <c r="G167" s="63">
        <f>MIN(D167, E167)</f>
        <v/>
      </c>
      <c r="H167" s="64">
        <f>IF(E167&gt;0, G167/E167, 0)</f>
        <v/>
      </c>
      <c r="I167" s="63">
        <f>G167*Inputs!C12/100</f>
        <v/>
      </c>
      <c r="J167" s="53">
        <f>(I167/1000)*(Inputs!C27-Inputs!C28)</f>
        <v/>
      </c>
    </row>
    <row r="168">
      <c r="A168" t="inlineStr">
        <is>
          <t>2025-06-16</t>
        </is>
      </c>
      <c r="B168" t="n">
        <v>6</v>
      </c>
      <c r="C168">
        <f>CurtailmentData!D168</f>
        <v/>
      </c>
      <c r="D168" s="63">
        <f>C168*Inputs!C7</f>
        <v/>
      </c>
      <c r="E168" s="53">
        <f>SOH_Degradation!D3</f>
        <v/>
      </c>
      <c r="F168" s="63">
        <f>MAX(0, D168-E168)</f>
        <v/>
      </c>
      <c r="G168" s="63">
        <f>MIN(D168, E168)</f>
        <v/>
      </c>
      <c r="H168" s="64">
        <f>IF(E168&gt;0, G168/E168, 0)</f>
        <v/>
      </c>
      <c r="I168" s="63">
        <f>G168*Inputs!C12/100</f>
        <v/>
      </c>
      <c r="J168" s="53">
        <f>(I168/1000)*(Inputs!C27-Inputs!C28)</f>
        <v/>
      </c>
    </row>
    <row r="169">
      <c r="A169" t="inlineStr">
        <is>
          <t>2025-06-17</t>
        </is>
      </c>
      <c r="B169" t="n">
        <v>6</v>
      </c>
      <c r="C169">
        <f>CurtailmentData!D169</f>
        <v/>
      </c>
      <c r="D169" s="63">
        <f>C169*Inputs!C7</f>
        <v/>
      </c>
      <c r="E169" s="53">
        <f>SOH_Degradation!D3</f>
        <v/>
      </c>
      <c r="F169" s="63">
        <f>MAX(0, D169-E169)</f>
        <v/>
      </c>
      <c r="G169" s="63">
        <f>MIN(D169, E169)</f>
        <v/>
      </c>
      <c r="H169" s="64">
        <f>IF(E169&gt;0, G169/E169, 0)</f>
        <v/>
      </c>
      <c r="I169" s="63">
        <f>G169*Inputs!C12/100</f>
        <v/>
      </c>
      <c r="J169" s="53">
        <f>(I169/1000)*(Inputs!C27-Inputs!C28)</f>
        <v/>
      </c>
    </row>
    <row r="170">
      <c r="A170" t="inlineStr">
        <is>
          <t>2025-06-18</t>
        </is>
      </c>
      <c r="B170" t="n">
        <v>6</v>
      </c>
      <c r="C170">
        <f>CurtailmentData!D170</f>
        <v/>
      </c>
      <c r="D170" s="63">
        <f>C170*Inputs!C7</f>
        <v/>
      </c>
      <c r="E170" s="53">
        <f>SOH_Degradation!D3</f>
        <v/>
      </c>
      <c r="F170" s="63">
        <f>MAX(0, D170-E170)</f>
        <v/>
      </c>
      <c r="G170" s="63">
        <f>MIN(D170, E170)</f>
        <v/>
      </c>
      <c r="H170" s="64">
        <f>IF(E170&gt;0, G170/E170, 0)</f>
        <v/>
      </c>
      <c r="I170" s="63">
        <f>G170*Inputs!C12/100</f>
        <v/>
      </c>
      <c r="J170" s="53">
        <f>(I170/1000)*(Inputs!C27-Inputs!C28)</f>
        <v/>
      </c>
    </row>
    <row r="171">
      <c r="A171" t="inlineStr">
        <is>
          <t>2025-06-19</t>
        </is>
      </c>
      <c r="B171" t="n">
        <v>6</v>
      </c>
      <c r="C171">
        <f>CurtailmentData!D171</f>
        <v/>
      </c>
      <c r="D171" s="63">
        <f>C171*Inputs!C7</f>
        <v/>
      </c>
      <c r="E171" s="53">
        <f>SOH_Degradation!D3</f>
        <v/>
      </c>
      <c r="F171" s="63">
        <f>MAX(0, D171-E171)</f>
        <v/>
      </c>
      <c r="G171" s="63">
        <f>MIN(D171, E171)</f>
        <v/>
      </c>
      <c r="H171" s="64">
        <f>IF(E171&gt;0, G171/E171, 0)</f>
        <v/>
      </c>
      <c r="I171" s="63">
        <f>G171*Inputs!C12/100</f>
        <v/>
      </c>
      <c r="J171" s="53">
        <f>(I171/1000)*(Inputs!C27-Inputs!C28)</f>
        <v/>
      </c>
    </row>
    <row r="172">
      <c r="A172" t="inlineStr">
        <is>
          <t>2025-06-20</t>
        </is>
      </c>
      <c r="B172" t="n">
        <v>6</v>
      </c>
      <c r="C172">
        <f>CurtailmentData!D172</f>
        <v/>
      </c>
      <c r="D172" s="63">
        <f>C172*Inputs!C7</f>
        <v/>
      </c>
      <c r="E172" s="53">
        <f>SOH_Degradation!D3</f>
        <v/>
      </c>
      <c r="F172" s="63">
        <f>MAX(0, D172-E172)</f>
        <v/>
      </c>
      <c r="G172" s="63">
        <f>MIN(D172, E172)</f>
        <v/>
      </c>
      <c r="H172" s="64">
        <f>IF(E172&gt;0, G172/E172, 0)</f>
        <v/>
      </c>
      <c r="I172" s="63">
        <f>G172*Inputs!C12/100</f>
        <v/>
      </c>
      <c r="J172" s="53">
        <f>(I172/1000)*(Inputs!C27-Inputs!C28)</f>
        <v/>
      </c>
    </row>
    <row r="173">
      <c r="A173" t="inlineStr">
        <is>
          <t>2025-06-21</t>
        </is>
      </c>
      <c r="B173" t="n">
        <v>6</v>
      </c>
      <c r="C173">
        <f>CurtailmentData!D173</f>
        <v/>
      </c>
      <c r="D173" s="63">
        <f>C173*Inputs!C7</f>
        <v/>
      </c>
      <c r="E173" s="53">
        <f>SOH_Degradation!D3</f>
        <v/>
      </c>
      <c r="F173" s="63">
        <f>MAX(0, D173-E173)</f>
        <v/>
      </c>
      <c r="G173" s="63">
        <f>MIN(D173, E173)</f>
        <v/>
      </c>
      <c r="H173" s="64">
        <f>IF(E173&gt;0, G173/E173, 0)</f>
        <v/>
      </c>
      <c r="I173" s="63">
        <f>G173*Inputs!C12/100</f>
        <v/>
      </c>
      <c r="J173" s="53">
        <f>(I173/1000)*(Inputs!C27-Inputs!C28)</f>
        <v/>
      </c>
    </row>
    <row r="174">
      <c r="A174" t="inlineStr">
        <is>
          <t>2025-06-22</t>
        </is>
      </c>
      <c r="B174" t="n">
        <v>6</v>
      </c>
      <c r="C174">
        <f>CurtailmentData!D174</f>
        <v/>
      </c>
      <c r="D174" s="63">
        <f>C174*Inputs!C7</f>
        <v/>
      </c>
      <c r="E174" s="53">
        <f>SOH_Degradation!D3</f>
        <v/>
      </c>
      <c r="F174" s="63">
        <f>MAX(0, D174-E174)</f>
        <v/>
      </c>
      <c r="G174" s="63">
        <f>MIN(D174, E174)</f>
        <v/>
      </c>
      <c r="H174" s="64">
        <f>IF(E174&gt;0, G174/E174, 0)</f>
        <v/>
      </c>
      <c r="I174" s="63">
        <f>G174*Inputs!C12/100</f>
        <v/>
      </c>
      <c r="J174" s="53">
        <f>(I174/1000)*(Inputs!C27-Inputs!C28)</f>
        <v/>
      </c>
    </row>
    <row r="175">
      <c r="A175" t="inlineStr">
        <is>
          <t>2025-06-23</t>
        </is>
      </c>
      <c r="B175" t="n">
        <v>6</v>
      </c>
      <c r="C175">
        <f>CurtailmentData!D175</f>
        <v/>
      </c>
      <c r="D175" s="63">
        <f>C175*Inputs!C7</f>
        <v/>
      </c>
      <c r="E175" s="53">
        <f>SOH_Degradation!D3</f>
        <v/>
      </c>
      <c r="F175" s="63">
        <f>MAX(0, D175-E175)</f>
        <v/>
      </c>
      <c r="G175" s="63">
        <f>MIN(D175, E175)</f>
        <v/>
      </c>
      <c r="H175" s="64">
        <f>IF(E175&gt;0, G175/E175, 0)</f>
        <v/>
      </c>
      <c r="I175" s="63">
        <f>G175*Inputs!C12/100</f>
        <v/>
      </c>
      <c r="J175" s="53">
        <f>(I175/1000)*(Inputs!C27-Inputs!C28)</f>
        <v/>
      </c>
    </row>
    <row r="176">
      <c r="A176" t="inlineStr">
        <is>
          <t>2025-06-24</t>
        </is>
      </c>
      <c r="B176" t="n">
        <v>6</v>
      </c>
      <c r="C176">
        <f>CurtailmentData!D176</f>
        <v/>
      </c>
      <c r="D176" s="63">
        <f>C176*Inputs!C7</f>
        <v/>
      </c>
      <c r="E176" s="53">
        <f>SOH_Degradation!D3</f>
        <v/>
      </c>
      <c r="F176" s="63">
        <f>MAX(0, D176-E176)</f>
        <v/>
      </c>
      <c r="G176" s="63">
        <f>MIN(D176, E176)</f>
        <v/>
      </c>
      <c r="H176" s="64">
        <f>IF(E176&gt;0, G176/E176, 0)</f>
        <v/>
      </c>
      <c r="I176" s="63">
        <f>G176*Inputs!C12/100</f>
        <v/>
      </c>
      <c r="J176" s="53">
        <f>(I176/1000)*(Inputs!C27-Inputs!C28)</f>
        <v/>
      </c>
    </row>
    <row r="177">
      <c r="A177" t="inlineStr">
        <is>
          <t>2025-06-25</t>
        </is>
      </c>
      <c r="B177" t="n">
        <v>6</v>
      </c>
      <c r="C177">
        <f>CurtailmentData!D177</f>
        <v/>
      </c>
      <c r="D177" s="63">
        <f>C177*Inputs!C7</f>
        <v/>
      </c>
      <c r="E177" s="53">
        <f>SOH_Degradation!D3</f>
        <v/>
      </c>
      <c r="F177" s="63">
        <f>MAX(0, D177-E177)</f>
        <v/>
      </c>
      <c r="G177" s="63">
        <f>MIN(D177, E177)</f>
        <v/>
      </c>
      <c r="H177" s="64">
        <f>IF(E177&gt;0, G177/E177, 0)</f>
        <v/>
      </c>
      <c r="I177" s="63">
        <f>G177*Inputs!C12/100</f>
        <v/>
      </c>
      <c r="J177" s="53">
        <f>(I177/1000)*(Inputs!C27-Inputs!C28)</f>
        <v/>
      </c>
    </row>
    <row r="178">
      <c r="A178" t="inlineStr">
        <is>
          <t>2025-06-26</t>
        </is>
      </c>
      <c r="B178" t="n">
        <v>6</v>
      </c>
      <c r="C178">
        <f>CurtailmentData!D178</f>
        <v/>
      </c>
      <c r="D178" s="63">
        <f>C178*Inputs!C7</f>
        <v/>
      </c>
      <c r="E178" s="53">
        <f>SOH_Degradation!D3</f>
        <v/>
      </c>
      <c r="F178" s="63">
        <f>MAX(0, D178-E178)</f>
        <v/>
      </c>
      <c r="G178" s="63">
        <f>MIN(D178, E178)</f>
        <v/>
      </c>
      <c r="H178" s="64">
        <f>IF(E178&gt;0, G178/E178, 0)</f>
        <v/>
      </c>
      <c r="I178" s="63">
        <f>G178*Inputs!C12/100</f>
        <v/>
      </c>
      <c r="J178" s="53">
        <f>(I178/1000)*(Inputs!C27-Inputs!C28)</f>
        <v/>
      </c>
    </row>
    <row r="179">
      <c r="A179" t="inlineStr">
        <is>
          <t>2025-06-27</t>
        </is>
      </c>
      <c r="B179" t="n">
        <v>6</v>
      </c>
      <c r="C179">
        <f>CurtailmentData!D179</f>
        <v/>
      </c>
      <c r="D179" s="63">
        <f>C179*Inputs!C7</f>
        <v/>
      </c>
      <c r="E179" s="53">
        <f>SOH_Degradation!D3</f>
        <v/>
      </c>
      <c r="F179" s="63">
        <f>MAX(0, D179-E179)</f>
        <v/>
      </c>
      <c r="G179" s="63">
        <f>MIN(D179, E179)</f>
        <v/>
      </c>
      <c r="H179" s="64">
        <f>IF(E179&gt;0, G179/E179, 0)</f>
        <v/>
      </c>
      <c r="I179" s="63">
        <f>G179*Inputs!C12/100</f>
        <v/>
      </c>
      <c r="J179" s="53">
        <f>(I179/1000)*(Inputs!C27-Inputs!C28)</f>
        <v/>
      </c>
    </row>
    <row r="180">
      <c r="A180" t="inlineStr">
        <is>
          <t>2025-06-28</t>
        </is>
      </c>
      <c r="B180" t="n">
        <v>6</v>
      </c>
      <c r="C180">
        <f>CurtailmentData!D180</f>
        <v/>
      </c>
      <c r="D180" s="63">
        <f>C180*Inputs!C7</f>
        <v/>
      </c>
      <c r="E180" s="53">
        <f>SOH_Degradation!D3</f>
        <v/>
      </c>
      <c r="F180" s="63">
        <f>MAX(0, D180-E180)</f>
        <v/>
      </c>
      <c r="G180" s="63">
        <f>MIN(D180, E180)</f>
        <v/>
      </c>
      <c r="H180" s="64">
        <f>IF(E180&gt;0, G180/E180, 0)</f>
        <v/>
      </c>
      <c r="I180" s="63">
        <f>G180*Inputs!C12/100</f>
        <v/>
      </c>
      <c r="J180" s="53">
        <f>(I180/1000)*(Inputs!C27-Inputs!C28)</f>
        <v/>
      </c>
    </row>
    <row r="181">
      <c r="A181" t="inlineStr">
        <is>
          <t>2025-06-29</t>
        </is>
      </c>
      <c r="B181" t="n">
        <v>6</v>
      </c>
      <c r="C181">
        <f>CurtailmentData!D181</f>
        <v/>
      </c>
      <c r="D181" s="63">
        <f>C181*Inputs!C7</f>
        <v/>
      </c>
      <c r="E181" s="53">
        <f>SOH_Degradation!D3</f>
        <v/>
      </c>
      <c r="F181" s="63">
        <f>MAX(0, D181-E181)</f>
        <v/>
      </c>
      <c r="G181" s="63">
        <f>MIN(D181, E181)</f>
        <v/>
      </c>
      <c r="H181" s="64">
        <f>IF(E181&gt;0, G181/E181, 0)</f>
        <v/>
      </c>
      <c r="I181" s="63">
        <f>G181*Inputs!C12/100</f>
        <v/>
      </c>
      <c r="J181" s="53">
        <f>(I181/1000)*(Inputs!C27-Inputs!C28)</f>
        <v/>
      </c>
    </row>
    <row r="182">
      <c r="A182" t="inlineStr">
        <is>
          <t>2025-06-30</t>
        </is>
      </c>
      <c r="B182" t="n">
        <v>6</v>
      </c>
      <c r="C182">
        <f>CurtailmentData!D182</f>
        <v/>
      </c>
      <c r="D182" s="63">
        <f>C182*Inputs!C7</f>
        <v/>
      </c>
      <c r="E182" s="53">
        <f>SOH_Degradation!D3</f>
        <v/>
      </c>
      <c r="F182" s="63">
        <f>MAX(0, D182-E182)</f>
        <v/>
      </c>
      <c r="G182" s="63">
        <f>MIN(D182, E182)</f>
        <v/>
      </c>
      <c r="H182" s="64">
        <f>IF(E182&gt;0, G182/E182, 0)</f>
        <v/>
      </c>
      <c r="I182" s="63">
        <f>G182*Inputs!C12/100</f>
        <v/>
      </c>
      <c r="J182" s="53">
        <f>(I182/1000)*(Inputs!C27-Inputs!C28)</f>
        <v/>
      </c>
    </row>
    <row r="183">
      <c r="A183" t="inlineStr">
        <is>
          <t>2025-07-01</t>
        </is>
      </c>
      <c r="B183" t="n">
        <v>7</v>
      </c>
      <c r="C183">
        <f>CurtailmentData!D183</f>
        <v/>
      </c>
      <c r="D183" s="63">
        <f>C183*Inputs!C7</f>
        <v/>
      </c>
      <c r="E183" s="53">
        <f>SOH_Degradation!D3</f>
        <v/>
      </c>
      <c r="F183" s="63">
        <f>MAX(0, D183-E183)</f>
        <v/>
      </c>
      <c r="G183" s="63">
        <f>MIN(D183, E183)</f>
        <v/>
      </c>
      <c r="H183" s="64">
        <f>IF(E183&gt;0, G183/E183, 0)</f>
        <v/>
      </c>
      <c r="I183" s="63">
        <f>G183*Inputs!C12/100</f>
        <v/>
      </c>
      <c r="J183" s="53">
        <f>(I183/1000)*(Inputs!C27-Inputs!C28)</f>
        <v/>
      </c>
    </row>
    <row r="184">
      <c r="A184" t="inlineStr">
        <is>
          <t>2025-07-02</t>
        </is>
      </c>
      <c r="B184" t="n">
        <v>7</v>
      </c>
      <c r="C184">
        <f>CurtailmentData!D184</f>
        <v/>
      </c>
      <c r="D184" s="63">
        <f>C184*Inputs!C7</f>
        <v/>
      </c>
      <c r="E184" s="53">
        <f>SOH_Degradation!D3</f>
        <v/>
      </c>
      <c r="F184" s="63">
        <f>MAX(0, D184-E184)</f>
        <v/>
      </c>
      <c r="G184" s="63">
        <f>MIN(D184, E184)</f>
        <v/>
      </c>
      <c r="H184" s="64">
        <f>IF(E184&gt;0, G184/E184, 0)</f>
        <v/>
      </c>
      <c r="I184" s="63">
        <f>G184*Inputs!C12/100</f>
        <v/>
      </c>
      <c r="J184" s="53">
        <f>(I184/1000)*(Inputs!C27-Inputs!C28)</f>
        <v/>
      </c>
    </row>
    <row r="185">
      <c r="A185" t="inlineStr">
        <is>
          <t>2025-07-03</t>
        </is>
      </c>
      <c r="B185" t="n">
        <v>7</v>
      </c>
      <c r="C185">
        <f>CurtailmentData!D185</f>
        <v/>
      </c>
      <c r="D185" s="63">
        <f>C185*Inputs!C7</f>
        <v/>
      </c>
      <c r="E185" s="53">
        <f>SOH_Degradation!D3</f>
        <v/>
      </c>
      <c r="F185" s="63">
        <f>MAX(0, D185-E185)</f>
        <v/>
      </c>
      <c r="G185" s="63">
        <f>MIN(D185, E185)</f>
        <v/>
      </c>
      <c r="H185" s="64">
        <f>IF(E185&gt;0, G185/E185, 0)</f>
        <v/>
      </c>
      <c r="I185" s="63">
        <f>G185*Inputs!C12/100</f>
        <v/>
      </c>
      <c r="J185" s="53">
        <f>(I185/1000)*(Inputs!C27-Inputs!C28)</f>
        <v/>
      </c>
    </row>
    <row r="186">
      <c r="A186" t="inlineStr">
        <is>
          <t>2025-07-04</t>
        </is>
      </c>
      <c r="B186" t="n">
        <v>7</v>
      </c>
      <c r="C186">
        <f>CurtailmentData!D186</f>
        <v/>
      </c>
      <c r="D186" s="63">
        <f>C186*Inputs!C7</f>
        <v/>
      </c>
      <c r="E186" s="53">
        <f>SOH_Degradation!D3</f>
        <v/>
      </c>
      <c r="F186" s="63">
        <f>MAX(0, D186-E186)</f>
        <v/>
      </c>
      <c r="G186" s="63">
        <f>MIN(D186, E186)</f>
        <v/>
      </c>
      <c r="H186" s="64">
        <f>IF(E186&gt;0, G186/E186, 0)</f>
        <v/>
      </c>
      <c r="I186" s="63">
        <f>G186*Inputs!C12/100</f>
        <v/>
      </c>
      <c r="J186" s="53">
        <f>(I186/1000)*(Inputs!C27-Inputs!C28)</f>
        <v/>
      </c>
    </row>
    <row r="187">
      <c r="A187" t="inlineStr">
        <is>
          <t>2025-07-05</t>
        </is>
      </c>
      <c r="B187" t="n">
        <v>7</v>
      </c>
      <c r="C187">
        <f>CurtailmentData!D187</f>
        <v/>
      </c>
      <c r="D187" s="63">
        <f>C187*Inputs!C7</f>
        <v/>
      </c>
      <c r="E187" s="53">
        <f>SOH_Degradation!D3</f>
        <v/>
      </c>
      <c r="F187" s="63">
        <f>MAX(0, D187-E187)</f>
        <v/>
      </c>
      <c r="G187" s="63">
        <f>MIN(D187, E187)</f>
        <v/>
      </c>
      <c r="H187" s="64">
        <f>IF(E187&gt;0, G187/E187, 0)</f>
        <v/>
      </c>
      <c r="I187" s="63">
        <f>G187*Inputs!C12/100</f>
        <v/>
      </c>
      <c r="J187" s="53">
        <f>(I187/1000)*(Inputs!C27-Inputs!C28)</f>
        <v/>
      </c>
    </row>
    <row r="188">
      <c r="A188" t="inlineStr">
        <is>
          <t>2025-07-06</t>
        </is>
      </c>
      <c r="B188" t="n">
        <v>7</v>
      </c>
      <c r="C188">
        <f>CurtailmentData!D188</f>
        <v/>
      </c>
      <c r="D188" s="63">
        <f>C188*Inputs!C7</f>
        <v/>
      </c>
      <c r="E188" s="53">
        <f>SOH_Degradation!D3</f>
        <v/>
      </c>
      <c r="F188" s="63">
        <f>MAX(0, D188-E188)</f>
        <v/>
      </c>
      <c r="G188" s="63">
        <f>MIN(D188, E188)</f>
        <v/>
      </c>
      <c r="H188" s="64">
        <f>IF(E188&gt;0, G188/E188, 0)</f>
        <v/>
      </c>
      <c r="I188" s="63">
        <f>G188*Inputs!C12/100</f>
        <v/>
      </c>
      <c r="J188" s="53">
        <f>(I188/1000)*(Inputs!C27-Inputs!C28)</f>
        <v/>
      </c>
    </row>
    <row r="189">
      <c r="A189" t="inlineStr">
        <is>
          <t>2025-07-07</t>
        </is>
      </c>
      <c r="B189" t="n">
        <v>7</v>
      </c>
      <c r="C189">
        <f>CurtailmentData!D189</f>
        <v/>
      </c>
      <c r="D189" s="63">
        <f>C189*Inputs!C7</f>
        <v/>
      </c>
      <c r="E189" s="53">
        <f>SOH_Degradation!D3</f>
        <v/>
      </c>
      <c r="F189" s="63">
        <f>MAX(0, D189-E189)</f>
        <v/>
      </c>
      <c r="G189" s="63">
        <f>MIN(D189, E189)</f>
        <v/>
      </c>
      <c r="H189" s="64">
        <f>IF(E189&gt;0, G189/E189, 0)</f>
        <v/>
      </c>
      <c r="I189" s="63">
        <f>G189*Inputs!C12/100</f>
        <v/>
      </c>
      <c r="J189" s="53">
        <f>(I189/1000)*(Inputs!C27-Inputs!C28)</f>
        <v/>
      </c>
    </row>
    <row r="190">
      <c r="A190" t="inlineStr">
        <is>
          <t>2025-07-08</t>
        </is>
      </c>
      <c r="B190" t="n">
        <v>7</v>
      </c>
      <c r="C190">
        <f>CurtailmentData!D190</f>
        <v/>
      </c>
      <c r="D190" s="63">
        <f>C190*Inputs!C7</f>
        <v/>
      </c>
      <c r="E190" s="53">
        <f>SOH_Degradation!D3</f>
        <v/>
      </c>
      <c r="F190" s="63">
        <f>MAX(0, D190-E190)</f>
        <v/>
      </c>
      <c r="G190" s="63">
        <f>MIN(D190, E190)</f>
        <v/>
      </c>
      <c r="H190" s="64">
        <f>IF(E190&gt;0, G190/E190, 0)</f>
        <v/>
      </c>
      <c r="I190" s="63">
        <f>G190*Inputs!C12/100</f>
        <v/>
      </c>
      <c r="J190" s="53">
        <f>(I190/1000)*(Inputs!C27-Inputs!C28)</f>
        <v/>
      </c>
    </row>
    <row r="191">
      <c r="A191" t="inlineStr">
        <is>
          <t>2025-07-09</t>
        </is>
      </c>
      <c r="B191" t="n">
        <v>7</v>
      </c>
      <c r="C191">
        <f>CurtailmentData!D191</f>
        <v/>
      </c>
      <c r="D191" s="63">
        <f>C191*Inputs!C7</f>
        <v/>
      </c>
      <c r="E191" s="53">
        <f>SOH_Degradation!D3</f>
        <v/>
      </c>
      <c r="F191" s="63">
        <f>MAX(0, D191-E191)</f>
        <v/>
      </c>
      <c r="G191" s="63">
        <f>MIN(D191, E191)</f>
        <v/>
      </c>
      <c r="H191" s="64">
        <f>IF(E191&gt;0, G191/E191, 0)</f>
        <v/>
      </c>
      <c r="I191" s="63">
        <f>G191*Inputs!C12/100</f>
        <v/>
      </c>
      <c r="J191" s="53">
        <f>(I191/1000)*(Inputs!C27-Inputs!C28)</f>
        <v/>
      </c>
    </row>
    <row r="192">
      <c r="A192" t="inlineStr">
        <is>
          <t>2025-07-10</t>
        </is>
      </c>
      <c r="B192" t="n">
        <v>7</v>
      </c>
      <c r="C192">
        <f>CurtailmentData!D192</f>
        <v/>
      </c>
      <c r="D192" s="63">
        <f>C192*Inputs!C7</f>
        <v/>
      </c>
      <c r="E192" s="53">
        <f>SOH_Degradation!D3</f>
        <v/>
      </c>
      <c r="F192" s="63">
        <f>MAX(0, D192-E192)</f>
        <v/>
      </c>
      <c r="G192" s="63">
        <f>MIN(D192, E192)</f>
        <v/>
      </c>
      <c r="H192" s="64">
        <f>IF(E192&gt;0, G192/E192, 0)</f>
        <v/>
      </c>
      <c r="I192" s="63">
        <f>G192*Inputs!C12/100</f>
        <v/>
      </c>
      <c r="J192" s="53">
        <f>(I192/1000)*(Inputs!C27-Inputs!C28)</f>
        <v/>
      </c>
    </row>
    <row r="193">
      <c r="A193" t="inlineStr">
        <is>
          <t>2025-07-11</t>
        </is>
      </c>
      <c r="B193" t="n">
        <v>7</v>
      </c>
      <c r="C193">
        <f>CurtailmentData!D193</f>
        <v/>
      </c>
      <c r="D193" s="63">
        <f>C193*Inputs!C7</f>
        <v/>
      </c>
      <c r="E193" s="53">
        <f>SOH_Degradation!D3</f>
        <v/>
      </c>
      <c r="F193" s="63">
        <f>MAX(0, D193-E193)</f>
        <v/>
      </c>
      <c r="G193" s="63">
        <f>MIN(D193, E193)</f>
        <v/>
      </c>
      <c r="H193" s="64">
        <f>IF(E193&gt;0, G193/E193, 0)</f>
        <v/>
      </c>
      <c r="I193" s="63">
        <f>G193*Inputs!C12/100</f>
        <v/>
      </c>
      <c r="J193" s="53">
        <f>(I193/1000)*(Inputs!C27-Inputs!C28)</f>
        <v/>
      </c>
    </row>
    <row r="194">
      <c r="A194" t="inlineStr">
        <is>
          <t>2025-07-12</t>
        </is>
      </c>
      <c r="B194" t="n">
        <v>7</v>
      </c>
      <c r="C194">
        <f>CurtailmentData!D194</f>
        <v/>
      </c>
      <c r="D194" s="63">
        <f>C194*Inputs!C7</f>
        <v/>
      </c>
      <c r="E194" s="53">
        <f>SOH_Degradation!D3</f>
        <v/>
      </c>
      <c r="F194" s="63">
        <f>MAX(0, D194-E194)</f>
        <v/>
      </c>
      <c r="G194" s="63">
        <f>MIN(D194, E194)</f>
        <v/>
      </c>
      <c r="H194" s="64">
        <f>IF(E194&gt;0, G194/E194, 0)</f>
        <v/>
      </c>
      <c r="I194" s="63">
        <f>G194*Inputs!C12/100</f>
        <v/>
      </c>
      <c r="J194" s="53">
        <f>(I194/1000)*(Inputs!C27-Inputs!C28)</f>
        <v/>
      </c>
    </row>
    <row r="195">
      <c r="A195" t="inlineStr">
        <is>
          <t>2025-07-13</t>
        </is>
      </c>
      <c r="B195" t="n">
        <v>7</v>
      </c>
      <c r="C195">
        <f>CurtailmentData!D195</f>
        <v/>
      </c>
      <c r="D195" s="63">
        <f>C195*Inputs!C7</f>
        <v/>
      </c>
      <c r="E195" s="53">
        <f>SOH_Degradation!D3</f>
        <v/>
      </c>
      <c r="F195" s="63">
        <f>MAX(0, D195-E195)</f>
        <v/>
      </c>
      <c r="G195" s="63">
        <f>MIN(D195, E195)</f>
        <v/>
      </c>
      <c r="H195" s="64">
        <f>IF(E195&gt;0, G195/E195, 0)</f>
        <v/>
      </c>
      <c r="I195" s="63">
        <f>G195*Inputs!C12/100</f>
        <v/>
      </c>
      <c r="J195" s="53">
        <f>(I195/1000)*(Inputs!C27-Inputs!C28)</f>
        <v/>
      </c>
    </row>
    <row r="196">
      <c r="A196" t="inlineStr">
        <is>
          <t>2025-07-14</t>
        </is>
      </c>
      <c r="B196" t="n">
        <v>7</v>
      </c>
      <c r="C196">
        <f>CurtailmentData!D196</f>
        <v/>
      </c>
      <c r="D196" s="63">
        <f>C196*Inputs!C7</f>
        <v/>
      </c>
      <c r="E196" s="53">
        <f>SOH_Degradation!D3</f>
        <v/>
      </c>
      <c r="F196" s="63">
        <f>MAX(0, D196-E196)</f>
        <v/>
      </c>
      <c r="G196" s="63">
        <f>MIN(D196, E196)</f>
        <v/>
      </c>
      <c r="H196" s="64">
        <f>IF(E196&gt;0, G196/E196, 0)</f>
        <v/>
      </c>
      <c r="I196" s="63">
        <f>G196*Inputs!C12/100</f>
        <v/>
      </c>
      <c r="J196" s="53">
        <f>(I196/1000)*(Inputs!C27-Inputs!C28)</f>
        <v/>
      </c>
    </row>
    <row r="197">
      <c r="A197" t="inlineStr">
        <is>
          <t>2025-07-15</t>
        </is>
      </c>
      <c r="B197" t="n">
        <v>7</v>
      </c>
      <c r="C197">
        <f>CurtailmentData!D197</f>
        <v/>
      </c>
      <c r="D197" s="63">
        <f>C197*Inputs!C7</f>
        <v/>
      </c>
      <c r="E197" s="53">
        <f>SOH_Degradation!D3</f>
        <v/>
      </c>
      <c r="F197" s="63">
        <f>MAX(0, D197-E197)</f>
        <v/>
      </c>
      <c r="G197" s="63">
        <f>MIN(D197, E197)</f>
        <v/>
      </c>
      <c r="H197" s="64">
        <f>IF(E197&gt;0, G197/E197, 0)</f>
        <v/>
      </c>
      <c r="I197" s="63">
        <f>G197*Inputs!C12/100</f>
        <v/>
      </c>
      <c r="J197" s="53">
        <f>(I197/1000)*(Inputs!C27-Inputs!C28)</f>
        <v/>
      </c>
    </row>
    <row r="198">
      <c r="A198" t="inlineStr">
        <is>
          <t>2025-07-16</t>
        </is>
      </c>
      <c r="B198" t="n">
        <v>7</v>
      </c>
      <c r="C198">
        <f>CurtailmentData!D198</f>
        <v/>
      </c>
      <c r="D198" s="63">
        <f>C198*Inputs!C7</f>
        <v/>
      </c>
      <c r="E198" s="53">
        <f>SOH_Degradation!D3</f>
        <v/>
      </c>
      <c r="F198" s="63">
        <f>MAX(0, D198-E198)</f>
        <v/>
      </c>
      <c r="G198" s="63">
        <f>MIN(D198, E198)</f>
        <v/>
      </c>
      <c r="H198" s="64">
        <f>IF(E198&gt;0, G198/E198, 0)</f>
        <v/>
      </c>
      <c r="I198" s="63">
        <f>G198*Inputs!C12/100</f>
        <v/>
      </c>
      <c r="J198" s="53">
        <f>(I198/1000)*(Inputs!C27-Inputs!C28)</f>
        <v/>
      </c>
    </row>
    <row r="199">
      <c r="A199" t="inlineStr">
        <is>
          <t>2025-07-17</t>
        </is>
      </c>
      <c r="B199" t="n">
        <v>7</v>
      </c>
      <c r="C199">
        <f>CurtailmentData!D199</f>
        <v/>
      </c>
      <c r="D199" s="63">
        <f>C199*Inputs!C7</f>
        <v/>
      </c>
      <c r="E199" s="53">
        <f>SOH_Degradation!D3</f>
        <v/>
      </c>
      <c r="F199" s="63">
        <f>MAX(0, D199-E199)</f>
        <v/>
      </c>
      <c r="G199" s="63">
        <f>MIN(D199, E199)</f>
        <v/>
      </c>
      <c r="H199" s="64">
        <f>IF(E199&gt;0, G199/E199, 0)</f>
        <v/>
      </c>
      <c r="I199" s="63">
        <f>G199*Inputs!C12/100</f>
        <v/>
      </c>
      <c r="J199" s="53">
        <f>(I199/1000)*(Inputs!C27-Inputs!C28)</f>
        <v/>
      </c>
    </row>
    <row r="200">
      <c r="A200" t="inlineStr">
        <is>
          <t>2025-07-18</t>
        </is>
      </c>
      <c r="B200" t="n">
        <v>7</v>
      </c>
      <c r="C200">
        <f>CurtailmentData!D200</f>
        <v/>
      </c>
      <c r="D200" s="63">
        <f>C200*Inputs!C7</f>
        <v/>
      </c>
      <c r="E200" s="53">
        <f>SOH_Degradation!D3</f>
        <v/>
      </c>
      <c r="F200" s="63">
        <f>MAX(0, D200-E200)</f>
        <v/>
      </c>
      <c r="G200" s="63">
        <f>MIN(D200, E200)</f>
        <v/>
      </c>
      <c r="H200" s="64">
        <f>IF(E200&gt;0, G200/E200, 0)</f>
        <v/>
      </c>
      <c r="I200" s="63">
        <f>G200*Inputs!C12/100</f>
        <v/>
      </c>
      <c r="J200" s="53">
        <f>(I200/1000)*(Inputs!C27-Inputs!C28)</f>
        <v/>
      </c>
    </row>
    <row r="201">
      <c r="A201" t="inlineStr">
        <is>
          <t>2025-07-19</t>
        </is>
      </c>
      <c r="B201" t="n">
        <v>7</v>
      </c>
      <c r="C201">
        <f>CurtailmentData!D201</f>
        <v/>
      </c>
      <c r="D201" s="63">
        <f>C201*Inputs!C7</f>
        <v/>
      </c>
      <c r="E201" s="53">
        <f>SOH_Degradation!D3</f>
        <v/>
      </c>
      <c r="F201" s="63">
        <f>MAX(0, D201-E201)</f>
        <v/>
      </c>
      <c r="G201" s="63">
        <f>MIN(D201, E201)</f>
        <v/>
      </c>
      <c r="H201" s="64">
        <f>IF(E201&gt;0, G201/E201, 0)</f>
        <v/>
      </c>
      <c r="I201" s="63">
        <f>G201*Inputs!C12/100</f>
        <v/>
      </c>
      <c r="J201" s="53">
        <f>(I201/1000)*(Inputs!C27-Inputs!C28)</f>
        <v/>
      </c>
    </row>
    <row r="202">
      <c r="A202" t="inlineStr">
        <is>
          <t>2025-07-20</t>
        </is>
      </c>
      <c r="B202" t="n">
        <v>7</v>
      </c>
      <c r="C202">
        <f>CurtailmentData!D202</f>
        <v/>
      </c>
      <c r="D202" s="63">
        <f>C202*Inputs!C7</f>
        <v/>
      </c>
      <c r="E202" s="53">
        <f>SOH_Degradation!D3</f>
        <v/>
      </c>
      <c r="F202" s="63">
        <f>MAX(0, D202-E202)</f>
        <v/>
      </c>
      <c r="G202" s="63">
        <f>MIN(D202, E202)</f>
        <v/>
      </c>
      <c r="H202" s="64">
        <f>IF(E202&gt;0, G202/E202, 0)</f>
        <v/>
      </c>
      <c r="I202" s="63">
        <f>G202*Inputs!C12/100</f>
        <v/>
      </c>
      <c r="J202" s="53">
        <f>(I202/1000)*(Inputs!C27-Inputs!C28)</f>
        <v/>
      </c>
    </row>
    <row r="203">
      <c r="A203" t="inlineStr">
        <is>
          <t>2025-07-21</t>
        </is>
      </c>
      <c r="B203" t="n">
        <v>7</v>
      </c>
      <c r="C203">
        <f>CurtailmentData!D203</f>
        <v/>
      </c>
      <c r="D203" s="63">
        <f>C203*Inputs!C7</f>
        <v/>
      </c>
      <c r="E203" s="53">
        <f>SOH_Degradation!D3</f>
        <v/>
      </c>
      <c r="F203" s="63">
        <f>MAX(0, D203-E203)</f>
        <v/>
      </c>
      <c r="G203" s="63">
        <f>MIN(D203, E203)</f>
        <v/>
      </c>
      <c r="H203" s="64">
        <f>IF(E203&gt;0, G203/E203, 0)</f>
        <v/>
      </c>
      <c r="I203" s="63">
        <f>G203*Inputs!C12/100</f>
        <v/>
      </c>
      <c r="J203" s="53">
        <f>(I203/1000)*(Inputs!C27-Inputs!C28)</f>
        <v/>
      </c>
    </row>
    <row r="204">
      <c r="A204" t="inlineStr">
        <is>
          <t>2025-07-22</t>
        </is>
      </c>
      <c r="B204" t="n">
        <v>7</v>
      </c>
      <c r="C204">
        <f>CurtailmentData!D204</f>
        <v/>
      </c>
      <c r="D204" s="63">
        <f>C204*Inputs!C7</f>
        <v/>
      </c>
      <c r="E204" s="53">
        <f>SOH_Degradation!D3</f>
        <v/>
      </c>
      <c r="F204" s="63">
        <f>MAX(0, D204-E204)</f>
        <v/>
      </c>
      <c r="G204" s="63">
        <f>MIN(D204, E204)</f>
        <v/>
      </c>
      <c r="H204" s="64">
        <f>IF(E204&gt;0, G204/E204, 0)</f>
        <v/>
      </c>
      <c r="I204" s="63">
        <f>G204*Inputs!C12/100</f>
        <v/>
      </c>
      <c r="J204" s="53">
        <f>(I204/1000)*(Inputs!C27-Inputs!C28)</f>
        <v/>
      </c>
    </row>
    <row r="205">
      <c r="A205" t="inlineStr">
        <is>
          <t>2025-07-23</t>
        </is>
      </c>
      <c r="B205" t="n">
        <v>7</v>
      </c>
      <c r="C205">
        <f>CurtailmentData!D205</f>
        <v/>
      </c>
      <c r="D205" s="63">
        <f>C205*Inputs!C7</f>
        <v/>
      </c>
      <c r="E205" s="53">
        <f>SOH_Degradation!D3</f>
        <v/>
      </c>
      <c r="F205" s="63">
        <f>MAX(0, D205-E205)</f>
        <v/>
      </c>
      <c r="G205" s="63">
        <f>MIN(D205, E205)</f>
        <v/>
      </c>
      <c r="H205" s="64">
        <f>IF(E205&gt;0, G205/E205, 0)</f>
        <v/>
      </c>
      <c r="I205" s="63">
        <f>G205*Inputs!C12/100</f>
        <v/>
      </c>
      <c r="J205" s="53">
        <f>(I205/1000)*(Inputs!C27-Inputs!C28)</f>
        <v/>
      </c>
    </row>
    <row r="206">
      <c r="A206" t="inlineStr">
        <is>
          <t>2025-07-24</t>
        </is>
      </c>
      <c r="B206" t="n">
        <v>7</v>
      </c>
      <c r="C206">
        <f>CurtailmentData!D206</f>
        <v/>
      </c>
      <c r="D206" s="63">
        <f>C206*Inputs!C7</f>
        <v/>
      </c>
      <c r="E206" s="53">
        <f>SOH_Degradation!D3</f>
        <v/>
      </c>
      <c r="F206" s="63">
        <f>MAX(0, D206-E206)</f>
        <v/>
      </c>
      <c r="G206" s="63">
        <f>MIN(D206, E206)</f>
        <v/>
      </c>
      <c r="H206" s="64">
        <f>IF(E206&gt;0, G206/E206, 0)</f>
        <v/>
      </c>
      <c r="I206" s="63">
        <f>G206*Inputs!C12/100</f>
        <v/>
      </c>
      <c r="J206" s="53">
        <f>(I206/1000)*(Inputs!C27-Inputs!C28)</f>
        <v/>
      </c>
    </row>
    <row r="207">
      <c r="A207" t="inlineStr">
        <is>
          <t>2025-07-25</t>
        </is>
      </c>
      <c r="B207" t="n">
        <v>7</v>
      </c>
      <c r="C207">
        <f>CurtailmentData!D207</f>
        <v/>
      </c>
      <c r="D207" s="63">
        <f>C207*Inputs!C7</f>
        <v/>
      </c>
      <c r="E207" s="53">
        <f>SOH_Degradation!D3</f>
        <v/>
      </c>
      <c r="F207" s="63">
        <f>MAX(0, D207-E207)</f>
        <v/>
      </c>
      <c r="G207" s="63">
        <f>MIN(D207, E207)</f>
        <v/>
      </c>
      <c r="H207" s="64">
        <f>IF(E207&gt;0, G207/E207, 0)</f>
        <v/>
      </c>
      <c r="I207" s="63">
        <f>G207*Inputs!C12/100</f>
        <v/>
      </c>
      <c r="J207" s="53">
        <f>(I207/1000)*(Inputs!C27-Inputs!C28)</f>
        <v/>
      </c>
    </row>
    <row r="208">
      <c r="A208" t="inlineStr">
        <is>
          <t>2025-07-26</t>
        </is>
      </c>
      <c r="B208" t="n">
        <v>7</v>
      </c>
      <c r="C208">
        <f>CurtailmentData!D208</f>
        <v/>
      </c>
      <c r="D208" s="63">
        <f>C208*Inputs!C7</f>
        <v/>
      </c>
      <c r="E208" s="53">
        <f>SOH_Degradation!D3</f>
        <v/>
      </c>
      <c r="F208" s="63">
        <f>MAX(0, D208-E208)</f>
        <v/>
      </c>
      <c r="G208" s="63">
        <f>MIN(D208, E208)</f>
        <v/>
      </c>
      <c r="H208" s="64">
        <f>IF(E208&gt;0, G208/E208, 0)</f>
        <v/>
      </c>
      <c r="I208" s="63">
        <f>G208*Inputs!C12/100</f>
        <v/>
      </c>
      <c r="J208" s="53">
        <f>(I208/1000)*(Inputs!C27-Inputs!C28)</f>
        <v/>
      </c>
    </row>
    <row r="209">
      <c r="A209" t="inlineStr">
        <is>
          <t>2025-07-27</t>
        </is>
      </c>
      <c r="B209" t="n">
        <v>7</v>
      </c>
      <c r="C209">
        <f>CurtailmentData!D209</f>
        <v/>
      </c>
      <c r="D209" s="63">
        <f>C209*Inputs!C7</f>
        <v/>
      </c>
      <c r="E209" s="53">
        <f>SOH_Degradation!D3</f>
        <v/>
      </c>
      <c r="F209" s="63">
        <f>MAX(0, D209-E209)</f>
        <v/>
      </c>
      <c r="G209" s="63">
        <f>MIN(D209, E209)</f>
        <v/>
      </c>
      <c r="H209" s="64">
        <f>IF(E209&gt;0, G209/E209, 0)</f>
        <v/>
      </c>
      <c r="I209" s="63">
        <f>G209*Inputs!C12/100</f>
        <v/>
      </c>
      <c r="J209" s="53">
        <f>(I209/1000)*(Inputs!C27-Inputs!C28)</f>
        <v/>
      </c>
    </row>
    <row r="210">
      <c r="A210" t="inlineStr">
        <is>
          <t>2025-07-28</t>
        </is>
      </c>
      <c r="B210" t="n">
        <v>7</v>
      </c>
      <c r="C210">
        <f>CurtailmentData!D210</f>
        <v/>
      </c>
      <c r="D210" s="63">
        <f>C210*Inputs!C7</f>
        <v/>
      </c>
      <c r="E210" s="53">
        <f>SOH_Degradation!D3</f>
        <v/>
      </c>
      <c r="F210" s="63">
        <f>MAX(0, D210-E210)</f>
        <v/>
      </c>
      <c r="G210" s="63">
        <f>MIN(D210, E210)</f>
        <v/>
      </c>
      <c r="H210" s="64">
        <f>IF(E210&gt;0, G210/E210, 0)</f>
        <v/>
      </c>
      <c r="I210" s="63">
        <f>G210*Inputs!C12/100</f>
        <v/>
      </c>
      <c r="J210" s="53">
        <f>(I210/1000)*(Inputs!C27-Inputs!C28)</f>
        <v/>
      </c>
    </row>
    <row r="211">
      <c r="A211" t="inlineStr">
        <is>
          <t>2025-07-29</t>
        </is>
      </c>
      <c r="B211" t="n">
        <v>7</v>
      </c>
      <c r="C211">
        <f>CurtailmentData!D211</f>
        <v/>
      </c>
      <c r="D211" s="63">
        <f>C211*Inputs!C7</f>
        <v/>
      </c>
      <c r="E211" s="53">
        <f>SOH_Degradation!D3</f>
        <v/>
      </c>
      <c r="F211" s="63">
        <f>MAX(0, D211-E211)</f>
        <v/>
      </c>
      <c r="G211" s="63">
        <f>MIN(D211, E211)</f>
        <v/>
      </c>
      <c r="H211" s="64">
        <f>IF(E211&gt;0, G211/E211, 0)</f>
        <v/>
      </c>
      <c r="I211" s="63">
        <f>G211*Inputs!C12/100</f>
        <v/>
      </c>
      <c r="J211" s="53">
        <f>(I211/1000)*(Inputs!C27-Inputs!C28)</f>
        <v/>
      </c>
    </row>
    <row r="212">
      <c r="A212" t="inlineStr">
        <is>
          <t>2025-07-30</t>
        </is>
      </c>
      <c r="B212" t="n">
        <v>7</v>
      </c>
      <c r="C212">
        <f>CurtailmentData!D212</f>
        <v/>
      </c>
      <c r="D212" s="63">
        <f>C212*Inputs!C7</f>
        <v/>
      </c>
      <c r="E212" s="53">
        <f>SOH_Degradation!D3</f>
        <v/>
      </c>
      <c r="F212" s="63">
        <f>MAX(0, D212-E212)</f>
        <v/>
      </c>
      <c r="G212" s="63">
        <f>MIN(D212, E212)</f>
        <v/>
      </c>
      <c r="H212" s="64">
        <f>IF(E212&gt;0, G212/E212, 0)</f>
        <v/>
      </c>
      <c r="I212" s="63">
        <f>G212*Inputs!C12/100</f>
        <v/>
      </c>
      <c r="J212" s="53">
        <f>(I212/1000)*(Inputs!C27-Inputs!C28)</f>
        <v/>
      </c>
    </row>
    <row r="213">
      <c r="A213" t="inlineStr">
        <is>
          <t>2025-07-31</t>
        </is>
      </c>
      <c r="B213" t="n">
        <v>7</v>
      </c>
      <c r="C213">
        <f>CurtailmentData!D213</f>
        <v/>
      </c>
      <c r="D213" s="63">
        <f>C213*Inputs!C7</f>
        <v/>
      </c>
      <c r="E213" s="53">
        <f>SOH_Degradation!D3</f>
        <v/>
      </c>
      <c r="F213" s="63">
        <f>MAX(0, D213-E213)</f>
        <v/>
      </c>
      <c r="G213" s="63">
        <f>MIN(D213, E213)</f>
        <v/>
      </c>
      <c r="H213" s="64">
        <f>IF(E213&gt;0, G213/E213, 0)</f>
        <v/>
      </c>
      <c r="I213" s="63">
        <f>G213*Inputs!C12/100</f>
        <v/>
      </c>
      <c r="J213" s="53">
        <f>(I213/1000)*(Inputs!C27-Inputs!C28)</f>
        <v/>
      </c>
    </row>
    <row r="214">
      <c r="A214" t="inlineStr">
        <is>
          <t>2025-08-01</t>
        </is>
      </c>
      <c r="B214" t="n">
        <v>8</v>
      </c>
      <c r="C214">
        <f>CurtailmentData!D214</f>
        <v/>
      </c>
      <c r="D214" s="63">
        <f>C214*Inputs!C7</f>
        <v/>
      </c>
      <c r="E214" s="53">
        <f>SOH_Degradation!D3</f>
        <v/>
      </c>
      <c r="F214" s="63">
        <f>MAX(0, D214-E214)</f>
        <v/>
      </c>
      <c r="G214" s="63">
        <f>MIN(D214, E214)</f>
        <v/>
      </c>
      <c r="H214" s="64">
        <f>IF(E214&gt;0, G214/E214, 0)</f>
        <v/>
      </c>
      <c r="I214" s="63">
        <f>G214*Inputs!C12/100</f>
        <v/>
      </c>
      <c r="J214" s="53">
        <f>(I214/1000)*(Inputs!C27-Inputs!C28)</f>
        <v/>
      </c>
    </row>
    <row r="215">
      <c r="A215" t="inlineStr">
        <is>
          <t>2025-08-02</t>
        </is>
      </c>
      <c r="B215" t="n">
        <v>8</v>
      </c>
      <c r="C215">
        <f>CurtailmentData!D215</f>
        <v/>
      </c>
      <c r="D215" s="63">
        <f>C215*Inputs!C7</f>
        <v/>
      </c>
      <c r="E215" s="53">
        <f>SOH_Degradation!D3</f>
        <v/>
      </c>
      <c r="F215" s="63">
        <f>MAX(0, D215-E215)</f>
        <v/>
      </c>
      <c r="G215" s="63">
        <f>MIN(D215, E215)</f>
        <v/>
      </c>
      <c r="H215" s="64">
        <f>IF(E215&gt;0, G215/E215, 0)</f>
        <v/>
      </c>
      <c r="I215" s="63">
        <f>G215*Inputs!C12/100</f>
        <v/>
      </c>
      <c r="J215" s="53">
        <f>(I215/1000)*(Inputs!C27-Inputs!C28)</f>
        <v/>
      </c>
    </row>
    <row r="216">
      <c r="A216" t="inlineStr">
        <is>
          <t>2025-08-03</t>
        </is>
      </c>
      <c r="B216" t="n">
        <v>8</v>
      </c>
      <c r="C216">
        <f>CurtailmentData!D216</f>
        <v/>
      </c>
      <c r="D216" s="63">
        <f>C216*Inputs!C7</f>
        <v/>
      </c>
      <c r="E216" s="53">
        <f>SOH_Degradation!D3</f>
        <v/>
      </c>
      <c r="F216" s="63">
        <f>MAX(0, D216-E216)</f>
        <v/>
      </c>
      <c r="G216" s="63">
        <f>MIN(D216, E216)</f>
        <v/>
      </c>
      <c r="H216" s="64">
        <f>IF(E216&gt;0, G216/E216, 0)</f>
        <v/>
      </c>
      <c r="I216" s="63">
        <f>G216*Inputs!C12/100</f>
        <v/>
      </c>
      <c r="J216" s="53">
        <f>(I216/1000)*(Inputs!C27-Inputs!C28)</f>
        <v/>
      </c>
    </row>
    <row r="217">
      <c r="A217" t="inlineStr">
        <is>
          <t>2025-08-04</t>
        </is>
      </c>
      <c r="B217" t="n">
        <v>8</v>
      </c>
      <c r="C217">
        <f>CurtailmentData!D217</f>
        <v/>
      </c>
      <c r="D217" s="63">
        <f>C217*Inputs!C7</f>
        <v/>
      </c>
      <c r="E217" s="53">
        <f>SOH_Degradation!D3</f>
        <v/>
      </c>
      <c r="F217" s="63">
        <f>MAX(0, D217-E217)</f>
        <v/>
      </c>
      <c r="G217" s="63">
        <f>MIN(D217, E217)</f>
        <v/>
      </c>
      <c r="H217" s="64">
        <f>IF(E217&gt;0, G217/E217, 0)</f>
        <v/>
      </c>
      <c r="I217" s="63">
        <f>G217*Inputs!C12/100</f>
        <v/>
      </c>
      <c r="J217" s="53">
        <f>(I217/1000)*(Inputs!C27-Inputs!C28)</f>
        <v/>
      </c>
    </row>
    <row r="218">
      <c r="A218" t="inlineStr">
        <is>
          <t>2025-08-05</t>
        </is>
      </c>
      <c r="B218" t="n">
        <v>8</v>
      </c>
      <c r="C218">
        <f>CurtailmentData!D218</f>
        <v/>
      </c>
      <c r="D218" s="63">
        <f>C218*Inputs!C7</f>
        <v/>
      </c>
      <c r="E218" s="53">
        <f>SOH_Degradation!D3</f>
        <v/>
      </c>
      <c r="F218" s="63">
        <f>MAX(0, D218-E218)</f>
        <v/>
      </c>
      <c r="G218" s="63">
        <f>MIN(D218, E218)</f>
        <v/>
      </c>
      <c r="H218" s="64">
        <f>IF(E218&gt;0, G218/E218, 0)</f>
        <v/>
      </c>
      <c r="I218" s="63">
        <f>G218*Inputs!C12/100</f>
        <v/>
      </c>
      <c r="J218" s="53">
        <f>(I218/1000)*(Inputs!C27-Inputs!C28)</f>
        <v/>
      </c>
    </row>
    <row r="219">
      <c r="A219" t="inlineStr">
        <is>
          <t>2025-08-06</t>
        </is>
      </c>
      <c r="B219" t="n">
        <v>8</v>
      </c>
      <c r="C219">
        <f>CurtailmentData!D219</f>
        <v/>
      </c>
      <c r="D219" s="63">
        <f>C219*Inputs!C7</f>
        <v/>
      </c>
      <c r="E219" s="53">
        <f>SOH_Degradation!D3</f>
        <v/>
      </c>
      <c r="F219" s="63">
        <f>MAX(0, D219-E219)</f>
        <v/>
      </c>
      <c r="G219" s="63">
        <f>MIN(D219, E219)</f>
        <v/>
      </c>
      <c r="H219" s="64">
        <f>IF(E219&gt;0, G219/E219, 0)</f>
        <v/>
      </c>
      <c r="I219" s="63">
        <f>G219*Inputs!C12/100</f>
        <v/>
      </c>
      <c r="J219" s="53">
        <f>(I219/1000)*(Inputs!C27-Inputs!C28)</f>
        <v/>
      </c>
    </row>
    <row r="220">
      <c r="A220" t="inlineStr">
        <is>
          <t>2025-08-07</t>
        </is>
      </c>
      <c r="B220" t="n">
        <v>8</v>
      </c>
      <c r="C220">
        <f>CurtailmentData!D220</f>
        <v/>
      </c>
      <c r="D220" s="63">
        <f>C220*Inputs!C7</f>
        <v/>
      </c>
      <c r="E220" s="53">
        <f>SOH_Degradation!D3</f>
        <v/>
      </c>
      <c r="F220" s="63">
        <f>MAX(0, D220-E220)</f>
        <v/>
      </c>
      <c r="G220" s="63">
        <f>MIN(D220, E220)</f>
        <v/>
      </c>
      <c r="H220" s="64">
        <f>IF(E220&gt;0, G220/E220, 0)</f>
        <v/>
      </c>
      <c r="I220" s="63">
        <f>G220*Inputs!C12/100</f>
        <v/>
      </c>
      <c r="J220" s="53">
        <f>(I220/1000)*(Inputs!C27-Inputs!C28)</f>
        <v/>
      </c>
    </row>
    <row r="221">
      <c r="A221" t="inlineStr">
        <is>
          <t>2025-08-08</t>
        </is>
      </c>
      <c r="B221" t="n">
        <v>8</v>
      </c>
      <c r="C221">
        <f>CurtailmentData!D221</f>
        <v/>
      </c>
      <c r="D221" s="63">
        <f>C221*Inputs!C7</f>
        <v/>
      </c>
      <c r="E221" s="53">
        <f>SOH_Degradation!D3</f>
        <v/>
      </c>
      <c r="F221" s="63">
        <f>MAX(0, D221-E221)</f>
        <v/>
      </c>
      <c r="G221" s="63">
        <f>MIN(D221, E221)</f>
        <v/>
      </c>
      <c r="H221" s="64">
        <f>IF(E221&gt;0, G221/E221, 0)</f>
        <v/>
      </c>
      <c r="I221" s="63">
        <f>G221*Inputs!C12/100</f>
        <v/>
      </c>
      <c r="J221" s="53">
        <f>(I221/1000)*(Inputs!C27-Inputs!C28)</f>
        <v/>
      </c>
    </row>
    <row r="222">
      <c r="A222" t="inlineStr">
        <is>
          <t>2025-08-09</t>
        </is>
      </c>
      <c r="B222" t="n">
        <v>8</v>
      </c>
      <c r="C222">
        <f>CurtailmentData!D222</f>
        <v/>
      </c>
      <c r="D222" s="63">
        <f>C222*Inputs!C7</f>
        <v/>
      </c>
      <c r="E222" s="53">
        <f>SOH_Degradation!D3</f>
        <v/>
      </c>
      <c r="F222" s="63">
        <f>MAX(0, D222-E222)</f>
        <v/>
      </c>
      <c r="G222" s="63">
        <f>MIN(D222, E222)</f>
        <v/>
      </c>
      <c r="H222" s="64">
        <f>IF(E222&gt;0, G222/E222, 0)</f>
        <v/>
      </c>
      <c r="I222" s="63">
        <f>G222*Inputs!C12/100</f>
        <v/>
      </c>
      <c r="J222" s="53">
        <f>(I222/1000)*(Inputs!C27-Inputs!C28)</f>
        <v/>
      </c>
    </row>
    <row r="223">
      <c r="A223" t="inlineStr">
        <is>
          <t>2025-08-10</t>
        </is>
      </c>
      <c r="B223" t="n">
        <v>8</v>
      </c>
      <c r="C223">
        <f>CurtailmentData!D223</f>
        <v/>
      </c>
      <c r="D223" s="63">
        <f>C223*Inputs!C7</f>
        <v/>
      </c>
      <c r="E223" s="53">
        <f>SOH_Degradation!D3</f>
        <v/>
      </c>
      <c r="F223" s="63">
        <f>MAX(0, D223-E223)</f>
        <v/>
      </c>
      <c r="G223" s="63">
        <f>MIN(D223, E223)</f>
        <v/>
      </c>
      <c r="H223" s="64">
        <f>IF(E223&gt;0, G223/E223, 0)</f>
        <v/>
      </c>
      <c r="I223" s="63">
        <f>G223*Inputs!C12/100</f>
        <v/>
      </c>
      <c r="J223" s="53">
        <f>(I223/1000)*(Inputs!C27-Inputs!C28)</f>
        <v/>
      </c>
    </row>
    <row r="224">
      <c r="A224" t="inlineStr">
        <is>
          <t>2025-08-11</t>
        </is>
      </c>
      <c r="B224" t="n">
        <v>8</v>
      </c>
      <c r="C224">
        <f>CurtailmentData!D224</f>
        <v/>
      </c>
      <c r="D224" s="63">
        <f>C224*Inputs!C7</f>
        <v/>
      </c>
      <c r="E224" s="53">
        <f>SOH_Degradation!D3</f>
        <v/>
      </c>
      <c r="F224" s="63">
        <f>MAX(0, D224-E224)</f>
        <v/>
      </c>
      <c r="G224" s="63">
        <f>MIN(D224, E224)</f>
        <v/>
      </c>
      <c r="H224" s="64">
        <f>IF(E224&gt;0, G224/E224, 0)</f>
        <v/>
      </c>
      <c r="I224" s="63">
        <f>G224*Inputs!C12/100</f>
        <v/>
      </c>
      <c r="J224" s="53">
        <f>(I224/1000)*(Inputs!C27-Inputs!C28)</f>
        <v/>
      </c>
    </row>
    <row r="225">
      <c r="A225" t="inlineStr">
        <is>
          <t>2025-08-12</t>
        </is>
      </c>
      <c r="B225" t="n">
        <v>8</v>
      </c>
      <c r="C225">
        <f>CurtailmentData!D225</f>
        <v/>
      </c>
      <c r="D225" s="63">
        <f>C225*Inputs!C7</f>
        <v/>
      </c>
      <c r="E225" s="53">
        <f>SOH_Degradation!D3</f>
        <v/>
      </c>
      <c r="F225" s="63">
        <f>MAX(0, D225-E225)</f>
        <v/>
      </c>
      <c r="G225" s="63">
        <f>MIN(D225, E225)</f>
        <v/>
      </c>
      <c r="H225" s="64">
        <f>IF(E225&gt;0, G225/E225, 0)</f>
        <v/>
      </c>
      <c r="I225" s="63">
        <f>G225*Inputs!C12/100</f>
        <v/>
      </c>
      <c r="J225" s="53">
        <f>(I225/1000)*(Inputs!C27-Inputs!C28)</f>
        <v/>
      </c>
    </row>
    <row r="226">
      <c r="A226" t="inlineStr">
        <is>
          <t>2025-08-13</t>
        </is>
      </c>
      <c r="B226" t="n">
        <v>8</v>
      </c>
      <c r="C226">
        <f>CurtailmentData!D226</f>
        <v/>
      </c>
      <c r="D226" s="63">
        <f>C226*Inputs!C7</f>
        <v/>
      </c>
      <c r="E226" s="53">
        <f>SOH_Degradation!D3</f>
        <v/>
      </c>
      <c r="F226" s="63">
        <f>MAX(0, D226-E226)</f>
        <v/>
      </c>
      <c r="G226" s="63">
        <f>MIN(D226, E226)</f>
        <v/>
      </c>
      <c r="H226" s="64">
        <f>IF(E226&gt;0, G226/E226, 0)</f>
        <v/>
      </c>
      <c r="I226" s="63">
        <f>G226*Inputs!C12/100</f>
        <v/>
      </c>
      <c r="J226" s="53">
        <f>(I226/1000)*(Inputs!C27-Inputs!C28)</f>
        <v/>
      </c>
    </row>
    <row r="227">
      <c r="A227" t="inlineStr">
        <is>
          <t>2025-08-14</t>
        </is>
      </c>
      <c r="B227" t="n">
        <v>8</v>
      </c>
      <c r="C227">
        <f>CurtailmentData!D227</f>
        <v/>
      </c>
      <c r="D227" s="63">
        <f>C227*Inputs!C7</f>
        <v/>
      </c>
      <c r="E227" s="53">
        <f>SOH_Degradation!D3</f>
        <v/>
      </c>
      <c r="F227" s="63">
        <f>MAX(0, D227-E227)</f>
        <v/>
      </c>
      <c r="G227" s="63">
        <f>MIN(D227, E227)</f>
        <v/>
      </c>
      <c r="H227" s="64">
        <f>IF(E227&gt;0, G227/E227, 0)</f>
        <v/>
      </c>
      <c r="I227" s="63">
        <f>G227*Inputs!C12/100</f>
        <v/>
      </c>
      <c r="J227" s="53">
        <f>(I227/1000)*(Inputs!C27-Inputs!C28)</f>
        <v/>
      </c>
    </row>
    <row r="228">
      <c r="A228" t="inlineStr">
        <is>
          <t>2025-08-15</t>
        </is>
      </c>
      <c r="B228" t="n">
        <v>8</v>
      </c>
      <c r="C228">
        <f>CurtailmentData!D228</f>
        <v/>
      </c>
      <c r="D228" s="63">
        <f>C228*Inputs!C7</f>
        <v/>
      </c>
      <c r="E228" s="53">
        <f>SOH_Degradation!D3</f>
        <v/>
      </c>
      <c r="F228" s="63">
        <f>MAX(0, D228-E228)</f>
        <v/>
      </c>
      <c r="G228" s="63">
        <f>MIN(D228, E228)</f>
        <v/>
      </c>
      <c r="H228" s="64">
        <f>IF(E228&gt;0, G228/E228, 0)</f>
        <v/>
      </c>
      <c r="I228" s="63">
        <f>G228*Inputs!C12/100</f>
        <v/>
      </c>
      <c r="J228" s="53">
        <f>(I228/1000)*(Inputs!C27-Inputs!C28)</f>
        <v/>
      </c>
    </row>
    <row r="229">
      <c r="A229" t="inlineStr">
        <is>
          <t>2025-08-16</t>
        </is>
      </c>
      <c r="B229" t="n">
        <v>8</v>
      </c>
      <c r="C229">
        <f>CurtailmentData!D229</f>
        <v/>
      </c>
      <c r="D229" s="63">
        <f>C229*Inputs!C7</f>
        <v/>
      </c>
      <c r="E229" s="53">
        <f>SOH_Degradation!D3</f>
        <v/>
      </c>
      <c r="F229" s="63">
        <f>MAX(0, D229-E229)</f>
        <v/>
      </c>
      <c r="G229" s="63">
        <f>MIN(D229, E229)</f>
        <v/>
      </c>
      <c r="H229" s="64">
        <f>IF(E229&gt;0, G229/E229, 0)</f>
        <v/>
      </c>
      <c r="I229" s="63">
        <f>G229*Inputs!C12/100</f>
        <v/>
      </c>
      <c r="J229" s="53">
        <f>(I229/1000)*(Inputs!C27-Inputs!C28)</f>
        <v/>
      </c>
    </row>
    <row r="230">
      <c r="A230" t="inlineStr">
        <is>
          <t>2025-08-17</t>
        </is>
      </c>
      <c r="B230" t="n">
        <v>8</v>
      </c>
      <c r="C230">
        <f>CurtailmentData!D230</f>
        <v/>
      </c>
      <c r="D230" s="63">
        <f>C230*Inputs!C7</f>
        <v/>
      </c>
      <c r="E230" s="53">
        <f>SOH_Degradation!D3</f>
        <v/>
      </c>
      <c r="F230" s="63">
        <f>MAX(0, D230-E230)</f>
        <v/>
      </c>
      <c r="G230" s="63">
        <f>MIN(D230, E230)</f>
        <v/>
      </c>
      <c r="H230" s="64">
        <f>IF(E230&gt;0, G230/E230, 0)</f>
        <v/>
      </c>
      <c r="I230" s="63">
        <f>G230*Inputs!C12/100</f>
        <v/>
      </c>
      <c r="J230" s="53">
        <f>(I230/1000)*(Inputs!C27-Inputs!C28)</f>
        <v/>
      </c>
    </row>
    <row r="231">
      <c r="A231" t="inlineStr">
        <is>
          <t>2025-08-18</t>
        </is>
      </c>
      <c r="B231" t="n">
        <v>8</v>
      </c>
      <c r="C231">
        <f>CurtailmentData!D231</f>
        <v/>
      </c>
      <c r="D231" s="63">
        <f>C231*Inputs!C7</f>
        <v/>
      </c>
      <c r="E231" s="53">
        <f>SOH_Degradation!D3</f>
        <v/>
      </c>
      <c r="F231" s="63">
        <f>MAX(0, D231-E231)</f>
        <v/>
      </c>
      <c r="G231" s="63">
        <f>MIN(D231, E231)</f>
        <v/>
      </c>
      <c r="H231" s="64">
        <f>IF(E231&gt;0, G231/E231, 0)</f>
        <v/>
      </c>
      <c r="I231" s="63">
        <f>G231*Inputs!C12/100</f>
        <v/>
      </c>
      <c r="J231" s="53">
        <f>(I231/1000)*(Inputs!C27-Inputs!C28)</f>
        <v/>
      </c>
    </row>
    <row r="232">
      <c r="A232" t="inlineStr">
        <is>
          <t>2025-08-19</t>
        </is>
      </c>
      <c r="B232" t="n">
        <v>8</v>
      </c>
      <c r="C232">
        <f>CurtailmentData!D232</f>
        <v/>
      </c>
      <c r="D232" s="63">
        <f>C232*Inputs!C7</f>
        <v/>
      </c>
      <c r="E232" s="53">
        <f>SOH_Degradation!D3</f>
        <v/>
      </c>
      <c r="F232" s="63">
        <f>MAX(0, D232-E232)</f>
        <v/>
      </c>
      <c r="G232" s="63">
        <f>MIN(D232, E232)</f>
        <v/>
      </c>
      <c r="H232" s="64">
        <f>IF(E232&gt;0, G232/E232, 0)</f>
        <v/>
      </c>
      <c r="I232" s="63">
        <f>G232*Inputs!C12/100</f>
        <v/>
      </c>
      <c r="J232" s="53">
        <f>(I232/1000)*(Inputs!C27-Inputs!C28)</f>
        <v/>
      </c>
    </row>
    <row r="233">
      <c r="A233" t="inlineStr">
        <is>
          <t>2025-08-20</t>
        </is>
      </c>
      <c r="B233" t="n">
        <v>8</v>
      </c>
      <c r="C233">
        <f>CurtailmentData!D233</f>
        <v/>
      </c>
      <c r="D233" s="63">
        <f>C233*Inputs!C7</f>
        <v/>
      </c>
      <c r="E233" s="53">
        <f>SOH_Degradation!D3</f>
        <v/>
      </c>
      <c r="F233" s="63">
        <f>MAX(0, D233-E233)</f>
        <v/>
      </c>
      <c r="G233" s="63">
        <f>MIN(D233, E233)</f>
        <v/>
      </c>
      <c r="H233" s="64">
        <f>IF(E233&gt;0, G233/E233, 0)</f>
        <v/>
      </c>
      <c r="I233" s="63">
        <f>G233*Inputs!C12/100</f>
        <v/>
      </c>
      <c r="J233" s="53">
        <f>(I233/1000)*(Inputs!C27-Inputs!C28)</f>
        <v/>
      </c>
    </row>
    <row r="234">
      <c r="A234" t="inlineStr">
        <is>
          <t>2025-08-21</t>
        </is>
      </c>
      <c r="B234" t="n">
        <v>8</v>
      </c>
      <c r="C234">
        <f>CurtailmentData!D234</f>
        <v/>
      </c>
      <c r="D234" s="63">
        <f>C234*Inputs!C7</f>
        <v/>
      </c>
      <c r="E234" s="53">
        <f>SOH_Degradation!D3</f>
        <v/>
      </c>
      <c r="F234" s="63">
        <f>MAX(0, D234-E234)</f>
        <v/>
      </c>
      <c r="G234" s="63">
        <f>MIN(D234, E234)</f>
        <v/>
      </c>
      <c r="H234" s="64">
        <f>IF(E234&gt;0, G234/E234, 0)</f>
        <v/>
      </c>
      <c r="I234" s="63">
        <f>G234*Inputs!C12/100</f>
        <v/>
      </c>
      <c r="J234" s="53">
        <f>(I234/1000)*(Inputs!C27-Inputs!C28)</f>
        <v/>
      </c>
    </row>
    <row r="235">
      <c r="A235" t="inlineStr">
        <is>
          <t>2025-08-22</t>
        </is>
      </c>
      <c r="B235" t="n">
        <v>8</v>
      </c>
      <c r="C235">
        <f>CurtailmentData!D235</f>
        <v/>
      </c>
      <c r="D235" s="63">
        <f>C235*Inputs!C7</f>
        <v/>
      </c>
      <c r="E235" s="53">
        <f>SOH_Degradation!D3</f>
        <v/>
      </c>
      <c r="F235" s="63">
        <f>MAX(0, D235-E235)</f>
        <v/>
      </c>
      <c r="G235" s="63">
        <f>MIN(D235, E235)</f>
        <v/>
      </c>
      <c r="H235" s="64">
        <f>IF(E235&gt;0, G235/E235, 0)</f>
        <v/>
      </c>
      <c r="I235" s="63">
        <f>G235*Inputs!C12/100</f>
        <v/>
      </c>
      <c r="J235" s="53">
        <f>(I235/1000)*(Inputs!C27-Inputs!C28)</f>
        <v/>
      </c>
    </row>
    <row r="236">
      <c r="A236" t="inlineStr">
        <is>
          <t>2025-08-23</t>
        </is>
      </c>
      <c r="B236" t="n">
        <v>8</v>
      </c>
      <c r="C236">
        <f>CurtailmentData!D236</f>
        <v/>
      </c>
      <c r="D236" s="63">
        <f>C236*Inputs!C7</f>
        <v/>
      </c>
      <c r="E236" s="53">
        <f>SOH_Degradation!D3</f>
        <v/>
      </c>
      <c r="F236" s="63">
        <f>MAX(0, D236-E236)</f>
        <v/>
      </c>
      <c r="G236" s="63">
        <f>MIN(D236, E236)</f>
        <v/>
      </c>
      <c r="H236" s="64">
        <f>IF(E236&gt;0, G236/E236, 0)</f>
        <v/>
      </c>
      <c r="I236" s="63">
        <f>G236*Inputs!C12/100</f>
        <v/>
      </c>
      <c r="J236" s="53">
        <f>(I236/1000)*(Inputs!C27-Inputs!C28)</f>
        <v/>
      </c>
    </row>
    <row r="237">
      <c r="A237" t="inlineStr">
        <is>
          <t>2025-08-24</t>
        </is>
      </c>
      <c r="B237" t="n">
        <v>8</v>
      </c>
      <c r="C237">
        <f>CurtailmentData!D237</f>
        <v/>
      </c>
      <c r="D237" s="63">
        <f>C237*Inputs!C7</f>
        <v/>
      </c>
      <c r="E237" s="53">
        <f>SOH_Degradation!D3</f>
        <v/>
      </c>
      <c r="F237" s="63">
        <f>MAX(0, D237-E237)</f>
        <v/>
      </c>
      <c r="G237" s="63">
        <f>MIN(D237, E237)</f>
        <v/>
      </c>
      <c r="H237" s="64">
        <f>IF(E237&gt;0, G237/E237, 0)</f>
        <v/>
      </c>
      <c r="I237" s="63">
        <f>G237*Inputs!C12/100</f>
        <v/>
      </c>
      <c r="J237" s="53">
        <f>(I237/1000)*(Inputs!C27-Inputs!C28)</f>
        <v/>
      </c>
    </row>
    <row r="238">
      <c r="A238" t="inlineStr">
        <is>
          <t>2025-08-25</t>
        </is>
      </c>
      <c r="B238" t="n">
        <v>8</v>
      </c>
      <c r="C238">
        <f>CurtailmentData!D238</f>
        <v/>
      </c>
      <c r="D238" s="63">
        <f>C238*Inputs!C7</f>
        <v/>
      </c>
      <c r="E238" s="53">
        <f>SOH_Degradation!D3</f>
        <v/>
      </c>
      <c r="F238" s="63">
        <f>MAX(0, D238-E238)</f>
        <v/>
      </c>
      <c r="G238" s="63">
        <f>MIN(D238, E238)</f>
        <v/>
      </c>
      <c r="H238" s="64">
        <f>IF(E238&gt;0, G238/E238, 0)</f>
        <v/>
      </c>
      <c r="I238" s="63">
        <f>G238*Inputs!C12/100</f>
        <v/>
      </c>
      <c r="J238" s="53">
        <f>(I238/1000)*(Inputs!C27-Inputs!C28)</f>
        <v/>
      </c>
    </row>
    <row r="239">
      <c r="A239" t="inlineStr">
        <is>
          <t>2025-08-26</t>
        </is>
      </c>
      <c r="B239" t="n">
        <v>8</v>
      </c>
      <c r="C239">
        <f>CurtailmentData!D239</f>
        <v/>
      </c>
      <c r="D239" s="63">
        <f>C239*Inputs!C7</f>
        <v/>
      </c>
      <c r="E239" s="53">
        <f>SOH_Degradation!D3</f>
        <v/>
      </c>
      <c r="F239" s="63">
        <f>MAX(0, D239-E239)</f>
        <v/>
      </c>
      <c r="G239" s="63">
        <f>MIN(D239, E239)</f>
        <v/>
      </c>
      <c r="H239" s="64">
        <f>IF(E239&gt;0, G239/E239, 0)</f>
        <v/>
      </c>
      <c r="I239" s="63">
        <f>G239*Inputs!C12/100</f>
        <v/>
      </c>
      <c r="J239" s="53">
        <f>(I239/1000)*(Inputs!C27-Inputs!C28)</f>
        <v/>
      </c>
    </row>
    <row r="240">
      <c r="A240" t="inlineStr">
        <is>
          <t>2025-08-27</t>
        </is>
      </c>
      <c r="B240" t="n">
        <v>8</v>
      </c>
      <c r="C240">
        <f>CurtailmentData!D240</f>
        <v/>
      </c>
      <c r="D240" s="63">
        <f>C240*Inputs!C7</f>
        <v/>
      </c>
      <c r="E240" s="53">
        <f>SOH_Degradation!D3</f>
        <v/>
      </c>
      <c r="F240" s="63">
        <f>MAX(0, D240-E240)</f>
        <v/>
      </c>
      <c r="G240" s="63">
        <f>MIN(D240, E240)</f>
        <v/>
      </c>
      <c r="H240" s="64">
        <f>IF(E240&gt;0, G240/E240, 0)</f>
        <v/>
      </c>
      <c r="I240" s="63">
        <f>G240*Inputs!C12/100</f>
        <v/>
      </c>
      <c r="J240" s="53">
        <f>(I240/1000)*(Inputs!C27-Inputs!C28)</f>
        <v/>
      </c>
    </row>
    <row r="241">
      <c r="A241" t="inlineStr">
        <is>
          <t>2025-08-28</t>
        </is>
      </c>
      <c r="B241" t="n">
        <v>8</v>
      </c>
      <c r="C241">
        <f>CurtailmentData!D241</f>
        <v/>
      </c>
      <c r="D241" s="63">
        <f>C241*Inputs!C7</f>
        <v/>
      </c>
      <c r="E241" s="53">
        <f>SOH_Degradation!D3</f>
        <v/>
      </c>
      <c r="F241" s="63">
        <f>MAX(0, D241-E241)</f>
        <v/>
      </c>
      <c r="G241" s="63">
        <f>MIN(D241, E241)</f>
        <v/>
      </c>
      <c r="H241" s="64">
        <f>IF(E241&gt;0, G241/E241, 0)</f>
        <v/>
      </c>
      <c r="I241" s="63">
        <f>G241*Inputs!C12/100</f>
        <v/>
      </c>
      <c r="J241" s="53">
        <f>(I241/1000)*(Inputs!C27-Inputs!C28)</f>
        <v/>
      </c>
    </row>
    <row r="242">
      <c r="A242" t="inlineStr">
        <is>
          <t>2025-08-29</t>
        </is>
      </c>
      <c r="B242" t="n">
        <v>8</v>
      </c>
      <c r="C242">
        <f>CurtailmentData!D242</f>
        <v/>
      </c>
      <c r="D242" s="63">
        <f>C242*Inputs!C7</f>
        <v/>
      </c>
      <c r="E242" s="53">
        <f>SOH_Degradation!D3</f>
        <v/>
      </c>
      <c r="F242" s="63">
        <f>MAX(0, D242-E242)</f>
        <v/>
      </c>
      <c r="G242" s="63">
        <f>MIN(D242, E242)</f>
        <v/>
      </c>
      <c r="H242" s="64">
        <f>IF(E242&gt;0, G242/E242, 0)</f>
        <v/>
      </c>
      <c r="I242" s="63">
        <f>G242*Inputs!C12/100</f>
        <v/>
      </c>
      <c r="J242" s="53">
        <f>(I242/1000)*(Inputs!C27-Inputs!C28)</f>
        <v/>
      </c>
    </row>
    <row r="243">
      <c r="A243" t="inlineStr">
        <is>
          <t>2025-08-30</t>
        </is>
      </c>
      <c r="B243" t="n">
        <v>8</v>
      </c>
      <c r="C243">
        <f>CurtailmentData!D243</f>
        <v/>
      </c>
      <c r="D243" s="63">
        <f>C243*Inputs!C7</f>
        <v/>
      </c>
      <c r="E243" s="53">
        <f>SOH_Degradation!D3</f>
        <v/>
      </c>
      <c r="F243" s="63">
        <f>MAX(0, D243-E243)</f>
        <v/>
      </c>
      <c r="G243" s="63">
        <f>MIN(D243, E243)</f>
        <v/>
      </c>
      <c r="H243" s="64">
        <f>IF(E243&gt;0, G243/E243, 0)</f>
        <v/>
      </c>
      <c r="I243" s="63">
        <f>G243*Inputs!C12/100</f>
        <v/>
      </c>
      <c r="J243" s="53">
        <f>(I243/1000)*(Inputs!C27-Inputs!C28)</f>
        <v/>
      </c>
    </row>
    <row r="244">
      <c r="A244" t="inlineStr">
        <is>
          <t>2025-08-31</t>
        </is>
      </c>
      <c r="B244" t="n">
        <v>8</v>
      </c>
      <c r="C244">
        <f>CurtailmentData!D244</f>
        <v/>
      </c>
      <c r="D244" s="63">
        <f>C244*Inputs!C7</f>
        <v/>
      </c>
      <c r="E244" s="53">
        <f>SOH_Degradation!D3</f>
        <v/>
      </c>
      <c r="F244" s="63">
        <f>MAX(0, D244-E244)</f>
        <v/>
      </c>
      <c r="G244" s="63">
        <f>MIN(D244, E244)</f>
        <v/>
      </c>
      <c r="H244" s="64">
        <f>IF(E244&gt;0, G244/E244, 0)</f>
        <v/>
      </c>
      <c r="I244" s="63">
        <f>G244*Inputs!C12/100</f>
        <v/>
      </c>
      <c r="J244" s="53">
        <f>(I244/1000)*(Inputs!C27-Inputs!C28)</f>
        <v/>
      </c>
    </row>
    <row r="245">
      <c r="A245" t="inlineStr">
        <is>
          <t>2025-09-01</t>
        </is>
      </c>
      <c r="B245" t="n">
        <v>9</v>
      </c>
      <c r="C245">
        <f>CurtailmentData!D245</f>
        <v/>
      </c>
      <c r="D245" s="63">
        <f>C245*Inputs!C7</f>
        <v/>
      </c>
      <c r="E245" s="53">
        <f>SOH_Degradation!D3</f>
        <v/>
      </c>
      <c r="F245" s="63">
        <f>MAX(0, D245-E245)</f>
        <v/>
      </c>
      <c r="G245" s="63">
        <f>MIN(D245, E245)</f>
        <v/>
      </c>
      <c r="H245" s="64">
        <f>IF(E245&gt;0, G245/E245, 0)</f>
        <v/>
      </c>
      <c r="I245" s="63">
        <f>G245*Inputs!C12/100</f>
        <v/>
      </c>
      <c r="J245" s="53">
        <f>(I245/1000)*(Inputs!C27-Inputs!C28)</f>
        <v/>
      </c>
    </row>
    <row r="246">
      <c r="A246" t="inlineStr">
        <is>
          <t>2025-09-02</t>
        </is>
      </c>
      <c r="B246" t="n">
        <v>9</v>
      </c>
      <c r="C246">
        <f>CurtailmentData!D246</f>
        <v/>
      </c>
      <c r="D246" s="63">
        <f>C246*Inputs!C7</f>
        <v/>
      </c>
      <c r="E246" s="53">
        <f>SOH_Degradation!D3</f>
        <v/>
      </c>
      <c r="F246" s="63">
        <f>MAX(0, D246-E246)</f>
        <v/>
      </c>
      <c r="G246" s="63">
        <f>MIN(D246, E246)</f>
        <v/>
      </c>
      <c r="H246" s="64">
        <f>IF(E246&gt;0, G246/E246, 0)</f>
        <v/>
      </c>
      <c r="I246" s="63">
        <f>G246*Inputs!C12/100</f>
        <v/>
      </c>
      <c r="J246" s="53">
        <f>(I246/1000)*(Inputs!C27-Inputs!C28)</f>
        <v/>
      </c>
    </row>
    <row r="247">
      <c r="A247" t="inlineStr">
        <is>
          <t>2025-09-03</t>
        </is>
      </c>
      <c r="B247" t="n">
        <v>9</v>
      </c>
      <c r="C247">
        <f>CurtailmentData!D247</f>
        <v/>
      </c>
      <c r="D247" s="63">
        <f>C247*Inputs!C7</f>
        <v/>
      </c>
      <c r="E247" s="53">
        <f>SOH_Degradation!D3</f>
        <v/>
      </c>
      <c r="F247" s="63">
        <f>MAX(0, D247-E247)</f>
        <v/>
      </c>
      <c r="G247" s="63">
        <f>MIN(D247, E247)</f>
        <v/>
      </c>
      <c r="H247" s="64">
        <f>IF(E247&gt;0, G247/E247, 0)</f>
        <v/>
      </c>
      <c r="I247" s="63">
        <f>G247*Inputs!C12/100</f>
        <v/>
      </c>
      <c r="J247" s="53">
        <f>(I247/1000)*(Inputs!C27-Inputs!C28)</f>
        <v/>
      </c>
    </row>
    <row r="248">
      <c r="A248" t="inlineStr">
        <is>
          <t>2025-09-04</t>
        </is>
      </c>
      <c r="B248" t="n">
        <v>9</v>
      </c>
      <c r="C248">
        <f>CurtailmentData!D248</f>
        <v/>
      </c>
      <c r="D248" s="63">
        <f>C248*Inputs!C7</f>
        <v/>
      </c>
      <c r="E248" s="53">
        <f>SOH_Degradation!D3</f>
        <v/>
      </c>
      <c r="F248" s="63">
        <f>MAX(0, D248-E248)</f>
        <v/>
      </c>
      <c r="G248" s="63">
        <f>MIN(D248, E248)</f>
        <v/>
      </c>
      <c r="H248" s="64">
        <f>IF(E248&gt;0, G248/E248, 0)</f>
        <v/>
      </c>
      <c r="I248" s="63">
        <f>G248*Inputs!C12/100</f>
        <v/>
      </c>
      <c r="J248" s="53">
        <f>(I248/1000)*(Inputs!C27-Inputs!C28)</f>
        <v/>
      </c>
    </row>
    <row r="249">
      <c r="A249" t="inlineStr">
        <is>
          <t>2025-09-05</t>
        </is>
      </c>
      <c r="B249" t="n">
        <v>9</v>
      </c>
      <c r="C249">
        <f>CurtailmentData!D249</f>
        <v/>
      </c>
      <c r="D249" s="63">
        <f>C249*Inputs!C7</f>
        <v/>
      </c>
      <c r="E249" s="53">
        <f>SOH_Degradation!D3</f>
        <v/>
      </c>
      <c r="F249" s="63">
        <f>MAX(0, D249-E249)</f>
        <v/>
      </c>
      <c r="G249" s="63">
        <f>MIN(D249, E249)</f>
        <v/>
      </c>
      <c r="H249" s="64">
        <f>IF(E249&gt;0, G249/E249, 0)</f>
        <v/>
      </c>
      <c r="I249" s="63">
        <f>G249*Inputs!C12/100</f>
        <v/>
      </c>
      <c r="J249" s="53">
        <f>(I249/1000)*(Inputs!C27-Inputs!C28)</f>
        <v/>
      </c>
    </row>
    <row r="250">
      <c r="A250" t="inlineStr">
        <is>
          <t>2025-09-06</t>
        </is>
      </c>
      <c r="B250" t="n">
        <v>9</v>
      </c>
      <c r="C250">
        <f>CurtailmentData!D250</f>
        <v/>
      </c>
      <c r="D250" s="63">
        <f>C250*Inputs!C7</f>
        <v/>
      </c>
      <c r="E250" s="53">
        <f>SOH_Degradation!D3</f>
        <v/>
      </c>
      <c r="F250" s="63">
        <f>MAX(0, D250-E250)</f>
        <v/>
      </c>
      <c r="G250" s="63">
        <f>MIN(D250, E250)</f>
        <v/>
      </c>
      <c r="H250" s="64">
        <f>IF(E250&gt;0, G250/E250, 0)</f>
        <v/>
      </c>
      <c r="I250" s="63">
        <f>G250*Inputs!C12/100</f>
        <v/>
      </c>
      <c r="J250" s="53">
        <f>(I250/1000)*(Inputs!C27-Inputs!C28)</f>
        <v/>
      </c>
    </row>
    <row r="251">
      <c r="A251" t="inlineStr">
        <is>
          <t>2025-09-07</t>
        </is>
      </c>
      <c r="B251" t="n">
        <v>9</v>
      </c>
      <c r="C251">
        <f>CurtailmentData!D251</f>
        <v/>
      </c>
      <c r="D251" s="63">
        <f>C251*Inputs!C7</f>
        <v/>
      </c>
      <c r="E251" s="53">
        <f>SOH_Degradation!D3</f>
        <v/>
      </c>
      <c r="F251" s="63">
        <f>MAX(0, D251-E251)</f>
        <v/>
      </c>
      <c r="G251" s="63">
        <f>MIN(D251, E251)</f>
        <v/>
      </c>
      <c r="H251" s="64">
        <f>IF(E251&gt;0, G251/E251, 0)</f>
        <v/>
      </c>
      <c r="I251" s="63">
        <f>G251*Inputs!C12/100</f>
        <v/>
      </c>
      <c r="J251" s="53">
        <f>(I251/1000)*(Inputs!C27-Inputs!C28)</f>
        <v/>
      </c>
    </row>
    <row r="252">
      <c r="A252" t="inlineStr">
        <is>
          <t>2025-09-08</t>
        </is>
      </c>
      <c r="B252" t="n">
        <v>9</v>
      </c>
      <c r="C252">
        <f>CurtailmentData!D252</f>
        <v/>
      </c>
      <c r="D252" s="63">
        <f>C252*Inputs!C7</f>
        <v/>
      </c>
      <c r="E252" s="53">
        <f>SOH_Degradation!D3</f>
        <v/>
      </c>
      <c r="F252" s="63">
        <f>MAX(0, D252-E252)</f>
        <v/>
      </c>
      <c r="G252" s="63">
        <f>MIN(D252, E252)</f>
        <v/>
      </c>
      <c r="H252" s="64">
        <f>IF(E252&gt;0, G252/E252, 0)</f>
        <v/>
      </c>
      <c r="I252" s="63">
        <f>G252*Inputs!C12/100</f>
        <v/>
      </c>
      <c r="J252" s="53">
        <f>(I252/1000)*(Inputs!C27-Inputs!C28)</f>
        <v/>
      </c>
    </row>
    <row r="253">
      <c r="A253" t="inlineStr">
        <is>
          <t>2025-09-09</t>
        </is>
      </c>
      <c r="B253" t="n">
        <v>9</v>
      </c>
      <c r="C253">
        <f>CurtailmentData!D253</f>
        <v/>
      </c>
      <c r="D253" s="63">
        <f>C253*Inputs!C7</f>
        <v/>
      </c>
      <c r="E253" s="53">
        <f>SOH_Degradation!D3</f>
        <v/>
      </c>
      <c r="F253" s="63">
        <f>MAX(0, D253-E253)</f>
        <v/>
      </c>
      <c r="G253" s="63">
        <f>MIN(D253, E253)</f>
        <v/>
      </c>
      <c r="H253" s="64">
        <f>IF(E253&gt;0, G253/E253, 0)</f>
        <v/>
      </c>
      <c r="I253" s="63">
        <f>G253*Inputs!C12/100</f>
        <v/>
      </c>
      <c r="J253" s="53">
        <f>(I253/1000)*(Inputs!C27-Inputs!C28)</f>
        <v/>
      </c>
    </row>
    <row r="254">
      <c r="A254" t="inlineStr">
        <is>
          <t>2025-09-10</t>
        </is>
      </c>
      <c r="B254" t="n">
        <v>9</v>
      </c>
      <c r="C254">
        <f>CurtailmentData!D254</f>
        <v/>
      </c>
      <c r="D254" s="63">
        <f>C254*Inputs!C7</f>
        <v/>
      </c>
      <c r="E254" s="53">
        <f>SOH_Degradation!D3</f>
        <v/>
      </c>
      <c r="F254" s="63">
        <f>MAX(0, D254-E254)</f>
        <v/>
      </c>
      <c r="G254" s="63">
        <f>MIN(D254, E254)</f>
        <v/>
      </c>
      <c r="H254" s="64">
        <f>IF(E254&gt;0, G254/E254, 0)</f>
        <v/>
      </c>
      <c r="I254" s="63">
        <f>G254*Inputs!C12/100</f>
        <v/>
      </c>
      <c r="J254" s="53">
        <f>(I254/1000)*(Inputs!C27-Inputs!C28)</f>
        <v/>
      </c>
    </row>
    <row r="255">
      <c r="A255" t="inlineStr">
        <is>
          <t>2025-09-11</t>
        </is>
      </c>
      <c r="B255" t="n">
        <v>9</v>
      </c>
      <c r="C255">
        <f>CurtailmentData!D255</f>
        <v/>
      </c>
      <c r="D255" s="63">
        <f>C255*Inputs!C7</f>
        <v/>
      </c>
      <c r="E255" s="53">
        <f>SOH_Degradation!D3</f>
        <v/>
      </c>
      <c r="F255" s="63">
        <f>MAX(0, D255-E255)</f>
        <v/>
      </c>
      <c r="G255" s="63">
        <f>MIN(D255, E255)</f>
        <v/>
      </c>
      <c r="H255" s="64">
        <f>IF(E255&gt;0, G255/E255, 0)</f>
        <v/>
      </c>
      <c r="I255" s="63">
        <f>G255*Inputs!C12/100</f>
        <v/>
      </c>
      <c r="J255" s="53">
        <f>(I255/1000)*(Inputs!C27-Inputs!C28)</f>
        <v/>
      </c>
    </row>
    <row r="256">
      <c r="A256" t="inlineStr">
        <is>
          <t>2025-09-12</t>
        </is>
      </c>
      <c r="B256" t="n">
        <v>9</v>
      </c>
      <c r="C256">
        <f>CurtailmentData!D256</f>
        <v/>
      </c>
      <c r="D256" s="63">
        <f>C256*Inputs!C7</f>
        <v/>
      </c>
      <c r="E256" s="53">
        <f>SOH_Degradation!D3</f>
        <v/>
      </c>
      <c r="F256" s="63">
        <f>MAX(0, D256-E256)</f>
        <v/>
      </c>
      <c r="G256" s="63">
        <f>MIN(D256, E256)</f>
        <v/>
      </c>
      <c r="H256" s="64">
        <f>IF(E256&gt;0, G256/E256, 0)</f>
        <v/>
      </c>
      <c r="I256" s="63">
        <f>G256*Inputs!C12/100</f>
        <v/>
      </c>
      <c r="J256" s="53">
        <f>(I256/1000)*(Inputs!C27-Inputs!C28)</f>
        <v/>
      </c>
    </row>
    <row r="257">
      <c r="A257" t="inlineStr">
        <is>
          <t>2025-09-13</t>
        </is>
      </c>
      <c r="B257" t="n">
        <v>9</v>
      </c>
      <c r="C257">
        <f>CurtailmentData!D257</f>
        <v/>
      </c>
      <c r="D257" s="63">
        <f>C257*Inputs!C7</f>
        <v/>
      </c>
      <c r="E257" s="53">
        <f>SOH_Degradation!D3</f>
        <v/>
      </c>
      <c r="F257" s="63">
        <f>MAX(0, D257-E257)</f>
        <v/>
      </c>
      <c r="G257" s="63">
        <f>MIN(D257, E257)</f>
        <v/>
      </c>
      <c r="H257" s="64">
        <f>IF(E257&gt;0, G257/E257, 0)</f>
        <v/>
      </c>
      <c r="I257" s="63">
        <f>G257*Inputs!C12/100</f>
        <v/>
      </c>
      <c r="J257" s="53">
        <f>(I257/1000)*(Inputs!C27-Inputs!C28)</f>
        <v/>
      </c>
    </row>
    <row r="258">
      <c r="A258" t="inlineStr">
        <is>
          <t>2025-09-14</t>
        </is>
      </c>
      <c r="B258" t="n">
        <v>9</v>
      </c>
      <c r="C258">
        <f>CurtailmentData!D258</f>
        <v/>
      </c>
      <c r="D258" s="63">
        <f>C258*Inputs!C7</f>
        <v/>
      </c>
      <c r="E258" s="53">
        <f>SOH_Degradation!D3</f>
        <v/>
      </c>
      <c r="F258" s="63">
        <f>MAX(0, D258-E258)</f>
        <v/>
      </c>
      <c r="G258" s="63">
        <f>MIN(D258, E258)</f>
        <v/>
      </c>
      <c r="H258" s="64">
        <f>IF(E258&gt;0, G258/E258, 0)</f>
        <v/>
      </c>
      <c r="I258" s="63">
        <f>G258*Inputs!C12/100</f>
        <v/>
      </c>
      <c r="J258" s="53">
        <f>(I258/1000)*(Inputs!C27-Inputs!C28)</f>
        <v/>
      </c>
    </row>
    <row r="259">
      <c r="A259" t="inlineStr">
        <is>
          <t>2025-09-15</t>
        </is>
      </c>
      <c r="B259" t="n">
        <v>9</v>
      </c>
      <c r="C259">
        <f>CurtailmentData!D259</f>
        <v/>
      </c>
      <c r="D259" s="63">
        <f>C259*Inputs!C7</f>
        <v/>
      </c>
      <c r="E259" s="53">
        <f>SOH_Degradation!D3</f>
        <v/>
      </c>
      <c r="F259" s="63">
        <f>MAX(0, D259-E259)</f>
        <v/>
      </c>
      <c r="G259" s="63">
        <f>MIN(D259, E259)</f>
        <v/>
      </c>
      <c r="H259" s="64">
        <f>IF(E259&gt;0, G259/E259, 0)</f>
        <v/>
      </c>
      <c r="I259" s="63">
        <f>G259*Inputs!C12/100</f>
        <v/>
      </c>
      <c r="J259" s="53">
        <f>(I259/1000)*(Inputs!C27-Inputs!C28)</f>
        <v/>
      </c>
    </row>
    <row r="260">
      <c r="A260" t="inlineStr">
        <is>
          <t>2025-09-16</t>
        </is>
      </c>
      <c r="B260" t="n">
        <v>9</v>
      </c>
      <c r="C260">
        <f>CurtailmentData!D260</f>
        <v/>
      </c>
      <c r="D260" s="63">
        <f>C260*Inputs!C7</f>
        <v/>
      </c>
      <c r="E260" s="53">
        <f>SOH_Degradation!D3</f>
        <v/>
      </c>
      <c r="F260" s="63">
        <f>MAX(0, D260-E260)</f>
        <v/>
      </c>
      <c r="G260" s="63">
        <f>MIN(D260, E260)</f>
        <v/>
      </c>
      <c r="H260" s="64">
        <f>IF(E260&gt;0, G260/E260, 0)</f>
        <v/>
      </c>
      <c r="I260" s="63">
        <f>G260*Inputs!C12/100</f>
        <v/>
      </c>
      <c r="J260" s="53">
        <f>(I260/1000)*(Inputs!C27-Inputs!C28)</f>
        <v/>
      </c>
    </row>
    <row r="261">
      <c r="A261" t="inlineStr">
        <is>
          <t>2025-09-17</t>
        </is>
      </c>
      <c r="B261" t="n">
        <v>9</v>
      </c>
      <c r="C261">
        <f>CurtailmentData!D261</f>
        <v/>
      </c>
      <c r="D261" s="63">
        <f>C261*Inputs!C7</f>
        <v/>
      </c>
      <c r="E261" s="53">
        <f>SOH_Degradation!D3</f>
        <v/>
      </c>
      <c r="F261" s="63">
        <f>MAX(0, D261-E261)</f>
        <v/>
      </c>
      <c r="G261" s="63">
        <f>MIN(D261, E261)</f>
        <v/>
      </c>
      <c r="H261" s="64">
        <f>IF(E261&gt;0, G261/E261, 0)</f>
        <v/>
      </c>
      <c r="I261" s="63">
        <f>G261*Inputs!C12/100</f>
        <v/>
      </c>
      <c r="J261" s="53">
        <f>(I261/1000)*(Inputs!C27-Inputs!C28)</f>
        <v/>
      </c>
    </row>
    <row r="262">
      <c r="A262" t="inlineStr">
        <is>
          <t>2025-09-18</t>
        </is>
      </c>
      <c r="B262" t="n">
        <v>9</v>
      </c>
      <c r="C262">
        <f>CurtailmentData!D262</f>
        <v/>
      </c>
      <c r="D262" s="63">
        <f>C262*Inputs!C7</f>
        <v/>
      </c>
      <c r="E262" s="53">
        <f>SOH_Degradation!D3</f>
        <v/>
      </c>
      <c r="F262" s="63">
        <f>MAX(0, D262-E262)</f>
        <v/>
      </c>
      <c r="G262" s="63">
        <f>MIN(D262, E262)</f>
        <v/>
      </c>
      <c r="H262" s="64">
        <f>IF(E262&gt;0, G262/E262, 0)</f>
        <v/>
      </c>
      <c r="I262" s="63">
        <f>G262*Inputs!C12/100</f>
        <v/>
      </c>
      <c r="J262" s="53">
        <f>(I262/1000)*(Inputs!C27-Inputs!C28)</f>
        <v/>
      </c>
    </row>
    <row r="263">
      <c r="A263" t="inlineStr">
        <is>
          <t>2025-09-19</t>
        </is>
      </c>
      <c r="B263" t="n">
        <v>9</v>
      </c>
      <c r="C263">
        <f>CurtailmentData!D263</f>
        <v/>
      </c>
      <c r="D263" s="63">
        <f>C263*Inputs!C7</f>
        <v/>
      </c>
      <c r="E263" s="53">
        <f>SOH_Degradation!D3</f>
        <v/>
      </c>
      <c r="F263" s="63">
        <f>MAX(0, D263-E263)</f>
        <v/>
      </c>
      <c r="G263" s="63">
        <f>MIN(D263, E263)</f>
        <v/>
      </c>
      <c r="H263" s="64">
        <f>IF(E263&gt;0, G263/E263, 0)</f>
        <v/>
      </c>
      <c r="I263" s="63">
        <f>G263*Inputs!C12/100</f>
        <v/>
      </c>
      <c r="J263" s="53">
        <f>(I263/1000)*(Inputs!C27-Inputs!C28)</f>
        <v/>
      </c>
    </row>
    <row r="264">
      <c r="A264" t="inlineStr">
        <is>
          <t>2025-09-20</t>
        </is>
      </c>
      <c r="B264" t="n">
        <v>9</v>
      </c>
      <c r="C264">
        <f>CurtailmentData!D264</f>
        <v/>
      </c>
      <c r="D264" s="63">
        <f>C264*Inputs!C7</f>
        <v/>
      </c>
      <c r="E264" s="53">
        <f>SOH_Degradation!D3</f>
        <v/>
      </c>
      <c r="F264" s="63">
        <f>MAX(0, D264-E264)</f>
        <v/>
      </c>
      <c r="G264" s="63">
        <f>MIN(D264, E264)</f>
        <v/>
      </c>
      <c r="H264" s="64">
        <f>IF(E264&gt;0, G264/E264, 0)</f>
        <v/>
      </c>
      <c r="I264" s="63">
        <f>G264*Inputs!C12/100</f>
        <v/>
      </c>
      <c r="J264" s="53">
        <f>(I264/1000)*(Inputs!C27-Inputs!C28)</f>
        <v/>
      </c>
    </row>
    <row r="265">
      <c r="A265" t="inlineStr">
        <is>
          <t>2025-09-21</t>
        </is>
      </c>
      <c r="B265" t="n">
        <v>9</v>
      </c>
      <c r="C265">
        <f>CurtailmentData!D265</f>
        <v/>
      </c>
      <c r="D265" s="63">
        <f>C265*Inputs!C7</f>
        <v/>
      </c>
      <c r="E265" s="53">
        <f>SOH_Degradation!D3</f>
        <v/>
      </c>
      <c r="F265" s="63">
        <f>MAX(0, D265-E265)</f>
        <v/>
      </c>
      <c r="G265" s="63">
        <f>MIN(D265, E265)</f>
        <v/>
      </c>
      <c r="H265" s="64">
        <f>IF(E265&gt;0, G265/E265, 0)</f>
        <v/>
      </c>
      <c r="I265" s="63">
        <f>G265*Inputs!C12/100</f>
        <v/>
      </c>
      <c r="J265" s="53">
        <f>(I265/1000)*(Inputs!C27-Inputs!C28)</f>
        <v/>
      </c>
    </row>
    <row r="266">
      <c r="A266" t="inlineStr">
        <is>
          <t>2025-09-22</t>
        </is>
      </c>
      <c r="B266" t="n">
        <v>9</v>
      </c>
      <c r="C266">
        <f>CurtailmentData!D266</f>
        <v/>
      </c>
      <c r="D266" s="63">
        <f>C266*Inputs!C7</f>
        <v/>
      </c>
      <c r="E266" s="53">
        <f>SOH_Degradation!D3</f>
        <v/>
      </c>
      <c r="F266" s="63">
        <f>MAX(0, D266-E266)</f>
        <v/>
      </c>
      <c r="G266" s="63">
        <f>MIN(D266, E266)</f>
        <v/>
      </c>
      <c r="H266" s="64">
        <f>IF(E266&gt;0, G266/E266, 0)</f>
        <v/>
      </c>
      <c r="I266" s="63">
        <f>G266*Inputs!C12/100</f>
        <v/>
      </c>
      <c r="J266" s="53">
        <f>(I266/1000)*(Inputs!C27-Inputs!C28)</f>
        <v/>
      </c>
    </row>
    <row r="267">
      <c r="A267" t="inlineStr">
        <is>
          <t>2025-09-23</t>
        </is>
      </c>
      <c r="B267" t="n">
        <v>9</v>
      </c>
      <c r="C267">
        <f>CurtailmentData!D267</f>
        <v/>
      </c>
      <c r="D267" s="63">
        <f>C267*Inputs!C7</f>
        <v/>
      </c>
      <c r="E267" s="53">
        <f>SOH_Degradation!D3</f>
        <v/>
      </c>
      <c r="F267" s="63">
        <f>MAX(0, D267-E267)</f>
        <v/>
      </c>
      <c r="G267" s="63">
        <f>MIN(D267, E267)</f>
        <v/>
      </c>
      <c r="H267" s="64">
        <f>IF(E267&gt;0, G267/E267, 0)</f>
        <v/>
      </c>
      <c r="I267" s="63">
        <f>G267*Inputs!C12/100</f>
        <v/>
      </c>
      <c r="J267" s="53">
        <f>(I267/1000)*(Inputs!C27-Inputs!C28)</f>
        <v/>
      </c>
    </row>
    <row r="268">
      <c r="A268" t="inlineStr">
        <is>
          <t>2025-09-24</t>
        </is>
      </c>
      <c r="B268" t="n">
        <v>9</v>
      </c>
      <c r="C268">
        <f>CurtailmentData!D268</f>
        <v/>
      </c>
      <c r="D268" s="63">
        <f>C268*Inputs!C7</f>
        <v/>
      </c>
      <c r="E268" s="53">
        <f>SOH_Degradation!D3</f>
        <v/>
      </c>
      <c r="F268" s="63">
        <f>MAX(0, D268-E268)</f>
        <v/>
      </c>
      <c r="G268" s="63">
        <f>MIN(D268, E268)</f>
        <v/>
      </c>
      <c r="H268" s="64">
        <f>IF(E268&gt;0, G268/E268, 0)</f>
        <v/>
      </c>
      <c r="I268" s="63">
        <f>G268*Inputs!C12/100</f>
        <v/>
      </c>
      <c r="J268" s="53">
        <f>(I268/1000)*(Inputs!C27-Inputs!C28)</f>
        <v/>
      </c>
    </row>
    <row r="269">
      <c r="A269" t="inlineStr">
        <is>
          <t>2025-09-25</t>
        </is>
      </c>
      <c r="B269" t="n">
        <v>9</v>
      </c>
      <c r="C269">
        <f>CurtailmentData!D269</f>
        <v/>
      </c>
      <c r="D269" s="63">
        <f>C269*Inputs!C7</f>
        <v/>
      </c>
      <c r="E269" s="53">
        <f>SOH_Degradation!D3</f>
        <v/>
      </c>
      <c r="F269" s="63">
        <f>MAX(0, D269-E269)</f>
        <v/>
      </c>
      <c r="G269" s="63">
        <f>MIN(D269, E269)</f>
        <v/>
      </c>
      <c r="H269" s="64">
        <f>IF(E269&gt;0, G269/E269, 0)</f>
        <v/>
      </c>
      <c r="I269" s="63">
        <f>G269*Inputs!C12/100</f>
        <v/>
      </c>
      <c r="J269" s="53">
        <f>(I269/1000)*(Inputs!C27-Inputs!C28)</f>
        <v/>
      </c>
    </row>
    <row r="270">
      <c r="A270" t="inlineStr">
        <is>
          <t>2025-09-26</t>
        </is>
      </c>
      <c r="B270" t="n">
        <v>9</v>
      </c>
      <c r="C270">
        <f>CurtailmentData!D270</f>
        <v/>
      </c>
      <c r="D270" s="63">
        <f>C270*Inputs!C7</f>
        <v/>
      </c>
      <c r="E270" s="53">
        <f>SOH_Degradation!D3</f>
        <v/>
      </c>
      <c r="F270" s="63">
        <f>MAX(0, D270-E270)</f>
        <v/>
      </c>
      <c r="G270" s="63">
        <f>MIN(D270, E270)</f>
        <v/>
      </c>
      <c r="H270" s="64">
        <f>IF(E270&gt;0, G270/E270, 0)</f>
        <v/>
      </c>
      <c r="I270" s="63">
        <f>G270*Inputs!C12/100</f>
        <v/>
      </c>
      <c r="J270" s="53">
        <f>(I270/1000)*(Inputs!C27-Inputs!C28)</f>
        <v/>
      </c>
    </row>
    <row r="271">
      <c r="A271" t="inlineStr">
        <is>
          <t>2025-09-27</t>
        </is>
      </c>
      <c r="B271" t="n">
        <v>9</v>
      </c>
      <c r="C271">
        <f>CurtailmentData!D271</f>
        <v/>
      </c>
      <c r="D271" s="63">
        <f>C271*Inputs!C7</f>
        <v/>
      </c>
      <c r="E271" s="53">
        <f>SOH_Degradation!D3</f>
        <v/>
      </c>
      <c r="F271" s="63">
        <f>MAX(0, D271-E271)</f>
        <v/>
      </c>
      <c r="G271" s="63">
        <f>MIN(D271, E271)</f>
        <v/>
      </c>
      <c r="H271" s="64">
        <f>IF(E271&gt;0, G271/E271, 0)</f>
        <v/>
      </c>
      <c r="I271" s="63">
        <f>G271*Inputs!C12/100</f>
        <v/>
      </c>
      <c r="J271" s="53">
        <f>(I271/1000)*(Inputs!C27-Inputs!C28)</f>
        <v/>
      </c>
    </row>
    <row r="272">
      <c r="A272" t="inlineStr">
        <is>
          <t>2025-09-28</t>
        </is>
      </c>
      <c r="B272" t="n">
        <v>9</v>
      </c>
      <c r="C272">
        <f>CurtailmentData!D272</f>
        <v/>
      </c>
      <c r="D272" s="63">
        <f>C272*Inputs!C7</f>
        <v/>
      </c>
      <c r="E272" s="53">
        <f>SOH_Degradation!D3</f>
        <v/>
      </c>
      <c r="F272" s="63">
        <f>MAX(0, D272-E272)</f>
        <v/>
      </c>
      <c r="G272" s="63">
        <f>MIN(D272, E272)</f>
        <v/>
      </c>
      <c r="H272" s="64">
        <f>IF(E272&gt;0, G272/E272, 0)</f>
        <v/>
      </c>
      <c r="I272" s="63">
        <f>G272*Inputs!C12/100</f>
        <v/>
      </c>
      <c r="J272" s="53">
        <f>(I272/1000)*(Inputs!C27-Inputs!C28)</f>
        <v/>
      </c>
    </row>
    <row r="273">
      <c r="A273" t="inlineStr">
        <is>
          <t>2025-09-29</t>
        </is>
      </c>
      <c r="B273" t="n">
        <v>9</v>
      </c>
      <c r="C273">
        <f>CurtailmentData!D273</f>
        <v/>
      </c>
      <c r="D273" s="63">
        <f>C273*Inputs!C7</f>
        <v/>
      </c>
      <c r="E273" s="53">
        <f>SOH_Degradation!D3</f>
        <v/>
      </c>
      <c r="F273" s="63">
        <f>MAX(0, D273-E273)</f>
        <v/>
      </c>
      <c r="G273" s="63">
        <f>MIN(D273, E273)</f>
        <v/>
      </c>
      <c r="H273" s="64">
        <f>IF(E273&gt;0, G273/E273, 0)</f>
        <v/>
      </c>
      <c r="I273" s="63">
        <f>G273*Inputs!C12/100</f>
        <v/>
      </c>
      <c r="J273" s="53">
        <f>(I273/1000)*(Inputs!C27-Inputs!C28)</f>
        <v/>
      </c>
    </row>
    <row r="274">
      <c r="A274" t="inlineStr">
        <is>
          <t>2025-09-30</t>
        </is>
      </c>
      <c r="B274" t="n">
        <v>9</v>
      </c>
      <c r="C274">
        <f>CurtailmentData!D274</f>
        <v/>
      </c>
      <c r="D274" s="63">
        <f>C274*Inputs!C7</f>
        <v/>
      </c>
      <c r="E274" s="53">
        <f>SOH_Degradation!D3</f>
        <v/>
      </c>
      <c r="F274" s="63">
        <f>MAX(0, D274-E274)</f>
        <v/>
      </c>
      <c r="G274" s="63">
        <f>MIN(D274, E274)</f>
        <v/>
      </c>
      <c r="H274" s="64">
        <f>IF(E274&gt;0, G274/E274, 0)</f>
        <v/>
      </c>
      <c r="I274" s="63">
        <f>G274*Inputs!C12/100</f>
        <v/>
      </c>
      <c r="J274" s="53">
        <f>(I274/1000)*(Inputs!C27-Inputs!C28)</f>
        <v/>
      </c>
    </row>
    <row r="275">
      <c r="A275" t="inlineStr">
        <is>
          <t>2025-10-01</t>
        </is>
      </c>
      <c r="B275" t="n">
        <v>10</v>
      </c>
      <c r="C275">
        <f>CurtailmentData!D275</f>
        <v/>
      </c>
      <c r="D275" s="63">
        <f>C275*Inputs!C7</f>
        <v/>
      </c>
      <c r="E275" s="53">
        <f>SOH_Degradation!D3</f>
        <v/>
      </c>
      <c r="F275" s="63">
        <f>MAX(0, D275-E275)</f>
        <v/>
      </c>
      <c r="G275" s="63">
        <f>MIN(D275, E275)</f>
        <v/>
      </c>
      <c r="H275" s="64">
        <f>IF(E275&gt;0, G275/E275, 0)</f>
        <v/>
      </c>
      <c r="I275" s="63">
        <f>G275*Inputs!C12/100</f>
        <v/>
      </c>
      <c r="J275" s="53">
        <f>(I275/1000)*(Inputs!C27-Inputs!C28)</f>
        <v/>
      </c>
    </row>
    <row r="276">
      <c r="A276" t="inlineStr">
        <is>
          <t>2025-10-02</t>
        </is>
      </c>
      <c r="B276" t="n">
        <v>10</v>
      </c>
      <c r="C276">
        <f>CurtailmentData!D276</f>
        <v/>
      </c>
      <c r="D276" s="63">
        <f>C276*Inputs!C7</f>
        <v/>
      </c>
      <c r="E276" s="53">
        <f>SOH_Degradation!D3</f>
        <v/>
      </c>
      <c r="F276" s="63">
        <f>MAX(0, D276-E276)</f>
        <v/>
      </c>
      <c r="G276" s="63">
        <f>MIN(D276, E276)</f>
        <v/>
      </c>
      <c r="H276" s="64">
        <f>IF(E276&gt;0, G276/E276, 0)</f>
        <v/>
      </c>
      <c r="I276" s="63">
        <f>G276*Inputs!C12/100</f>
        <v/>
      </c>
      <c r="J276" s="53">
        <f>(I276/1000)*(Inputs!C27-Inputs!C28)</f>
        <v/>
      </c>
    </row>
    <row r="277">
      <c r="A277" t="inlineStr">
        <is>
          <t>2025-10-03</t>
        </is>
      </c>
      <c r="B277" t="n">
        <v>10</v>
      </c>
      <c r="C277">
        <f>CurtailmentData!D277</f>
        <v/>
      </c>
      <c r="D277" s="63">
        <f>C277*Inputs!C7</f>
        <v/>
      </c>
      <c r="E277" s="53">
        <f>SOH_Degradation!D3</f>
        <v/>
      </c>
      <c r="F277" s="63">
        <f>MAX(0, D277-E277)</f>
        <v/>
      </c>
      <c r="G277" s="63">
        <f>MIN(D277, E277)</f>
        <v/>
      </c>
      <c r="H277" s="64">
        <f>IF(E277&gt;0, G277/E277, 0)</f>
        <v/>
      </c>
      <c r="I277" s="63">
        <f>G277*Inputs!C12/100</f>
        <v/>
      </c>
      <c r="J277" s="53">
        <f>(I277/1000)*(Inputs!C27-Inputs!C28)</f>
        <v/>
      </c>
    </row>
    <row r="278">
      <c r="A278" t="inlineStr">
        <is>
          <t>2025-10-04</t>
        </is>
      </c>
      <c r="B278" t="n">
        <v>10</v>
      </c>
      <c r="C278">
        <f>CurtailmentData!D278</f>
        <v/>
      </c>
      <c r="D278" s="63">
        <f>C278*Inputs!C7</f>
        <v/>
      </c>
      <c r="E278" s="53">
        <f>SOH_Degradation!D3</f>
        <v/>
      </c>
      <c r="F278" s="63">
        <f>MAX(0, D278-E278)</f>
        <v/>
      </c>
      <c r="G278" s="63">
        <f>MIN(D278, E278)</f>
        <v/>
      </c>
      <c r="H278" s="64">
        <f>IF(E278&gt;0, G278/E278, 0)</f>
        <v/>
      </c>
      <c r="I278" s="63">
        <f>G278*Inputs!C12/100</f>
        <v/>
      </c>
      <c r="J278" s="53">
        <f>(I278/1000)*(Inputs!C27-Inputs!C28)</f>
        <v/>
      </c>
    </row>
    <row r="279">
      <c r="A279" t="inlineStr">
        <is>
          <t>2025-10-05</t>
        </is>
      </c>
      <c r="B279" t="n">
        <v>10</v>
      </c>
      <c r="C279">
        <f>CurtailmentData!D279</f>
        <v/>
      </c>
      <c r="D279" s="63">
        <f>C279*Inputs!C7</f>
        <v/>
      </c>
      <c r="E279" s="53">
        <f>SOH_Degradation!D3</f>
        <v/>
      </c>
      <c r="F279" s="63">
        <f>MAX(0, D279-E279)</f>
        <v/>
      </c>
      <c r="G279" s="63">
        <f>MIN(D279, E279)</f>
        <v/>
      </c>
      <c r="H279" s="64">
        <f>IF(E279&gt;0, G279/E279, 0)</f>
        <v/>
      </c>
      <c r="I279" s="63">
        <f>G279*Inputs!C12/100</f>
        <v/>
      </c>
      <c r="J279" s="53">
        <f>(I279/1000)*(Inputs!C27-Inputs!C28)</f>
        <v/>
      </c>
    </row>
    <row r="280">
      <c r="A280" t="inlineStr">
        <is>
          <t>2025-10-06</t>
        </is>
      </c>
      <c r="B280" t="n">
        <v>10</v>
      </c>
      <c r="C280">
        <f>CurtailmentData!D280</f>
        <v/>
      </c>
      <c r="D280" s="63">
        <f>C280*Inputs!C7</f>
        <v/>
      </c>
      <c r="E280" s="53">
        <f>SOH_Degradation!D3</f>
        <v/>
      </c>
      <c r="F280" s="63">
        <f>MAX(0, D280-E280)</f>
        <v/>
      </c>
      <c r="G280" s="63">
        <f>MIN(D280, E280)</f>
        <v/>
      </c>
      <c r="H280" s="64">
        <f>IF(E280&gt;0, G280/E280, 0)</f>
        <v/>
      </c>
      <c r="I280" s="63">
        <f>G280*Inputs!C12/100</f>
        <v/>
      </c>
      <c r="J280" s="53">
        <f>(I280/1000)*(Inputs!C27-Inputs!C28)</f>
        <v/>
      </c>
    </row>
    <row r="281">
      <c r="A281" t="inlineStr">
        <is>
          <t>2025-10-07</t>
        </is>
      </c>
      <c r="B281" t="n">
        <v>10</v>
      </c>
      <c r="C281">
        <f>CurtailmentData!D281</f>
        <v/>
      </c>
      <c r="D281" s="63">
        <f>C281*Inputs!C7</f>
        <v/>
      </c>
      <c r="E281" s="53">
        <f>SOH_Degradation!D3</f>
        <v/>
      </c>
      <c r="F281" s="63">
        <f>MAX(0, D281-E281)</f>
        <v/>
      </c>
      <c r="G281" s="63">
        <f>MIN(D281, E281)</f>
        <v/>
      </c>
      <c r="H281" s="64">
        <f>IF(E281&gt;0, G281/E281, 0)</f>
        <v/>
      </c>
      <c r="I281" s="63">
        <f>G281*Inputs!C12/100</f>
        <v/>
      </c>
      <c r="J281" s="53">
        <f>(I281/1000)*(Inputs!C27-Inputs!C28)</f>
        <v/>
      </c>
    </row>
    <row r="282">
      <c r="A282" t="inlineStr">
        <is>
          <t>2025-10-08</t>
        </is>
      </c>
      <c r="B282" t="n">
        <v>10</v>
      </c>
      <c r="C282">
        <f>CurtailmentData!D282</f>
        <v/>
      </c>
      <c r="D282" s="63">
        <f>C282*Inputs!C7</f>
        <v/>
      </c>
      <c r="E282" s="53">
        <f>SOH_Degradation!D3</f>
        <v/>
      </c>
      <c r="F282" s="63">
        <f>MAX(0, D282-E282)</f>
        <v/>
      </c>
      <c r="G282" s="63">
        <f>MIN(D282, E282)</f>
        <v/>
      </c>
      <c r="H282" s="64">
        <f>IF(E282&gt;0, G282/E282, 0)</f>
        <v/>
      </c>
      <c r="I282" s="63">
        <f>G282*Inputs!C12/100</f>
        <v/>
      </c>
      <c r="J282" s="53">
        <f>(I282/1000)*(Inputs!C27-Inputs!C28)</f>
        <v/>
      </c>
    </row>
    <row r="283">
      <c r="A283" t="inlineStr">
        <is>
          <t>2025-10-09</t>
        </is>
      </c>
      <c r="B283" t="n">
        <v>10</v>
      </c>
      <c r="C283">
        <f>CurtailmentData!D283</f>
        <v/>
      </c>
      <c r="D283" s="63">
        <f>C283*Inputs!C7</f>
        <v/>
      </c>
      <c r="E283" s="53">
        <f>SOH_Degradation!D3</f>
        <v/>
      </c>
      <c r="F283" s="63">
        <f>MAX(0, D283-E283)</f>
        <v/>
      </c>
      <c r="G283" s="63">
        <f>MIN(D283, E283)</f>
        <v/>
      </c>
      <c r="H283" s="64">
        <f>IF(E283&gt;0, G283/E283, 0)</f>
        <v/>
      </c>
      <c r="I283" s="63">
        <f>G283*Inputs!C12/100</f>
        <v/>
      </c>
      <c r="J283" s="53">
        <f>(I283/1000)*(Inputs!C27-Inputs!C28)</f>
        <v/>
      </c>
    </row>
    <row r="284">
      <c r="A284" t="inlineStr">
        <is>
          <t>2025-10-10</t>
        </is>
      </c>
      <c r="B284" t="n">
        <v>10</v>
      </c>
      <c r="C284">
        <f>CurtailmentData!D284</f>
        <v/>
      </c>
      <c r="D284" s="63">
        <f>C284*Inputs!C7</f>
        <v/>
      </c>
      <c r="E284" s="53">
        <f>SOH_Degradation!D3</f>
        <v/>
      </c>
      <c r="F284" s="63">
        <f>MAX(0, D284-E284)</f>
        <v/>
      </c>
      <c r="G284" s="63">
        <f>MIN(D284, E284)</f>
        <v/>
      </c>
      <c r="H284" s="64">
        <f>IF(E284&gt;0, G284/E284, 0)</f>
        <v/>
      </c>
      <c r="I284" s="63">
        <f>G284*Inputs!C12/100</f>
        <v/>
      </c>
      <c r="J284" s="53">
        <f>(I284/1000)*(Inputs!C27-Inputs!C28)</f>
        <v/>
      </c>
    </row>
    <row r="285">
      <c r="A285" t="inlineStr">
        <is>
          <t>2025-10-11</t>
        </is>
      </c>
      <c r="B285" t="n">
        <v>10</v>
      </c>
      <c r="C285">
        <f>CurtailmentData!D285</f>
        <v/>
      </c>
      <c r="D285" s="63">
        <f>C285*Inputs!C7</f>
        <v/>
      </c>
      <c r="E285" s="53">
        <f>SOH_Degradation!D3</f>
        <v/>
      </c>
      <c r="F285" s="63">
        <f>MAX(0, D285-E285)</f>
        <v/>
      </c>
      <c r="G285" s="63">
        <f>MIN(D285, E285)</f>
        <v/>
      </c>
      <c r="H285" s="64">
        <f>IF(E285&gt;0, G285/E285, 0)</f>
        <v/>
      </c>
      <c r="I285" s="63">
        <f>G285*Inputs!C12/100</f>
        <v/>
      </c>
      <c r="J285" s="53">
        <f>(I285/1000)*(Inputs!C27-Inputs!C28)</f>
        <v/>
      </c>
    </row>
    <row r="286">
      <c r="A286" t="inlineStr">
        <is>
          <t>2025-10-12</t>
        </is>
      </c>
      <c r="B286" t="n">
        <v>10</v>
      </c>
      <c r="C286">
        <f>CurtailmentData!D286</f>
        <v/>
      </c>
      <c r="D286" s="63">
        <f>C286*Inputs!C7</f>
        <v/>
      </c>
      <c r="E286" s="53">
        <f>SOH_Degradation!D3</f>
        <v/>
      </c>
      <c r="F286" s="63">
        <f>MAX(0, D286-E286)</f>
        <v/>
      </c>
      <c r="G286" s="63">
        <f>MIN(D286, E286)</f>
        <v/>
      </c>
      <c r="H286" s="64">
        <f>IF(E286&gt;0, G286/E286, 0)</f>
        <v/>
      </c>
      <c r="I286" s="63">
        <f>G286*Inputs!C12/100</f>
        <v/>
      </c>
      <c r="J286" s="53">
        <f>(I286/1000)*(Inputs!C27-Inputs!C28)</f>
        <v/>
      </c>
    </row>
    <row r="287">
      <c r="A287" t="inlineStr">
        <is>
          <t>2025-10-13</t>
        </is>
      </c>
      <c r="B287" t="n">
        <v>10</v>
      </c>
      <c r="C287">
        <f>CurtailmentData!D287</f>
        <v/>
      </c>
      <c r="D287" s="63">
        <f>C287*Inputs!C7</f>
        <v/>
      </c>
      <c r="E287" s="53">
        <f>SOH_Degradation!D3</f>
        <v/>
      </c>
      <c r="F287" s="63">
        <f>MAX(0, D287-E287)</f>
        <v/>
      </c>
      <c r="G287" s="63">
        <f>MIN(D287, E287)</f>
        <v/>
      </c>
      <c r="H287" s="64">
        <f>IF(E287&gt;0, G287/E287, 0)</f>
        <v/>
      </c>
      <c r="I287" s="63">
        <f>G287*Inputs!C12/100</f>
        <v/>
      </c>
      <c r="J287" s="53">
        <f>(I287/1000)*(Inputs!C27-Inputs!C28)</f>
        <v/>
      </c>
    </row>
    <row r="288">
      <c r="A288" t="inlineStr">
        <is>
          <t>2025-10-14</t>
        </is>
      </c>
      <c r="B288" t="n">
        <v>10</v>
      </c>
      <c r="C288">
        <f>CurtailmentData!D288</f>
        <v/>
      </c>
      <c r="D288" s="63">
        <f>C288*Inputs!C7</f>
        <v/>
      </c>
      <c r="E288" s="53">
        <f>SOH_Degradation!D3</f>
        <v/>
      </c>
      <c r="F288" s="63">
        <f>MAX(0, D288-E288)</f>
        <v/>
      </c>
      <c r="G288" s="63">
        <f>MIN(D288, E288)</f>
        <v/>
      </c>
      <c r="H288" s="64">
        <f>IF(E288&gt;0, G288/E288, 0)</f>
        <v/>
      </c>
      <c r="I288" s="63">
        <f>G288*Inputs!C12/100</f>
        <v/>
      </c>
      <c r="J288" s="53">
        <f>(I288/1000)*(Inputs!C27-Inputs!C28)</f>
        <v/>
      </c>
    </row>
    <row r="289">
      <c r="A289" t="inlineStr">
        <is>
          <t>2025-10-15</t>
        </is>
      </c>
      <c r="B289" t="n">
        <v>10</v>
      </c>
      <c r="C289">
        <f>CurtailmentData!D289</f>
        <v/>
      </c>
      <c r="D289" s="63">
        <f>C289*Inputs!C7</f>
        <v/>
      </c>
      <c r="E289" s="53">
        <f>SOH_Degradation!D3</f>
        <v/>
      </c>
      <c r="F289" s="63">
        <f>MAX(0, D289-E289)</f>
        <v/>
      </c>
      <c r="G289" s="63">
        <f>MIN(D289, E289)</f>
        <v/>
      </c>
      <c r="H289" s="64">
        <f>IF(E289&gt;0, G289/E289, 0)</f>
        <v/>
      </c>
      <c r="I289" s="63">
        <f>G289*Inputs!C12/100</f>
        <v/>
      </c>
      <c r="J289" s="53">
        <f>(I289/1000)*(Inputs!C27-Inputs!C28)</f>
        <v/>
      </c>
    </row>
    <row r="290">
      <c r="A290" t="inlineStr">
        <is>
          <t>2025-10-16</t>
        </is>
      </c>
      <c r="B290" t="n">
        <v>10</v>
      </c>
      <c r="C290">
        <f>CurtailmentData!D290</f>
        <v/>
      </c>
      <c r="D290" s="63">
        <f>C290*Inputs!C7</f>
        <v/>
      </c>
      <c r="E290" s="53">
        <f>SOH_Degradation!D3</f>
        <v/>
      </c>
      <c r="F290" s="63">
        <f>MAX(0, D290-E290)</f>
        <v/>
      </c>
      <c r="G290" s="63">
        <f>MIN(D290, E290)</f>
        <v/>
      </c>
      <c r="H290" s="64">
        <f>IF(E290&gt;0, G290/E290, 0)</f>
        <v/>
      </c>
      <c r="I290" s="63">
        <f>G290*Inputs!C12/100</f>
        <v/>
      </c>
      <c r="J290" s="53">
        <f>(I290/1000)*(Inputs!C27-Inputs!C28)</f>
        <v/>
      </c>
    </row>
    <row r="291">
      <c r="A291" t="inlineStr">
        <is>
          <t>2025-10-17</t>
        </is>
      </c>
      <c r="B291" t="n">
        <v>10</v>
      </c>
      <c r="C291">
        <f>CurtailmentData!D291</f>
        <v/>
      </c>
      <c r="D291" s="63">
        <f>C291*Inputs!C7</f>
        <v/>
      </c>
      <c r="E291" s="53">
        <f>SOH_Degradation!D3</f>
        <v/>
      </c>
      <c r="F291" s="63">
        <f>MAX(0, D291-E291)</f>
        <v/>
      </c>
      <c r="G291" s="63">
        <f>MIN(D291, E291)</f>
        <v/>
      </c>
      <c r="H291" s="64">
        <f>IF(E291&gt;0, G291/E291, 0)</f>
        <v/>
      </c>
      <c r="I291" s="63">
        <f>G291*Inputs!C12/100</f>
        <v/>
      </c>
      <c r="J291" s="53">
        <f>(I291/1000)*(Inputs!C27-Inputs!C28)</f>
        <v/>
      </c>
    </row>
    <row r="292">
      <c r="A292" t="inlineStr">
        <is>
          <t>2025-10-18</t>
        </is>
      </c>
      <c r="B292" t="n">
        <v>10</v>
      </c>
      <c r="C292">
        <f>CurtailmentData!D292</f>
        <v/>
      </c>
      <c r="D292" s="63">
        <f>C292*Inputs!C7</f>
        <v/>
      </c>
      <c r="E292" s="53">
        <f>SOH_Degradation!D3</f>
        <v/>
      </c>
      <c r="F292" s="63">
        <f>MAX(0, D292-E292)</f>
        <v/>
      </c>
      <c r="G292" s="63">
        <f>MIN(D292, E292)</f>
        <v/>
      </c>
      <c r="H292" s="64">
        <f>IF(E292&gt;0, G292/E292, 0)</f>
        <v/>
      </c>
      <c r="I292" s="63">
        <f>G292*Inputs!C12/100</f>
        <v/>
      </c>
      <c r="J292" s="53">
        <f>(I292/1000)*(Inputs!C27-Inputs!C28)</f>
        <v/>
      </c>
    </row>
    <row r="293">
      <c r="A293" t="inlineStr">
        <is>
          <t>2025-10-19</t>
        </is>
      </c>
      <c r="B293" t="n">
        <v>10</v>
      </c>
      <c r="C293">
        <f>CurtailmentData!D293</f>
        <v/>
      </c>
      <c r="D293" s="63">
        <f>C293*Inputs!C7</f>
        <v/>
      </c>
      <c r="E293" s="53">
        <f>SOH_Degradation!D3</f>
        <v/>
      </c>
      <c r="F293" s="63">
        <f>MAX(0, D293-E293)</f>
        <v/>
      </c>
      <c r="G293" s="63">
        <f>MIN(D293, E293)</f>
        <v/>
      </c>
      <c r="H293" s="64">
        <f>IF(E293&gt;0, G293/E293, 0)</f>
        <v/>
      </c>
      <c r="I293" s="63">
        <f>G293*Inputs!C12/100</f>
        <v/>
      </c>
      <c r="J293" s="53">
        <f>(I293/1000)*(Inputs!C27-Inputs!C28)</f>
        <v/>
      </c>
    </row>
    <row r="294">
      <c r="A294" t="inlineStr">
        <is>
          <t>2025-10-20</t>
        </is>
      </c>
      <c r="B294" t="n">
        <v>10</v>
      </c>
      <c r="C294">
        <f>CurtailmentData!D294</f>
        <v/>
      </c>
      <c r="D294" s="63">
        <f>C294*Inputs!C7</f>
        <v/>
      </c>
      <c r="E294" s="53">
        <f>SOH_Degradation!D3</f>
        <v/>
      </c>
      <c r="F294" s="63">
        <f>MAX(0, D294-E294)</f>
        <v/>
      </c>
      <c r="G294" s="63">
        <f>MIN(D294, E294)</f>
        <v/>
      </c>
      <c r="H294" s="64">
        <f>IF(E294&gt;0, G294/E294, 0)</f>
        <v/>
      </c>
      <c r="I294" s="63">
        <f>G294*Inputs!C12/100</f>
        <v/>
      </c>
      <c r="J294" s="53">
        <f>(I294/1000)*(Inputs!C27-Inputs!C28)</f>
        <v/>
      </c>
    </row>
    <row r="295">
      <c r="A295" t="inlineStr">
        <is>
          <t>2025-10-21</t>
        </is>
      </c>
      <c r="B295" t="n">
        <v>10</v>
      </c>
      <c r="C295">
        <f>CurtailmentData!D295</f>
        <v/>
      </c>
      <c r="D295" s="63">
        <f>C295*Inputs!C7</f>
        <v/>
      </c>
      <c r="E295" s="53">
        <f>SOH_Degradation!D3</f>
        <v/>
      </c>
      <c r="F295" s="63">
        <f>MAX(0, D295-E295)</f>
        <v/>
      </c>
      <c r="G295" s="63">
        <f>MIN(D295, E295)</f>
        <v/>
      </c>
      <c r="H295" s="64">
        <f>IF(E295&gt;0, G295/E295, 0)</f>
        <v/>
      </c>
      <c r="I295" s="63">
        <f>G295*Inputs!C12/100</f>
        <v/>
      </c>
      <c r="J295" s="53">
        <f>(I295/1000)*(Inputs!C27-Inputs!C28)</f>
        <v/>
      </c>
    </row>
    <row r="296">
      <c r="A296" t="inlineStr">
        <is>
          <t>2025-10-22</t>
        </is>
      </c>
      <c r="B296" t="n">
        <v>10</v>
      </c>
      <c r="C296">
        <f>CurtailmentData!D296</f>
        <v/>
      </c>
      <c r="D296" s="63">
        <f>C296*Inputs!C7</f>
        <v/>
      </c>
      <c r="E296" s="53">
        <f>SOH_Degradation!D3</f>
        <v/>
      </c>
      <c r="F296" s="63">
        <f>MAX(0, D296-E296)</f>
        <v/>
      </c>
      <c r="G296" s="63">
        <f>MIN(D296, E296)</f>
        <v/>
      </c>
      <c r="H296" s="64">
        <f>IF(E296&gt;0, G296/E296, 0)</f>
        <v/>
      </c>
      <c r="I296" s="63">
        <f>G296*Inputs!C12/100</f>
        <v/>
      </c>
      <c r="J296" s="53">
        <f>(I296/1000)*(Inputs!C27-Inputs!C28)</f>
        <v/>
      </c>
    </row>
    <row r="297">
      <c r="A297" t="inlineStr">
        <is>
          <t>2025-10-23</t>
        </is>
      </c>
      <c r="B297" t="n">
        <v>10</v>
      </c>
      <c r="C297">
        <f>CurtailmentData!D297</f>
        <v/>
      </c>
      <c r="D297" s="63">
        <f>C297*Inputs!C7</f>
        <v/>
      </c>
      <c r="E297" s="53">
        <f>SOH_Degradation!D3</f>
        <v/>
      </c>
      <c r="F297" s="63">
        <f>MAX(0, D297-E297)</f>
        <v/>
      </c>
      <c r="G297" s="63">
        <f>MIN(D297, E297)</f>
        <v/>
      </c>
      <c r="H297" s="64">
        <f>IF(E297&gt;0, G297/E297, 0)</f>
        <v/>
      </c>
      <c r="I297" s="63">
        <f>G297*Inputs!C12/100</f>
        <v/>
      </c>
      <c r="J297" s="53">
        <f>(I297/1000)*(Inputs!C27-Inputs!C28)</f>
        <v/>
      </c>
    </row>
    <row r="298">
      <c r="A298" t="inlineStr">
        <is>
          <t>2025-10-24</t>
        </is>
      </c>
      <c r="B298" t="n">
        <v>10</v>
      </c>
      <c r="C298">
        <f>CurtailmentData!D298</f>
        <v/>
      </c>
      <c r="D298" s="63">
        <f>C298*Inputs!C7</f>
        <v/>
      </c>
      <c r="E298" s="53">
        <f>SOH_Degradation!D3</f>
        <v/>
      </c>
      <c r="F298" s="63">
        <f>MAX(0, D298-E298)</f>
        <v/>
      </c>
      <c r="G298" s="63">
        <f>MIN(D298, E298)</f>
        <v/>
      </c>
      <c r="H298" s="64">
        <f>IF(E298&gt;0, G298/E298, 0)</f>
        <v/>
      </c>
      <c r="I298" s="63">
        <f>G298*Inputs!C12/100</f>
        <v/>
      </c>
      <c r="J298" s="53">
        <f>(I298/1000)*(Inputs!C27-Inputs!C28)</f>
        <v/>
      </c>
    </row>
    <row r="299">
      <c r="A299" t="inlineStr">
        <is>
          <t>2025-10-25</t>
        </is>
      </c>
      <c r="B299" t="n">
        <v>10</v>
      </c>
      <c r="C299">
        <f>CurtailmentData!D299</f>
        <v/>
      </c>
      <c r="D299" s="63">
        <f>C299*Inputs!C7</f>
        <v/>
      </c>
      <c r="E299" s="53">
        <f>SOH_Degradation!D3</f>
        <v/>
      </c>
      <c r="F299" s="63">
        <f>MAX(0, D299-E299)</f>
        <v/>
      </c>
      <c r="G299" s="63">
        <f>MIN(D299, E299)</f>
        <v/>
      </c>
      <c r="H299" s="64">
        <f>IF(E299&gt;0, G299/E299, 0)</f>
        <v/>
      </c>
      <c r="I299" s="63">
        <f>G299*Inputs!C12/100</f>
        <v/>
      </c>
      <c r="J299" s="53">
        <f>(I299/1000)*(Inputs!C27-Inputs!C28)</f>
        <v/>
      </c>
    </row>
    <row r="300">
      <c r="A300" t="inlineStr">
        <is>
          <t>2025-10-26</t>
        </is>
      </c>
      <c r="B300" t="n">
        <v>10</v>
      </c>
      <c r="C300">
        <f>CurtailmentData!D300</f>
        <v/>
      </c>
      <c r="D300" s="63">
        <f>C300*Inputs!C7</f>
        <v/>
      </c>
      <c r="E300" s="53">
        <f>SOH_Degradation!D3</f>
        <v/>
      </c>
      <c r="F300" s="63">
        <f>MAX(0, D300-E300)</f>
        <v/>
      </c>
      <c r="G300" s="63">
        <f>MIN(D300, E300)</f>
        <v/>
      </c>
      <c r="H300" s="64">
        <f>IF(E300&gt;0, G300/E300, 0)</f>
        <v/>
      </c>
      <c r="I300" s="63">
        <f>G300*Inputs!C12/100</f>
        <v/>
      </c>
      <c r="J300" s="53">
        <f>(I300/1000)*(Inputs!C27-Inputs!C28)</f>
        <v/>
      </c>
    </row>
    <row r="301">
      <c r="A301" t="inlineStr">
        <is>
          <t>2025-10-27</t>
        </is>
      </c>
      <c r="B301" t="n">
        <v>10</v>
      </c>
      <c r="C301">
        <f>CurtailmentData!D301</f>
        <v/>
      </c>
      <c r="D301" s="63">
        <f>C301*Inputs!C7</f>
        <v/>
      </c>
      <c r="E301" s="53">
        <f>SOH_Degradation!D3</f>
        <v/>
      </c>
      <c r="F301" s="63">
        <f>MAX(0, D301-E301)</f>
        <v/>
      </c>
      <c r="G301" s="63">
        <f>MIN(D301, E301)</f>
        <v/>
      </c>
      <c r="H301" s="64">
        <f>IF(E301&gt;0, G301/E301, 0)</f>
        <v/>
      </c>
      <c r="I301" s="63">
        <f>G301*Inputs!C12/100</f>
        <v/>
      </c>
      <c r="J301" s="53">
        <f>(I301/1000)*(Inputs!C27-Inputs!C28)</f>
        <v/>
      </c>
    </row>
    <row r="302">
      <c r="A302" t="inlineStr">
        <is>
          <t>2025-10-28</t>
        </is>
      </c>
      <c r="B302" t="n">
        <v>10</v>
      </c>
      <c r="C302">
        <f>CurtailmentData!D302</f>
        <v/>
      </c>
      <c r="D302" s="63">
        <f>C302*Inputs!C7</f>
        <v/>
      </c>
      <c r="E302" s="53">
        <f>SOH_Degradation!D3</f>
        <v/>
      </c>
      <c r="F302" s="63">
        <f>MAX(0, D302-E302)</f>
        <v/>
      </c>
      <c r="G302" s="63">
        <f>MIN(D302, E302)</f>
        <v/>
      </c>
      <c r="H302" s="64">
        <f>IF(E302&gt;0, G302/E302, 0)</f>
        <v/>
      </c>
      <c r="I302" s="63">
        <f>G302*Inputs!C12/100</f>
        <v/>
      </c>
      <c r="J302" s="53">
        <f>(I302/1000)*(Inputs!C27-Inputs!C28)</f>
        <v/>
      </c>
    </row>
    <row r="303">
      <c r="A303" t="inlineStr">
        <is>
          <t>2025-10-29</t>
        </is>
      </c>
      <c r="B303" t="n">
        <v>10</v>
      </c>
      <c r="C303">
        <f>CurtailmentData!D303</f>
        <v/>
      </c>
      <c r="D303" s="63">
        <f>C303*Inputs!C7</f>
        <v/>
      </c>
      <c r="E303" s="53">
        <f>SOH_Degradation!D3</f>
        <v/>
      </c>
      <c r="F303" s="63">
        <f>MAX(0, D303-E303)</f>
        <v/>
      </c>
      <c r="G303" s="63">
        <f>MIN(D303, E303)</f>
        <v/>
      </c>
      <c r="H303" s="64">
        <f>IF(E303&gt;0, G303/E303, 0)</f>
        <v/>
      </c>
      <c r="I303" s="63">
        <f>G303*Inputs!C12/100</f>
        <v/>
      </c>
      <c r="J303" s="53">
        <f>(I303/1000)*(Inputs!C27-Inputs!C28)</f>
        <v/>
      </c>
    </row>
    <row r="304">
      <c r="A304" t="inlineStr">
        <is>
          <t>2025-10-30</t>
        </is>
      </c>
      <c r="B304" t="n">
        <v>10</v>
      </c>
      <c r="C304">
        <f>CurtailmentData!D304</f>
        <v/>
      </c>
      <c r="D304" s="63">
        <f>C304*Inputs!C7</f>
        <v/>
      </c>
      <c r="E304" s="53">
        <f>SOH_Degradation!D3</f>
        <v/>
      </c>
      <c r="F304" s="63">
        <f>MAX(0, D304-E304)</f>
        <v/>
      </c>
      <c r="G304" s="63">
        <f>MIN(D304, E304)</f>
        <v/>
      </c>
      <c r="H304" s="64">
        <f>IF(E304&gt;0, G304/E304, 0)</f>
        <v/>
      </c>
      <c r="I304" s="63">
        <f>G304*Inputs!C12/100</f>
        <v/>
      </c>
      <c r="J304" s="53">
        <f>(I304/1000)*(Inputs!C27-Inputs!C28)</f>
        <v/>
      </c>
    </row>
    <row r="305">
      <c r="A305" t="inlineStr">
        <is>
          <t>2025-10-31</t>
        </is>
      </c>
      <c r="B305" t="n">
        <v>10</v>
      </c>
      <c r="C305">
        <f>CurtailmentData!D305</f>
        <v/>
      </c>
      <c r="D305" s="63">
        <f>C305*Inputs!C7</f>
        <v/>
      </c>
      <c r="E305" s="53">
        <f>SOH_Degradation!D3</f>
        <v/>
      </c>
      <c r="F305" s="63">
        <f>MAX(0, D305-E305)</f>
        <v/>
      </c>
      <c r="G305" s="63">
        <f>MIN(D305, E305)</f>
        <v/>
      </c>
      <c r="H305" s="64">
        <f>IF(E305&gt;0, G305/E305, 0)</f>
        <v/>
      </c>
      <c r="I305" s="63">
        <f>G305*Inputs!C12/100</f>
        <v/>
      </c>
      <c r="J305" s="53">
        <f>(I305/1000)*(Inputs!C27-Inputs!C28)</f>
        <v/>
      </c>
    </row>
    <row r="306">
      <c r="A306" t="inlineStr">
        <is>
          <t>2025-11-01</t>
        </is>
      </c>
      <c r="B306" t="n">
        <v>11</v>
      </c>
      <c r="C306">
        <f>CurtailmentData!D306</f>
        <v/>
      </c>
      <c r="D306" s="63">
        <f>C306*Inputs!C7</f>
        <v/>
      </c>
      <c r="E306" s="53">
        <f>SOH_Degradation!D3</f>
        <v/>
      </c>
      <c r="F306" s="63">
        <f>MAX(0, D306-E306)</f>
        <v/>
      </c>
      <c r="G306" s="63">
        <f>MIN(D306, E306)</f>
        <v/>
      </c>
      <c r="H306" s="64">
        <f>IF(E306&gt;0, G306/E306, 0)</f>
        <v/>
      </c>
      <c r="I306" s="63">
        <f>G306*Inputs!C12/100</f>
        <v/>
      </c>
      <c r="J306" s="53">
        <f>(I306/1000)*(Inputs!C27-Inputs!C28)</f>
        <v/>
      </c>
    </row>
    <row r="307">
      <c r="A307" t="inlineStr">
        <is>
          <t>2025-11-02</t>
        </is>
      </c>
      <c r="B307" t="n">
        <v>11</v>
      </c>
      <c r="C307">
        <f>CurtailmentData!D307</f>
        <v/>
      </c>
      <c r="D307" s="63">
        <f>C307*Inputs!C7</f>
        <v/>
      </c>
      <c r="E307" s="53">
        <f>SOH_Degradation!D3</f>
        <v/>
      </c>
      <c r="F307" s="63">
        <f>MAX(0, D307-E307)</f>
        <v/>
      </c>
      <c r="G307" s="63">
        <f>MIN(D307, E307)</f>
        <v/>
      </c>
      <c r="H307" s="64">
        <f>IF(E307&gt;0, G307/E307, 0)</f>
        <v/>
      </c>
      <c r="I307" s="63">
        <f>G307*Inputs!C12/100</f>
        <v/>
      </c>
      <c r="J307" s="53">
        <f>(I307/1000)*(Inputs!C27-Inputs!C28)</f>
        <v/>
      </c>
    </row>
    <row r="308">
      <c r="A308" t="inlineStr">
        <is>
          <t>2025-11-03</t>
        </is>
      </c>
      <c r="B308" t="n">
        <v>11</v>
      </c>
      <c r="C308">
        <f>CurtailmentData!D308</f>
        <v/>
      </c>
      <c r="D308" s="63">
        <f>C308*Inputs!C7</f>
        <v/>
      </c>
      <c r="E308" s="53">
        <f>SOH_Degradation!D3</f>
        <v/>
      </c>
      <c r="F308" s="63">
        <f>MAX(0, D308-E308)</f>
        <v/>
      </c>
      <c r="G308" s="63">
        <f>MIN(D308, E308)</f>
        <v/>
      </c>
      <c r="H308" s="64">
        <f>IF(E308&gt;0, G308/E308, 0)</f>
        <v/>
      </c>
      <c r="I308" s="63">
        <f>G308*Inputs!C12/100</f>
        <v/>
      </c>
      <c r="J308" s="53">
        <f>(I308/1000)*(Inputs!C27-Inputs!C28)</f>
        <v/>
      </c>
    </row>
    <row r="309">
      <c r="A309" t="inlineStr">
        <is>
          <t>2025-11-04</t>
        </is>
      </c>
      <c r="B309" t="n">
        <v>11</v>
      </c>
      <c r="C309">
        <f>CurtailmentData!D309</f>
        <v/>
      </c>
      <c r="D309" s="63">
        <f>C309*Inputs!C7</f>
        <v/>
      </c>
      <c r="E309" s="53">
        <f>SOH_Degradation!D3</f>
        <v/>
      </c>
      <c r="F309" s="63">
        <f>MAX(0, D309-E309)</f>
        <v/>
      </c>
      <c r="G309" s="63">
        <f>MIN(D309, E309)</f>
        <v/>
      </c>
      <c r="H309" s="64">
        <f>IF(E309&gt;0, G309/E309, 0)</f>
        <v/>
      </c>
      <c r="I309" s="63">
        <f>G309*Inputs!C12/100</f>
        <v/>
      </c>
      <c r="J309" s="53">
        <f>(I309/1000)*(Inputs!C27-Inputs!C28)</f>
        <v/>
      </c>
    </row>
    <row r="310">
      <c r="A310" t="inlineStr">
        <is>
          <t>2025-11-05</t>
        </is>
      </c>
      <c r="B310" t="n">
        <v>11</v>
      </c>
      <c r="C310">
        <f>CurtailmentData!D310</f>
        <v/>
      </c>
      <c r="D310" s="63">
        <f>C310*Inputs!C7</f>
        <v/>
      </c>
      <c r="E310" s="53">
        <f>SOH_Degradation!D3</f>
        <v/>
      </c>
      <c r="F310" s="63">
        <f>MAX(0, D310-E310)</f>
        <v/>
      </c>
      <c r="G310" s="63">
        <f>MIN(D310, E310)</f>
        <v/>
      </c>
      <c r="H310" s="64">
        <f>IF(E310&gt;0, G310/E310, 0)</f>
        <v/>
      </c>
      <c r="I310" s="63">
        <f>G310*Inputs!C12/100</f>
        <v/>
      </c>
      <c r="J310" s="53">
        <f>(I310/1000)*(Inputs!C27-Inputs!C28)</f>
        <v/>
      </c>
    </row>
    <row r="311">
      <c r="A311" t="inlineStr">
        <is>
          <t>2025-11-06</t>
        </is>
      </c>
      <c r="B311" t="n">
        <v>11</v>
      </c>
      <c r="C311">
        <f>CurtailmentData!D311</f>
        <v/>
      </c>
      <c r="D311" s="63">
        <f>C311*Inputs!C7</f>
        <v/>
      </c>
      <c r="E311" s="53">
        <f>SOH_Degradation!D3</f>
        <v/>
      </c>
      <c r="F311" s="63">
        <f>MAX(0, D311-E311)</f>
        <v/>
      </c>
      <c r="G311" s="63">
        <f>MIN(D311, E311)</f>
        <v/>
      </c>
      <c r="H311" s="64">
        <f>IF(E311&gt;0, G311/E311, 0)</f>
        <v/>
      </c>
      <c r="I311" s="63">
        <f>G311*Inputs!C12/100</f>
        <v/>
      </c>
      <c r="J311" s="53">
        <f>(I311/1000)*(Inputs!C27-Inputs!C28)</f>
        <v/>
      </c>
    </row>
    <row r="312">
      <c r="A312" t="inlineStr">
        <is>
          <t>2025-11-07</t>
        </is>
      </c>
      <c r="B312" t="n">
        <v>11</v>
      </c>
      <c r="C312">
        <f>CurtailmentData!D312</f>
        <v/>
      </c>
      <c r="D312" s="63">
        <f>C312*Inputs!C7</f>
        <v/>
      </c>
      <c r="E312" s="53">
        <f>SOH_Degradation!D3</f>
        <v/>
      </c>
      <c r="F312" s="63">
        <f>MAX(0, D312-E312)</f>
        <v/>
      </c>
      <c r="G312" s="63">
        <f>MIN(D312, E312)</f>
        <v/>
      </c>
      <c r="H312" s="64">
        <f>IF(E312&gt;0, G312/E312, 0)</f>
        <v/>
      </c>
      <c r="I312" s="63">
        <f>G312*Inputs!C12/100</f>
        <v/>
      </c>
      <c r="J312" s="53">
        <f>(I312/1000)*(Inputs!C27-Inputs!C28)</f>
        <v/>
      </c>
    </row>
    <row r="313">
      <c r="A313" t="inlineStr">
        <is>
          <t>2025-11-08</t>
        </is>
      </c>
      <c r="B313" t="n">
        <v>11</v>
      </c>
      <c r="C313">
        <f>CurtailmentData!D313</f>
        <v/>
      </c>
      <c r="D313" s="63">
        <f>C313*Inputs!C7</f>
        <v/>
      </c>
      <c r="E313" s="53">
        <f>SOH_Degradation!D3</f>
        <v/>
      </c>
      <c r="F313" s="63">
        <f>MAX(0, D313-E313)</f>
        <v/>
      </c>
      <c r="G313" s="63">
        <f>MIN(D313, E313)</f>
        <v/>
      </c>
      <c r="H313" s="64">
        <f>IF(E313&gt;0, G313/E313, 0)</f>
        <v/>
      </c>
      <c r="I313" s="63">
        <f>G313*Inputs!C12/100</f>
        <v/>
      </c>
      <c r="J313" s="53">
        <f>(I313/1000)*(Inputs!C27-Inputs!C28)</f>
        <v/>
      </c>
    </row>
    <row r="314">
      <c r="A314" t="inlineStr">
        <is>
          <t>2025-11-09</t>
        </is>
      </c>
      <c r="B314" t="n">
        <v>11</v>
      </c>
      <c r="C314">
        <f>CurtailmentData!D314</f>
        <v/>
      </c>
      <c r="D314" s="63">
        <f>C314*Inputs!C7</f>
        <v/>
      </c>
      <c r="E314" s="53">
        <f>SOH_Degradation!D3</f>
        <v/>
      </c>
      <c r="F314" s="63">
        <f>MAX(0, D314-E314)</f>
        <v/>
      </c>
      <c r="G314" s="63">
        <f>MIN(D314, E314)</f>
        <v/>
      </c>
      <c r="H314" s="64">
        <f>IF(E314&gt;0, G314/E314, 0)</f>
        <v/>
      </c>
      <c r="I314" s="63">
        <f>G314*Inputs!C12/100</f>
        <v/>
      </c>
      <c r="J314" s="53">
        <f>(I314/1000)*(Inputs!C27-Inputs!C28)</f>
        <v/>
      </c>
    </row>
    <row r="315">
      <c r="A315" t="inlineStr">
        <is>
          <t>2025-11-10</t>
        </is>
      </c>
      <c r="B315" t="n">
        <v>11</v>
      </c>
      <c r="C315">
        <f>CurtailmentData!D315</f>
        <v/>
      </c>
      <c r="D315" s="63">
        <f>C315*Inputs!C7</f>
        <v/>
      </c>
      <c r="E315" s="53">
        <f>SOH_Degradation!D3</f>
        <v/>
      </c>
      <c r="F315" s="63">
        <f>MAX(0, D315-E315)</f>
        <v/>
      </c>
      <c r="G315" s="63">
        <f>MIN(D315, E315)</f>
        <v/>
      </c>
      <c r="H315" s="64">
        <f>IF(E315&gt;0, G315/E315, 0)</f>
        <v/>
      </c>
      <c r="I315" s="63">
        <f>G315*Inputs!C12/100</f>
        <v/>
      </c>
      <c r="J315" s="53">
        <f>(I315/1000)*(Inputs!C27-Inputs!C28)</f>
        <v/>
      </c>
    </row>
    <row r="316">
      <c r="A316" t="inlineStr">
        <is>
          <t>2025-11-11</t>
        </is>
      </c>
      <c r="B316" t="n">
        <v>11</v>
      </c>
      <c r="C316">
        <f>CurtailmentData!D316</f>
        <v/>
      </c>
      <c r="D316" s="63">
        <f>C316*Inputs!C7</f>
        <v/>
      </c>
      <c r="E316" s="53">
        <f>SOH_Degradation!D3</f>
        <v/>
      </c>
      <c r="F316" s="63">
        <f>MAX(0, D316-E316)</f>
        <v/>
      </c>
      <c r="G316" s="63">
        <f>MIN(D316, E316)</f>
        <v/>
      </c>
      <c r="H316" s="64">
        <f>IF(E316&gt;0, G316/E316, 0)</f>
        <v/>
      </c>
      <c r="I316" s="63">
        <f>G316*Inputs!C12/100</f>
        <v/>
      </c>
      <c r="J316" s="53">
        <f>(I316/1000)*(Inputs!C27-Inputs!C28)</f>
        <v/>
      </c>
    </row>
    <row r="317">
      <c r="A317" t="inlineStr">
        <is>
          <t>2025-11-12</t>
        </is>
      </c>
      <c r="B317" t="n">
        <v>11</v>
      </c>
      <c r="C317">
        <f>CurtailmentData!D317</f>
        <v/>
      </c>
      <c r="D317" s="63">
        <f>C317*Inputs!C7</f>
        <v/>
      </c>
      <c r="E317" s="53">
        <f>SOH_Degradation!D3</f>
        <v/>
      </c>
      <c r="F317" s="63">
        <f>MAX(0, D317-E317)</f>
        <v/>
      </c>
      <c r="G317" s="63">
        <f>MIN(D317, E317)</f>
        <v/>
      </c>
      <c r="H317" s="64">
        <f>IF(E317&gt;0, G317/E317, 0)</f>
        <v/>
      </c>
      <c r="I317" s="63">
        <f>G317*Inputs!C12/100</f>
        <v/>
      </c>
      <c r="J317" s="53">
        <f>(I317/1000)*(Inputs!C27-Inputs!C28)</f>
        <v/>
      </c>
    </row>
    <row r="318">
      <c r="A318" t="inlineStr">
        <is>
          <t>2025-11-13</t>
        </is>
      </c>
      <c r="B318" t="n">
        <v>11</v>
      </c>
      <c r="C318">
        <f>CurtailmentData!D318</f>
        <v/>
      </c>
      <c r="D318" s="63">
        <f>C318*Inputs!C7</f>
        <v/>
      </c>
      <c r="E318" s="53">
        <f>SOH_Degradation!D3</f>
        <v/>
      </c>
      <c r="F318" s="63">
        <f>MAX(0, D318-E318)</f>
        <v/>
      </c>
      <c r="G318" s="63">
        <f>MIN(D318, E318)</f>
        <v/>
      </c>
      <c r="H318" s="64">
        <f>IF(E318&gt;0, G318/E318, 0)</f>
        <v/>
      </c>
      <c r="I318" s="63">
        <f>G318*Inputs!C12/100</f>
        <v/>
      </c>
      <c r="J318" s="53">
        <f>(I318/1000)*(Inputs!C27-Inputs!C28)</f>
        <v/>
      </c>
    </row>
    <row r="319">
      <c r="A319" t="inlineStr">
        <is>
          <t>2025-11-14</t>
        </is>
      </c>
      <c r="B319" t="n">
        <v>11</v>
      </c>
      <c r="C319">
        <f>CurtailmentData!D319</f>
        <v/>
      </c>
      <c r="D319" s="63">
        <f>C319*Inputs!C7</f>
        <v/>
      </c>
      <c r="E319" s="53">
        <f>SOH_Degradation!D3</f>
        <v/>
      </c>
      <c r="F319" s="63">
        <f>MAX(0, D319-E319)</f>
        <v/>
      </c>
      <c r="G319" s="63">
        <f>MIN(D319, E319)</f>
        <v/>
      </c>
      <c r="H319" s="64">
        <f>IF(E319&gt;0, G319/E319, 0)</f>
        <v/>
      </c>
      <c r="I319" s="63">
        <f>G319*Inputs!C12/100</f>
        <v/>
      </c>
      <c r="J319" s="53">
        <f>(I319/1000)*(Inputs!C27-Inputs!C28)</f>
        <v/>
      </c>
    </row>
    <row r="320">
      <c r="A320" t="inlineStr">
        <is>
          <t>2025-11-15</t>
        </is>
      </c>
      <c r="B320" t="n">
        <v>11</v>
      </c>
      <c r="C320">
        <f>CurtailmentData!D320</f>
        <v/>
      </c>
      <c r="D320" s="63">
        <f>C320*Inputs!C7</f>
        <v/>
      </c>
      <c r="E320" s="53">
        <f>SOH_Degradation!D3</f>
        <v/>
      </c>
      <c r="F320" s="63">
        <f>MAX(0, D320-E320)</f>
        <v/>
      </c>
      <c r="G320" s="63">
        <f>MIN(D320, E320)</f>
        <v/>
      </c>
      <c r="H320" s="64">
        <f>IF(E320&gt;0, G320/E320, 0)</f>
        <v/>
      </c>
      <c r="I320" s="63">
        <f>G320*Inputs!C12/100</f>
        <v/>
      </c>
      <c r="J320" s="53">
        <f>(I320/1000)*(Inputs!C27-Inputs!C28)</f>
        <v/>
      </c>
    </row>
    <row r="321">
      <c r="A321" t="inlineStr">
        <is>
          <t>2025-11-16</t>
        </is>
      </c>
      <c r="B321" t="n">
        <v>11</v>
      </c>
      <c r="C321">
        <f>CurtailmentData!D321</f>
        <v/>
      </c>
      <c r="D321" s="63">
        <f>C321*Inputs!C7</f>
        <v/>
      </c>
      <c r="E321" s="53">
        <f>SOH_Degradation!D3</f>
        <v/>
      </c>
      <c r="F321" s="63">
        <f>MAX(0, D321-E321)</f>
        <v/>
      </c>
      <c r="G321" s="63">
        <f>MIN(D321, E321)</f>
        <v/>
      </c>
      <c r="H321" s="64">
        <f>IF(E321&gt;0, G321/E321, 0)</f>
        <v/>
      </c>
      <c r="I321" s="63">
        <f>G321*Inputs!C12/100</f>
        <v/>
      </c>
      <c r="J321" s="53">
        <f>(I321/1000)*(Inputs!C27-Inputs!C28)</f>
        <v/>
      </c>
    </row>
    <row r="322">
      <c r="A322" t="inlineStr">
        <is>
          <t>2025-11-17</t>
        </is>
      </c>
      <c r="B322" t="n">
        <v>11</v>
      </c>
      <c r="C322">
        <f>CurtailmentData!D322</f>
        <v/>
      </c>
      <c r="D322" s="63">
        <f>C322*Inputs!C7</f>
        <v/>
      </c>
      <c r="E322" s="53">
        <f>SOH_Degradation!D3</f>
        <v/>
      </c>
      <c r="F322" s="63">
        <f>MAX(0, D322-E322)</f>
        <v/>
      </c>
      <c r="G322" s="63">
        <f>MIN(D322, E322)</f>
        <v/>
      </c>
      <c r="H322" s="64">
        <f>IF(E322&gt;0, G322/E322, 0)</f>
        <v/>
      </c>
      <c r="I322" s="63">
        <f>G322*Inputs!C12/100</f>
        <v/>
      </c>
      <c r="J322" s="53">
        <f>(I322/1000)*(Inputs!C27-Inputs!C28)</f>
        <v/>
      </c>
    </row>
    <row r="323">
      <c r="A323" t="inlineStr">
        <is>
          <t>2025-11-18</t>
        </is>
      </c>
      <c r="B323" t="n">
        <v>11</v>
      </c>
      <c r="C323">
        <f>CurtailmentData!D323</f>
        <v/>
      </c>
      <c r="D323" s="63">
        <f>C323*Inputs!C7</f>
        <v/>
      </c>
      <c r="E323" s="53">
        <f>SOH_Degradation!D3</f>
        <v/>
      </c>
      <c r="F323" s="63">
        <f>MAX(0, D323-E323)</f>
        <v/>
      </c>
      <c r="G323" s="63">
        <f>MIN(D323, E323)</f>
        <v/>
      </c>
      <c r="H323" s="64">
        <f>IF(E323&gt;0, G323/E323, 0)</f>
        <v/>
      </c>
      <c r="I323" s="63">
        <f>G323*Inputs!C12/100</f>
        <v/>
      </c>
      <c r="J323" s="53">
        <f>(I323/1000)*(Inputs!C27-Inputs!C28)</f>
        <v/>
      </c>
    </row>
    <row r="324">
      <c r="A324" t="inlineStr">
        <is>
          <t>2025-11-19</t>
        </is>
      </c>
      <c r="B324" t="n">
        <v>11</v>
      </c>
      <c r="C324">
        <f>CurtailmentData!D324</f>
        <v/>
      </c>
      <c r="D324" s="63">
        <f>C324*Inputs!C7</f>
        <v/>
      </c>
      <c r="E324" s="53">
        <f>SOH_Degradation!D3</f>
        <v/>
      </c>
      <c r="F324" s="63">
        <f>MAX(0, D324-E324)</f>
        <v/>
      </c>
      <c r="G324" s="63">
        <f>MIN(D324, E324)</f>
        <v/>
      </c>
      <c r="H324" s="64">
        <f>IF(E324&gt;0, G324/E324, 0)</f>
        <v/>
      </c>
      <c r="I324" s="63">
        <f>G324*Inputs!C12/100</f>
        <v/>
      </c>
      <c r="J324" s="53">
        <f>(I324/1000)*(Inputs!C27-Inputs!C28)</f>
        <v/>
      </c>
    </row>
    <row r="325">
      <c r="A325" t="inlineStr">
        <is>
          <t>2025-11-20</t>
        </is>
      </c>
      <c r="B325" t="n">
        <v>11</v>
      </c>
      <c r="C325">
        <f>CurtailmentData!D325</f>
        <v/>
      </c>
      <c r="D325" s="63">
        <f>C325*Inputs!C7</f>
        <v/>
      </c>
      <c r="E325" s="53">
        <f>SOH_Degradation!D3</f>
        <v/>
      </c>
      <c r="F325" s="63">
        <f>MAX(0, D325-E325)</f>
        <v/>
      </c>
      <c r="G325" s="63">
        <f>MIN(D325, E325)</f>
        <v/>
      </c>
      <c r="H325" s="64">
        <f>IF(E325&gt;0, G325/E325, 0)</f>
        <v/>
      </c>
      <c r="I325" s="63">
        <f>G325*Inputs!C12/100</f>
        <v/>
      </c>
      <c r="J325" s="53">
        <f>(I325/1000)*(Inputs!C27-Inputs!C28)</f>
        <v/>
      </c>
    </row>
    <row r="326">
      <c r="A326" t="inlineStr">
        <is>
          <t>2025-11-21</t>
        </is>
      </c>
      <c r="B326" t="n">
        <v>11</v>
      </c>
      <c r="C326">
        <f>CurtailmentData!D326</f>
        <v/>
      </c>
      <c r="D326" s="63">
        <f>C326*Inputs!C7</f>
        <v/>
      </c>
      <c r="E326" s="53">
        <f>SOH_Degradation!D3</f>
        <v/>
      </c>
      <c r="F326" s="63">
        <f>MAX(0, D326-E326)</f>
        <v/>
      </c>
      <c r="G326" s="63">
        <f>MIN(D326, E326)</f>
        <v/>
      </c>
      <c r="H326" s="64">
        <f>IF(E326&gt;0, G326/E326, 0)</f>
        <v/>
      </c>
      <c r="I326" s="63">
        <f>G326*Inputs!C12/100</f>
        <v/>
      </c>
      <c r="J326" s="53">
        <f>(I326/1000)*(Inputs!C27-Inputs!C28)</f>
        <v/>
      </c>
    </row>
    <row r="327">
      <c r="A327" t="inlineStr">
        <is>
          <t>2025-11-22</t>
        </is>
      </c>
      <c r="B327" t="n">
        <v>11</v>
      </c>
      <c r="C327">
        <f>CurtailmentData!D327</f>
        <v/>
      </c>
      <c r="D327" s="63">
        <f>C327*Inputs!C7</f>
        <v/>
      </c>
      <c r="E327" s="53">
        <f>SOH_Degradation!D3</f>
        <v/>
      </c>
      <c r="F327" s="63">
        <f>MAX(0, D327-E327)</f>
        <v/>
      </c>
      <c r="G327" s="63">
        <f>MIN(D327, E327)</f>
        <v/>
      </c>
      <c r="H327" s="64">
        <f>IF(E327&gt;0, G327/E327, 0)</f>
        <v/>
      </c>
      <c r="I327" s="63">
        <f>G327*Inputs!C12/100</f>
        <v/>
      </c>
      <c r="J327" s="53">
        <f>(I327/1000)*(Inputs!C27-Inputs!C28)</f>
        <v/>
      </c>
    </row>
    <row r="328">
      <c r="A328" t="inlineStr">
        <is>
          <t>2025-11-23</t>
        </is>
      </c>
      <c r="B328" t="n">
        <v>11</v>
      </c>
      <c r="C328">
        <f>CurtailmentData!D328</f>
        <v/>
      </c>
      <c r="D328" s="63">
        <f>C328*Inputs!C7</f>
        <v/>
      </c>
      <c r="E328" s="53">
        <f>SOH_Degradation!D3</f>
        <v/>
      </c>
      <c r="F328" s="63">
        <f>MAX(0, D328-E328)</f>
        <v/>
      </c>
      <c r="G328" s="63">
        <f>MIN(D328, E328)</f>
        <v/>
      </c>
      <c r="H328" s="64">
        <f>IF(E328&gt;0, G328/E328, 0)</f>
        <v/>
      </c>
      <c r="I328" s="63">
        <f>G328*Inputs!C12/100</f>
        <v/>
      </c>
      <c r="J328" s="53">
        <f>(I328/1000)*(Inputs!C27-Inputs!C28)</f>
        <v/>
      </c>
    </row>
    <row r="329">
      <c r="A329" t="inlineStr">
        <is>
          <t>2025-11-24</t>
        </is>
      </c>
      <c r="B329" t="n">
        <v>11</v>
      </c>
      <c r="C329">
        <f>CurtailmentData!D329</f>
        <v/>
      </c>
      <c r="D329" s="63">
        <f>C329*Inputs!C7</f>
        <v/>
      </c>
      <c r="E329" s="53">
        <f>SOH_Degradation!D3</f>
        <v/>
      </c>
      <c r="F329" s="63">
        <f>MAX(0, D329-E329)</f>
        <v/>
      </c>
      <c r="G329" s="63">
        <f>MIN(D329, E329)</f>
        <v/>
      </c>
      <c r="H329" s="64">
        <f>IF(E329&gt;0, G329/E329, 0)</f>
        <v/>
      </c>
      <c r="I329" s="63">
        <f>G329*Inputs!C12/100</f>
        <v/>
      </c>
      <c r="J329" s="53">
        <f>(I329/1000)*(Inputs!C27-Inputs!C28)</f>
        <v/>
      </c>
    </row>
    <row r="330">
      <c r="A330" t="inlineStr">
        <is>
          <t>2025-11-25</t>
        </is>
      </c>
      <c r="B330" t="n">
        <v>11</v>
      </c>
      <c r="C330">
        <f>CurtailmentData!D330</f>
        <v/>
      </c>
      <c r="D330" s="63">
        <f>C330*Inputs!C7</f>
        <v/>
      </c>
      <c r="E330" s="53">
        <f>SOH_Degradation!D3</f>
        <v/>
      </c>
      <c r="F330" s="63">
        <f>MAX(0, D330-E330)</f>
        <v/>
      </c>
      <c r="G330" s="63">
        <f>MIN(D330, E330)</f>
        <v/>
      </c>
      <c r="H330" s="64">
        <f>IF(E330&gt;0, G330/E330, 0)</f>
        <v/>
      </c>
      <c r="I330" s="63">
        <f>G330*Inputs!C12/100</f>
        <v/>
      </c>
      <c r="J330" s="53">
        <f>(I330/1000)*(Inputs!C27-Inputs!C28)</f>
        <v/>
      </c>
    </row>
    <row r="331">
      <c r="A331" t="inlineStr">
        <is>
          <t>2025-11-26</t>
        </is>
      </c>
      <c r="B331" t="n">
        <v>11</v>
      </c>
      <c r="C331">
        <f>CurtailmentData!D331</f>
        <v/>
      </c>
      <c r="D331" s="63">
        <f>C331*Inputs!C7</f>
        <v/>
      </c>
      <c r="E331" s="53">
        <f>SOH_Degradation!D3</f>
        <v/>
      </c>
      <c r="F331" s="63">
        <f>MAX(0, D331-E331)</f>
        <v/>
      </c>
      <c r="G331" s="63">
        <f>MIN(D331, E331)</f>
        <v/>
      </c>
      <c r="H331" s="64">
        <f>IF(E331&gt;0, G331/E331, 0)</f>
        <v/>
      </c>
      <c r="I331" s="63">
        <f>G331*Inputs!C12/100</f>
        <v/>
      </c>
      <c r="J331" s="53">
        <f>(I331/1000)*(Inputs!C27-Inputs!C28)</f>
        <v/>
      </c>
    </row>
    <row r="332">
      <c r="A332" t="inlineStr">
        <is>
          <t>2025-11-27</t>
        </is>
      </c>
      <c r="B332" t="n">
        <v>11</v>
      </c>
      <c r="C332">
        <f>CurtailmentData!D332</f>
        <v/>
      </c>
      <c r="D332" s="63">
        <f>C332*Inputs!C7</f>
        <v/>
      </c>
      <c r="E332" s="53">
        <f>SOH_Degradation!D3</f>
        <v/>
      </c>
      <c r="F332" s="63">
        <f>MAX(0, D332-E332)</f>
        <v/>
      </c>
      <c r="G332" s="63">
        <f>MIN(D332, E332)</f>
        <v/>
      </c>
      <c r="H332" s="64">
        <f>IF(E332&gt;0, G332/E332, 0)</f>
        <v/>
      </c>
      <c r="I332" s="63">
        <f>G332*Inputs!C12/100</f>
        <v/>
      </c>
      <c r="J332" s="53">
        <f>(I332/1000)*(Inputs!C27-Inputs!C28)</f>
        <v/>
      </c>
    </row>
    <row r="333">
      <c r="A333" t="inlineStr">
        <is>
          <t>2025-11-28</t>
        </is>
      </c>
      <c r="B333" t="n">
        <v>11</v>
      </c>
      <c r="C333">
        <f>CurtailmentData!D333</f>
        <v/>
      </c>
      <c r="D333" s="63">
        <f>C333*Inputs!C7</f>
        <v/>
      </c>
      <c r="E333" s="53">
        <f>SOH_Degradation!D3</f>
        <v/>
      </c>
      <c r="F333" s="63">
        <f>MAX(0, D333-E333)</f>
        <v/>
      </c>
      <c r="G333" s="63">
        <f>MIN(D333, E333)</f>
        <v/>
      </c>
      <c r="H333" s="64">
        <f>IF(E333&gt;0, G333/E333, 0)</f>
        <v/>
      </c>
      <c r="I333" s="63">
        <f>G333*Inputs!C12/100</f>
        <v/>
      </c>
      <c r="J333" s="53">
        <f>(I333/1000)*(Inputs!C27-Inputs!C28)</f>
        <v/>
      </c>
    </row>
    <row r="334">
      <c r="A334" t="inlineStr">
        <is>
          <t>2025-11-29</t>
        </is>
      </c>
      <c r="B334" t="n">
        <v>11</v>
      </c>
      <c r="C334">
        <f>CurtailmentData!D334</f>
        <v/>
      </c>
      <c r="D334" s="63">
        <f>C334*Inputs!C7</f>
        <v/>
      </c>
      <c r="E334" s="53">
        <f>SOH_Degradation!D3</f>
        <v/>
      </c>
      <c r="F334" s="63">
        <f>MAX(0, D334-E334)</f>
        <v/>
      </c>
      <c r="G334" s="63">
        <f>MIN(D334, E334)</f>
        <v/>
      </c>
      <c r="H334" s="64">
        <f>IF(E334&gt;0, G334/E334, 0)</f>
        <v/>
      </c>
      <c r="I334" s="63">
        <f>G334*Inputs!C12/100</f>
        <v/>
      </c>
      <c r="J334" s="53">
        <f>(I334/1000)*(Inputs!C27-Inputs!C28)</f>
        <v/>
      </c>
    </row>
    <row r="335">
      <c r="A335" t="inlineStr">
        <is>
          <t>2025-11-30</t>
        </is>
      </c>
      <c r="B335" t="n">
        <v>11</v>
      </c>
      <c r="C335">
        <f>CurtailmentData!D335</f>
        <v/>
      </c>
      <c r="D335" s="63">
        <f>C335*Inputs!C7</f>
        <v/>
      </c>
      <c r="E335" s="53">
        <f>SOH_Degradation!D3</f>
        <v/>
      </c>
      <c r="F335" s="63">
        <f>MAX(0, D335-E335)</f>
        <v/>
      </c>
      <c r="G335" s="63">
        <f>MIN(D335, E335)</f>
        <v/>
      </c>
      <c r="H335" s="64">
        <f>IF(E335&gt;0, G335/E335, 0)</f>
        <v/>
      </c>
      <c r="I335" s="63">
        <f>G335*Inputs!C12/100</f>
        <v/>
      </c>
      <c r="J335" s="53">
        <f>(I335/1000)*(Inputs!C27-Inputs!C28)</f>
        <v/>
      </c>
    </row>
    <row r="336">
      <c r="A336" t="inlineStr">
        <is>
          <t>2025-12-01</t>
        </is>
      </c>
      <c r="B336" t="n">
        <v>12</v>
      </c>
      <c r="C336">
        <f>CurtailmentData!D336</f>
        <v/>
      </c>
      <c r="D336" s="63">
        <f>C336*Inputs!C7</f>
        <v/>
      </c>
      <c r="E336" s="53">
        <f>SOH_Degradation!D3</f>
        <v/>
      </c>
      <c r="F336" s="63">
        <f>MAX(0, D336-E336)</f>
        <v/>
      </c>
      <c r="G336" s="63">
        <f>MIN(D336, E336)</f>
        <v/>
      </c>
      <c r="H336" s="64">
        <f>IF(E336&gt;0, G336/E336, 0)</f>
        <v/>
      </c>
      <c r="I336" s="63">
        <f>G336*Inputs!C12/100</f>
        <v/>
      </c>
      <c r="J336" s="53">
        <f>(I336/1000)*(Inputs!C27-Inputs!C28)</f>
        <v/>
      </c>
    </row>
    <row r="337">
      <c r="A337" t="inlineStr">
        <is>
          <t>2025-12-02</t>
        </is>
      </c>
      <c r="B337" t="n">
        <v>12</v>
      </c>
      <c r="C337">
        <f>CurtailmentData!D337</f>
        <v/>
      </c>
      <c r="D337" s="63">
        <f>C337*Inputs!C7</f>
        <v/>
      </c>
      <c r="E337" s="53">
        <f>SOH_Degradation!D3</f>
        <v/>
      </c>
      <c r="F337" s="63">
        <f>MAX(0, D337-E337)</f>
        <v/>
      </c>
      <c r="G337" s="63">
        <f>MIN(D337, E337)</f>
        <v/>
      </c>
      <c r="H337" s="64">
        <f>IF(E337&gt;0, G337/E337, 0)</f>
        <v/>
      </c>
      <c r="I337" s="63">
        <f>G337*Inputs!C12/100</f>
        <v/>
      </c>
      <c r="J337" s="53">
        <f>(I337/1000)*(Inputs!C27-Inputs!C28)</f>
        <v/>
      </c>
    </row>
    <row r="338">
      <c r="A338" t="inlineStr">
        <is>
          <t>2025-12-03</t>
        </is>
      </c>
      <c r="B338" t="n">
        <v>12</v>
      </c>
      <c r="C338">
        <f>CurtailmentData!D338</f>
        <v/>
      </c>
      <c r="D338" s="63">
        <f>C338*Inputs!C7</f>
        <v/>
      </c>
      <c r="E338" s="53">
        <f>SOH_Degradation!D3</f>
        <v/>
      </c>
      <c r="F338" s="63">
        <f>MAX(0, D338-E338)</f>
        <v/>
      </c>
      <c r="G338" s="63">
        <f>MIN(D338, E338)</f>
        <v/>
      </c>
      <c r="H338" s="64">
        <f>IF(E338&gt;0, G338/E338, 0)</f>
        <v/>
      </c>
      <c r="I338" s="63">
        <f>G338*Inputs!C12/100</f>
        <v/>
      </c>
      <c r="J338" s="53">
        <f>(I338/1000)*(Inputs!C27-Inputs!C28)</f>
        <v/>
      </c>
    </row>
    <row r="339">
      <c r="A339" t="inlineStr">
        <is>
          <t>2025-12-04</t>
        </is>
      </c>
      <c r="B339" t="n">
        <v>12</v>
      </c>
      <c r="C339">
        <f>CurtailmentData!D339</f>
        <v/>
      </c>
      <c r="D339" s="63">
        <f>C339*Inputs!C7</f>
        <v/>
      </c>
      <c r="E339" s="53">
        <f>SOH_Degradation!D3</f>
        <v/>
      </c>
      <c r="F339" s="63">
        <f>MAX(0, D339-E339)</f>
        <v/>
      </c>
      <c r="G339" s="63">
        <f>MIN(D339, E339)</f>
        <v/>
      </c>
      <c r="H339" s="64">
        <f>IF(E339&gt;0, G339/E339, 0)</f>
        <v/>
      </c>
      <c r="I339" s="63">
        <f>G339*Inputs!C12/100</f>
        <v/>
      </c>
      <c r="J339" s="53">
        <f>(I339/1000)*(Inputs!C27-Inputs!C28)</f>
        <v/>
      </c>
    </row>
    <row r="340">
      <c r="A340" t="inlineStr">
        <is>
          <t>2025-12-05</t>
        </is>
      </c>
      <c r="B340" t="n">
        <v>12</v>
      </c>
      <c r="C340">
        <f>CurtailmentData!D340</f>
        <v/>
      </c>
      <c r="D340" s="63">
        <f>C340*Inputs!C7</f>
        <v/>
      </c>
      <c r="E340" s="53">
        <f>SOH_Degradation!D3</f>
        <v/>
      </c>
      <c r="F340" s="63">
        <f>MAX(0, D340-E340)</f>
        <v/>
      </c>
      <c r="G340" s="63">
        <f>MIN(D340, E340)</f>
        <v/>
      </c>
      <c r="H340" s="64">
        <f>IF(E340&gt;0, G340/E340, 0)</f>
        <v/>
      </c>
      <c r="I340" s="63">
        <f>G340*Inputs!C12/100</f>
        <v/>
      </c>
      <c r="J340" s="53">
        <f>(I340/1000)*(Inputs!C27-Inputs!C28)</f>
        <v/>
      </c>
    </row>
    <row r="341">
      <c r="A341" t="inlineStr">
        <is>
          <t>2025-12-06</t>
        </is>
      </c>
      <c r="B341" t="n">
        <v>12</v>
      </c>
      <c r="C341">
        <f>CurtailmentData!D341</f>
        <v/>
      </c>
      <c r="D341" s="63">
        <f>C341*Inputs!C7</f>
        <v/>
      </c>
      <c r="E341" s="53">
        <f>SOH_Degradation!D3</f>
        <v/>
      </c>
      <c r="F341" s="63">
        <f>MAX(0, D341-E341)</f>
        <v/>
      </c>
      <c r="G341" s="63">
        <f>MIN(D341, E341)</f>
        <v/>
      </c>
      <c r="H341" s="64">
        <f>IF(E341&gt;0, G341/E341, 0)</f>
        <v/>
      </c>
      <c r="I341" s="63">
        <f>G341*Inputs!C12/100</f>
        <v/>
      </c>
      <c r="J341" s="53">
        <f>(I341/1000)*(Inputs!C27-Inputs!C28)</f>
        <v/>
      </c>
    </row>
    <row r="342">
      <c r="A342" t="inlineStr">
        <is>
          <t>2025-12-07</t>
        </is>
      </c>
      <c r="B342" t="n">
        <v>12</v>
      </c>
      <c r="C342">
        <f>CurtailmentData!D342</f>
        <v/>
      </c>
      <c r="D342" s="63">
        <f>C342*Inputs!C7</f>
        <v/>
      </c>
      <c r="E342" s="53">
        <f>SOH_Degradation!D3</f>
        <v/>
      </c>
      <c r="F342" s="63">
        <f>MAX(0, D342-E342)</f>
        <v/>
      </c>
      <c r="G342" s="63">
        <f>MIN(D342, E342)</f>
        <v/>
      </c>
      <c r="H342" s="64">
        <f>IF(E342&gt;0, G342/E342, 0)</f>
        <v/>
      </c>
      <c r="I342" s="63">
        <f>G342*Inputs!C12/100</f>
        <v/>
      </c>
      <c r="J342" s="53">
        <f>(I342/1000)*(Inputs!C27-Inputs!C28)</f>
        <v/>
      </c>
    </row>
    <row r="343">
      <c r="A343" t="inlineStr">
        <is>
          <t>2025-12-08</t>
        </is>
      </c>
      <c r="B343" t="n">
        <v>12</v>
      </c>
      <c r="C343">
        <f>CurtailmentData!D343</f>
        <v/>
      </c>
      <c r="D343" s="63">
        <f>C343*Inputs!C7</f>
        <v/>
      </c>
      <c r="E343" s="53">
        <f>SOH_Degradation!D3</f>
        <v/>
      </c>
      <c r="F343" s="63">
        <f>MAX(0, D343-E343)</f>
        <v/>
      </c>
      <c r="G343" s="63">
        <f>MIN(D343, E343)</f>
        <v/>
      </c>
      <c r="H343" s="64">
        <f>IF(E343&gt;0, G343/E343, 0)</f>
        <v/>
      </c>
      <c r="I343" s="63">
        <f>G343*Inputs!C12/100</f>
        <v/>
      </c>
      <c r="J343" s="53">
        <f>(I343/1000)*(Inputs!C27-Inputs!C28)</f>
        <v/>
      </c>
    </row>
    <row r="344">
      <c r="A344" t="inlineStr">
        <is>
          <t>2025-12-09</t>
        </is>
      </c>
      <c r="B344" t="n">
        <v>12</v>
      </c>
      <c r="C344">
        <f>CurtailmentData!D344</f>
        <v/>
      </c>
      <c r="D344" s="63">
        <f>C344*Inputs!C7</f>
        <v/>
      </c>
      <c r="E344" s="53">
        <f>SOH_Degradation!D3</f>
        <v/>
      </c>
      <c r="F344" s="63">
        <f>MAX(0, D344-E344)</f>
        <v/>
      </c>
      <c r="G344" s="63">
        <f>MIN(D344, E344)</f>
        <v/>
      </c>
      <c r="H344" s="64">
        <f>IF(E344&gt;0, G344/E344, 0)</f>
        <v/>
      </c>
      <c r="I344" s="63">
        <f>G344*Inputs!C12/100</f>
        <v/>
      </c>
      <c r="J344" s="53">
        <f>(I344/1000)*(Inputs!C27-Inputs!C28)</f>
        <v/>
      </c>
    </row>
    <row r="345">
      <c r="A345" t="inlineStr">
        <is>
          <t>2025-12-10</t>
        </is>
      </c>
      <c r="B345" t="n">
        <v>12</v>
      </c>
      <c r="C345">
        <f>CurtailmentData!D345</f>
        <v/>
      </c>
      <c r="D345" s="63">
        <f>C345*Inputs!C7</f>
        <v/>
      </c>
      <c r="E345" s="53">
        <f>SOH_Degradation!D3</f>
        <v/>
      </c>
      <c r="F345" s="63">
        <f>MAX(0, D345-E345)</f>
        <v/>
      </c>
      <c r="G345" s="63">
        <f>MIN(D345, E345)</f>
        <v/>
      </c>
      <c r="H345" s="64">
        <f>IF(E345&gt;0, G345/E345, 0)</f>
        <v/>
      </c>
      <c r="I345" s="63">
        <f>G345*Inputs!C12/100</f>
        <v/>
      </c>
      <c r="J345" s="53">
        <f>(I345/1000)*(Inputs!C27-Inputs!C28)</f>
        <v/>
      </c>
    </row>
    <row r="346">
      <c r="A346" t="inlineStr">
        <is>
          <t>2025-12-11</t>
        </is>
      </c>
      <c r="B346" t="n">
        <v>12</v>
      </c>
      <c r="C346">
        <f>CurtailmentData!D346</f>
        <v/>
      </c>
      <c r="D346" s="63">
        <f>C346*Inputs!C7</f>
        <v/>
      </c>
      <c r="E346" s="53">
        <f>SOH_Degradation!D3</f>
        <v/>
      </c>
      <c r="F346" s="63">
        <f>MAX(0, D346-E346)</f>
        <v/>
      </c>
      <c r="G346" s="63">
        <f>MIN(D346, E346)</f>
        <v/>
      </c>
      <c r="H346" s="64">
        <f>IF(E346&gt;0, G346/E346, 0)</f>
        <v/>
      </c>
      <c r="I346" s="63">
        <f>G346*Inputs!C12/100</f>
        <v/>
      </c>
      <c r="J346" s="53">
        <f>(I346/1000)*(Inputs!C27-Inputs!C28)</f>
        <v/>
      </c>
    </row>
    <row r="347">
      <c r="A347" t="inlineStr">
        <is>
          <t>2025-12-12</t>
        </is>
      </c>
      <c r="B347" t="n">
        <v>12</v>
      </c>
      <c r="C347">
        <f>CurtailmentData!D347</f>
        <v/>
      </c>
      <c r="D347" s="63">
        <f>C347*Inputs!C7</f>
        <v/>
      </c>
      <c r="E347" s="53">
        <f>SOH_Degradation!D3</f>
        <v/>
      </c>
      <c r="F347" s="63">
        <f>MAX(0, D347-E347)</f>
        <v/>
      </c>
      <c r="G347" s="63">
        <f>MIN(D347, E347)</f>
        <v/>
      </c>
      <c r="H347" s="64">
        <f>IF(E347&gt;0, G347/E347, 0)</f>
        <v/>
      </c>
      <c r="I347" s="63">
        <f>G347*Inputs!C12/100</f>
        <v/>
      </c>
      <c r="J347" s="53">
        <f>(I347/1000)*(Inputs!C27-Inputs!C28)</f>
        <v/>
      </c>
    </row>
    <row r="348">
      <c r="A348" t="inlineStr">
        <is>
          <t>2025-12-13</t>
        </is>
      </c>
      <c r="B348" t="n">
        <v>12</v>
      </c>
      <c r="C348">
        <f>CurtailmentData!D348</f>
        <v/>
      </c>
      <c r="D348" s="63">
        <f>C348*Inputs!C7</f>
        <v/>
      </c>
      <c r="E348" s="53">
        <f>SOH_Degradation!D3</f>
        <v/>
      </c>
      <c r="F348" s="63">
        <f>MAX(0, D348-E348)</f>
        <v/>
      </c>
      <c r="G348" s="63">
        <f>MIN(D348, E348)</f>
        <v/>
      </c>
      <c r="H348" s="64">
        <f>IF(E348&gt;0, G348/E348, 0)</f>
        <v/>
      </c>
      <c r="I348" s="63">
        <f>G348*Inputs!C12/100</f>
        <v/>
      </c>
      <c r="J348" s="53">
        <f>(I348/1000)*(Inputs!C27-Inputs!C28)</f>
        <v/>
      </c>
    </row>
    <row r="349">
      <c r="A349" t="inlineStr">
        <is>
          <t>2025-12-14</t>
        </is>
      </c>
      <c r="B349" t="n">
        <v>12</v>
      </c>
      <c r="C349">
        <f>CurtailmentData!D349</f>
        <v/>
      </c>
      <c r="D349" s="63">
        <f>C349*Inputs!C7</f>
        <v/>
      </c>
      <c r="E349" s="53">
        <f>SOH_Degradation!D3</f>
        <v/>
      </c>
      <c r="F349" s="63">
        <f>MAX(0, D349-E349)</f>
        <v/>
      </c>
      <c r="G349" s="63">
        <f>MIN(D349, E349)</f>
        <v/>
      </c>
      <c r="H349" s="64">
        <f>IF(E349&gt;0, G349/E349, 0)</f>
        <v/>
      </c>
      <c r="I349" s="63">
        <f>G349*Inputs!C12/100</f>
        <v/>
      </c>
      <c r="J349" s="53">
        <f>(I349/1000)*(Inputs!C27-Inputs!C28)</f>
        <v/>
      </c>
    </row>
    <row r="350">
      <c r="A350" t="inlineStr">
        <is>
          <t>2025-12-15</t>
        </is>
      </c>
      <c r="B350" t="n">
        <v>12</v>
      </c>
      <c r="C350">
        <f>CurtailmentData!D350</f>
        <v/>
      </c>
      <c r="D350" s="63">
        <f>C350*Inputs!C7</f>
        <v/>
      </c>
      <c r="E350" s="53">
        <f>SOH_Degradation!D3</f>
        <v/>
      </c>
      <c r="F350" s="63">
        <f>MAX(0, D350-E350)</f>
        <v/>
      </c>
      <c r="G350" s="63">
        <f>MIN(D350, E350)</f>
        <v/>
      </c>
      <c r="H350" s="64">
        <f>IF(E350&gt;0, G350/E350, 0)</f>
        <v/>
      </c>
      <c r="I350" s="63">
        <f>G350*Inputs!C12/100</f>
        <v/>
      </c>
      <c r="J350" s="53">
        <f>(I350/1000)*(Inputs!C27-Inputs!C28)</f>
        <v/>
      </c>
    </row>
    <row r="351">
      <c r="A351" t="inlineStr">
        <is>
          <t>2025-12-16</t>
        </is>
      </c>
      <c r="B351" t="n">
        <v>12</v>
      </c>
      <c r="C351">
        <f>CurtailmentData!D351</f>
        <v/>
      </c>
      <c r="D351" s="63">
        <f>C351*Inputs!C7</f>
        <v/>
      </c>
      <c r="E351" s="53">
        <f>SOH_Degradation!D3</f>
        <v/>
      </c>
      <c r="F351" s="63">
        <f>MAX(0, D351-E351)</f>
        <v/>
      </c>
      <c r="G351" s="63">
        <f>MIN(D351, E351)</f>
        <v/>
      </c>
      <c r="H351" s="64">
        <f>IF(E351&gt;0, G351/E351, 0)</f>
        <v/>
      </c>
      <c r="I351" s="63">
        <f>G351*Inputs!C12/100</f>
        <v/>
      </c>
      <c r="J351" s="53">
        <f>(I351/1000)*(Inputs!C27-Inputs!C28)</f>
        <v/>
      </c>
    </row>
    <row r="352">
      <c r="A352" t="inlineStr">
        <is>
          <t>2025-12-17</t>
        </is>
      </c>
      <c r="B352" t="n">
        <v>12</v>
      </c>
      <c r="C352">
        <f>CurtailmentData!D352</f>
        <v/>
      </c>
      <c r="D352" s="63">
        <f>C352*Inputs!C7</f>
        <v/>
      </c>
      <c r="E352" s="53">
        <f>SOH_Degradation!D3</f>
        <v/>
      </c>
      <c r="F352" s="63">
        <f>MAX(0, D352-E352)</f>
        <v/>
      </c>
      <c r="G352" s="63">
        <f>MIN(D352, E352)</f>
        <v/>
      </c>
      <c r="H352" s="64">
        <f>IF(E352&gt;0, G352/E352, 0)</f>
        <v/>
      </c>
      <c r="I352" s="63">
        <f>G352*Inputs!C12/100</f>
        <v/>
      </c>
      <c r="J352" s="53">
        <f>(I352/1000)*(Inputs!C27-Inputs!C28)</f>
        <v/>
      </c>
    </row>
    <row r="353">
      <c r="A353" t="inlineStr">
        <is>
          <t>2025-12-18</t>
        </is>
      </c>
      <c r="B353" t="n">
        <v>12</v>
      </c>
      <c r="C353">
        <f>CurtailmentData!D353</f>
        <v/>
      </c>
      <c r="D353" s="63">
        <f>C353*Inputs!C7</f>
        <v/>
      </c>
      <c r="E353" s="53">
        <f>SOH_Degradation!D3</f>
        <v/>
      </c>
      <c r="F353" s="63">
        <f>MAX(0, D353-E353)</f>
        <v/>
      </c>
      <c r="G353" s="63">
        <f>MIN(D353, E353)</f>
        <v/>
      </c>
      <c r="H353" s="64">
        <f>IF(E353&gt;0, G353/E353, 0)</f>
        <v/>
      </c>
      <c r="I353" s="63">
        <f>G353*Inputs!C12/100</f>
        <v/>
      </c>
      <c r="J353" s="53">
        <f>(I353/1000)*(Inputs!C27-Inputs!C28)</f>
        <v/>
      </c>
    </row>
    <row r="354">
      <c r="A354" t="inlineStr">
        <is>
          <t>2025-12-19</t>
        </is>
      </c>
      <c r="B354" t="n">
        <v>12</v>
      </c>
      <c r="C354">
        <f>CurtailmentData!D354</f>
        <v/>
      </c>
      <c r="D354" s="63">
        <f>C354*Inputs!C7</f>
        <v/>
      </c>
      <c r="E354" s="53">
        <f>SOH_Degradation!D3</f>
        <v/>
      </c>
      <c r="F354" s="63">
        <f>MAX(0, D354-E354)</f>
        <v/>
      </c>
      <c r="G354" s="63">
        <f>MIN(D354, E354)</f>
        <v/>
      </c>
      <c r="H354" s="64">
        <f>IF(E354&gt;0, G354/E354, 0)</f>
        <v/>
      </c>
      <c r="I354" s="63">
        <f>G354*Inputs!C12/100</f>
        <v/>
      </c>
      <c r="J354" s="53">
        <f>(I354/1000)*(Inputs!C27-Inputs!C28)</f>
        <v/>
      </c>
    </row>
    <row r="355">
      <c r="A355" t="inlineStr">
        <is>
          <t>2025-12-20</t>
        </is>
      </c>
      <c r="B355" t="n">
        <v>12</v>
      </c>
      <c r="C355">
        <f>CurtailmentData!D355</f>
        <v/>
      </c>
      <c r="D355" s="63">
        <f>C355*Inputs!C7</f>
        <v/>
      </c>
      <c r="E355" s="53">
        <f>SOH_Degradation!D3</f>
        <v/>
      </c>
      <c r="F355" s="63">
        <f>MAX(0, D355-E355)</f>
        <v/>
      </c>
      <c r="G355" s="63">
        <f>MIN(D355, E355)</f>
        <v/>
      </c>
      <c r="H355" s="64">
        <f>IF(E355&gt;0, G355/E355, 0)</f>
        <v/>
      </c>
      <c r="I355" s="63">
        <f>G355*Inputs!C12/100</f>
        <v/>
      </c>
      <c r="J355" s="53">
        <f>(I355/1000)*(Inputs!C27-Inputs!C28)</f>
        <v/>
      </c>
    </row>
    <row r="356">
      <c r="A356" t="inlineStr">
        <is>
          <t>2025-12-21</t>
        </is>
      </c>
      <c r="B356" t="n">
        <v>12</v>
      </c>
      <c r="C356">
        <f>CurtailmentData!D356</f>
        <v/>
      </c>
      <c r="D356" s="63">
        <f>C356*Inputs!C7</f>
        <v/>
      </c>
      <c r="E356" s="53">
        <f>SOH_Degradation!D3</f>
        <v/>
      </c>
      <c r="F356" s="63">
        <f>MAX(0, D356-E356)</f>
        <v/>
      </c>
      <c r="G356" s="63">
        <f>MIN(D356, E356)</f>
        <v/>
      </c>
      <c r="H356" s="64">
        <f>IF(E356&gt;0, G356/E356, 0)</f>
        <v/>
      </c>
      <c r="I356" s="63">
        <f>G356*Inputs!C12/100</f>
        <v/>
      </c>
      <c r="J356" s="53">
        <f>(I356/1000)*(Inputs!C27-Inputs!C28)</f>
        <v/>
      </c>
    </row>
    <row r="357">
      <c r="A357" t="inlineStr">
        <is>
          <t>2025-12-22</t>
        </is>
      </c>
      <c r="B357" t="n">
        <v>12</v>
      </c>
      <c r="C357">
        <f>CurtailmentData!D357</f>
        <v/>
      </c>
      <c r="D357" s="63">
        <f>C357*Inputs!C7</f>
        <v/>
      </c>
      <c r="E357" s="53">
        <f>SOH_Degradation!D3</f>
        <v/>
      </c>
      <c r="F357" s="63">
        <f>MAX(0, D357-E357)</f>
        <v/>
      </c>
      <c r="G357" s="63">
        <f>MIN(D357, E357)</f>
        <v/>
      </c>
      <c r="H357" s="64">
        <f>IF(E357&gt;0, G357/E357, 0)</f>
        <v/>
      </c>
      <c r="I357" s="63">
        <f>G357*Inputs!C12/100</f>
        <v/>
      </c>
      <c r="J357" s="53">
        <f>(I357/1000)*(Inputs!C27-Inputs!C28)</f>
        <v/>
      </c>
    </row>
    <row r="358">
      <c r="A358" t="inlineStr">
        <is>
          <t>2025-12-23</t>
        </is>
      </c>
      <c r="B358" t="n">
        <v>12</v>
      </c>
      <c r="C358">
        <f>CurtailmentData!D358</f>
        <v/>
      </c>
      <c r="D358" s="63">
        <f>C358*Inputs!C7</f>
        <v/>
      </c>
      <c r="E358" s="53">
        <f>SOH_Degradation!D3</f>
        <v/>
      </c>
      <c r="F358" s="63">
        <f>MAX(0, D358-E358)</f>
        <v/>
      </c>
      <c r="G358" s="63">
        <f>MIN(D358, E358)</f>
        <v/>
      </c>
      <c r="H358" s="64">
        <f>IF(E358&gt;0, G358/E358, 0)</f>
        <v/>
      </c>
      <c r="I358" s="63">
        <f>G358*Inputs!C12/100</f>
        <v/>
      </c>
      <c r="J358" s="53">
        <f>(I358/1000)*(Inputs!C27-Inputs!C28)</f>
        <v/>
      </c>
    </row>
    <row r="359">
      <c r="A359" t="inlineStr">
        <is>
          <t>2025-12-24</t>
        </is>
      </c>
      <c r="B359" t="n">
        <v>12</v>
      </c>
      <c r="C359">
        <f>CurtailmentData!D359</f>
        <v/>
      </c>
      <c r="D359" s="63">
        <f>C359*Inputs!C7</f>
        <v/>
      </c>
      <c r="E359" s="53">
        <f>SOH_Degradation!D3</f>
        <v/>
      </c>
      <c r="F359" s="63">
        <f>MAX(0, D359-E359)</f>
        <v/>
      </c>
      <c r="G359" s="63">
        <f>MIN(D359, E359)</f>
        <v/>
      </c>
      <c r="H359" s="64">
        <f>IF(E359&gt;0, G359/E359, 0)</f>
        <v/>
      </c>
      <c r="I359" s="63">
        <f>G359*Inputs!C12/100</f>
        <v/>
      </c>
      <c r="J359" s="53">
        <f>(I359/1000)*(Inputs!C27-Inputs!C28)</f>
        <v/>
      </c>
    </row>
    <row r="360">
      <c r="A360" t="inlineStr">
        <is>
          <t>2025-12-25</t>
        </is>
      </c>
      <c r="B360" t="n">
        <v>12</v>
      </c>
      <c r="C360">
        <f>CurtailmentData!D360</f>
        <v/>
      </c>
      <c r="D360" s="63">
        <f>C360*Inputs!C7</f>
        <v/>
      </c>
      <c r="E360" s="53">
        <f>SOH_Degradation!D3</f>
        <v/>
      </c>
      <c r="F360" s="63">
        <f>MAX(0, D360-E360)</f>
        <v/>
      </c>
      <c r="G360" s="63">
        <f>MIN(D360, E360)</f>
        <v/>
      </c>
      <c r="H360" s="64">
        <f>IF(E360&gt;0, G360/E360, 0)</f>
        <v/>
      </c>
      <c r="I360" s="63">
        <f>G360*Inputs!C12/100</f>
        <v/>
      </c>
      <c r="J360" s="53">
        <f>(I360/1000)*(Inputs!C27-Inputs!C28)</f>
        <v/>
      </c>
    </row>
    <row r="361">
      <c r="A361" t="inlineStr">
        <is>
          <t>2025-12-26</t>
        </is>
      </c>
      <c r="B361" t="n">
        <v>12</v>
      </c>
      <c r="C361">
        <f>CurtailmentData!D361</f>
        <v/>
      </c>
      <c r="D361" s="63">
        <f>C361*Inputs!C7</f>
        <v/>
      </c>
      <c r="E361" s="53">
        <f>SOH_Degradation!D3</f>
        <v/>
      </c>
      <c r="F361" s="63">
        <f>MAX(0, D361-E361)</f>
        <v/>
      </c>
      <c r="G361" s="63">
        <f>MIN(D361, E361)</f>
        <v/>
      </c>
      <c r="H361" s="64">
        <f>IF(E361&gt;0, G361/E361, 0)</f>
        <v/>
      </c>
      <c r="I361" s="63">
        <f>G361*Inputs!C12/100</f>
        <v/>
      </c>
      <c r="J361" s="53">
        <f>(I361/1000)*(Inputs!C27-Inputs!C28)</f>
        <v/>
      </c>
    </row>
    <row r="362">
      <c r="A362" t="inlineStr">
        <is>
          <t>2025-12-27</t>
        </is>
      </c>
      <c r="B362" t="n">
        <v>12</v>
      </c>
      <c r="C362">
        <f>CurtailmentData!D362</f>
        <v/>
      </c>
      <c r="D362" s="63">
        <f>C362*Inputs!C7</f>
        <v/>
      </c>
      <c r="E362" s="53">
        <f>SOH_Degradation!D3</f>
        <v/>
      </c>
      <c r="F362" s="63">
        <f>MAX(0, D362-E362)</f>
        <v/>
      </c>
      <c r="G362" s="63">
        <f>MIN(D362, E362)</f>
        <v/>
      </c>
      <c r="H362" s="64">
        <f>IF(E362&gt;0, G362/E362, 0)</f>
        <v/>
      </c>
      <c r="I362" s="63">
        <f>G362*Inputs!C12/100</f>
        <v/>
      </c>
      <c r="J362" s="53">
        <f>(I362/1000)*(Inputs!C27-Inputs!C28)</f>
        <v/>
      </c>
    </row>
    <row r="363">
      <c r="A363" t="inlineStr">
        <is>
          <t>2025-12-28</t>
        </is>
      </c>
      <c r="B363" t="n">
        <v>12</v>
      </c>
      <c r="C363">
        <f>CurtailmentData!D363</f>
        <v/>
      </c>
      <c r="D363" s="63">
        <f>C363*Inputs!C7</f>
        <v/>
      </c>
      <c r="E363" s="53">
        <f>SOH_Degradation!D3</f>
        <v/>
      </c>
      <c r="F363" s="63">
        <f>MAX(0, D363-E363)</f>
        <v/>
      </c>
      <c r="G363" s="63">
        <f>MIN(D363, E363)</f>
        <v/>
      </c>
      <c r="H363" s="64">
        <f>IF(E363&gt;0, G363/E363, 0)</f>
        <v/>
      </c>
      <c r="I363" s="63">
        <f>G363*Inputs!C12/100</f>
        <v/>
      </c>
      <c r="J363" s="53">
        <f>(I363/1000)*(Inputs!C27-Inputs!C28)</f>
        <v/>
      </c>
    </row>
    <row r="364">
      <c r="A364" t="inlineStr">
        <is>
          <t>2025-12-29</t>
        </is>
      </c>
      <c r="B364" t="n">
        <v>12</v>
      </c>
      <c r="C364">
        <f>CurtailmentData!D364</f>
        <v/>
      </c>
      <c r="D364" s="63">
        <f>C364*Inputs!C7</f>
        <v/>
      </c>
      <c r="E364" s="53">
        <f>SOH_Degradation!D3</f>
        <v/>
      </c>
      <c r="F364" s="63">
        <f>MAX(0, D364-E364)</f>
        <v/>
      </c>
      <c r="G364" s="63">
        <f>MIN(D364, E364)</f>
        <v/>
      </c>
      <c r="H364" s="64">
        <f>IF(E364&gt;0, G364/E364, 0)</f>
        <v/>
      </c>
      <c r="I364" s="63">
        <f>G364*Inputs!C12/100</f>
        <v/>
      </c>
      <c r="J364" s="53">
        <f>(I364/1000)*(Inputs!C27-Inputs!C28)</f>
        <v/>
      </c>
    </row>
    <row r="365">
      <c r="A365" t="inlineStr">
        <is>
          <t>2025-12-30</t>
        </is>
      </c>
      <c r="B365" t="n">
        <v>12</v>
      </c>
      <c r="C365">
        <f>CurtailmentData!D365</f>
        <v/>
      </c>
      <c r="D365" s="63">
        <f>C365*Inputs!C7</f>
        <v/>
      </c>
      <c r="E365" s="53">
        <f>SOH_Degradation!D3</f>
        <v/>
      </c>
      <c r="F365" s="63">
        <f>MAX(0, D365-E365)</f>
        <v/>
      </c>
      <c r="G365" s="63">
        <f>MIN(D365, E365)</f>
        <v/>
      </c>
      <c r="H365" s="64">
        <f>IF(E365&gt;0, G365/E365, 0)</f>
        <v/>
      </c>
      <c r="I365" s="63">
        <f>G365*Inputs!C12/100</f>
        <v/>
      </c>
      <c r="J365" s="53">
        <f>(I365/1000)*(Inputs!C27-Inputs!C28)</f>
        <v/>
      </c>
    </row>
    <row r="366">
      <c r="A366" t="inlineStr">
        <is>
          <t>2025-12-31</t>
        </is>
      </c>
      <c r="B366" t="n">
        <v>12</v>
      </c>
      <c r="C366">
        <f>CurtailmentData!D366</f>
        <v/>
      </c>
      <c r="D366" s="63">
        <f>C366*Inputs!C7</f>
        <v/>
      </c>
      <c r="E366" s="53">
        <f>SOH_Degradation!D3</f>
        <v/>
      </c>
      <c r="F366" s="63">
        <f>MAX(0, D366-E366)</f>
        <v/>
      </c>
      <c r="G366" s="63">
        <f>MIN(D366, E366)</f>
        <v/>
      </c>
      <c r="H366" s="64">
        <f>IF(E366&gt;0, G366/E366, 0)</f>
        <v/>
      </c>
      <c r="I366" s="63">
        <f>G366*Inputs!C12/100</f>
        <v/>
      </c>
      <c r="J366" s="53">
        <f>(I366/1000)*(Inputs!C27-Inputs!C28)</f>
        <v/>
      </c>
    </row>
    <row r="368">
      <c r="B368" s="12" t="inlineStr">
        <is>
          <t>ANNUAL TOTALS</t>
        </is>
      </c>
      <c r="C368" s="54">
        <f>SUM(C2:C366)</f>
        <v/>
      </c>
      <c r="D368" s="54">
        <f>SUM(D2:D366)</f>
        <v/>
      </c>
      <c r="F368" s="54">
        <f>SUM(F2:F366)</f>
        <v/>
      </c>
      <c r="G368" s="54">
        <f>SUM(G2:G366)</f>
        <v/>
      </c>
      <c r="H368" s="68">
        <f>AVERAGE(H2:H366)</f>
        <v/>
      </c>
      <c r="I368" s="54">
        <f>SUM(I2:I366)</f>
        <v/>
      </c>
      <c r="J368" s="54">
        <f>SUM(J2:J366)</f>
        <v/>
      </c>
    </row>
    <row r="369">
      <c r="B369" s="20" t="inlineStr">
        <is>
          <t>Capture Efficiency</t>
        </is>
      </c>
      <c r="G369" s="60">
        <f>G368/D368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38761D"/>
    <outlinePr summaryBelow="1" summaryRight="1"/>
    <pageSetUpPr/>
  </sheetPr>
  <dimension ref="A1:L20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</cols>
  <sheetData>
    <row r="1">
      <c r="A1" s="24" t="inlineStr">
        <is>
          <t>15-Year Cash Flow Projection - Data-Validated Model</t>
        </is>
      </c>
    </row>
    <row r="2">
      <c r="A2" s="35" t="inlineStr">
        <is>
          <t>Year</t>
        </is>
      </c>
      <c r="B2" s="35" t="inlineStr">
        <is>
          <t>SOH %</t>
        </is>
      </c>
      <c r="C2" s="35" t="inlineStr">
        <is>
          <t>Usable MWh</t>
        </is>
      </c>
      <c r="D2" s="35" t="inlineStr">
        <is>
          <t>Captured (MWh)</t>
        </is>
      </c>
      <c r="E2" s="35" t="inlineStr">
        <is>
          <t>Cumul Cycles</t>
        </is>
      </c>
      <c r="F2" s="35" t="inlineStr">
        <is>
          <t>Discharged (MWh)</t>
        </is>
      </c>
      <c r="G2" s="35" t="inlineStr">
        <is>
          <t>Gross Revenue (EUR)</t>
        </is>
      </c>
      <c r="H2" s="35" t="inlineStr">
        <is>
          <t>Operating Cost (EUR)</t>
        </is>
      </c>
      <c r="I2" s="35" t="inlineStr">
        <is>
          <t>Net Cash Flow (EUR)</t>
        </is>
      </c>
      <c r="J2" s="35" t="inlineStr">
        <is>
          <t>Cumulative (EUR)</t>
        </is>
      </c>
      <c r="K2" s="35" t="inlineStr">
        <is>
          <t>BESS Fill %</t>
        </is>
      </c>
      <c r="L2" s="35" t="inlineStr">
        <is>
          <t>Cycles This Year</t>
        </is>
      </c>
    </row>
    <row r="3">
      <c r="A3" s="36" t="n">
        <v>0</v>
      </c>
      <c r="B3" s="36" t="n"/>
      <c r="C3" s="36" t="n"/>
      <c r="D3" s="36" t="n"/>
      <c r="E3" s="36" t="n"/>
      <c r="F3" s="36" t="n"/>
      <c r="G3" s="36" t="inlineStr">
        <is>
          <t>Investment:</t>
        </is>
      </c>
      <c r="H3" s="36" t="n"/>
      <c r="I3" s="55">
        <f>-Inputs!C16</f>
        <v/>
      </c>
      <c r="J3" s="52">
        <f>I3</f>
        <v/>
      </c>
      <c r="K3" s="36" t="n"/>
      <c r="L3" s="36" t="n"/>
    </row>
    <row r="4">
      <c r="A4" s="36" t="n">
        <v>1</v>
      </c>
      <c r="B4" s="71">
        <f>SOH_Degradation!B3</f>
        <v/>
      </c>
      <c r="C4" s="51">
        <f>SOH_Degradation!C3</f>
        <v/>
      </c>
      <c r="D4" s="75" t="n">
        <v>3755</v>
      </c>
      <c r="E4" s="52" t="n">
        <v>209</v>
      </c>
      <c r="F4" s="76">
        <f>D4*Inputs!C12/100</f>
        <v/>
      </c>
      <c r="G4" s="52">
        <f>F4*(Inputs!C27-Inputs!C28)*(1+Inputs!C29/100)^(A4-1)</f>
        <v/>
      </c>
      <c r="H4" s="52">
        <f>Inputs!C22</f>
        <v/>
      </c>
      <c r="I4" s="58">
        <f>G4-H4</f>
        <v/>
      </c>
      <c r="J4" s="52">
        <f>J3+I4</f>
        <v/>
      </c>
      <c r="K4" s="71">
        <f>D4*1000/(C4*1000*365)</f>
        <v/>
      </c>
      <c r="L4" s="52">
        <f>D4/(Inputs!C9*Inputs!C11/100)</f>
        <v/>
      </c>
    </row>
    <row r="5">
      <c r="A5" s="36" t="n">
        <v>2</v>
      </c>
      <c r="B5" s="71">
        <f>SOH_Degradation!B4</f>
        <v/>
      </c>
      <c r="C5" s="51">
        <f>SOH_Degradation!C4</f>
        <v/>
      </c>
      <c r="D5" s="75" t="n">
        <v>3708.4</v>
      </c>
      <c r="E5" s="52" t="n">
        <v>415</v>
      </c>
      <c r="F5" s="76">
        <f>D5*Inputs!C12/100</f>
        <v/>
      </c>
      <c r="G5" s="52">
        <f>F5*(Inputs!C27-Inputs!C28)*(1+Inputs!C29/100)^(A5-1)</f>
        <v/>
      </c>
      <c r="H5" s="52">
        <f>Inputs!C22</f>
        <v/>
      </c>
      <c r="I5" s="58">
        <f>G5-H5</f>
        <v/>
      </c>
      <c r="J5" s="52">
        <f>J4+I5</f>
        <v/>
      </c>
      <c r="K5" s="71">
        <f>D5*1000/(C5*1000*365)</f>
        <v/>
      </c>
      <c r="L5" s="52">
        <f>D5/(Inputs!C9*Inputs!C11/100)</f>
        <v/>
      </c>
    </row>
    <row r="6">
      <c r="A6" s="36" t="n">
        <v>3</v>
      </c>
      <c r="B6" s="71">
        <f>SOH_Degradation!B5</f>
        <v/>
      </c>
      <c r="C6" s="51">
        <f>SOH_Degradation!C5</f>
        <v/>
      </c>
      <c r="D6" s="75" t="n">
        <v>3676.5</v>
      </c>
      <c r="E6" s="52" t="n">
        <v>619</v>
      </c>
      <c r="F6" s="76">
        <f>D6*Inputs!C12/100</f>
        <v/>
      </c>
      <c r="G6" s="52">
        <f>F6*(Inputs!C27-Inputs!C28)*(1+Inputs!C29/100)^(A6-1)</f>
        <v/>
      </c>
      <c r="H6" s="52">
        <f>Inputs!C22</f>
        <v/>
      </c>
      <c r="I6" s="58">
        <f>G6-H6</f>
        <v/>
      </c>
      <c r="J6" s="52">
        <f>J5+I6</f>
        <v/>
      </c>
      <c r="K6" s="71">
        <f>D6*1000/(C6*1000*365)</f>
        <v/>
      </c>
      <c r="L6" s="52">
        <f>D6/(Inputs!C9*Inputs!C11/100)</f>
        <v/>
      </c>
    </row>
    <row r="7">
      <c r="A7" s="36" t="n">
        <v>4</v>
      </c>
      <c r="B7" s="71">
        <f>SOH_Degradation!B6</f>
        <v/>
      </c>
      <c r="C7" s="51">
        <f>SOH_Degradation!C6</f>
        <v/>
      </c>
      <c r="D7" s="75" t="n">
        <v>3648.5</v>
      </c>
      <c r="E7" s="52" t="n">
        <v>822</v>
      </c>
      <c r="F7" s="76">
        <f>D7*Inputs!C12/100</f>
        <v/>
      </c>
      <c r="G7" s="52">
        <f>F7*(Inputs!C27-Inputs!C28)*(1+Inputs!C29/100)^(A7-1)</f>
        <v/>
      </c>
      <c r="H7" s="52">
        <f>Inputs!C22</f>
        <v/>
      </c>
      <c r="I7" s="58">
        <f>G7-H7</f>
        <v/>
      </c>
      <c r="J7" s="52">
        <f>J6+I7</f>
        <v/>
      </c>
      <c r="K7" s="71">
        <f>D7*1000/(C7*1000*365)</f>
        <v/>
      </c>
      <c r="L7" s="52">
        <f>D7/(Inputs!C9*Inputs!C11/100)</f>
        <v/>
      </c>
    </row>
    <row r="8">
      <c r="A8" s="36" t="n">
        <v>5</v>
      </c>
      <c r="B8" s="71">
        <f>SOH_Degradation!B7</f>
        <v/>
      </c>
      <c r="C8" s="51">
        <f>SOH_Degradation!C7</f>
        <v/>
      </c>
      <c r="D8" s="75" t="n">
        <v>3619.8</v>
      </c>
      <c r="E8" s="52" t="n">
        <v>1023</v>
      </c>
      <c r="F8" s="76">
        <f>D8*Inputs!C12/100</f>
        <v/>
      </c>
      <c r="G8" s="52">
        <f>F8*(Inputs!C27-Inputs!C28)*(1+Inputs!C29/100)^(A8-1)</f>
        <v/>
      </c>
      <c r="H8" s="52">
        <f>Inputs!C22</f>
        <v/>
      </c>
      <c r="I8" s="59">
        <f>G8-H8</f>
        <v/>
      </c>
      <c r="J8" s="59">
        <f>J7+I8</f>
        <v/>
      </c>
      <c r="K8" s="71">
        <f>D8*1000/(C8*1000*365)</f>
        <v/>
      </c>
      <c r="L8" s="52">
        <f>D8/(Inputs!C9*Inputs!C11/100)</f>
        <v/>
      </c>
    </row>
    <row r="9">
      <c r="A9" s="36" t="n">
        <v>6</v>
      </c>
      <c r="B9" s="71">
        <f>SOH_Degradation!B8</f>
        <v/>
      </c>
      <c r="C9" s="51">
        <f>SOH_Degradation!C8</f>
        <v/>
      </c>
      <c r="D9" s="75" t="n">
        <v>3592.9</v>
      </c>
      <c r="E9" s="52" t="n">
        <v>1222</v>
      </c>
      <c r="F9" s="76">
        <f>D9*Inputs!C12/100</f>
        <v/>
      </c>
      <c r="G9" s="52">
        <f>F9*(Inputs!C27-Inputs!C28)*(1+Inputs!C29/100)^(A9-1)</f>
        <v/>
      </c>
      <c r="H9" s="52">
        <f>Inputs!C23</f>
        <v/>
      </c>
      <c r="I9" s="59">
        <f>G9-H9</f>
        <v/>
      </c>
      <c r="J9" s="59">
        <f>J8+I9</f>
        <v/>
      </c>
      <c r="K9" s="71">
        <f>D9*1000/(C9*1000*365)</f>
        <v/>
      </c>
      <c r="L9" s="52">
        <f>D9/(Inputs!C9*Inputs!C11/100)</f>
        <v/>
      </c>
    </row>
    <row r="10">
      <c r="A10" s="36" t="n">
        <v>7</v>
      </c>
      <c r="B10" s="71">
        <f>SOH_Degradation!B9</f>
        <v/>
      </c>
      <c r="C10" s="51">
        <f>SOH_Degradation!C9</f>
        <v/>
      </c>
      <c r="D10" s="75" t="n">
        <v>3565.2</v>
      </c>
      <c r="E10" s="52" t="n">
        <v>1420</v>
      </c>
      <c r="F10" s="76">
        <f>D10*Inputs!C12/100</f>
        <v/>
      </c>
      <c r="G10" s="52">
        <f>F10*(Inputs!C27-Inputs!C28)*(1+Inputs!C29/100)^(A10-1)</f>
        <v/>
      </c>
      <c r="H10" s="52">
        <f>Inputs!C23</f>
        <v/>
      </c>
      <c r="I10" s="59">
        <f>G10-H10</f>
        <v/>
      </c>
      <c r="J10" s="59">
        <f>J9+I10</f>
        <v/>
      </c>
      <c r="K10" s="71">
        <f>D10*1000/(C10*1000*365)</f>
        <v/>
      </c>
      <c r="L10" s="52">
        <f>D10/(Inputs!C9*Inputs!C11/100)</f>
        <v/>
      </c>
    </row>
    <row r="11">
      <c r="A11" s="36" t="n">
        <v>8</v>
      </c>
      <c r="B11" s="71">
        <f>SOH_Degradation!B10</f>
        <v/>
      </c>
      <c r="C11" s="51">
        <f>SOH_Degradation!C10</f>
        <v/>
      </c>
      <c r="D11" s="75" t="n">
        <v>3536.3</v>
      </c>
      <c r="E11" s="52" t="n">
        <v>1617</v>
      </c>
      <c r="F11" s="76">
        <f>D11*Inputs!C12/100</f>
        <v/>
      </c>
      <c r="G11" s="52">
        <f>F11*(Inputs!C27-Inputs!C28)*(1+Inputs!C29/100)^(A11-1)</f>
        <v/>
      </c>
      <c r="H11" s="52">
        <f>Inputs!C23</f>
        <v/>
      </c>
      <c r="I11" s="59">
        <f>G11-H11</f>
        <v/>
      </c>
      <c r="J11" s="59">
        <f>J10+I11</f>
        <v/>
      </c>
      <c r="K11" s="71">
        <f>D11*1000/(C11*1000*365)</f>
        <v/>
      </c>
      <c r="L11" s="52">
        <f>D11/(Inputs!C9*Inputs!C11/100)</f>
        <v/>
      </c>
    </row>
    <row r="12">
      <c r="A12" s="36" t="n">
        <v>9</v>
      </c>
      <c r="B12" s="71">
        <f>SOH_Degradation!B11</f>
        <v/>
      </c>
      <c r="C12" s="51">
        <f>SOH_Degradation!C11</f>
        <v/>
      </c>
      <c r="D12" s="75" t="n">
        <v>3506.2</v>
      </c>
      <c r="E12" s="52" t="n">
        <v>1812</v>
      </c>
      <c r="F12" s="76">
        <f>D12*Inputs!C12/100</f>
        <v/>
      </c>
      <c r="G12" s="52">
        <f>F12*(Inputs!C27-Inputs!C28)*(1+Inputs!C29/100)^(A12-1)</f>
        <v/>
      </c>
      <c r="H12" s="52">
        <f>Inputs!C23</f>
        <v/>
      </c>
      <c r="I12" s="59">
        <f>G12-H12</f>
        <v/>
      </c>
      <c r="J12" s="59">
        <f>J11+I12</f>
        <v/>
      </c>
      <c r="K12" s="71">
        <f>D12*1000/(C12*1000*365)</f>
        <v/>
      </c>
      <c r="L12" s="52">
        <f>D12/(Inputs!C9*Inputs!C11/100)</f>
        <v/>
      </c>
    </row>
    <row r="13">
      <c r="A13" s="36" t="n">
        <v>10</v>
      </c>
      <c r="B13" s="71">
        <f>SOH_Degradation!B12</f>
        <v/>
      </c>
      <c r="C13" s="51">
        <f>SOH_Degradation!C12</f>
        <v/>
      </c>
      <c r="D13" s="75" t="n">
        <v>3475.3</v>
      </c>
      <c r="E13" s="52" t="n">
        <v>2005</v>
      </c>
      <c r="F13" s="76">
        <f>D13*Inputs!C12/100</f>
        <v/>
      </c>
      <c r="G13" s="52">
        <f>F13*(Inputs!C27-Inputs!C28)*(1+Inputs!C29/100)^(A13-1)</f>
        <v/>
      </c>
      <c r="H13" s="52">
        <f>Inputs!C23</f>
        <v/>
      </c>
      <c r="I13" s="59">
        <f>G13-H13</f>
        <v/>
      </c>
      <c r="J13" s="59">
        <f>J12+I13</f>
        <v/>
      </c>
      <c r="K13" s="71">
        <f>D13*1000/(C13*1000*365)</f>
        <v/>
      </c>
      <c r="L13" s="52">
        <f>D13/(Inputs!C9*Inputs!C11/100)</f>
        <v/>
      </c>
    </row>
    <row r="14">
      <c r="A14" s="36" t="n">
        <v>11</v>
      </c>
      <c r="B14" s="71">
        <f>SOH_Degradation!B13</f>
        <v/>
      </c>
      <c r="C14" s="51">
        <f>SOH_Degradation!C13</f>
        <v/>
      </c>
      <c r="D14" s="75" t="n">
        <v>3448.1</v>
      </c>
      <c r="E14" s="52" t="n">
        <v>2196</v>
      </c>
      <c r="F14" s="76">
        <f>D14*Inputs!C12/100</f>
        <v/>
      </c>
      <c r="G14" s="52">
        <f>F14*(Inputs!C27-Inputs!C28)*(1+Inputs!C29/100)^(A14-1)</f>
        <v/>
      </c>
      <c r="H14" s="52">
        <f>Inputs!C24</f>
        <v/>
      </c>
      <c r="I14" s="59">
        <f>G14-H14</f>
        <v/>
      </c>
      <c r="J14" s="59">
        <f>J13+I14</f>
        <v/>
      </c>
      <c r="K14" s="71">
        <f>D14*1000/(C14*1000*365)</f>
        <v/>
      </c>
      <c r="L14" s="52">
        <f>D14/(Inputs!C9*Inputs!C11/100)</f>
        <v/>
      </c>
    </row>
    <row r="15">
      <c r="A15" s="36" t="n">
        <v>12</v>
      </c>
      <c r="B15" s="71">
        <f>SOH_Degradation!B14</f>
        <v/>
      </c>
      <c r="C15" s="51">
        <f>SOH_Degradation!C14</f>
        <v/>
      </c>
      <c r="D15" s="75" t="n">
        <v>3420.4</v>
      </c>
      <c r="E15" s="52" t="n">
        <v>2386</v>
      </c>
      <c r="F15" s="76">
        <f>D15*Inputs!C12/100</f>
        <v/>
      </c>
      <c r="G15" s="52">
        <f>F15*(Inputs!C27-Inputs!C28)*(1+Inputs!C29/100)^(A15-1)</f>
        <v/>
      </c>
      <c r="H15" s="52">
        <f>Inputs!C24</f>
        <v/>
      </c>
      <c r="I15" s="59">
        <f>G15-H15</f>
        <v/>
      </c>
      <c r="J15" s="59">
        <f>J14+I15</f>
        <v/>
      </c>
      <c r="K15" s="71">
        <f>D15*1000/(C15*1000*365)</f>
        <v/>
      </c>
      <c r="L15" s="52">
        <f>D15/(Inputs!C9*Inputs!C11/100)</f>
        <v/>
      </c>
    </row>
    <row r="16">
      <c r="A16" s="36" t="n">
        <v>13</v>
      </c>
      <c r="B16" s="71">
        <f>SOH_Degradation!B15</f>
        <v/>
      </c>
      <c r="C16" s="51">
        <f>SOH_Degradation!C15</f>
        <v/>
      </c>
      <c r="D16" s="75" t="n">
        <v>3391.8</v>
      </c>
      <c r="E16" s="52" t="n">
        <v>2575</v>
      </c>
      <c r="F16" s="76">
        <f>D16*Inputs!C12/100</f>
        <v/>
      </c>
      <c r="G16" s="52">
        <f>F16*(Inputs!C27-Inputs!C28)*(1+Inputs!C29/100)^(A16-1)</f>
        <v/>
      </c>
      <c r="H16" s="52">
        <f>Inputs!C24</f>
        <v/>
      </c>
      <c r="I16" s="59">
        <f>G16-H16</f>
        <v/>
      </c>
      <c r="J16" s="59">
        <f>J15+I16</f>
        <v/>
      </c>
      <c r="K16" s="71">
        <f>D16*1000/(C16*1000*365)</f>
        <v/>
      </c>
      <c r="L16" s="52">
        <f>D16/(Inputs!C9*Inputs!C11/100)</f>
        <v/>
      </c>
    </row>
    <row r="17">
      <c r="A17" s="36" t="n">
        <v>14</v>
      </c>
      <c r="B17" s="71">
        <f>SOH_Degradation!B16</f>
        <v/>
      </c>
      <c r="C17" s="51">
        <f>SOH_Degradation!C16</f>
        <v/>
      </c>
      <c r="D17" s="75" t="n">
        <v>3362.7</v>
      </c>
      <c r="E17" s="52" t="n">
        <v>2761</v>
      </c>
      <c r="F17" s="76">
        <f>D17*Inputs!C12/100</f>
        <v/>
      </c>
      <c r="G17" s="52">
        <f>F17*(Inputs!C27-Inputs!C28)*(1+Inputs!C29/100)^(A17-1)</f>
        <v/>
      </c>
      <c r="H17" s="52">
        <f>Inputs!C24</f>
        <v/>
      </c>
      <c r="I17" s="59">
        <f>G17-H17</f>
        <v/>
      </c>
      <c r="J17" s="59">
        <f>J16+I17</f>
        <v/>
      </c>
      <c r="K17" s="71">
        <f>D17*1000/(C17*1000*365)</f>
        <v/>
      </c>
      <c r="L17" s="52">
        <f>D17/(Inputs!C9*Inputs!C11/100)</f>
        <v/>
      </c>
    </row>
    <row r="18">
      <c r="A18" s="36" t="n">
        <v>15</v>
      </c>
      <c r="B18" s="71">
        <f>SOH_Degradation!B17</f>
        <v/>
      </c>
      <c r="C18" s="51">
        <f>SOH_Degradation!C17</f>
        <v/>
      </c>
      <c r="D18" s="75" t="n">
        <v>3333</v>
      </c>
      <c r="E18" s="52" t="n">
        <v>2947</v>
      </c>
      <c r="F18" s="76">
        <f>D18*Inputs!C12/100</f>
        <v/>
      </c>
      <c r="G18" s="52">
        <f>F18*(Inputs!C27-Inputs!C28)*(1+Inputs!C29/100)^(A18-1)</f>
        <v/>
      </c>
      <c r="H18" s="52">
        <f>Inputs!C24</f>
        <v/>
      </c>
      <c r="I18" s="59">
        <f>G18-H18</f>
        <v/>
      </c>
      <c r="J18" s="59">
        <f>J17+I18</f>
        <v/>
      </c>
      <c r="K18" s="71">
        <f>D18*1000/(C18*1000*365)</f>
        <v/>
      </c>
      <c r="L18" s="52">
        <f>D18/(Inputs!C9*Inputs!C11/100)</f>
        <v/>
      </c>
    </row>
    <row r="20">
      <c r="A20" s="12" t="inlineStr">
        <is>
          <t>TOTALS</t>
        </is>
      </c>
      <c r="D20" s="54">
        <f>SUM(D4:D18)</f>
        <v/>
      </c>
      <c r="F20" s="54">
        <f>SUM(F4:F18)</f>
        <v/>
      </c>
      <c r="G20" s="54">
        <f>SUM(G4:G18)</f>
        <v/>
      </c>
      <c r="H20" s="54">
        <f>SUM(H4:H18)</f>
        <v/>
      </c>
      <c r="I20" s="6">
        <f>SUM(I4:I18)</f>
        <v/>
      </c>
      <c r="L20" s="54">
        <f>SUM(L4:L18)</f>
        <v/>
      </c>
    </row>
  </sheetData>
  <mergeCells count="1">
    <mergeCell ref="A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2026-02-20T08:59:29Z</dcterms:created>
  <dcterms:modified xmlns:dcterms="http://purl.org/dc/terms/" xmlns:xsi="http://www.w3.org/2001/XMLSchema-instance" xsi:type="dcterms:W3CDTF">2026-02-20T09:16:28Z</dcterms:modified>
</cp:coreProperties>
</file>