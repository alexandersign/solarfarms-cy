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8_{646C6087-09CF-41EA-9949-2851966DCA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" i="1" l="1"/>
  <c r="G34" i="1"/>
</calcChain>
</file>

<file path=xl/sharedStrings.xml><?xml version="1.0" encoding="utf-8"?>
<sst xmlns="http://schemas.openxmlformats.org/spreadsheetml/2006/main" count="39" uniqueCount="39">
  <si>
    <t>Plant Report_Galascope 2.5</t>
  </si>
  <si>
    <t>Statistical Period</t>
  </si>
  <si>
    <t>Total String Capacity (kWp)</t>
  </si>
  <si>
    <t>Global Irradiation (kWh/㎡)</t>
  </si>
  <si>
    <t>Sun Hours (H)</t>
  </si>
  <si>
    <t>Average Temperature(°C)</t>
  </si>
  <si>
    <t>PV Yield (kWh)</t>
  </si>
  <si>
    <t>Loss Due to Export Limitation (kWh)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</si>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</sst>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_ "/>
  </numFmts>
  <fonts count="5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b/>
      <sz val="11"/>
      <color theme="1"/>
      <name val="Calibri"/>
      <family val="3"/>
      <charset val="134"/>
      <scheme val="minor"/>
    </font>
    <font>
      <b/>
      <sz val="11"/>
      <color theme="1"/>
      <name val="Calibri"/>
      <family val="2"/>
      <charset val="161"/>
      <scheme val="minor"/>
    </font>
    <font>
      <b/>
      <sz val="16"/>
      <color theme="1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F4E4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2" borderId="2" xfId="0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3" fontId="0" fillId="0" borderId="0" xfId="0" applyNumberFormat="1">
      <alignment vertical="center"/>
    </xf>
    <xf numFmtId="164" fontId="0" fillId="0" borderId="3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3" fontId="0" fillId="0" borderId="10" xfId="0" applyNumberFormat="1" applyBorder="1" applyAlignment="1">
      <alignment horizontal="center" vertical="center"/>
    </xf>
    <xf numFmtId="3" fontId="3" fillId="0" borderId="9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tabSelected="1" workbookViewId="0">
      <selection activeCell="M6" sqref="M6"/>
    </sheetView>
  </sheetViews>
  <sheetFormatPr defaultColWidth="9" defaultRowHeight="14.4"/>
  <cols>
    <col min="1" max="4" width="12.77734375" customWidth="1"/>
    <col min="5" max="5" width="12.77734375" hidden="1" customWidth="1"/>
    <col min="6" max="6" width="12.77734375" style="3" customWidth="1"/>
    <col min="7" max="7" width="15.77734375" style="3" customWidth="1"/>
  </cols>
  <sheetData>
    <row r="1" spans="1:7" ht="24.9" customHeight="1">
      <c r="A1" s="14" t="s">
        <v>0</v>
      </c>
      <c r="B1" s="14"/>
      <c r="C1" s="14"/>
      <c r="D1" s="14"/>
      <c r="E1" s="14"/>
      <c r="F1" s="14"/>
      <c r="G1" s="14"/>
    </row>
    <row r="2" spans="1:7" ht="49.2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2" t="s">
        <v>6</v>
      </c>
      <c r="G2" s="2" t="s">
        <v>7</v>
      </c>
    </row>
    <row r="3" spans="1:7" ht="21" customHeight="1">
      <c r="A3" s="4" t="s">
        <v>8</v>
      </c>
      <c r="B3" s="5">
        <v>2512.3000000000002</v>
      </c>
      <c r="C3" s="5">
        <v>10.276</v>
      </c>
      <c r="D3" s="5">
        <v>13.583</v>
      </c>
      <c r="E3" s="5">
        <v>14.404999999999999</v>
      </c>
      <c r="F3" s="6">
        <v>11981.93</v>
      </c>
      <c r="G3" s="6">
        <v>10650.212</v>
      </c>
    </row>
    <row r="4" spans="1:7" ht="21" customHeight="1">
      <c r="A4" s="7" t="s">
        <v>9</v>
      </c>
      <c r="B4" s="8">
        <v>2512.3000000000002</v>
      </c>
      <c r="C4" s="8">
        <v>10.185</v>
      </c>
      <c r="D4" s="8">
        <v>13.5</v>
      </c>
      <c r="E4" s="8">
        <v>15.15</v>
      </c>
      <c r="F4" s="9">
        <v>15221.4</v>
      </c>
      <c r="G4" s="9">
        <v>6930.68</v>
      </c>
    </row>
    <row r="5" spans="1:7" ht="21" customHeight="1">
      <c r="A5" s="7" t="s">
        <v>10</v>
      </c>
      <c r="B5" s="8">
        <v>2512.3000000000002</v>
      </c>
      <c r="C5" s="8">
        <v>10.194000000000001</v>
      </c>
      <c r="D5" s="8">
        <v>13.5</v>
      </c>
      <c r="E5" s="8">
        <v>14.916</v>
      </c>
      <c r="F5" s="9">
        <v>18304.97</v>
      </c>
      <c r="G5" s="9">
        <v>3989.0329999999999</v>
      </c>
    </row>
    <row r="6" spans="1:7" ht="21" customHeight="1">
      <c r="A6" s="7" t="s">
        <v>11</v>
      </c>
      <c r="B6" s="8">
        <v>2512.3000000000002</v>
      </c>
      <c r="C6" s="8">
        <v>10.416</v>
      </c>
      <c r="D6" s="8">
        <v>13.583</v>
      </c>
      <c r="E6" s="8">
        <v>14.676</v>
      </c>
      <c r="F6" s="9">
        <v>14913.38</v>
      </c>
      <c r="G6" s="9">
        <v>8245.7340000000004</v>
      </c>
    </row>
    <row r="7" spans="1:7" ht="21" customHeight="1">
      <c r="A7" s="7" t="s">
        <v>12</v>
      </c>
      <c r="B7" s="8">
        <v>2512.3000000000002</v>
      </c>
      <c r="C7" s="8">
        <v>10.504</v>
      </c>
      <c r="D7" s="8">
        <v>13.5</v>
      </c>
      <c r="E7" s="8">
        <v>14.542999999999999</v>
      </c>
      <c r="F7" s="9">
        <v>12702.5</v>
      </c>
      <c r="G7" s="9">
        <v>10639.978999999999</v>
      </c>
    </row>
    <row r="8" spans="1:7" ht="21" customHeight="1">
      <c r="A8" s="7" t="s">
        <v>13</v>
      </c>
      <c r="B8" s="8">
        <v>2512.3000000000002</v>
      </c>
      <c r="C8" s="8">
        <v>10.476000000000001</v>
      </c>
      <c r="D8" s="8">
        <v>13.5</v>
      </c>
      <c r="E8" s="8">
        <v>15.013</v>
      </c>
      <c r="F8" s="9">
        <v>12148.92</v>
      </c>
      <c r="G8" s="9">
        <v>11000.455</v>
      </c>
    </row>
    <row r="9" spans="1:7" ht="21" customHeight="1">
      <c r="A9" s="7" t="s">
        <v>14</v>
      </c>
      <c r="B9" s="8">
        <v>2512.3000000000002</v>
      </c>
      <c r="C9" s="8">
        <v>10.335000000000001</v>
      </c>
      <c r="D9" s="8">
        <v>13.667</v>
      </c>
      <c r="E9" s="8">
        <v>15.654999999999999</v>
      </c>
      <c r="F9" s="9">
        <v>20285.12</v>
      </c>
      <c r="G9" s="9">
        <v>1667.5840000000001</v>
      </c>
    </row>
    <row r="10" spans="1:7" ht="21" customHeight="1">
      <c r="A10" s="7" t="s">
        <v>15</v>
      </c>
      <c r="B10" s="8">
        <v>2512.3000000000002</v>
      </c>
      <c r="C10" s="8">
        <v>9.8840000000000003</v>
      </c>
      <c r="D10" s="8">
        <v>13.583</v>
      </c>
      <c r="E10" s="8">
        <v>14.868</v>
      </c>
      <c r="F10" s="9">
        <v>20834.41</v>
      </c>
      <c r="G10" s="9">
        <v>410.28</v>
      </c>
    </row>
    <row r="11" spans="1:7" ht="21" customHeight="1">
      <c r="A11" s="7" t="s">
        <v>16</v>
      </c>
      <c r="B11" s="8">
        <v>2512.3000000000002</v>
      </c>
      <c r="C11" s="8">
        <v>9.718</v>
      </c>
      <c r="D11" s="8">
        <v>13.333</v>
      </c>
      <c r="E11" s="8">
        <v>13.959</v>
      </c>
      <c r="F11" s="9">
        <v>18989.240000000002</v>
      </c>
      <c r="G11" s="9">
        <v>2523.1779999999999</v>
      </c>
    </row>
    <row r="12" spans="1:7" ht="21" customHeight="1">
      <c r="A12" s="7" t="s">
        <v>17</v>
      </c>
      <c r="B12" s="8">
        <v>2512.3000000000002</v>
      </c>
      <c r="C12" s="8">
        <v>9.2639999999999993</v>
      </c>
      <c r="D12" s="8">
        <v>13.083</v>
      </c>
      <c r="E12" s="8">
        <v>14.28</v>
      </c>
      <c r="F12" s="9">
        <v>19971.21</v>
      </c>
      <c r="G12" s="9">
        <v>235.34800000000001</v>
      </c>
    </row>
    <row r="13" spans="1:7" ht="21" customHeight="1">
      <c r="A13" s="7" t="s">
        <v>18</v>
      </c>
      <c r="B13" s="8">
        <v>2512.3000000000002</v>
      </c>
      <c r="C13" s="8">
        <v>9.7080000000000002</v>
      </c>
      <c r="D13" s="8">
        <v>13.167</v>
      </c>
      <c r="E13" s="8">
        <v>14.526999999999999</v>
      </c>
      <c r="F13" s="9">
        <v>16325.32</v>
      </c>
      <c r="G13" s="9">
        <v>1561.4110000000001</v>
      </c>
    </row>
    <row r="14" spans="1:7" ht="21" customHeight="1">
      <c r="A14" s="7" t="s">
        <v>19</v>
      </c>
      <c r="B14" s="8">
        <v>2512.3000000000002</v>
      </c>
      <c r="C14" s="8">
        <v>9.2690000000000001</v>
      </c>
      <c r="D14" s="8">
        <v>13.167</v>
      </c>
      <c r="E14" s="8">
        <v>14.446</v>
      </c>
      <c r="F14" s="9">
        <v>4290.1899999999996</v>
      </c>
      <c r="G14" s="9">
        <v>5670.5879999999997</v>
      </c>
    </row>
    <row r="15" spans="1:7" ht="21" customHeight="1">
      <c r="A15" s="7" t="s">
        <v>20</v>
      </c>
      <c r="B15" s="8">
        <v>2512.3000000000002</v>
      </c>
      <c r="C15" s="8">
        <v>9.9879999999999995</v>
      </c>
      <c r="D15" s="8">
        <v>13.333</v>
      </c>
      <c r="E15" s="8">
        <v>14.481999999999999</v>
      </c>
      <c r="F15" s="9">
        <v>9965.4</v>
      </c>
      <c r="G15" s="9">
        <v>12062.217000000001</v>
      </c>
    </row>
    <row r="16" spans="1:7" ht="21" customHeight="1">
      <c r="A16" s="7" t="s">
        <v>21</v>
      </c>
      <c r="B16" s="8">
        <v>2512.3000000000002</v>
      </c>
      <c r="C16" s="8">
        <v>9.0459999999999994</v>
      </c>
      <c r="D16" s="8">
        <v>13.167</v>
      </c>
      <c r="E16" s="8">
        <v>13.849</v>
      </c>
      <c r="F16" s="9">
        <v>14304.7</v>
      </c>
      <c r="G16" s="9">
        <v>5768.8109999999997</v>
      </c>
    </row>
    <row r="17" spans="1:7" ht="21" customHeight="1">
      <c r="A17" s="7" t="s">
        <v>22</v>
      </c>
      <c r="B17" s="8">
        <v>2512.3000000000002</v>
      </c>
      <c r="C17" s="8">
        <v>8.4550000000000001</v>
      </c>
      <c r="D17" s="8">
        <v>12.833</v>
      </c>
      <c r="E17" s="8">
        <v>13.907</v>
      </c>
      <c r="F17" s="9">
        <v>18441.2</v>
      </c>
      <c r="G17" s="9">
        <v>318.35199999999998</v>
      </c>
    </row>
    <row r="18" spans="1:7" ht="21" customHeight="1">
      <c r="A18" s="7" t="s">
        <v>23</v>
      </c>
      <c r="B18" s="8">
        <v>2512.3000000000002</v>
      </c>
      <c r="C18" s="8">
        <v>7.1159999999999997</v>
      </c>
      <c r="D18" s="8">
        <v>12.5</v>
      </c>
      <c r="E18" s="8">
        <v>14.193</v>
      </c>
      <c r="F18" s="9">
        <v>14012.45</v>
      </c>
      <c r="G18" s="9">
        <v>1647.4639999999999</v>
      </c>
    </row>
    <row r="19" spans="1:7" ht="21" customHeight="1">
      <c r="A19" s="7" t="s">
        <v>24</v>
      </c>
      <c r="B19" s="8">
        <v>2512.3000000000002</v>
      </c>
      <c r="C19" s="8">
        <v>8.14</v>
      </c>
      <c r="D19" s="8">
        <v>12.75</v>
      </c>
      <c r="E19" s="8">
        <v>14.686999999999999</v>
      </c>
      <c r="F19" s="9">
        <v>17680.25</v>
      </c>
      <c r="G19" s="9"/>
    </row>
    <row r="20" spans="1:7" ht="21" customHeight="1">
      <c r="A20" s="7" t="s">
        <v>25</v>
      </c>
      <c r="B20" s="8">
        <v>2512.3000000000002</v>
      </c>
      <c r="C20" s="8">
        <v>9.1549999999999994</v>
      </c>
      <c r="D20" s="8">
        <v>13</v>
      </c>
      <c r="E20" s="8">
        <v>14.843</v>
      </c>
      <c r="F20" s="9">
        <v>14897.38</v>
      </c>
      <c r="G20" s="9">
        <v>5442.8879999999999</v>
      </c>
    </row>
    <row r="21" spans="1:7" ht="21" customHeight="1">
      <c r="A21" s="7" t="s">
        <v>26</v>
      </c>
      <c r="B21" s="8">
        <v>2512.3000000000002</v>
      </c>
      <c r="C21" s="8">
        <v>9.1579999999999995</v>
      </c>
      <c r="D21" s="8">
        <v>13.167</v>
      </c>
      <c r="E21" s="8">
        <v>14.53</v>
      </c>
      <c r="F21" s="9">
        <v>12799.28</v>
      </c>
      <c r="G21" s="9">
        <v>7597.6419999999998</v>
      </c>
    </row>
    <row r="22" spans="1:7" ht="21" customHeight="1">
      <c r="A22" s="7" t="s">
        <v>27</v>
      </c>
      <c r="B22" s="8">
        <v>2512.3000000000002</v>
      </c>
      <c r="C22" s="8">
        <v>8.9190000000000005</v>
      </c>
      <c r="D22" s="8">
        <v>12.917</v>
      </c>
      <c r="E22" s="8">
        <v>14.564</v>
      </c>
      <c r="F22" s="9">
        <v>14317.61</v>
      </c>
      <c r="G22" s="9">
        <v>5501.6610000000001</v>
      </c>
    </row>
    <row r="23" spans="1:7" ht="21" customHeight="1">
      <c r="A23" s="7" t="s">
        <v>28</v>
      </c>
      <c r="B23" s="8">
        <v>2512.3000000000002</v>
      </c>
      <c r="C23" s="8">
        <v>8.6300000000000008</v>
      </c>
      <c r="D23" s="8">
        <v>12.917</v>
      </c>
      <c r="E23" s="8">
        <v>14.8</v>
      </c>
      <c r="F23" s="9">
        <v>18122.43</v>
      </c>
      <c r="G23" s="9">
        <v>569.77800000000002</v>
      </c>
    </row>
    <row r="24" spans="1:7" ht="21" customHeight="1">
      <c r="A24" s="7" t="s">
        <v>29</v>
      </c>
      <c r="B24" s="8">
        <v>2512.3000000000002</v>
      </c>
      <c r="C24" s="8">
        <v>9</v>
      </c>
      <c r="D24" s="8">
        <v>12.917</v>
      </c>
      <c r="E24" s="8">
        <v>15.391999999999999</v>
      </c>
      <c r="F24" s="9">
        <v>19275.27</v>
      </c>
      <c r="G24" s="9"/>
    </row>
    <row r="25" spans="1:7" ht="21" customHeight="1">
      <c r="A25" s="7" t="s">
        <v>30</v>
      </c>
      <c r="B25" s="8">
        <v>2512.3000000000002</v>
      </c>
      <c r="C25" s="8">
        <v>9.0030000000000001</v>
      </c>
      <c r="D25" s="8">
        <v>13.083</v>
      </c>
      <c r="E25" s="8">
        <v>16.018000000000001</v>
      </c>
      <c r="F25" s="9">
        <v>19136.39</v>
      </c>
      <c r="G25" s="9">
        <v>282.61799999999999</v>
      </c>
    </row>
    <row r="26" spans="1:7" ht="21" customHeight="1">
      <c r="A26" s="7" t="s">
        <v>31</v>
      </c>
      <c r="B26" s="8">
        <v>2512.3000000000002</v>
      </c>
      <c r="C26" s="8">
        <v>9.1890000000000001</v>
      </c>
      <c r="D26" s="8">
        <v>13</v>
      </c>
      <c r="E26" s="8">
        <v>15.689</v>
      </c>
      <c r="F26" s="9">
        <v>18441.36</v>
      </c>
      <c r="G26" s="9">
        <v>1648.444</v>
      </c>
    </row>
    <row r="27" spans="1:7" ht="21" customHeight="1">
      <c r="A27" s="7" t="s">
        <v>32</v>
      </c>
      <c r="B27" s="8">
        <v>2512.3000000000002</v>
      </c>
      <c r="C27" s="8">
        <v>9.3740000000000006</v>
      </c>
      <c r="D27" s="8">
        <v>12.917</v>
      </c>
      <c r="E27" s="8">
        <v>15.694000000000001</v>
      </c>
      <c r="F27" s="9">
        <v>19631.810000000001</v>
      </c>
      <c r="G27" s="9"/>
    </row>
    <row r="28" spans="1:7" ht="21" customHeight="1">
      <c r="A28" s="7" t="s">
        <v>33</v>
      </c>
      <c r="B28" s="8">
        <v>2512.3000000000002</v>
      </c>
      <c r="C28" s="8">
        <v>8.7279999999999998</v>
      </c>
      <c r="D28" s="8">
        <v>12.833</v>
      </c>
      <c r="E28" s="8">
        <v>16.001000000000001</v>
      </c>
      <c r="F28" s="9">
        <v>18668.740000000002</v>
      </c>
      <c r="G28" s="9">
        <v>296.65800000000002</v>
      </c>
    </row>
    <row r="29" spans="1:7" ht="21" customHeight="1">
      <c r="A29" s="7" t="s">
        <v>34</v>
      </c>
      <c r="B29" s="8">
        <v>2512.3000000000002</v>
      </c>
      <c r="C29" s="8">
        <v>8.92</v>
      </c>
      <c r="D29" s="8">
        <v>12.917</v>
      </c>
      <c r="E29" s="8">
        <v>15.41</v>
      </c>
      <c r="F29" s="9">
        <v>15947.6</v>
      </c>
      <c r="G29" s="9">
        <v>3795.7139999999999</v>
      </c>
    </row>
    <row r="30" spans="1:7" ht="21" customHeight="1">
      <c r="A30" s="7" t="s">
        <v>35</v>
      </c>
      <c r="B30" s="8">
        <v>2512.3000000000002</v>
      </c>
      <c r="C30" s="8">
        <v>9.0640000000000001</v>
      </c>
      <c r="D30" s="8">
        <v>12.917</v>
      </c>
      <c r="E30" s="8">
        <v>15.145</v>
      </c>
      <c r="F30" s="9">
        <v>19038.88</v>
      </c>
      <c r="G30" s="9">
        <v>770.63400000000001</v>
      </c>
    </row>
    <row r="31" spans="1:7" ht="21" customHeight="1">
      <c r="A31" s="7" t="s">
        <v>36</v>
      </c>
      <c r="B31" s="8">
        <v>2512.3000000000002</v>
      </c>
      <c r="C31" s="8">
        <v>8.0719999999999992</v>
      </c>
      <c r="D31" s="8">
        <v>12.75</v>
      </c>
      <c r="E31" s="8">
        <v>15.042999999999999</v>
      </c>
      <c r="F31" s="9">
        <v>16003.36</v>
      </c>
      <c r="G31" s="9">
        <v>1719.6310000000001</v>
      </c>
    </row>
    <row r="32" spans="1:7" ht="21" customHeight="1">
      <c r="A32" s="7" t="s">
        <v>37</v>
      </c>
      <c r="B32" s="8">
        <v>2512.3000000000002</v>
      </c>
      <c r="C32" s="8">
        <v>7.9539999999999997</v>
      </c>
      <c r="D32" s="8">
        <v>12.75</v>
      </c>
      <c r="E32" s="8">
        <v>14.888</v>
      </c>
      <c r="F32" s="9">
        <v>10400.040000000001</v>
      </c>
      <c r="G32" s="9">
        <v>7172.0690000000004</v>
      </c>
    </row>
    <row r="33" spans="1:7" ht="21" customHeight="1" thickBot="1">
      <c r="A33" s="10" t="s">
        <v>38</v>
      </c>
      <c r="B33" s="11">
        <v>2512.3000000000002</v>
      </c>
      <c r="C33" s="11">
        <v>8.3840000000000003</v>
      </c>
      <c r="D33" s="11">
        <v>12.833</v>
      </c>
      <c r="E33" s="11">
        <v>14.948</v>
      </c>
      <c r="F33" s="12">
        <v>9746.93</v>
      </c>
      <c r="G33" s="12">
        <v>9031.4320000000007</v>
      </c>
    </row>
    <row r="34" spans="1:7" ht="21" customHeight="1" thickBot="1">
      <c r="F34" s="13">
        <f>SUM(F3:F33)</f>
        <v>486799.67</v>
      </c>
      <c r="G34" s="13">
        <f>SUM(G3:G33)</f>
        <v>127150.495</v>
      </c>
    </row>
  </sheetData>
  <mergeCells count="1">
    <mergeCell ref="A1:G1"/>
  </mergeCells>
  <phoneticPr fontId="1" type="noConversion"/>
  <printOptions horizontalCentered="1"/>
  <pageMargins left="0.31496062992125984" right="0.11811023622047245" top="0.35433070866141736" bottom="0.15748031496062992" header="0.31496062992125984" footer="0.31496062992125984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2026-02-11T13:14:11Z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(3)gCc73SDQ63LS3Xc1wMuQn/3Eljo0JwanrCTdy2K4XAs/sAGVb82zAewVLp99ZghYKZXo0FOK
IBmfjp/aOyjSFt5IwcAkLIuvlEifKhIiS7m/AdUZ+LuTKwmqDOJXdETzHQe0+xgX++4+isiC
STm3SfZacTAaCJNAr0WkfRTJJNA4LQBHcX4JcNseMxZN2rRCk5/9bdKF9V9cYCpXGCSnprRs
6u79txRZqGTT4lzY5E</vt:lpwstr>
  </property>
  <property fmtid="{D5CDD505-2E9C-101B-9397-08002B2CF9AE}" pid="3" name="_2015_ms_pID_7253431">
    <vt:lpwstr>/HoJU1/3X0Sv+0lpCejZVtozAuiFZcelu0qszveAPtbf6mbTv8jhjH
z4MIUsXy6CNrx/3pkTwLjal3t3sh3yKwheFcl/GNdQQ0BjedSeUX9ahrR67qeo6GBnvleclo
RLelazHl+ZmL6OjHz6JYZPSntYo6bip/AhbxX0uGoxytNnbZ/p9trJTWebGN3yO+7zmxqHS/
h5p96DXIDIT8sd/XXcZy43Gk234ITarScDIU</vt:lpwstr>
  </property>
  <property fmtid="{D5CDD505-2E9C-101B-9397-08002B2CF9AE}" pid="4" name="_2015_ms_pID_7253432">
    <vt:lpwstr>gA==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1725866001</vt:lpwstr>
  </property>
</Properties>
</file>