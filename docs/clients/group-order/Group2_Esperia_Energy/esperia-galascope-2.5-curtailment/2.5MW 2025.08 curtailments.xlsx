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628"/>
  <workbookPr filterPrivacy="1" defaultThemeVersion="124226"/>
  <xr:revisionPtr revIDLastSave="0" documentId="8_{AFBF105E-3BD4-4314-A0B3-B3793C8D3BCD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  <sheet name="Sheet2" sheetId="2" r:id="rId2"/>
    <sheet name="Sheet3" sheetId="3" r:id="rId3"/>
  </sheets>
  <definedNames>
    <definedName name="_xlnm.Print_Area" localSheetId="0">Sheet1!$A$1:$H$34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34" i="1" l="1"/>
  <c r="H34" i="1"/>
</calcChain>
</file>

<file path=xl/sharedStrings.xml><?xml version="1.0" encoding="utf-8"?>
<sst xmlns="http://schemas.openxmlformats.org/spreadsheetml/2006/main" count="40" uniqueCount="40">
  <si>
    <t>Plant Report_Galascope 2.5</t>
  </si>
  <si>
    <t>Statistical Period</t>
  </si>
  <si>
    <t>Total String Capacity (kWp)</t>
  </si>
  <si>
    <t>Global Irradiation (kWh/㎡)</t>
  </si>
  <si>
    <t>Sun Hours (H)</t>
  </si>
  <si>
    <t>Average Temperature(°C)</t>
  </si>
  <si>
    <t>Theoretical Yield (kWh)</t>
  </si>
  <si>
    <t>PV Yield (kWh)</t>
  </si>
  <si>
    <t>Loss Due to Export Limitation (kWh)</t>
  </si>
  <si>
    <t>2025-08-01</t>
  </si>
  <si>
    <t>2025-08-02</t>
  </si>
  <si>
    <t>2025-08-03</t>
  </si>
  <si>
    <t>2025-08-04</t>
  </si>
  <si>
    <t>2025-08-05</t>
  </si>
  <si>
    <t>2025-08-06</t>
  </si>
  <si>
    <t>2025-08-07</t>
  </si>
  <si>
    <t>2025-08-08</t>
  </si>
  <si>
    <t>2025-08-09</t>
  </si>
  <si>
    <t>2025-08-10</t>
  </si>
  <si>
    <t>2025-08-11</t>
  </si>
  <si>
    <t>2025-08-12</t>
  </si>
  <si>
    <t>2025-08-13</t>
  </si>
  <si>
    <t>2025-08-14</t>
  </si>
  <si>
    <t>2025-08-15</t>
  </si>
  <si>
    <t>2025-08-16</t>
  </si>
  <si>
    <t>2025-08-17</t>
  </si>
  <si>
    <t>2025-08-18</t>
  </si>
  <si>
    <t>2025-08-19</t>
  </si>
  <si>
    <t>2025-08-20</t>
  </si>
  <si>
    <t>2025-08-21</t>
  </si>
  <si>
    <t>2025-08-22</t>
  </si>
  <si>
    <t>2025-08-23</t>
  </si>
  <si>
    <t>2025-08-24</t>
  </si>
  <si>
    <t>2025-08-25</t>
  </si>
  <si>
    <t>2025-08-26</t>
  </si>
  <si>
    <t>2025-08-27</t>
  </si>
  <si>
    <t>2025-08-28</t>
  </si>
  <si>
    <t>2025-08-29</t>
  </si>
  <si>
    <t>2025-08-30</t>
  </si>
  <si>
    <t>2025-08-31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</si>
</sst>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00_ "/>
  </numFmts>
  <fonts count="5">
    <font>
      <sz val="11"/>
      <color theme="1"/>
      <name val="Calibri"/>
      <family val="2"/>
      <charset val="134"/>
      <scheme val="minor"/>
    </font>
    <font>
      <sz val="9"/>
      <name val="Calibri"/>
      <family val="2"/>
      <charset val="134"/>
      <scheme val="minor"/>
    </font>
    <font>
      <b/>
      <sz val="11"/>
      <color theme="1"/>
      <name val="Calibri"/>
      <family val="3"/>
      <charset val="134"/>
      <scheme val="minor"/>
    </font>
    <font>
      <b/>
      <sz val="11"/>
      <color theme="1"/>
      <name val="Calibri"/>
      <family val="2"/>
      <charset val="161"/>
      <scheme val="minor"/>
    </font>
    <font>
      <b/>
      <sz val="16"/>
      <color theme="1"/>
      <name val="Calibri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CBF4E4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/>
      <diagonal/>
    </border>
  </borders>
  <cellStyleXfs count="1">
    <xf numFmtId="0" fontId="0" fillId="0" borderId="0">
      <alignment vertical="center"/>
    </xf>
  </cellStyleXfs>
  <cellXfs count="15">
    <xf numFmtId="0" fontId="0" fillId="0" borderId="0" xfId="0">
      <alignment vertical="center"/>
    </xf>
    <xf numFmtId="0" fontId="2" fillId="2" borderId="2" xfId="0" applyFont="1" applyFill="1" applyBorder="1" applyAlignment="1">
      <alignment horizontal="center" vertical="center" wrapText="1"/>
    </xf>
    <xf numFmtId="3" fontId="2" fillId="2" borderId="2" xfId="0" applyNumberFormat="1" applyFont="1" applyFill="1" applyBorder="1" applyAlignment="1">
      <alignment horizontal="center" vertical="center" wrapText="1"/>
    </xf>
    <xf numFmtId="3" fontId="0" fillId="0" borderId="0" xfId="0" applyNumberFormat="1">
      <alignment vertical="center"/>
    </xf>
    <xf numFmtId="164" fontId="0" fillId="0" borderId="3" xfId="0" applyNumberFormat="1" applyBorder="1" applyAlignment="1">
      <alignment horizontal="center" vertical="center"/>
    </xf>
    <xf numFmtId="164" fontId="0" fillId="0" borderId="4" xfId="0" applyNumberFormat="1" applyBorder="1" applyAlignment="1">
      <alignment horizontal="center" vertical="center"/>
    </xf>
    <xf numFmtId="3" fontId="0" fillId="0" borderId="4" xfId="0" applyNumberFormat="1" applyBorder="1" applyAlignment="1">
      <alignment horizontal="center" vertical="center"/>
    </xf>
    <xf numFmtId="164" fontId="0" fillId="0" borderId="5" xfId="0" applyNumberFormat="1" applyBorder="1" applyAlignment="1">
      <alignment horizontal="center" vertical="center"/>
    </xf>
    <xf numFmtId="164" fontId="0" fillId="0" borderId="6" xfId="0" applyNumberFormat="1" applyBorder="1" applyAlignment="1">
      <alignment horizontal="center" vertical="center"/>
    </xf>
    <xf numFmtId="3" fontId="0" fillId="0" borderId="6" xfId="0" applyNumberFormat="1" applyBorder="1" applyAlignment="1">
      <alignment horizontal="center" vertical="center"/>
    </xf>
    <xf numFmtId="164" fontId="0" fillId="0" borderId="7" xfId="0" applyNumberFormat="1" applyBorder="1" applyAlignment="1">
      <alignment horizontal="center" vertical="center"/>
    </xf>
    <xf numFmtId="164" fontId="0" fillId="0" borderId="8" xfId="0" applyNumberFormat="1" applyBorder="1" applyAlignment="1">
      <alignment horizontal="center" vertical="center"/>
    </xf>
    <xf numFmtId="3" fontId="0" fillId="0" borderId="10" xfId="0" applyNumberFormat="1" applyBorder="1" applyAlignment="1">
      <alignment horizontal="center" vertical="center"/>
    </xf>
    <xf numFmtId="3" fontId="3" fillId="0" borderId="9" xfId="0" applyNumberFormat="1" applyFont="1" applyBorder="1" applyAlignment="1">
      <alignment horizontal="center" vertical="center"/>
    </xf>
    <xf numFmtId="0" fontId="4" fillId="0" borderId="1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35"/>
  <sheetViews>
    <sheetView tabSelected="1" workbookViewId="0">
      <selection activeCell="L4" sqref="L4"/>
    </sheetView>
  </sheetViews>
  <sheetFormatPr defaultColWidth="9" defaultRowHeight="14.4"/>
  <cols>
    <col min="1" max="4" width="12.77734375" customWidth="1"/>
    <col min="5" max="6" width="12.77734375" hidden="1" customWidth="1"/>
    <col min="7" max="7" width="12.77734375" style="3" customWidth="1"/>
    <col min="8" max="8" width="15.77734375" style="3" customWidth="1"/>
  </cols>
  <sheetData>
    <row r="1" spans="1:8" ht="24.9" customHeight="1">
      <c r="A1" s="14" t="s">
        <v>0</v>
      </c>
      <c r="B1" s="14"/>
      <c r="C1" s="14"/>
      <c r="D1" s="14"/>
      <c r="E1" s="14"/>
      <c r="F1" s="14"/>
      <c r="G1" s="14"/>
      <c r="H1" s="14"/>
    </row>
    <row r="2" spans="1:8" ht="45.6" customHeight="1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2" t="s">
        <v>7</v>
      </c>
      <c r="H2" s="2" t="s">
        <v>8</v>
      </c>
    </row>
    <row r="3" spans="1:8" ht="21" customHeight="1">
      <c r="A3" s="4" t="s">
        <v>9</v>
      </c>
      <c r="B3" s="5">
        <v>2512.3000000000002</v>
      </c>
      <c r="C3" s="5">
        <v>8.6240000000000006</v>
      </c>
      <c r="D3" s="5">
        <v>12.75</v>
      </c>
      <c r="E3" s="5">
        <v>14.236000000000001</v>
      </c>
      <c r="F3" s="5">
        <v>21665.098000000002</v>
      </c>
      <c r="G3" s="6">
        <v>15155.78</v>
      </c>
      <c r="H3" s="6">
        <v>4214.6120000000001</v>
      </c>
    </row>
    <row r="4" spans="1:8" ht="21" customHeight="1">
      <c r="A4" s="7" t="s">
        <v>10</v>
      </c>
      <c r="B4" s="8">
        <v>2512.3000000000002</v>
      </c>
      <c r="C4" s="8">
        <v>8.2739999999999991</v>
      </c>
      <c r="D4" s="8">
        <v>12.583</v>
      </c>
      <c r="E4" s="8">
        <v>14.552</v>
      </c>
      <c r="F4" s="8">
        <v>20787.188999999998</v>
      </c>
      <c r="G4" s="9">
        <v>13371.14</v>
      </c>
      <c r="H4" s="9">
        <v>5134.085</v>
      </c>
    </row>
    <row r="5" spans="1:8" ht="21" customHeight="1">
      <c r="A5" s="7" t="s">
        <v>11</v>
      </c>
      <c r="B5" s="8">
        <v>2512.3000000000002</v>
      </c>
      <c r="C5" s="8">
        <v>9.1289999999999996</v>
      </c>
      <c r="D5" s="8">
        <v>12.833</v>
      </c>
      <c r="E5" s="8">
        <v>13.956</v>
      </c>
      <c r="F5" s="8">
        <v>22933.81</v>
      </c>
      <c r="G5" s="9">
        <v>10548.94</v>
      </c>
      <c r="H5" s="9">
        <v>9900.4779999999992</v>
      </c>
    </row>
    <row r="6" spans="1:8" ht="21" customHeight="1">
      <c r="A6" s="7" t="s">
        <v>12</v>
      </c>
      <c r="B6" s="8">
        <v>2512.3000000000002</v>
      </c>
      <c r="C6" s="8">
        <v>8.7539999999999996</v>
      </c>
      <c r="D6" s="8">
        <v>12.75</v>
      </c>
      <c r="E6" s="8">
        <v>14.192</v>
      </c>
      <c r="F6" s="8">
        <v>21993.791000000001</v>
      </c>
      <c r="G6" s="9">
        <v>15546.74</v>
      </c>
      <c r="H6" s="9">
        <v>3953.3150000000001</v>
      </c>
    </row>
    <row r="7" spans="1:8" ht="21" customHeight="1">
      <c r="A7" s="7" t="s">
        <v>13</v>
      </c>
      <c r="B7" s="8">
        <v>2512.3000000000002</v>
      </c>
      <c r="C7" s="8">
        <v>8.3640000000000008</v>
      </c>
      <c r="D7" s="8">
        <v>12.75</v>
      </c>
      <c r="E7" s="8">
        <v>14.523</v>
      </c>
      <c r="F7" s="8">
        <v>21011.9</v>
      </c>
      <c r="G7" s="9">
        <v>14107.06</v>
      </c>
      <c r="H7" s="9">
        <v>4599.1940000000004</v>
      </c>
    </row>
    <row r="8" spans="1:8" ht="21" customHeight="1">
      <c r="A8" s="7" t="s">
        <v>14</v>
      </c>
      <c r="B8" s="8">
        <v>2512.3000000000002</v>
      </c>
      <c r="C8" s="8">
        <v>8.3949999999999996</v>
      </c>
      <c r="D8" s="8">
        <v>12.667</v>
      </c>
      <c r="E8" s="8">
        <v>14.898999999999999</v>
      </c>
      <c r="F8" s="8">
        <v>21091.455999999998</v>
      </c>
      <c r="G8" s="9">
        <v>16312.57</v>
      </c>
      <c r="H8" s="9">
        <v>2318.9789999999998</v>
      </c>
    </row>
    <row r="9" spans="1:8" ht="21" customHeight="1">
      <c r="A9" s="7" t="s">
        <v>15</v>
      </c>
      <c r="B9" s="8">
        <v>2512.3000000000002</v>
      </c>
      <c r="C9" s="8">
        <v>8.7959999999999994</v>
      </c>
      <c r="D9" s="8">
        <v>12.667</v>
      </c>
      <c r="E9" s="8">
        <v>14.871</v>
      </c>
      <c r="F9" s="8">
        <v>22097.772000000001</v>
      </c>
      <c r="G9" s="9">
        <v>17320.61</v>
      </c>
      <c r="H9" s="9">
        <v>2225.5349999999999</v>
      </c>
    </row>
    <row r="10" spans="1:8" ht="21" customHeight="1">
      <c r="A10" s="7" t="s">
        <v>16</v>
      </c>
      <c r="B10" s="8">
        <v>2512.3000000000002</v>
      </c>
      <c r="C10" s="8">
        <v>8.7639999999999993</v>
      </c>
      <c r="D10" s="8">
        <v>12.75</v>
      </c>
      <c r="E10" s="8">
        <v>15.045999999999999</v>
      </c>
      <c r="F10" s="8">
        <v>22017.518</v>
      </c>
      <c r="G10" s="9">
        <v>18881.13</v>
      </c>
      <c r="H10" s="9">
        <v>102.31</v>
      </c>
    </row>
    <row r="11" spans="1:8" ht="21" customHeight="1">
      <c r="A11" s="7" t="s">
        <v>17</v>
      </c>
      <c r="B11" s="8">
        <v>2512.3000000000002</v>
      </c>
      <c r="C11" s="8">
        <v>8.3520000000000003</v>
      </c>
      <c r="D11" s="8">
        <v>12.5</v>
      </c>
      <c r="E11" s="8">
        <v>15.967000000000001</v>
      </c>
      <c r="F11" s="8">
        <v>20983.986000000001</v>
      </c>
      <c r="G11" s="9">
        <v>16481.650000000001</v>
      </c>
      <c r="H11" s="9">
        <v>1947.8820000000001</v>
      </c>
    </row>
    <row r="12" spans="1:8" ht="21" customHeight="1">
      <c r="A12" s="7" t="s">
        <v>18</v>
      </c>
      <c r="B12" s="8">
        <v>2512.3000000000002</v>
      </c>
      <c r="C12" s="8">
        <v>8.5589999999999993</v>
      </c>
      <c r="D12" s="8">
        <v>12.5</v>
      </c>
      <c r="E12" s="8">
        <v>15.952999999999999</v>
      </c>
      <c r="F12" s="8">
        <v>21501.798999999999</v>
      </c>
      <c r="G12" s="9">
        <v>13716.94</v>
      </c>
      <c r="H12" s="9">
        <v>5225.32</v>
      </c>
    </row>
    <row r="13" spans="1:8" ht="21" customHeight="1">
      <c r="A13" s="7" t="s">
        <v>19</v>
      </c>
      <c r="B13" s="8">
        <v>2512.3000000000002</v>
      </c>
      <c r="C13" s="8">
        <v>8.2710000000000008</v>
      </c>
      <c r="D13" s="8">
        <v>12.5</v>
      </c>
      <c r="E13" s="8">
        <v>16.010000000000002</v>
      </c>
      <c r="F13" s="8">
        <v>20778.116999999998</v>
      </c>
      <c r="G13" s="9">
        <v>17641.04</v>
      </c>
      <c r="H13" s="9">
        <v>538.79899999999998</v>
      </c>
    </row>
    <row r="14" spans="1:8" ht="21" customHeight="1">
      <c r="A14" s="7" t="s">
        <v>20</v>
      </c>
      <c r="B14" s="8">
        <v>2512.3000000000002</v>
      </c>
      <c r="C14" s="8">
        <v>8.4730000000000008</v>
      </c>
      <c r="D14" s="8">
        <v>12.5</v>
      </c>
      <c r="E14" s="8">
        <v>16.937999999999999</v>
      </c>
      <c r="F14" s="8">
        <v>21286.857</v>
      </c>
      <c r="G14" s="9">
        <v>15982.92</v>
      </c>
      <c r="H14" s="9">
        <v>2738.1570000000002</v>
      </c>
    </row>
    <row r="15" spans="1:8" ht="21" customHeight="1">
      <c r="A15" s="7" t="s">
        <v>21</v>
      </c>
      <c r="B15" s="8">
        <v>2512.3000000000002</v>
      </c>
      <c r="C15" s="8">
        <v>8.0269999999999992</v>
      </c>
      <c r="D15" s="8">
        <v>12.417</v>
      </c>
      <c r="E15" s="8">
        <v>16.815999999999999</v>
      </c>
      <c r="F15" s="8">
        <v>20165.395</v>
      </c>
      <c r="G15" s="9">
        <v>15998.23</v>
      </c>
      <c r="H15" s="9">
        <v>1781.027</v>
      </c>
    </row>
    <row r="16" spans="1:8" ht="21" customHeight="1">
      <c r="A16" s="7" t="s">
        <v>22</v>
      </c>
      <c r="B16" s="8">
        <v>2512.3000000000002</v>
      </c>
      <c r="C16" s="8">
        <v>7.76</v>
      </c>
      <c r="D16" s="8">
        <v>12.333</v>
      </c>
      <c r="E16" s="8">
        <v>17.006</v>
      </c>
      <c r="F16" s="8">
        <v>19496.146000000001</v>
      </c>
      <c r="G16" s="9">
        <v>15929.16</v>
      </c>
      <c r="H16" s="9">
        <v>1219.8399999999999</v>
      </c>
    </row>
    <row r="17" spans="1:8" ht="21" customHeight="1">
      <c r="A17" s="7" t="s">
        <v>23</v>
      </c>
      <c r="B17" s="8">
        <v>2512.3000000000002</v>
      </c>
      <c r="C17" s="8">
        <v>8.5310000000000006</v>
      </c>
      <c r="D17" s="8">
        <v>12.417</v>
      </c>
      <c r="E17" s="8">
        <v>16.71</v>
      </c>
      <c r="F17" s="8">
        <v>21433.407999999999</v>
      </c>
      <c r="G17" s="9">
        <v>9257.9599999999991</v>
      </c>
      <c r="H17" s="9">
        <v>9852.5640000000003</v>
      </c>
    </row>
    <row r="18" spans="1:8" ht="21" customHeight="1">
      <c r="A18" s="7" t="s">
        <v>24</v>
      </c>
      <c r="B18" s="8">
        <v>2512.3000000000002</v>
      </c>
      <c r="C18" s="8">
        <v>8.4380000000000006</v>
      </c>
      <c r="D18" s="8">
        <v>12.417</v>
      </c>
      <c r="E18" s="8">
        <v>14.71</v>
      </c>
      <c r="F18" s="8">
        <v>21197.530999999999</v>
      </c>
      <c r="G18" s="9">
        <v>8693.11</v>
      </c>
      <c r="H18" s="9">
        <v>10269.469999999999</v>
      </c>
    </row>
    <row r="19" spans="1:8" ht="21" customHeight="1">
      <c r="A19" s="7" t="s">
        <v>25</v>
      </c>
      <c r="B19" s="8">
        <v>2512.3000000000002</v>
      </c>
      <c r="C19" s="8">
        <v>8.2970000000000006</v>
      </c>
      <c r="D19" s="8">
        <v>12.25</v>
      </c>
      <c r="E19" s="8">
        <v>14.862</v>
      </c>
      <c r="F19" s="8">
        <v>20844.414000000001</v>
      </c>
      <c r="G19" s="9">
        <v>6840.57</v>
      </c>
      <c r="H19" s="9"/>
    </row>
    <row r="20" spans="1:8" ht="21" customHeight="1">
      <c r="A20" s="7" t="s">
        <v>26</v>
      </c>
      <c r="B20" s="8">
        <v>2512.3000000000002</v>
      </c>
      <c r="C20" s="8">
        <v>8.0280000000000005</v>
      </c>
      <c r="D20" s="8">
        <v>12.333</v>
      </c>
      <c r="E20" s="8">
        <v>14.896000000000001</v>
      </c>
      <c r="F20" s="8">
        <v>20167.488000000001</v>
      </c>
      <c r="G20" s="9">
        <v>12739.73</v>
      </c>
      <c r="H20" s="9">
        <v>5298.8490000000002</v>
      </c>
    </row>
    <row r="21" spans="1:8" ht="21" customHeight="1">
      <c r="A21" s="7" t="s">
        <v>27</v>
      </c>
      <c r="B21" s="8">
        <v>2512.3000000000002</v>
      </c>
      <c r="C21" s="8">
        <v>8.3019999999999996</v>
      </c>
      <c r="D21" s="8">
        <v>12.25</v>
      </c>
      <c r="E21" s="8">
        <v>14.427</v>
      </c>
      <c r="F21" s="8">
        <v>20856.276999999998</v>
      </c>
      <c r="G21" s="9">
        <v>13938.22</v>
      </c>
      <c r="H21" s="9">
        <v>4638.2669999999998</v>
      </c>
    </row>
    <row r="22" spans="1:8" ht="21" customHeight="1">
      <c r="A22" s="7" t="s">
        <v>28</v>
      </c>
      <c r="B22" s="8">
        <v>2512.3000000000002</v>
      </c>
      <c r="C22" s="8">
        <v>8.4309999999999992</v>
      </c>
      <c r="D22" s="8">
        <v>12.333</v>
      </c>
      <c r="E22" s="8">
        <v>14.151</v>
      </c>
      <c r="F22" s="8">
        <v>21181.48</v>
      </c>
      <c r="G22" s="9">
        <v>13253.93</v>
      </c>
      <c r="H22" s="9">
        <v>5743.2039999999997</v>
      </c>
    </row>
    <row r="23" spans="1:8" ht="21" customHeight="1">
      <c r="A23" s="7" t="s">
        <v>29</v>
      </c>
      <c r="B23" s="8">
        <v>2512.3000000000002</v>
      </c>
      <c r="C23" s="8">
        <v>7.5069999999999997</v>
      </c>
      <c r="D23" s="8">
        <v>12.167</v>
      </c>
      <c r="E23" s="8">
        <v>14.367000000000001</v>
      </c>
      <c r="F23" s="8">
        <v>18859.697</v>
      </c>
      <c r="G23" s="9">
        <v>13711.32</v>
      </c>
      <c r="H23" s="9">
        <v>3058.1860000000001</v>
      </c>
    </row>
    <row r="24" spans="1:8" ht="21" customHeight="1">
      <c r="A24" s="7" t="s">
        <v>30</v>
      </c>
      <c r="B24" s="8">
        <v>2512.3000000000002</v>
      </c>
      <c r="C24" s="8">
        <v>8.0579999999999998</v>
      </c>
      <c r="D24" s="8">
        <v>12.25</v>
      </c>
      <c r="E24" s="8">
        <v>15.083</v>
      </c>
      <c r="F24" s="8">
        <v>20243.555</v>
      </c>
      <c r="G24" s="9">
        <v>8516.91</v>
      </c>
      <c r="H24" s="9">
        <v>5582.8329999999996</v>
      </c>
    </row>
    <row r="25" spans="1:8" ht="21" customHeight="1">
      <c r="A25" s="7" t="s">
        <v>31</v>
      </c>
      <c r="B25" s="8">
        <v>2512.3000000000002</v>
      </c>
      <c r="C25" s="8">
        <v>8.2530000000000001</v>
      </c>
      <c r="D25" s="8">
        <v>12.167</v>
      </c>
      <c r="E25" s="8">
        <v>15.244999999999999</v>
      </c>
      <c r="F25" s="8">
        <v>20734.151000000002</v>
      </c>
      <c r="G25" s="9">
        <v>15669.25</v>
      </c>
      <c r="H25" s="9">
        <v>2733.66</v>
      </c>
    </row>
    <row r="26" spans="1:8" ht="21" customHeight="1">
      <c r="A26" s="7" t="s">
        <v>32</v>
      </c>
      <c r="B26" s="8">
        <v>2512.3000000000002</v>
      </c>
      <c r="C26" s="8">
        <v>8.01</v>
      </c>
      <c r="D26" s="8">
        <v>12.083</v>
      </c>
      <c r="E26" s="8">
        <v>14.62</v>
      </c>
      <c r="F26" s="8">
        <v>20124.221000000001</v>
      </c>
      <c r="G26" s="9">
        <v>11037.55</v>
      </c>
      <c r="H26" s="9">
        <v>6916.7629999999999</v>
      </c>
    </row>
    <row r="27" spans="1:8" ht="21" customHeight="1">
      <c r="A27" s="7" t="s">
        <v>33</v>
      </c>
      <c r="B27" s="8">
        <v>2512.3000000000002</v>
      </c>
      <c r="C27" s="8">
        <v>7.2469999999999999</v>
      </c>
      <c r="D27" s="8">
        <v>12.083</v>
      </c>
      <c r="E27" s="8">
        <v>14.818</v>
      </c>
      <c r="F27" s="8">
        <v>18207.196</v>
      </c>
      <c r="G27" s="9">
        <v>12588.18</v>
      </c>
      <c r="H27" s="9">
        <v>3539.8690000000001</v>
      </c>
    </row>
    <row r="28" spans="1:8" ht="21" customHeight="1">
      <c r="A28" s="7" t="s">
        <v>34</v>
      </c>
      <c r="B28" s="8">
        <v>2512.3000000000002</v>
      </c>
      <c r="C28" s="8">
        <v>7.0789999999999997</v>
      </c>
      <c r="D28" s="8">
        <v>12</v>
      </c>
      <c r="E28" s="8">
        <v>14.657</v>
      </c>
      <c r="F28" s="8">
        <v>17783.595000000001</v>
      </c>
      <c r="G28" s="9">
        <v>11548.44</v>
      </c>
      <c r="H28" s="9">
        <v>4265.8360000000002</v>
      </c>
    </row>
    <row r="29" spans="1:8" ht="21" customHeight="1">
      <c r="A29" s="7" t="s">
        <v>35</v>
      </c>
      <c r="B29" s="8">
        <v>2512.3000000000002</v>
      </c>
      <c r="C29" s="8">
        <v>7.6479999999999997</v>
      </c>
      <c r="D29" s="8">
        <v>12</v>
      </c>
      <c r="E29" s="8">
        <v>14.943</v>
      </c>
      <c r="F29" s="8">
        <v>19213.511999999999</v>
      </c>
      <c r="G29" s="9">
        <v>14335.85</v>
      </c>
      <c r="H29" s="9">
        <v>2750.6709999999998</v>
      </c>
    </row>
    <row r="30" spans="1:8" ht="21" customHeight="1">
      <c r="A30" s="7" t="s">
        <v>36</v>
      </c>
      <c r="B30" s="8">
        <v>2512.3000000000002</v>
      </c>
      <c r="C30" s="8">
        <v>7.8869999999999996</v>
      </c>
      <c r="D30" s="8">
        <v>12</v>
      </c>
      <c r="E30" s="8">
        <v>14.552</v>
      </c>
      <c r="F30" s="8">
        <v>19815.766</v>
      </c>
      <c r="G30" s="9">
        <v>10636.13</v>
      </c>
      <c r="H30" s="9">
        <v>7094.1869999999999</v>
      </c>
    </row>
    <row r="31" spans="1:8" ht="21" customHeight="1">
      <c r="A31" s="7" t="s">
        <v>37</v>
      </c>
      <c r="B31" s="8">
        <v>2512.3000000000002</v>
      </c>
      <c r="C31" s="8">
        <v>7.968</v>
      </c>
      <c r="D31" s="8">
        <v>11.917</v>
      </c>
      <c r="E31" s="8">
        <v>13.52</v>
      </c>
      <c r="F31" s="8">
        <v>20017.448</v>
      </c>
      <c r="G31" s="9">
        <v>11953.5</v>
      </c>
      <c r="H31" s="9">
        <v>5997.7740000000003</v>
      </c>
    </row>
    <row r="32" spans="1:8" ht="21" customHeight="1">
      <c r="A32" s="7" t="s">
        <v>38</v>
      </c>
      <c r="B32" s="8">
        <v>2512.3000000000002</v>
      </c>
      <c r="C32" s="8">
        <v>7.5709999999999997</v>
      </c>
      <c r="D32" s="8">
        <v>11.917</v>
      </c>
      <c r="E32" s="8">
        <v>13.695</v>
      </c>
      <c r="F32" s="8">
        <v>19020.205000000002</v>
      </c>
      <c r="G32" s="9">
        <v>10562.44</v>
      </c>
      <c r="H32" s="9">
        <v>6475.9840000000004</v>
      </c>
    </row>
    <row r="33" spans="1:8" ht="21" customHeight="1" thickBot="1">
      <c r="A33" s="10" t="s">
        <v>39</v>
      </c>
      <c r="B33" s="11">
        <v>2512.3000000000002</v>
      </c>
      <c r="C33" s="11">
        <v>7.7869999999999999</v>
      </c>
      <c r="D33" s="11">
        <v>11.917</v>
      </c>
      <c r="E33" s="11">
        <v>14.057</v>
      </c>
      <c r="F33" s="11">
        <v>19562.442999999999</v>
      </c>
      <c r="G33" s="12">
        <v>5795.73</v>
      </c>
      <c r="H33" s="12">
        <v>11606.931</v>
      </c>
    </row>
    <row r="34" spans="1:8" ht="21" customHeight="1" thickBot="1">
      <c r="G34" s="13">
        <f>SUM(G3:G33)</f>
        <v>408072.73</v>
      </c>
      <c r="H34" s="13">
        <f>SUM(H3:H33)</f>
        <v>141724.58100000001</v>
      </c>
    </row>
    <row r="35" spans="1:8" ht="21" customHeight="1"/>
  </sheetData>
  <mergeCells count="1">
    <mergeCell ref="A1:H1"/>
  </mergeCells>
  <phoneticPr fontId="1" type="noConversion"/>
  <printOptions horizontalCentered="1"/>
  <pageMargins left="0.11811023622047245" right="0.11811023622047245" top="0.35433070866141736" bottom="0.15748031496062992" header="0.31496062992125984" footer="0.31496062992125984"/>
  <pageSetup paperSize="9" orientation="portrait" horizontalDpi="200" verticalDpi="2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4.4"/>
  <sheetData/>
  <phoneticPr fontId="1" type="noConversion"/>
  <pageMargins left="0.7" right="0.7" top="0.75" bottom="0.75" header="0.3" footer="0.3"/>
  <pageSetup paperSize="9" orientation="portrait" horizontalDpi="200" verticalDpi="2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4.4"/>
  <sheetData/>
  <phoneticPr fontId="1" type="noConversion"/>
  <pageMargins left="0.7" right="0.7" top="0.75" bottom="0.75" header="0.3" footer="0.3"/>
  <pageSetup paperSize="9" orientation="portrait" horizontalDpi="200" verticalDpi="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Sheet1</vt:lpstr>
      <vt:lpstr>Sheet2</vt:lpstr>
      <vt:lpstr>Sheet3</vt:lpstr>
      <vt:lpstr>Sheet1!Print_Area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2006-09-13T11:21:51Z</dcterms:created>
  <dcterms:modified xsi:type="dcterms:W3CDTF">2026-02-11T13:14:31Z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2015_ms_pID_725343">
    <vt:lpwstr>(3)gCc73SDQ63LS3Xc1wMuQn/3Eljo0JwanrCTdy2K4XAs/sAGVb82zAewVLp99ZghYKZXo0FOK
IBmfjp/aOyjSFt5IwcAkLIuvlEifKhIiS7m/AdUZ+LuTKwmqDOJXdETzHQe0+xgX++4+isiC
STm3SfZacTAaCJNAr0WkfRTJJNA4LQBHcX4JcNseMxZN2rRCk5/9bdKF9V9cYCpXGCSnprRs
6u79txRZqGTT4lzY5E</vt:lpwstr>
  </property>
  <property fmtid="{D5CDD505-2E9C-101B-9397-08002B2CF9AE}" pid="3" name="_2015_ms_pID_7253431">
    <vt:lpwstr>/HoJU1/3X0Sv+0lpCejZVtozAuiFZcelu0qszveAPtbf6mbTv8jhjH
z4MIUsXy6CNrx/3pkTwLjal3t3sh3yKwheFcl/GNdQQ0BjedSeUX9ahrR67qeo6GBnvleclo
RLelazHl+ZmL6OjHz6JYZPSntYo6bip/AhbxX0uGoxytNnbZ/p9trJTWebGN3yO+7zmxqHS/
h5p96DXIDIT8sd/XXcZy43Gk234ITarScDIU</vt:lpwstr>
  </property>
  <property fmtid="{D5CDD505-2E9C-101B-9397-08002B2CF9AE}" pid="4" name="_2015_ms_pID_7253432">
    <vt:lpwstr>gA==</vt:lpwstr>
  </property>
  <property fmtid="{D5CDD505-2E9C-101B-9397-08002B2CF9AE}" pid="5" name="_readonly">
    <vt:lpwstr/>
  </property>
  <property fmtid="{D5CDD505-2E9C-101B-9397-08002B2CF9AE}" pid="6" name="_change">
    <vt:lpwstr/>
  </property>
  <property fmtid="{D5CDD505-2E9C-101B-9397-08002B2CF9AE}" pid="7" name="_full-control">
    <vt:lpwstr/>
  </property>
  <property fmtid="{D5CDD505-2E9C-101B-9397-08002B2CF9AE}" pid="8" name="sflag">
    <vt:lpwstr>1725866001</vt:lpwstr>
  </property>
</Properties>
</file>