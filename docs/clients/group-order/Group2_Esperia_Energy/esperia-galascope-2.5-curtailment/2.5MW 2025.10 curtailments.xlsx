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F978ADBC-B608-4399-96DC-9175E9B1E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34" i="1"/>
  <c r="L34" i="1" s="1"/>
  <c r="H34" i="1"/>
</calcChain>
</file>

<file path=xl/sharedStrings.xml><?xml version="1.0" encoding="utf-8"?>
<sst xmlns="http://schemas.openxmlformats.org/spreadsheetml/2006/main" count="44" uniqueCount="44">
  <si>
    <t>Plant Report_Galascope 2.5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</si>
  <si>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</si>
  <si>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</si>
  <si>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</si>
  <si>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</si>
  <si>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</si>
  <si>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</si>
  <si>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</si>
  <si>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</si>
  <si>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</si>
  <si>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Specific Energy (kWh/kWp)</t>
  </si>
  <si>
    <t>Loss Due to Export Limitation (kWh)</t>
  </si>
  <si>
    <t>Loss Due to Export Limitation(€)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</si>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</sst>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 "/>
    <numFmt numFmtId="165" formatCode="#,##0.000"/>
    <numFmt numFmtId="166" formatCode="0.0%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  <font>
      <sz val="11.5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" xfId="0" applyFont="1" applyBorder="1" applyAlignment="1"/>
    <xf numFmtId="3" fontId="3" fillId="0" borderId="1" xfId="0" applyNumberFormat="1" applyFont="1" applyBorder="1" applyAlignment="1"/>
    <xf numFmtId="3" fontId="2" fillId="2" borderId="2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3" fontId="4" fillId="0" borderId="11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/>
    <xf numFmtId="166" fontId="2" fillId="2" borderId="2" xfId="0" applyNumberFormat="1" applyFont="1" applyFill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V6" sqref="V6"/>
    </sheetView>
  </sheetViews>
  <sheetFormatPr defaultColWidth="9" defaultRowHeight="14.4"/>
  <cols>
    <col min="1" max="1" width="15.77734375" customWidth="1"/>
    <col min="2" max="2" width="15.77734375" hidden="1" customWidth="1"/>
    <col min="3" max="3" width="15.77734375" customWidth="1"/>
    <col min="4" max="5" width="15.77734375" hidden="1" customWidth="1"/>
    <col min="6" max="6" width="15.77734375" customWidth="1"/>
    <col min="7" max="7" width="15.77734375" hidden="1" customWidth="1"/>
    <col min="8" max="8" width="15.77734375" style="2" customWidth="1"/>
    <col min="9" max="10" width="15.77734375" style="2" hidden="1" customWidth="1"/>
    <col min="11" max="12" width="15.77734375" style="2" customWidth="1"/>
  </cols>
  <sheetData>
    <row r="1" spans="1:12" ht="24.9" customHeight="1">
      <c r="A1" s="7" t="s">
        <v>0</v>
      </c>
      <c r="B1" s="7"/>
      <c r="C1" s="7"/>
      <c r="D1" s="7"/>
      <c r="E1" s="7"/>
      <c r="F1" s="8"/>
      <c r="G1" s="8"/>
      <c r="H1" s="8"/>
      <c r="I1" s="8"/>
      <c r="J1" s="8"/>
      <c r="K1" s="8"/>
      <c r="L1" s="20"/>
    </row>
    <row r="2" spans="1:12" ht="46.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21" t="s">
        <v>12</v>
      </c>
    </row>
    <row r="3" spans="1:12" ht="22.05" customHeight="1">
      <c r="A3" s="10" t="s">
        <v>13</v>
      </c>
      <c r="B3" s="4">
        <v>2512.3000000000002</v>
      </c>
      <c r="C3" s="4">
        <v>5.7830000000000004</v>
      </c>
      <c r="D3" s="4">
        <v>10.667</v>
      </c>
      <c r="E3" s="4">
        <v>12.750999999999999</v>
      </c>
      <c r="F3" s="13">
        <v>14528.073</v>
      </c>
      <c r="G3" s="13">
        <v>5925.61</v>
      </c>
      <c r="H3" s="13">
        <v>5925.61</v>
      </c>
      <c r="I3" s="13">
        <v>23933299.469999999</v>
      </c>
      <c r="J3" s="13">
        <v>2.359</v>
      </c>
      <c r="K3" s="13">
        <v>7270.7430000000004</v>
      </c>
      <c r="L3" s="22">
        <f t="shared" ref="L3:L33" si="0">K3/(K3+H3)</f>
        <v>0.55096608888834675</v>
      </c>
    </row>
    <row r="4" spans="1:12" ht="22.05" customHeight="1">
      <c r="A4" s="11" t="s">
        <v>14</v>
      </c>
      <c r="B4" s="5">
        <v>2512.3000000000002</v>
      </c>
      <c r="C4" s="5">
        <v>5.5919999999999996</v>
      </c>
      <c r="D4" s="5">
        <v>10.75</v>
      </c>
      <c r="E4" s="5">
        <v>12.555</v>
      </c>
      <c r="F4" s="14">
        <v>14048.642</v>
      </c>
      <c r="G4" s="14">
        <v>7736.06</v>
      </c>
      <c r="H4" s="14">
        <v>7736.06</v>
      </c>
      <c r="I4" s="14">
        <v>23941035.530000001</v>
      </c>
      <c r="J4" s="14">
        <v>3.0790000000000002</v>
      </c>
      <c r="K4" s="14">
        <v>5137.3419999999996</v>
      </c>
      <c r="L4" s="23">
        <f t="shared" si="0"/>
        <v>0.39906638509385473</v>
      </c>
    </row>
    <row r="5" spans="1:12" ht="22.05" customHeight="1">
      <c r="A5" s="11" t="s">
        <v>15</v>
      </c>
      <c r="B5" s="5">
        <v>2512.3000000000002</v>
      </c>
      <c r="C5" s="5">
        <v>5.5609999999999999</v>
      </c>
      <c r="D5" s="5">
        <v>10.583</v>
      </c>
      <c r="E5" s="5">
        <v>12.166</v>
      </c>
      <c r="F5" s="14">
        <v>13970.482</v>
      </c>
      <c r="G5" s="14">
        <v>4261.01</v>
      </c>
      <c r="H5" s="14">
        <v>4261.01</v>
      </c>
      <c r="I5" s="14">
        <v>23945296.539999999</v>
      </c>
      <c r="J5" s="14">
        <v>1.696</v>
      </c>
      <c r="K5" s="14">
        <v>8429.8520000000008</v>
      </c>
      <c r="L5" s="23">
        <f t="shared" si="0"/>
        <v>0.66424581718720133</v>
      </c>
    </row>
    <row r="6" spans="1:12" ht="22.05" customHeight="1">
      <c r="A6" s="11" t="s">
        <v>16</v>
      </c>
      <c r="B6" s="5">
        <v>2512.3000000000002</v>
      </c>
      <c r="C6" s="5">
        <v>5.9370000000000003</v>
      </c>
      <c r="D6" s="5">
        <v>10.417</v>
      </c>
      <c r="E6" s="5">
        <v>12.983000000000001</v>
      </c>
      <c r="F6" s="14">
        <v>14914.688</v>
      </c>
      <c r="G6" s="14">
        <v>6319.78</v>
      </c>
      <c r="H6" s="14">
        <v>6319.78</v>
      </c>
      <c r="I6" s="14">
        <v>23951616.32</v>
      </c>
      <c r="J6" s="14">
        <v>2.516</v>
      </c>
      <c r="K6" s="14">
        <v>7187.5209999999997</v>
      </c>
      <c r="L6" s="23">
        <f t="shared" si="0"/>
        <v>0.53212118394340957</v>
      </c>
    </row>
    <row r="7" spans="1:12" ht="22.05" customHeight="1">
      <c r="A7" s="11" t="s">
        <v>17</v>
      </c>
      <c r="B7" s="5">
        <v>2512.3000000000002</v>
      </c>
      <c r="C7" s="5">
        <v>5.5730000000000004</v>
      </c>
      <c r="D7" s="5">
        <v>10.417</v>
      </c>
      <c r="E7" s="5">
        <v>12.558</v>
      </c>
      <c r="F7" s="14">
        <v>14001.187</v>
      </c>
      <c r="G7" s="14">
        <v>2029.06</v>
      </c>
      <c r="H7" s="14">
        <v>2029.06</v>
      </c>
      <c r="I7" s="14">
        <v>23953645.379999999</v>
      </c>
      <c r="J7" s="14">
        <v>0.80800000000000005</v>
      </c>
      <c r="K7" s="14">
        <v>10485.663</v>
      </c>
      <c r="L7" s="23">
        <f t="shared" si="0"/>
        <v>0.83786616771302092</v>
      </c>
    </row>
    <row r="8" spans="1:12" ht="22.05" customHeight="1">
      <c r="A8" s="11" t="s">
        <v>18</v>
      </c>
      <c r="B8" s="5">
        <v>2512.3000000000002</v>
      </c>
      <c r="C8" s="5">
        <v>5.8019999999999996</v>
      </c>
      <c r="D8" s="5">
        <v>10.75</v>
      </c>
      <c r="E8" s="5">
        <v>11.821</v>
      </c>
      <c r="F8" s="14">
        <v>14576.225</v>
      </c>
      <c r="G8" s="14">
        <v>4865.58</v>
      </c>
      <c r="H8" s="14">
        <v>4865.58</v>
      </c>
      <c r="I8" s="14">
        <v>23958510.960000001</v>
      </c>
      <c r="J8" s="14">
        <v>1.9370000000000001</v>
      </c>
      <c r="K8" s="14">
        <v>8359.5820000000003</v>
      </c>
      <c r="L8" s="23">
        <f t="shared" si="0"/>
        <v>0.63209675616827987</v>
      </c>
    </row>
    <row r="9" spans="1:12" ht="22.05" customHeight="1">
      <c r="A9" s="11" t="s">
        <v>19</v>
      </c>
      <c r="B9" s="5">
        <v>2512.3000000000002</v>
      </c>
      <c r="C9" s="5">
        <v>5.4379999999999997</v>
      </c>
      <c r="D9" s="5">
        <v>10.5</v>
      </c>
      <c r="E9" s="5">
        <v>11.082000000000001</v>
      </c>
      <c r="F9" s="14">
        <v>13661.329</v>
      </c>
      <c r="G9" s="14">
        <v>5956.24</v>
      </c>
      <c r="H9" s="14">
        <v>5956.24</v>
      </c>
      <c r="I9" s="14">
        <v>23964467.199999999</v>
      </c>
      <c r="J9" s="14">
        <v>2.371</v>
      </c>
      <c r="K9" s="14">
        <v>6569.1660000000002</v>
      </c>
      <c r="L9" s="23">
        <f t="shared" si="0"/>
        <v>0.52446731068038843</v>
      </c>
    </row>
    <row r="10" spans="1:12" ht="22.05" customHeight="1">
      <c r="A10" s="11" t="s">
        <v>20</v>
      </c>
      <c r="B10" s="5">
        <v>2512.3000000000002</v>
      </c>
      <c r="C10" s="5">
        <v>5.3659999999999997</v>
      </c>
      <c r="D10" s="5">
        <v>9.25</v>
      </c>
      <c r="E10" s="5">
        <v>11.445</v>
      </c>
      <c r="F10" s="14">
        <v>13481.978999999999</v>
      </c>
      <c r="G10" s="14">
        <v>1064.95</v>
      </c>
      <c r="H10" s="14">
        <v>1064.95</v>
      </c>
      <c r="I10" s="14">
        <v>23965532.149999999</v>
      </c>
      <c r="J10" s="14">
        <v>0.42399999999999999</v>
      </c>
      <c r="K10" s="14">
        <v>10913.624</v>
      </c>
      <c r="L10" s="23">
        <f t="shared" si="0"/>
        <v>0.91109542755256168</v>
      </c>
    </row>
    <row r="11" spans="1:12" ht="22.05" customHeight="1">
      <c r="A11" s="11" t="s">
        <v>21</v>
      </c>
      <c r="B11" s="5">
        <v>2512.3000000000002</v>
      </c>
      <c r="C11" s="5">
        <v>4.5140000000000002</v>
      </c>
      <c r="D11" s="5">
        <v>10.667</v>
      </c>
      <c r="E11" s="5">
        <v>10.458</v>
      </c>
      <c r="F11" s="14">
        <v>11340.941000000001</v>
      </c>
      <c r="G11" s="14">
        <v>1981.29</v>
      </c>
      <c r="H11" s="14">
        <v>1981.29</v>
      </c>
      <c r="I11" s="14">
        <v>23967513.440000001</v>
      </c>
      <c r="J11" s="14">
        <v>0.78900000000000003</v>
      </c>
      <c r="K11" s="14">
        <v>8088.2569999999996</v>
      </c>
      <c r="L11" s="23">
        <f t="shared" si="0"/>
        <v>0.8032394108692279</v>
      </c>
    </row>
    <row r="12" spans="1:12" ht="22.05" customHeight="1">
      <c r="A12" s="11" t="s">
        <v>22</v>
      </c>
      <c r="B12" s="5">
        <v>2512.3000000000002</v>
      </c>
      <c r="C12" s="5">
        <v>5.6040000000000001</v>
      </c>
      <c r="D12" s="5">
        <v>10.5</v>
      </c>
      <c r="E12" s="5">
        <v>10.355</v>
      </c>
      <c r="F12" s="14">
        <v>14079.348</v>
      </c>
      <c r="G12" s="14">
        <v>4935.05</v>
      </c>
      <c r="H12" s="14">
        <v>4935.05</v>
      </c>
      <c r="I12" s="14">
        <v>23972448.489999998</v>
      </c>
      <c r="J12" s="14">
        <v>1.964</v>
      </c>
      <c r="K12" s="14">
        <v>7609.2579999999998</v>
      </c>
      <c r="L12" s="23">
        <f t="shared" si="0"/>
        <v>0.60659049506756368</v>
      </c>
    </row>
    <row r="13" spans="1:12" ht="22.05" customHeight="1">
      <c r="A13" s="11" t="s">
        <v>23</v>
      </c>
      <c r="B13" s="5">
        <v>2512.3000000000002</v>
      </c>
      <c r="C13" s="5">
        <v>6.375</v>
      </c>
      <c r="D13" s="5">
        <v>10.5</v>
      </c>
      <c r="E13" s="5">
        <v>11.016</v>
      </c>
      <c r="F13" s="14">
        <v>16015.913</v>
      </c>
      <c r="G13" s="14">
        <v>2891.49</v>
      </c>
      <c r="H13" s="14">
        <v>2891.49</v>
      </c>
      <c r="I13" s="14">
        <v>23975339.98</v>
      </c>
      <c r="J13" s="14">
        <v>1.151</v>
      </c>
      <c r="K13" s="14">
        <v>11388.887000000001</v>
      </c>
      <c r="L13" s="23">
        <f t="shared" si="0"/>
        <v>0.79752005146642835</v>
      </c>
    </row>
    <row r="14" spans="1:12" ht="22.05" customHeight="1">
      <c r="A14" s="11" t="s">
        <v>24</v>
      </c>
      <c r="B14" s="5">
        <v>2512.3000000000002</v>
      </c>
      <c r="C14" s="5">
        <v>4.9160000000000004</v>
      </c>
      <c r="D14" s="5">
        <v>10.25</v>
      </c>
      <c r="E14" s="5">
        <v>10.068</v>
      </c>
      <c r="F14" s="14">
        <v>12350.048000000001</v>
      </c>
      <c r="G14" s="14">
        <v>1388.71</v>
      </c>
      <c r="H14" s="14">
        <v>1388.71</v>
      </c>
      <c r="I14" s="14">
        <v>23976728.690000001</v>
      </c>
      <c r="J14" s="14">
        <v>0.55300000000000005</v>
      </c>
      <c r="K14" s="14">
        <v>9583.7070000000003</v>
      </c>
      <c r="L14" s="23">
        <f t="shared" si="0"/>
        <v>0.87343627206293739</v>
      </c>
    </row>
    <row r="15" spans="1:12" ht="22.05" customHeight="1">
      <c r="A15" s="11" t="s">
        <v>25</v>
      </c>
      <c r="B15" s="5">
        <v>2512.3000000000002</v>
      </c>
      <c r="C15" s="5">
        <v>6.4589999999999996</v>
      </c>
      <c r="D15" s="5">
        <v>10.417</v>
      </c>
      <c r="E15" s="5">
        <v>9.4879999999999995</v>
      </c>
      <c r="F15" s="14">
        <v>16228.062</v>
      </c>
      <c r="G15" s="14">
        <v>3936.95</v>
      </c>
      <c r="H15" s="14">
        <v>3936.95</v>
      </c>
      <c r="I15" s="14">
        <v>23980665.640000001</v>
      </c>
      <c r="J15" s="14">
        <v>1.5669999999999999</v>
      </c>
      <c r="K15" s="14">
        <v>10516.57</v>
      </c>
      <c r="L15" s="23">
        <f t="shared" si="0"/>
        <v>0.72761306588291286</v>
      </c>
    </row>
    <row r="16" spans="1:12" ht="22.05" customHeight="1">
      <c r="A16" s="11" t="s">
        <v>26</v>
      </c>
      <c r="B16" s="5">
        <v>2512.3000000000002</v>
      </c>
      <c r="C16" s="5">
        <v>6.1740000000000004</v>
      </c>
      <c r="D16" s="5">
        <v>10.083</v>
      </c>
      <c r="E16" s="5">
        <v>9.9369999999999994</v>
      </c>
      <c r="F16" s="14">
        <v>15512.057000000001</v>
      </c>
      <c r="G16" s="14">
        <v>2954.24</v>
      </c>
      <c r="H16" s="14">
        <v>2954.24</v>
      </c>
      <c r="I16" s="14">
        <v>23983619.879999999</v>
      </c>
      <c r="J16" s="14">
        <v>1.1759999999999999</v>
      </c>
      <c r="K16" s="14">
        <v>10861.833000000001</v>
      </c>
      <c r="L16" s="23">
        <f t="shared" si="0"/>
        <v>0.78617368336140092</v>
      </c>
    </row>
    <row r="17" spans="1:12" ht="22.05" customHeight="1">
      <c r="A17" s="11" t="s">
        <v>27</v>
      </c>
      <c r="B17" s="5">
        <v>2512.3000000000002</v>
      </c>
      <c r="C17" s="5">
        <v>5.1719999999999997</v>
      </c>
      <c r="D17" s="5">
        <v>10.417</v>
      </c>
      <c r="E17" s="5">
        <v>10.343999999999999</v>
      </c>
      <c r="F17" s="14">
        <v>12992.778</v>
      </c>
      <c r="G17" s="14">
        <v>3701.54</v>
      </c>
      <c r="H17" s="14">
        <v>3701.54</v>
      </c>
      <c r="I17" s="14">
        <v>23987321.420000002</v>
      </c>
      <c r="J17" s="14">
        <v>1.4730000000000001</v>
      </c>
      <c r="K17" s="14">
        <v>7855.6180000000004</v>
      </c>
      <c r="L17" s="23">
        <f t="shared" si="0"/>
        <v>0.67971883745121431</v>
      </c>
    </row>
    <row r="18" spans="1:12" ht="22.05" customHeight="1">
      <c r="A18" s="11" t="s">
        <v>28</v>
      </c>
      <c r="B18" s="5">
        <v>2512.3000000000002</v>
      </c>
      <c r="C18" s="5">
        <v>5.9020000000000001</v>
      </c>
      <c r="D18" s="5">
        <v>10.333</v>
      </c>
      <c r="E18" s="5">
        <v>10.199</v>
      </c>
      <c r="F18" s="14">
        <v>14826.757</v>
      </c>
      <c r="G18" s="14">
        <v>5417.52</v>
      </c>
      <c r="H18" s="14">
        <v>5417.52</v>
      </c>
      <c r="I18" s="14">
        <v>23992738.940000001</v>
      </c>
      <c r="J18" s="14">
        <v>2.1560000000000001</v>
      </c>
      <c r="K18" s="14">
        <v>7839.7870000000003</v>
      </c>
      <c r="L18" s="23">
        <f t="shared" si="0"/>
        <v>0.59135592168153006</v>
      </c>
    </row>
    <row r="19" spans="1:12" ht="22.05" customHeight="1">
      <c r="A19" s="11" t="s">
        <v>29</v>
      </c>
      <c r="B19" s="5">
        <v>2512.3000000000002</v>
      </c>
      <c r="C19" s="5">
        <v>6.1349999999999998</v>
      </c>
      <c r="D19" s="5">
        <v>10.25</v>
      </c>
      <c r="E19" s="5">
        <v>10.208</v>
      </c>
      <c r="F19" s="14">
        <v>15412.263000000001</v>
      </c>
      <c r="G19" s="14">
        <v>4012.98</v>
      </c>
      <c r="H19" s="14">
        <v>4012.98</v>
      </c>
      <c r="I19" s="14">
        <v>23996751.920000002</v>
      </c>
      <c r="J19" s="14">
        <v>1.597</v>
      </c>
      <c r="K19" s="14">
        <v>9795.9860000000008</v>
      </c>
      <c r="L19" s="23">
        <f t="shared" si="0"/>
        <v>0.7093931580394941</v>
      </c>
    </row>
    <row r="20" spans="1:12" ht="22.05" customHeight="1">
      <c r="A20" s="11" t="s">
        <v>30</v>
      </c>
      <c r="B20" s="5">
        <v>2512.3000000000002</v>
      </c>
      <c r="C20" s="5">
        <v>5.8849999999999998</v>
      </c>
      <c r="D20" s="5">
        <v>10.25</v>
      </c>
      <c r="E20" s="5">
        <v>10.967000000000001</v>
      </c>
      <c r="F20" s="14">
        <v>14784.188</v>
      </c>
      <c r="G20" s="14">
        <v>2986.73</v>
      </c>
      <c r="H20" s="14">
        <v>2986.73</v>
      </c>
      <c r="I20" s="14">
        <v>23999738.649999999</v>
      </c>
      <c r="J20" s="14">
        <v>1.1890000000000001</v>
      </c>
      <c r="K20" s="14">
        <v>10228.517</v>
      </c>
      <c r="L20" s="23">
        <f t="shared" si="0"/>
        <v>0.77399363023634749</v>
      </c>
    </row>
    <row r="21" spans="1:12" ht="22.05" customHeight="1">
      <c r="A21" s="11" t="s">
        <v>31</v>
      </c>
      <c r="B21" s="5">
        <v>2512.3000000000002</v>
      </c>
      <c r="C21" s="5">
        <v>5.6</v>
      </c>
      <c r="D21" s="5">
        <v>10.25</v>
      </c>
      <c r="E21" s="5">
        <v>11.279</v>
      </c>
      <c r="F21" s="14">
        <v>14069.578</v>
      </c>
      <c r="G21" s="14">
        <v>3059.18</v>
      </c>
      <c r="H21" s="14">
        <v>3059.18</v>
      </c>
      <c r="I21" s="14">
        <v>24002797.829999998</v>
      </c>
      <c r="J21" s="14">
        <v>1.218</v>
      </c>
      <c r="K21" s="14">
        <v>9452.8680000000004</v>
      </c>
      <c r="L21" s="23">
        <f t="shared" si="0"/>
        <v>0.7555012576678094</v>
      </c>
    </row>
    <row r="22" spans="1:12" ht="22.05" customHeight="1">
      <c r="A22" s="11" t="s">
        <v>32</v>
      </c>
      <c r="B22" s="5">
        <v>2512.3000000000002</v>
      </c>
      <c r="C22" s="5">
        <v>5.4939999999999998</v>
      </c>
      <c r="D22" s="5">
        <v>10.167</v>
      </c>
      <c r="E22" s="5">
        <v>12.329000000000001</v>
      </c>
      <c r="F22" s="14">
        <v>13801.599</v>
      </c>
      <c r="G22" s="14">
        <v>3908.59</v>
      </c>
      <c r="H22" s="14">
        <v>3908.59</v>
      </c>
      <c r="I22" s="14">
        <v>24006706.420000002</v>
      </c>
      <c r="J22" s="14">
        <v>1.556</v>
      </c>
      <c r="K22" s="14">
        <v>8426.1929999999993</v>
      </c>
      <c r="L22" s="23">
        <f t="shared" si="0"/>
        <v>0.68312454300979597</v>
      </c>
    </row>
    <row r="23" spans="1:12" ht="22.05" customHeight="1">
      <c r="A23" s="11" t="s">
        <v>33</v>
      </c>
      <c r="B23" s="5">
        <v>2512.3000000000002</v>
      </c>
      <c r="C23" s="5">
        <v>3.419</v>
      </c>
      <c r="D23" s="5">
        <v>8.6669999999999998</v>
      </c>
      <c r="E23" s="5">
        <v>11.756</v>
      </c>
      <c r="F23" s="14">
        <v>8590.67</v>
      </c>
      <c r="G23" s="14">
        <v>1176.19</v>
      </c>
      <c r="H23" s="14">
        <v>1176.19</v>
      </c>
      <c r="I23" s="14">
        <v>24007882.609999999</v>
      </c>
      <c r="J23" s="14">
        <v>0.46800000000000003</v>
      </c>
      <c r="K23" s="14">
        <v>6389.8959999999997</v>
      </c>
      <c r="L23" s="23">
        <f t="shared" si="0"/>
        <v>0.8445444579932081</v>
      </c>
    </row>
    <row r="24" spans="1:12" ht="22.05" customHeight="1">
      <c r="A24" s="11" t="s">
        <v>34</v>
      </c>
      <c r="B24" s="5">
        <v>2512.3000000000002</v>
      </c>
      <c r="C24" s="5">
        <v>4.8609999999999998</v>
      </c>
      <c r="D24" s="5">
        <v>9.5830000000000002</v>
      </c>
      <c r="E24" s="5">
        <v>11.242000000000001</v>
      </c>
      <c r="F24" s="14">
        <v>12213.267</v>
      </c>
      <c r="G24" s="14">
        <v>3750.65</v>
      </c>
      <c r="H24" s="14">
        <v>3750.65</v>
      </c>
      <c r="I24" s="14">
        <v>24011633.260000002</v>
      </c>
      <c r="J24" s="14">
        <v>1.4930000000000001</v>
      </c>
      <c r="K24" s="14">
        <v>7169.5950000000003</v>
      </c>
      <c r="L24" s="23">
        <f t="shared" si="0"/>
        <v>0.65654158858157485</v>
      </c>
    </row>
    <row r="25" spans="1:12" ht="22.05" customHeight="1">
      <c r="A25" s="11" t="s">
        <v>35</v>
      </c>
      <c r="B25" s="5">
        <v>2512.3000000000002</v>
      </c>
      <c r="C25" s="5">
        <v>5.3410000000000002</v>
      </c>
      <c r="D25" s="5">
        <v>10.167</v>
      </c>
      <c r="E25" s="5">
        <v>10.837</v>
      </c>
      <c r="F25" s="14">
        <v>13417.776</v>
      </c>
      <c r="G25" s="14">
        <v>5378.92</v>
      </c>
      <c r="H25" s="14">
        <v>5378.92</v>
      </c>
      <c r="I25" s="14">
        <v>24017012.18</v>
      </c>
      <c r="J25" s="14">
        <v>2.141</v>
      </c>
      <c r="K25" s="14">
        <v>6609.23</v>
      </c>
      <c r="L25" s="23">
        <f t="shared" si="0"/>
        <v>0.55131358883564185</v>
      </c>
    </row>
    <row r="26" spans="1:12" ht="22.05" customHeight="1">
      <c r="A26" s="11" t="s">
        <v>36</v>
      </c>
      <c r="B26" s="5">
        <v>2512.3000000000002</v>
      </c>
      <c r="C26" s="5">
        <v>5.3810000000000002</v>
      </c>
      <c r="D26" s="5">
        <v>9.8330000000000002</v>
      </c>
      <c r="E26" s="5">
        <v>11.595000000000001</v>
      </c>
      <c r="F26" s="14">
        <v>13517.57</v>
      </c>
      <c r="G26" s="14">
        <v>6945.68</v>
      </c>
      <c r="H26" s="14">
        <v>6945.68</v>
      </c>
      <c r="I26" s="14">
        <v>24023957.859999999</v>
      </c>
      <c r="J26" s="14">
        <v>2.7650000000000001</v>
      </c>
      <c r="K26" s="14">
        <v>5143.4849999999997</v>
      </c>
      <c r="L26" s="23">
        <f t="shared" si="0"/>
        <v>0.42546238718720436</v>
      </c>
    </row>
    <row r="27" spans="1:12" ht="22.05" customHeight="1">
      <c r="A27" s="11" t="s">
        <v>37</v>
      </c>
      <c r="B27" s="5">
        <v>2512.3000000000002</v>
      </c>
      <c r="C27" s="5">
        <v>4.8220000000000001</v>
      </c>
      <c r="D27" s="5">
        <v>9.4169999999999998</v>
      </c>
      <c r="E27" s="5">
        <v>11.481999999999999</v>
      </c>
      <c r="F27" s="14">
        <v>12114.171</v>
      </c>
      <c r="G27" s="14">
        <v>3120.11</v>
      </c>
      <c r="H27" s="14">
        <v>3120.11</v>
      </c>
      <c r="I27" s="14">
        <v>24027077.969999999</v>
      </c>
      <c r="J27" s="14">
        <v>1.242</v>
      </c>
      <c r="K27" s="14">
        <v>7714.2830000000004</v>
      </c>
      <c r="L27" s="23">
        <f t="shared" si="0"/>
        <v>0.71201801522244945</v>
      </c>
    </row>
    <row r="28" spans="1:12" ht="22.05" customHeight="1">
      <c r="A28" s="11" t="s">
        <v>38</v>
      </c>
      <c r="B28" s="5">
        <v>2512.3000000000002</v>
      </c>
      <c r="C28" s="5">
        <v>5.3680000000000003</v>
      </c>
      <c r="D28" s="5">
        <v>9.75</v>
      </c>
      <c r="E28" s="5">
        <v>10.989000000000001</v>
      </c>
      <c r="F28" s="14">
        <v>13486.165999999999</v>
      </c>
      <c r="G28" s="14">
        <v>1385.08</v>
      </c>
      <c r="H28" s="14">
        <v>1385.08</v>
      </c>
      <c r="I28" s="14">
        <v>24028463.050000001</v>
      </c>
      <c r="J28" s="14">
        <v>0.55100000000000005</v>
      </c>
      <c r="K28" s="14">
        <v>10617.723</v>
      </c>
      <c r="L28" s="23">
        <f t="shared" si="0"/>
        <v>0.8846036213374493</v>
      </c>
    </row>
    <row r="29" spans="1:12" ht="22.05" customHeight="1">
      <c r="A29" s="11" t="s">
        <v>39</v>
      </c>
      <c r="B29" s="5">
        <v>2512.3000000000002</v>
      </c>
      <c r="C29" s="5">
        <v>5.31</v>
      </c>
      <c r="D29" s="5">
        <v>9.75</v>
      </c>
      <c r="E29" s="5">
        <v>10.257</v>
      </c>
      <c r="F29" s="14">
        <v>13339.615</v>
      </c>
      <c r="G29" s="14">
        <v>6049.9</v>
      </c>
      <c r="H29" s="14">
        <v>6049.9</v>
      </c>
      <c r="I29" s="14">
        <v>24034512.949999999</v>
      </c>
      <c r="J29" s="14">
        <v>2.4079999999999999</v>
      </c>
      <c r="K29" s="14">
        <v>5889.7139999999999</v>
      </c>
      <c r="L29" s="23">
        <f t="shared" si="0"/>
        <v>0.4932918266871944</v>
      </c>
    </row>
    <row r="30" spans="1:12" ht="22.05" customHeight="1">
      <c r="A30" s="11" t="s">
        <v>40</v>
      </c>
      <c r="B30" s="5">
        <v>2512.3000000000002</v>
      </c>
      <c r="C30" s="5">
        <v>4.6689999999999996</v>
      </c>
      <c r="D30" s="5">
        <v>9.5830000000000002</v>
      </c>
      <c r="E30" s="5">
        <v>10.227</v>
      </c>
      <c r="F30" s="14">
        <v>11728.951999999999</v>
      </c>
      <c r="G30" s="14">
        <v>4005.38</v>
      </c>
      <c r="H30" s="14">
        <v>4005.38</v>
      </c>
      <c r="I30" s="14">
        <v>24038518.329999998</v>
      </c>
      <c r="J30" s="14">
        <v>1.5940000000000001</v>
      </c>
      <c r="K30" s="14">
        <v>6477.6239999999998</v>
      </c>
      <c r="L30" s="23">
        <f t="shared" si="0"/>
        <v>0.6179167727113335</v>
      </c>
    </row>
    <row r="31" spans="1:12" ht="22.05" customHeight="1">
      <c r="A31" s="11" t="s">
        <v>41</v>
      </c>
      <c r="B31" s="5">
        <v>2512.3000000000002</v>
      </c>
      <c r="C31" s="5">
        <v>3.9889999999999999</v>
      </c>
      <c r="D31" s="5">
        <v>9.5830000000000002</v>
      </c>
      <c r="E31" s="5">
        <v>10.794</v>
      </c>
      <c r="F31" s="14">
        <v>10022.681</v>
      </c>
      <c r="G31" s="14">
        <v>5205.58</v>
      </c>
      <c r="H31" s="14">
        <v>5205.58</v>
      </c>
      <c r="I31" s="14">
        <v>24043723.91</v>
      </c>
      <c r="J31" s="14">
        <v>2.0720000000000001</v>
      </c>
      <c r="K31" s="14">
        <v>3757.7220000000002</v>
      </c>
      <c r="L31" s="23">
        <f t="shared" si="0"/>
        <v>0.41923411706980312</v>
      </c>
    </row>
    <row r="32" spans="1:12" ht="22.05" customHeight="1">
      <c r="A32" s="11" t="s">
        <v>42</v>
      </c>
      <c r="B32" s="5">
        <v>2512.3000000000002</v>
      </c>
      <c r="C32" s="5">
        <v>5.2039999999999997</v>
      </c>
      <c r="D32" s="5">
        <v>9.9169999999999998</v>
      </c>
      <c r="E32" s="5">
        <v>9.92</v>
      </c>
      <c r="F32" s="14">
        <v>13075.126</v>
      </c>
      <c r="G32" s="14">
        <v>4280.1499999999996</v>
      </c>
      <c r="H32" s="14">
        <v>4280.1499999999996</v>
      </c>
      <c r="I32" s="14">
        <v>24048004.059999999</v>
      </c>
      <c r="J32" s="14">
        <v>1.704</v>
      </c>
      <c r="K32" s="14">
        <v>7438.5749999999998</v>
      </c>
      <c r="L32" s="23">
        <f t="shared" si="0"/>
        <v>0.63475975415414221</v>
      </c>
    </row>
    <row r="33" spans="1:12" ht="22.05" customHeight="1" thickBot="1">
      <c r="A33" s="12" t="s">
        <v>43</v>
      </c>
      <c r="B33" s="6">
        <v>2512.3000000000002</v>
      </c>
      <c r="C33" s="6">
        <v>5.2</v>
      </c>
      <c r="D33" s="6">
        <v>9.8330000000000002</v>
      </c>
      <c r="E33" s="6">
        <v>9.8759999999999994</v>
      </c>
      <c r="F33" s="15">
        <v>13063.96</v>
      </c>
      <c r="G33" s="15">
        <v>5274.33</v>
      </c>
      <c r="H33" s="16">
        <v>5274.33</v>
      </c>
      <c r="I33" s="16">
        <v>24053278.390000001</v>
      </c>
      <c r="J33" s="16">
        <v>2.0990000000000002</v>
      </c>
      <c r="K33" s="16">
        <v>6430.2449999999999</v>
      </c>
      <c r="L33" s="24">
        <f t="shared" si="0"/>
        <v>0.54937876855844825</v>
      </c>
    </row>
    <row r="34" spans="1:12" ht="22.05" customHeight="1" thickBot="1">
      <c r="F34" s="17"/>
      <c r="G34" s="17"/>
      <c r="H34" s="18">
        <f>SUM(H3:H33)</f>
        <v>125904.52999999997</v>
      </c>
      <c r="I34" s="18"/>
      <c r="J34" s="18"/>
      <c r="K34" s="18">
        <f>SUM(K3:K33)</f>
        <v>249639.06600000002</v>
      </c>
      <c r="L34" s="19">
        <f>K34/(K34+H34)</f>
        <v>0.66474057515282459</v>
      </c>
    </row>
    <row r="36" spans="1:12">
      <c r="K36" s="3"/>
    </row>
  </sheetData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