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9E0B5019-F317-4DB6-8CDB-7D62E5E9C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F33" i="1"/>
  <c r="H33" i="1"/>
</calcChain>
</file>

<file path=xl/sharedStrings.xml><?xml version="1.0" encoding="utf-8"?>
<sst xmlns="http://schemas.openxmlformats.org/spreadsheetml/2006/main" count="39" uniqueCount="39">
  <si>
    <t>Galascope 2.5_11-2025_Plant Statistics Report_by Time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</si>
  <si>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</si>
  <si>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</si>
  <si>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</si>
  <si>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</si>
  <si>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</si>
  <si>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</si>
  <si>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</si>
  <si>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>Loss Due to Export Limitation (kWh)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</si>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</sst>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"/>
    <numFmt numFmtId="166" formatCode="0.0%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>
      <alignment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sqref="A1:H1"/>
    </sheetView>
  </sheetViews>
  <sheetFormatPr defaultColWidth="9" defaultRowHeight="14.4"/>
  <cols>
    <col min="1" max="6" width="14.77734375" customWidth="1"/>
    <col min="7" max="7" width="14.77734375" hidden="1" customWidth="1"/>
    <col min="8" max="8" width="15.77734375" customWidth="1"/>
  </cols>
  <sheetData>
    <row r="1" spans="1:8" ht="24.9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46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4.9" customHeight="1">
      <c r="A3" s="2" t="s">
        <v>9</v>
      </c>
      <c r="B3" s="2">
        <v>2512.3000000000002</v>
      </c>
      <c r="C3" s="2">
        <v>4.9800000000000004</v>
      </c>
      <c r="D3" s="2">
        <v>9.75</v>
      </c>
      <c r="E3" s="2">
        <v>9.6709999999999994</v>
      </c>
      <c r="F3" s="2">
        <v>12511.951999999999</v>
      </c>
      <c r="G3" s="2">
        <v>4522.6499999999996</v>
      </c>
      <c r="H3" s="2">
        <v>6691.1239999999998</v>
      </c>
    </row>
    <row r="4" spans="1:8" ht="24.9" customHeight="1">
      <c r="A4" s="2" t="s">
        <v>10</v>
      </c>
      <c r="B4" s="2">
        <v>2512.3000000000002</v>
      </c>
      <c r="C4" s="2">
        <v>4.5359999999999996</v>
      </c>
      <c r="D4" s="2">
        <v>9.5830000000000002</v>
      </c>
      <c r="E4" s="2">
        <v>9.0169999999999995</v>
      </c>
      <c r="F4" s="2">
        <v>11396.77</v>
      </c>
      <c r="G4" s="2">
        <v>5231.87</v>
      </c>
      <c r="H4" s="2">
        <v>5010.6899999999996</v>
      </c>
    </row>
    <row r="5" spans="1:8" ht="24.9" customHeight="1">
      <c r="A5" s="2" t="s">
        <v>11</v>
      </c>
      <c r="B5" s="2">
        <v>2512.3000000000002</v>
      </c>
      <c r="C5" s="2">
        <v>3.5739999999999998</v>
      </c>
      <c r="D5" s="2">
        <v>9.5830000000000002</v>
      </c>
      <c r="E5" s="2">
        <v>10.359</v>
      </c>
      <c r="F5" s="2">
        <v>8979.3790000000008</v>
      </c>
      <c r="G5" s="2">
        <v>5664.73</v>
      </c>
      <c r="H5" s="2">
        <v>2353.2440000000001</v>
      </c>
    </row>
    <row r="6" spans="1:8" ht="24.9" customHeight="1">
      <c r="A6" s="2" t="s">
        <v>12</v>
      </c>
      <c r="B6" s="2">
        <v>2512.3000000000002</v>
      </c>
      <c r="C6" s="2">
        <v>4.2549999999999999</v>
      </c>
      <c r="D6" s="2">
        <v>9.5830000000000002</v>
      </c>
      <c r="E6" s="2">
        <v>10.958</v>
      </c>
      <c r="F6" s="2">
        <v>10689.138999999999</v>
      </c>
      <c r="G6" s="2">
        <v>5058.63</v>
      </c>
      <c r="H6" s="2">
        <v>4484.54</v>
      </c>
    </row>
    <row r="7" spans="1:8" ht="24.9" customHeight="1">
      <c r="A7" s="2" t="s">
        <v>13</v>
      </c>
      <c r="B7" s="2">
        <v>2512.3000000000002</v>
      </c>
      <c r="C7" s="2">
        <v>3.3860000000000001</v>
      </c>
      <c r="D7" s="2">
        <v>9.4169999999999998</v>
      </c>
      <c r="E7" s="2">
        <v>10.574999999999999</v>
      </c>
      <c r="F7" s="2">
        <v>8505.5310000000009</v>
      </c>
      <c r="G7" s="2">
        <v>4781.3500000000004</v>
      </c>
      <c r="H7" s="2">
        <v>2811.585</v>
      </c>
    </row>
    <row r="8" spans="1:8" ht="24.9" customHeight="1">
      <c r="A8" s="2" t="s">
        <v>14</v>
      </c>
      <c r="B8" s="2">
        <v>2512.3000000000002</v>
      </c>
      <c r="C8" s="2">
        <v>3.645</v>
      </c>
      <c r="D8" s="2">
        <v>9.4169999999999998</v>
      </c>
      <c r="E8" s="2">
        <v>11.603</v>
      </c>
      <c r="F8" s="2">
        <v>9158.0310000000009</v>
      </c>
      <c r="G8" s="2">
        <v>4529.32</v>
      </c>
      <c r="H8" s="2">
        <v>3580.6930000000002</v>
      </c>
    </row>
    <row r="9" spans="1:8" ht="24.9" customHeight="1">
      <c r="A9" s="2" t="s">
        <v>15</v>
      </c>
      <c r="B9" s="2">
        <v>2512.3000000000002</v>
      </c>
      <c r="C9" s="2">
        <v>3.411</v>
      </c>
      <c r="D9" s="2">
        <v>9.4169999999999998</v>
      </c>
      <c r="E9" s="2">
        <v>10.441000000000001</v>
      </c>
      <c r="F9" s="2">
        <v>8568.3389999999999</v>
      </c>
      <c r="G9" s="2">
        <v>5004.54</v>
      </c>
      <c r="H9" s="2">
        <v>2538.1779999999999</v>
      </c>
    </row>
    <row r="10" spans="1:8" ht="24.9" customHeight="1">
      <c r="A10" s="2" t="s">
        <v>16</v>
      </c>
      <c r="B10" s="2">
        <v>2512.3000000000002</v>
      </c>
      <c r="C10" s="2">
        <v>4.0759999999999996</v>
      </c>
      <c r="D10" s="2">
        <v>9.4169999999999998</v>
      </c>
      <c r="E10" s="2">
        <v>10.151999999999999</v>
      </c>
      <c r="F10" s="2">
        <v>10239.716</v>
      </c>
      <c r="G10" s="2">
        <v>2346.7199999999998</v>
      </c>
      <c r="H10" s="2">
        <v>6799.5609999999997</v>
      </c>
    </row>
    <row r="11" spans="1:8" ht="24.9" customHeight="1">
      <c r="A11" s="2" t="s">
        <v>17</v>
      </c>
      <c r="B11" s="2">
        <v>2512.3000000000002</v>
      </c>
      <c r="C11" s="2">
        <v>3.95</v>
      </c>
      <c r="D11" s="2">
        <v>9.4169999999999998</v>
      </c>
      <c r="E11" s="2">
        <v>10.220000000000001</v>
      </c>
      <c r="F11" s="2">
        <v>9923.5849999999991</v>
      </c>
      <c r="G11" s="2">
        <v>1336.16</v>
      </c>
      <c r="H11" s="2">
        <v>7492.7870000000003</v>
      </c>
    </row>
    <row r="12" spans="1:8" ht="24.9" customHeight="1">
      <c r="A12" s="2" t="s">
        <v>18</v>
      </c>
      <c r="B12" s="2">
        <v>2512.3000000000002</v>
      </c>
      <c r="C12" s="2">
        <v>3.609</v>
      </c>
      <c r="D12" s="2">
        <v>9.0830000000000002</v>
      </c>
      <c r="E12" s="2">
        <v>10.398</v>
      </c>
      <c r="F12" s="2">
        <v>9068.0069999999996</v>
      </c>
      <c r="G12" s="2">
        <v>6349.25</v>
      </c>
      <c r="H12" s="2">
        <v>1793.1289999999999</v>
      </c>
    </row>
    <row r="13" spans="1:8" ht="24.9" customHeight="1">
      <c r="A13" s="2" t="s">
        <v>19</v>
      </c>
      <c r="B13" s="2">
        <v>2512.3000000000002</v>
      </c>
      <c r="C13" s="2">
        <v>2.613</v>
      </c>
      <c r="D13" s="2">
        <v>8.25</v>
      </c>
      <c r="E13" s="2">
        <v>10.88</v>
      </c>
      <c r="F13" s="2">
        <v>6564.0820000000003</v>
      </c>
      <c r="G13" s="2">
        <v>1243.02</v>
      </c>
      <c r="H13" s="2">
        <v>4584.0749999999998</v>
      </c>
    </row>
    <row r="14" spans="1:8" ht="24.9" customHeight="1">
      <c r="A14" s="2" t="s">
        <v>20</v>
      </c>
      <c r="B14" s="2">
        <v>2512.3000000000002</v>
      </c>
      <c r="C14" s="2">
        <v>3.8460000000000001</v>
      </c>
      <c r="D14" s="2">
        <v>8.8330000000000002</v>
      </c>
      <c r="E14" s="2">
        <v>9.5129999999999999</v>
      </c>
      <c r="F14" s="2">
        <v>9663.2829999999994</v>
      </c>
      <c r="G14" s="2">
        <v>5640.99</v>
      </c>
      <c r="H14" s="2">
        <v>2989.002</v>
      </c>
    </row>
    <row r="15" spans="1:8" ht="24.9" customHeight="1">
      <c r="A15" s="2" t="s">
        <v>21</v>
      </c>
      <c r="B15" s="2">
        <v>2512.3000000000002</v>
      </c>
      <c r="C15" s="2">
        <v>3.1560000000000001</v>
      </c>
      <c r="D15" s="2">
        <v>8.5830000000000002</v>
      </c>
      <c r="E15" s="2">
        <v>8.8780000000000001</v>
      </c>
      <c r="F15" s="2">
        <v>7929.098</v>
      </c>
      <c r="G15" s="2">
        <v>4758.09</v>
      </c>
      <c r="H15" s="2">
        <v>2362.9969999999998</v>
      </c>
    </row>
    <row r="16" spans="1:8" ht="24.9" customHeight="1">
      <c r="A16" s="2" t="s">
        <v>22</v>
      </c>
      <c r="B16" s="2">
        <v>2512.3000000000002</v>
      </c>
      <c r="C16" s="2">
        <v>3.617</v>
      </c>
      <c r="D16" s="2">
        <v>8.1669999999999998</v>
      </c>
      <c r="E16" s="2">
        <v>9.452</v>
      </c>
      <c r="F16" s="2">
        <v>9088.2450000000008</v>
      </c>
      <c r="G16" s="2">
        <v>2064.8000000000002</v>
      </c>
      <c r="H16" s="2">
        <v>6002.54</v>
      </c>
    </row>
    <row r="17" spans="1:8" ht="24.9" customHeight="1">
      <c r="A17" s="2" t="s">
        <v>23</v>
      </c>
      <c r="B17" s="2">
        <v>2512.3000000000002</v>
      </c>
      <c r="C17" s="2">
        <v>4.5110000000000001</v>
      </c>
      <c r="D17" s="2">
        <v>9.25</v>
      </c>
      <c r="E17" s="2">
        <v>8.1349999999999998</v>
      </c>
      <c r="F17" s="2">
        <v>11331.869000000001</v>
      </c>
      <c r="G17" s="2">
        <v>3162.88</v>
      </c>
      <c r="H17" s="2">
        <v>6956.2349999999997</v>
      </c>
    </row>
    <row r="18" spans="1:8" ht="24.9" customHeight="1">
      <c r="A18" s="2" t="s">
        <v>24</v>
      </c>
      <c r="B18" s="2">
        <v>2512.3000000000002</v>
      </c>
      <c r="C18" s="2">
        <v>4.085</v>
      </c>
      <c r="D18" s="2">
        <v>9.3330000000000002</v>
      </c>
      <c r="E18" s="2">
        <v>7.9290000000000003</v>
      </c>
      <c r="F18" s="2">
        <v>10262.745999999999</v>
      </c>
      <c r="G18" s="2">
        <v>3768.18</v>
      </c>
      <c r="H18" s="2">
        <v>5403.2879999999996</v>
      </c>
    </row>
    <row r="19" spans="1:8" ht="24.9" customHeight="1">
      <c r="A19" s="2" t="s">
        <v>25</v>
      </c>
      <c r="B19" s="2">
        <v>2512.3000000000002</v>
      </c>
      <c r="C19" s="2">
        <v>4.1120000000000001</v>
      </c>
      <c r="D19" s="2">
        <v>9.0830000000000002</v>
      </c>
      <c r="E19" s="2">
        <v>8.0540000000000003</v>
      </c>
      <c r="F19" s="2">
        <v>10331.136</v>
      </c>
      <c r="G19" s="2">
        <v>3569.76</v>
      </c>
      <c r="H19" s="2">
        <v>5576.384</v>
      </c>
    </row>
    <row r="20" spans="1:8" ht="24.9" customHeight="1">
      <c r="A20" s="2" t="s">
        <v>26</v>
      </c>
      <c r="B20" s="2">
        <v>2400.3000000000002</v>
      </c>
      <c r="C20" s="2">
        <v>2.516</v>
      </c>
      <c r="D20" s="2">
        <v>6</v>
      </c>
      <c r="E20" s="2">
        <v>8.4610000000000003</v>
      </c>
      <c r="F20" s="2">
        <v>6040.0879999999997</v>
      </c>
      <c r="G20" s="2">
        <v>5184.16</v>
      </c>
      <c r="H20" s="2">
        <v>108.185</v>
      </c>
    </row>
    <row r="21" spans="1:8" ht="24.9" customHeight="1">
      <c r="A21" s="2" t="s">
        <v>27</v>
      </c>
      <c r="B21" s="2">
        <v>2400.3000000000002</v>
      </c>
      <c r="C21" s="2">
        <v>4.0359999999999996</v>
      </c>
      <c r="D21" s="2">
        <v>9.1669999999999998</v>
      </c>
      <c r="E21" s="2">
        <v>9.1129999999999995</v>
      </c>
      <c r="F21" s="2">
        <v>9687.2109999999993</v>
      </c>
      <c r="G21" s="2">
        <v>3358.44</v>
      </c>
      <c r="H21" s="2">
        <v>5278.5469999999996</v>
      </c>
    </row>
    <row r="22" spans="1:8" ht="24.9" customHeight="1">
      <c r="A22" s="2" t="s">
        <v>28</v>
      </c>
      <c r="B22" s="2">
        <v>2512.3000000000002</v>
      </c>
      <c r="C22" s="2">
        <v>3.9039999999999999</v>
      </c>
      <c r="D22" s="2">
        <v>8.9169999999999998</v>
      </c>
      <c r="E22" s="2">
        <v>9.4730000000000008</v>
      </c>
      <c r="F22" s="2">
        <v>9807.0419999999995</v>
      </c>
      <c r="G22" s="2">
        <v>3898.12</v>
      </c>
      <c r="H22" s="2">
        <v>4824.8810000000003</v>
      </c>
    </row>
    <row r="23" spans="1:8" ht="24.9" customHeight="1">
      <c r="A23" s="2" t="s">
        <v>29</v>
      </c>
      <c r="B23" s="2">
        <v>2512.3000000000002</v>
      </c>
      <c r="C23" s="2">
        <v>3.863</v>
      </c>
      <c r="D23" s="2">
        <v>9.0830000000000002</v>
      </c>
      <c r="E23" s="2">
        <v>9.84</v>
      </c>
      <c r="F23" s="2">
        <v>9703.759</v>
      </c>
      <c r="G23" s="2">
        <v>3643.02</v>
      </c>
      <c r="H23" s="2">
        <v>5019.2569999999996</v>
      </c>
    </row>
    <row r="24" spans="1:8" ht="24.9" customHeight="1">
      <c r="A24" s="2" t="s">
        <v>30</v>
      </c>
      <c r="B24" s="2">
        <v>2512.3000000000002</v>
      </c>
      <c r="C24" s="2">
        <v>3.8210000000000002</v>
      </c>
      <c r="D24" s="2">
        <v>9</v>
      </c>
      <c r="E24" s="2">
        <v>9.657</v>
      </c>
      <c r="F24" s="2">
        <v>9600.4750000000004</v>
      </c>
      <c r="G24" s="2">
        <v>2558.02</v>
      </c>
      <c r="H24" s="2">
        <v>5957.4070000000002</v>
      </c>
    </row>
    <row r="25" spans="1:8" ht="24.9" customHeight="1">
      <c r="A25" s="2" t="s">
        <v>31</v>
      </c>
      <c r="B25" s="2">
        <v>2512.3000000000002</v>
      </c>
      <c r="C25" s="2">
        <v>3.7730000000000001</v>
      </c>
      <c r="D25" s="2">
        <v>8.8330000000000002</v>
      </c>
      <c r="E25" s="2">
        <v>9.3849999999999998</v>
      </c>
      <c r="F25" s="2">
        <v>9478.35</v>
      </c>
      <c r="G25" s="2">
        <v>1786.02</v>
      </c>
      <c r="H25" s="2">
        <v>6639.598</v>
      </c>
    </row>
    <row r="26" spans="1:8" ht="24.9" customHeight="1">
      <c r="A26" s="2" t="s">
        <v>32</v>
      </c>
      <c r="B26" s="2">
        <v>2512.3000000000002</v>
      </c>
      <c r="C26" s="2">
        <v>2.7149999999999999</v>
      </c>
      <c r="D26" s="2">
        <v>8.6669999999999998</v>
      </c>
      <c r="E26" s="2">
        <v>9.5459999999999994</v>
      </c>
      <c r="F26" s="2">
        <v>6820.8950000000004</v>
      </c>
      <c r="G26" s="2">
        <v>3734.13</v>
      </c>
      <c r="H26" s="2">
        <v>2262.3200000000002</v>
      </c>
    </row>
    <row r="27" spans="1:8" ht="24.9" customHeight="1">
      <c r="A27" s="2" t="s">
        <v>33</v>
      </c>
      <c r="B27" s="2">
        <v>2512.3000000000002</v>
      </c>
      <c r="C27" s="2">
        <v>1.7569999999999999</v>
      </c>
      <c r="D27" s="2">
        <v>6.9169999999999998</v>
      </c>
      <c r="E27" s="2">
        <v>9.0549999999999997</v>
      </c>
      <c r="F27" s="2">
        <v>4414.6689999999999</v>
      </c>
      <c r="G27" s="2">
        <v>2924.75</v>
      </c>
      <c r="H27" s="2">
        <v>976.52800000000002</v>
      </c>
    </row>
    <row r="28" spans="1:8" ht="24.9" customHeight="1">
      <c r="A28" s="2" t="s">
        <v>34</v>
      </c>
      <c r="B28" s="2">
        <v>2512.3000000000002</v>
      </c>
      <c r="C28" s="2">
        <v>3.4809999999999999</v>
      </c>
      <c r="D28" s="2">
        <v>8.8330000000000002</v>
      </c>
      <c r="E28" s="2">
        <v>8.8239999999999998</v>
      </c>
      <c r="F28" s="2">
        <v>8745.5949999999993</v>
      </c>
      <c r="G28" s="2">
        <v>3419.97</v>
      </c>
      <c r="H28" s="2">
        <v>4416.2860000000001</v>
      </c>
    </row>
    <row r="29" spans="1:8" ht="24.9" customHeight="1">
      <c r="A29" s="2" t="s">
        <v>35</v>
      </c>
      <c r="B29" s="2">
        <v>2512.3000000000002</v>
      </c>
      <c r="C29" s="2">
        <v>3.0350000000000001</v>
      </c>
      <c r="D29" s="2">
        <v>8.5830000000000002</v>
      </c>
      <c r="E29" s="2">
        <v>8.2409999999999997</v>
      </c>
      <c r="F29" s="2">
        <v>7624.8310000000001</v>
      </c>
      <c r="G29" s="2">
        <v>1854.79</v>
      </c>
      <c r="H29" s="2">
        <v>4883.6490000000003</v>
      </c>
    </row>
    <row r="30" spans="1:8" ht="24.9" customHeight="1">
      <c r="A30" s="2" t="s">
        <v>36</v>
      </c>
      <c r="B30" s="2">
        <v>2512.3000000000002</v>
      </c>
      <c r="C30" s="2">
        <v>3.2130000000000001</v>
      </c>
      <c r="D30" s="2">
        <v>8.1669999999999998</v>
      </c>
      <c r="E30" s="2">
        <v>8.9610000000000003</v>
      </c>
      <c r="F30" s="2">
        <v>8071.4620000000004</v>
      </c>
      <c r="G30" s="2">
        <v>2878.08</v>
      </c>
      <c r="H30" s="2">
        <v>4339.192</v>
      </c>
    </row>
    <row r="31" spans="1:8" ht="24.9" customHeight="1">
      <c r="A31" s="2" t="s">
        <v>37</v>
      </c>
      <c r="B31" s="2">
        <v>2512.3000000000002</v>
      </c>
      <c r="C31" s="2">
        <v>2.6120000000000001</v>
      </c>
      <c r="D31" s="2">
        <v>8.6669999999999998</v>
      </c>
      <c r="E31" s="2">
        <v>9.7959999999999994</v>
      </c>
      <c r="F31" s="2">
        <v>6561.9880000000003</v>
      </c>
      <c r="G31" s="2">
        <v>2236.75</v>
      </c>
      <c r="H31" s="2">
        <v>3604.4760000000001</v>
      </c>
    </row>
    <row r="32" spans="1:8" ht="24.9" customHeight="1">
      <c r="A32" s="2" t="s">
        <v>38</v>
      </c>
      <c r="B32" s="2">
        <v>2512.3000000000002</v>
      </c>
      <c r="C32" s="2">
        <v>3.0990000000000002</v>
      </c>
      <c r="D32" s="2">
        <v>8.5830000000000002</v>
      </c>
      <c r="E32" s="2">
        <v>9.0440000000000005</v>
      </c>
      <c r="F32" s="2">
        <v>7786.0360000000001</v>
      </c>
      <c r="G32" s="2">
        <v>2499.5100000000002</v>
      </c>
      <c r="H32" s="2">
        <v>4422.92</v>
      </c>
    </row>
    <row r="33" spans="6:8">
      <c r="F33" s="3">
        <f>SUM(F3:F32)</f>
        <v>268553.30900000001</v>
      </c>
      <c r="G33" s="4"/>
      <c r="H33" s="3">
        <f>SUM(H3:H32)</f>
        <v>130163.29800000001</v>
      </c>
    </row>
    <row r="34" spans="6:8">
      <c r="H34" s="5">
        <f>H33/(H33+F33)</f>
        <v>0.32645567231163763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