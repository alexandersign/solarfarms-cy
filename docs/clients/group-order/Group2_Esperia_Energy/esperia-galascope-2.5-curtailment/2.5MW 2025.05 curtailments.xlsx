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03DA0E9-1477-426A-A275-62C0F4785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34" i="1"/>
  <c r="F34" i="1"/>
  <c r="G34" i="1" l="1"/>
  <c r="F35" i="1"/>
</calcChain>
</file>

<file path=xl/sharedStrings.xml><?xml version="1.0" encoding="utf-8"?>
<sst xmlns="http://schemas.openxmlformats.org/spreadsheetml/2006/main" count="39" uniqueCount="39">
  <si>
    <t>Galascope 2.5_05-2025_Plant Statistics Report_by Time</t>
  </si>
  <si>
    <t>Statistical Period</t>
  </si>
  <si>
    <t>Total String Capacity (kWp)</t>
  </si>
  <si>
    <t>Global Irradiation (kWh/㎡)</t>
  </si>
  <si>
    <t>Theoretical Yield (kWh)</t>
  </si>
  <si>
    <t xml:space="preserve"> Inverter Yield (kWh)</t>
  </si>
  <si>
    <t>Loss Due to Export Limitation (kWh)</t>
  </si>
  <si>
    <t>Loss Due to Export Limitation(€)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</si>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</sst>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5" formatCode="0.0%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3" fontId="3" fillId="0" borderId="9" xfId="0" applyNumberFormat="1" applyFont="1" applyBorder="1">
      <alignment vertical="center"/>
    </xf>
    <xf numFmtId="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8" sqref="J8"/>
    </sheetView>
  </sheetViews>
  <sheetFormatPr defaultColWidth="9" defaultRowHeight="14.4"/>
  <cols>
    <col min="1" max="3" width="12.77734375" customWidth="1"/>
    <col min="4" max="4" width="12.77734375" hidden="1" customWidth="1"/>
    <col min="5" max="5" width="12.77734375" style="5" customWidth="1"/>
    <col min="6" max="6" width="15.77734375" style="5" customWidth="1"/>
    <col min="7" max="7" width="23.109375" style="3" hidden="1" customWidth="1"/>
  </cols>
  <sheetData>
    <row r="1" spans="1:7" ht="24.9" customHeight="1">
      <c r="A1" s="22" t="s">
        <v>0</v>
      </c>
      <c r="B1" s="22"/>
      <c r="C1" s="22"/>
      <c r="D1" s="22"/>
      <c r="E1" s="22"/>
      <c r="F1" s="22"/>
      <c r="G1" s="22"/>
    </row>
    <row r="2" spans="1:7" ht="43.8" customHeight="1">
      <c r="A2" s="1" t="s">
        <v>1</v>
      </c>
      <c r="B2" s="1" t="s">
        <v>2</v>
      </c>
      <c r="C2" s="1" t="s">
        <v>3</v>
      </c>
      <c r="D2" s="1" t="s">
        <v>4</v>
      </c>
      <c r="E2" s="4" t="s">
        <v>5</v>
      </c>
      <c r="F2" s="4" t="s">
        <v>6</v>
      </c>
      <c r="G2" s="2" t="s">
        <v>7</v>
      </c>
    </row>
    <row r="3" spans="1:7" ht="21" customHeight="1">
      <c r="A3" s="6" t="s">
        <v>8</v>
      </c>
      <c r="B3" s="7">
        <v>2512.3000000000002</v>
      </c>
      <c r="C3" s="7">
        <v>9.1319999999999997</v>
      </c>
      <c r="D3" s="7">
        <v>22942.882000000001</v>
      </c>
      <c r="E3" s="8">
        <v>8996.16</v>
      </c>
      <c r="F3" s="8">
        <v>11405.942999999999</v>
      </c>
      <c r="G3" s="9">
        <f t="shared" ref="G3:G34" si="0">F3/(F3+E3)</f>
        <v>0.5590572207188641</v>
      </c>
    </row>
    <row r="4" spans="1:7" ht="21" customHeight="1">
      <c r="A4" s="10" t="s">
        <v>9</v>
      </c>
      <c r="B4" s="11">
        <v>2512.3000000000002</v>
      </c>
      <c r="C4" s="11">
        <v>8.3000000000000007</v>
      </c>
      <c r="D4" s="11">
        <v>20852.788</v>
      </c>
      <c r="E4" s="12">
        <v>12288.71</v>
      </c>
      <c r="F4" s="12">
        <v>5686.6379999999999</v>
      </c>
      <c r="G4" s="13">
        <f t="shared" si="0"/>
        <v>0.31635760264557883</v>
      </c>
    </row>
    <row r="5" spans="1:7" ht="21" customHeight="1">
      <c r="A5" s="10" t="s">
        <v>10</v>
      </c>
      <c r="B5" s="11">
        <v>2512.3000000000002</v>
      </c>
      <c r="C5" s="11">
        <v>5.7729999999999997</v>
      </c>
      <c r="D5" s="11">
        <v>14504.344999999999</v>
      </c>
      <c r="E5" s="12">
        <v>8149.12</v>
      </c>
      <c r="F5" s="12">
        <v>4665.6499999999996</v>
      </c>
      <c r="G5" s="13">
        <f t="shared" si="0"/>
        <v>0.36408378769185867</v>
      </c>
    </row>
    <row r="6" spans="1:7" ht="21" customHeight="1">
      <c r="A6" s="10" t="s">
        <v>11</v>
      </c>
      <c r="B6" s="11">
        <v>2512.3000000000002</v>
      </c>
      <c r="C6" s="11">
        <v>7.6749999999999998</v>
      </c>
      <c r="D6" s="11">
        <v>19282.599999999999</v>
      </c>
      <c r="E6" s="12">
        <v>3500.67</v>
      </c>
      <c r="F6" s="12">
        <v>13647.603999999999</v>
      </c>
      <c r="G6" s="13">
        <f t="shared" si="0"/>
        <v>0.79585875523099303</v>
      </c>
    </row>
    <row r="7" spans="1:7" ht="21" customHeight="1">
      <c r="A7" s="10" t="s">
        <v>12</v>
      </c>
      <c r="B7" s="11">
        <v>2512.3000000000002</v>
      </c>
      <c r="C7" s="11">
        <v>9.5410000000000004</v>
      </c>
      <c r="D7" s="11">
        <v>23968.738000000001</v>
      </c>
      <c r="E7" s="12">
        <v>6098.06</v>
      </c>
      <c r="F7" s="12">
        <v>15097.591</v>
      </c>
      <c r="G7" s="13">
        <f t="shared" si="0"/>
        <v>0.71229664047591645</v>
      </c>
    </row>
    <row r="8" spans="1:7" ht="21" customHeight="1">
      <c r="A8" s="10" t="s">
        <v>13</v>
      </c>
      <c r="B8" s="11">
        <v>2512.3000000000002</v>
      </c>
      <c r="C8" s="11">
        <v>9.859</v>
      </c>
      <c r="D8" s="11">
        <v>24767.789000000001</v>
      </c>
      <c r="E8" s="12">
        <v>7814.5</v>
      </c>
      <c r="F8" s="12">
        <v>14049.995000000001</v>
      </c>
      <c r="G8" s="13">
        <f t="shared" si="0"/>
        <v>0.64259407775025212</v>
      </c>
    </row>
    <row r="9" spans="1:7" ht="21" customHeight="1">
      <c r="A9" s="10" t="s">
        <v>14</v>
      </c>
      <c r="B9" s="11">
        <v>2512.3000000000002</v>
      </c>
      <c r="C9" s="11">
        <v>9.4939999999999998</v>
      </c>
      <c r="D9" s="11">
        <v>23850.798999999999</v>
      </c>
      <c r="E9" s="12">
        <v>6360.46</v>
      </c>
      <c r="F9" s="12">
        <v>14763.16</v>
      </c>
      <c r="G9" s="13">
        <f t="shared" si="0"/>
        <v>0.69889346617672543</v>
      </c>
    </row>
    <row r="10" spans="1:7" ht="21" customHeight="1">
      <c r="A10" s="10" t="s">
        <v>15</v>
      </c>
      <c r="B10" s="11">
        <v>2512.3000000000002</v>
      </c>
      <c r="C10" s="11">
        <v>7.9359999999999999</v>
      </c>
      <c r="D10" s="11">
        <v>19937.194</v>
      </c>
      <c r="E10" s="12">
        <v>8246.44</v>
      </c>
      <c r="F10" s="12">
        <v>9213.8019999999997</v>
      </c>
      <c r="G10" s="13">
        <f t="shared" si="0"/>
        <v>0.52770184972235779</v>
      </c>
    </row>
    <row r="11" spans="1:7" ht="21" customHeight="1">
      <c r="A11" s="10" t="s">
        <v>16</v>
      </c>
      <c r="B11" s="11">
        <v>2512.3000000000002</v>
      </c>
      <c r="C11" s="11">
        <v>8.58</v>
      </c>
      <c r="D11" s="11">
        <v>21554.835999999999</v>
      </c>
      <c r="E11" s="12">
        <v>7324.82</v>
      </c>
      <c r="F11" s="12">
        <v>11331.056</v>
      </c>
      <c r="G11" s="13">
        <f t="shared" si="0"/>
        <v>0.60737196152032746</v>
      </c>
    </row>
    <row r="12" spans="1:7" ht="21" customHeight="1">
      <c r="A12" s="10" t="s">
        <v>17</v>
      </c>
      <c r="B12" s="11">
        <v>2512.3000000000002</v>
      </c>
      <c r="C12" s="11">
        <v>8.8930000000000007</v>
      </c>
      <c r="D12" s="11">
        <v>22342.023000000001</v>
      </c>
      <c r="E12" s="12">
        <v>8514.06</v>
      </c>
      <c r="F12" s="12">
        <v>11120.618</v>
      </c>
      <c r="G12" s="13">
        <f t="shared" si="0"/>
        <v>0.56637638773602506</v>
      </c>
    </row>
    <row r="13" spans="1:7" ht="21" customHeight="1">
      <c r="A13" s="10" t="s">
        <v>18</v>
      </c>
      <c r="B13" s="11">
        <v>2512.3000000000002</v>
      </c>
      <c r="C13" s="11">
        <v>6.1859999999999999</v>
      </c>
      <c r="D13" s="11">
        <v>15540.669</v>
      </c>
      <c r="E13" s="12">
        <v>7940.21</v>
      </c>
      <c r="F13" s="12">
        <v>5347.1790000000001</v>
      </c>
      <c r="G13" s="13">
        <f t="shared" si="0"/>
        <v>0.40242511150986854</v>
      </c>
    </row>
    <row r="14" spans="1:7" ht="21" customHeight="1">
      <c r="A14" s="10" t="s">
        <v>19</v>
      </c>
      <c r="B14" s="11">
        <v>2512.3000000000002</v>
      </c>
      <c r="C14" s="11">
        <v>9.07</v>
      </c>
      <c r="D14" s="11">
        <v>22785.863000000001</v>
      </c>
      <c r="E14" s="12">
        <v>11089.02</v>
      </c>
      <c r="F14" s="12">
        <v>8863.91</v>
      </c>
      <c r="G14" s="13">
        <f t="shared" si="0"/>
        <v>0.44424102124349657</v>
      </c>
    </row>
    <row r="15" spans="1:7" ht="21" customHeight="1">
      <c r="A15" s="10" t="s">
        <v>20</v>
      </c>
      <c r="B15" s="11">
        <v>2512.3000000000002</v>
      </c>
      <c r="C15" s="11">
        <v>8.0850000000000009</v>
      </c>
      <c r="D15" s="11">
        <v>20311.946</v>
      </c>
      <c r="E15" s="12">
        <v>4242.3999999999996</v>
      </c>
      <c r="F15" s="12">
        <v>13724.986999999999</v>
      </c>
      <c r="G15" s="13">
        <f t="shared" si="0"/>
        <v>0.76388330701620666</v>
      </c>
    </row>
    <row r="16" spans="1:7" ht="21" customHeight="1">
      <c r="A16" s="10" t="s">
        <v>21</v>
      </c>
      <c r="B16" s="11">
        <v>2512.3000000000002</v>
      </c>
      <c r="C16" s="11">
        <v>7.7569999999999997</v>
      </c>
      <c r="D16" s="11">
        <v>19487.772000000001</v>
      </c>
      <c r="E16" s="12">
        <v>8282.1299999999992</v>
      </c>
      <c r="F16" s="12">
        <v>8987.8940000000002</v>
      </c>
      <c r="G16" s="13">
        <f t="shared" si="0"/>
        <v>0.52043320843097851</v>
      </c>
    </row>
    <row r="17" spans="1:7" ht="21" customHeight="1">
      <c r="A17" s="10" t="s">
        <v>22</v>
      </c>
      <c r="B17" s="11">
        <v>2512.3000000000002</v>
      </c>
      <c r="C17" s="11">
        <v>9.3699999999999992</v>
      </c>
      <c r="D17" s="11">
        <v>23540.251</v>
      </c>
      <c r="E17" s="12">
        <v>9469.93</v>
      </c>
      <c r="F17" s="12">
        <v>11451.206</v>
      </c>
      <c r="G17" s="13">
        <f t="shared" si="0"/>
        <v>0.54735106162495195</v>
      </c>
    </row>
    <row r="18" spans="1:7" ht="21" customHeight="1">
      <c r="A18" s="10" t="s">
        <v>23</v>
      </c>
      <c r="B18" s="11">
        <v>2512.3000000000002</v>
      </c>
      <c r="C18" s="11">
        <v>7.8940000000000001</v>
      </c>
      <c r="D18" s="11">
        <v>19832.514999999999</v>
      </c>
      <c r="E18" s="12">
        <v>8208.8700000000008</v>
      </c>
      <c r="F18" s="12">
        <v>9278.6689999999999</v>
      </c>
      <c r="G18" s="13">
        <f t="shared" si="0"/>
        <v>0.53058746573774618</v>
      </c>
    </row>
    <row r="19" spans="1:7" ht="21" customHeight="1">
      <c r="A19" s="10" t="s">
        <v>24</v>
      </c>
      <c r="B19" s="11">
        <v>2512.3000000000002</v>
      </c>
      <c r="C19" s="11">
        <v>7.5380000000000003</v>
      </c>
      <c r="D19" s="11">
        <v>18937.159</v>
      </c>
      <c r="E19" s="12">
        <v>6589.91</v>
      </c>
      <c r="F19" s="12">
        <v>10219.092000000001</v>
      </c>
      <c r="G19" s="13">
        <f t="shared" si="0"/>
        <v>0.6079535239510353</v>
      </c>
    </row>
    <row r="20" spans="1:7" ht="21" customHeight="1">
      <c r="A20" s="10" t="s">
        <v>25</v>
      </c>
      <c r="B20" s="11">
        <v>2512.3000000000002</v>
      </c>
      <c r="C20" s="11">
        <v>8.4410000000000007</v>
      </c>
      <c r="D20" s="11">
        <v>21205.905999999999</v>
      </c>
      <c r="E20" s="12">
        <v>1354.87</v>
      </c>
      <c r="F20" s="12">
        <v>17465.260999999999</v>
      </c>
      <c r="G20" s="13">
        <f t="shared" si="0"/>
        <v>0.92800953404628272</v>
      </c>
    </row>
    <row r="21" spans="1:7" ht="21" customHeight="1">
      <c r="A21" s="10" t="s">
        <v>26</v>
      </c>
      <c r="B21" s="11">
        <v>2512.3000000000002</v>
      </c>
      <c r="C21" s="11">
        <v>10.324</v>
      </c>
      <c r="D21" s="11">
        <v>25936.008000000002</v>
      </c>
      <c r="E21" s="12">
        <v>9088.0400000000009</v>
      </c>
      <c r="F21" s="12">
        <v>13914.013000000001</v>
      </c>
      <c r="G21" s="13">
        <f t="shared" si="0"/>
        <v>0.60490309278045751</v>
      </c>
    </row>
    <row r="22" spans="1:7" ht="21" customHeight="1">
      <c r="A22" s="10" t="s">
        <v>27</v>
      </c>
      <c r="B22" s="11">
        <v>2512.3000000000002</v>
      </c>
      <c r="C22" s="11">
        <v>8.7050000000000001</v>
      </c>
      <c r="D22" s="11">
        <v>21870.269</v>
      </c>
      <c r="E22" s="12">
        <v>11750.18</v>
      </c>
      <c r="F22" s="12">
        <v>7505.4049999999997</v>
      </c>
      <c r="G22" s="13">
        <f t="shared" si="0"/>
        <v>0.38977808256669427</v>
      </c>
    </row>
    <row r="23" spans="1:7" ht="21" customHeight="1">
      <c r="A23" s="10" t="s">
        <v>28</v>
      </c>
      <c r="B23" s="11">
        <v>2512.3000000000002</v>
      </c>
      <c r="C23" s="11">
        <v>10.247</v>
      </c>
      <c r="D23" s="11">
        <v>25744.794000000002</v>
      </c>
      <c r="E23" s="12">
        <v>11520.23</v>
      </c>
      <c r="F23" s="12">
        <v>11044.846</v>
      </c>
      <c r="G23" s="13">
        <f t="shared" si="0"/>
        <v>0.48946637715733815</v>
      </c>
    </row>
    <row r="24" spans="1:7" ht="21" customHeight="1">
      <c r="A24" s="10" t="s">
        <v>29</v>
      </c>
      <c r="B24" s="11">
        <v>2512.3000000000002</v>
      </c>
      <c r="C24" s="11">
        <v>8.593</v>
      </c>
      <c r="D24" s="11">
        <v>21589.030999999999</v>
      </c>
      <c r="E24" s="12">
        <v>11807.48</v>
      </c>
      <c r="F24" s="12">
        <v>7197.97</v>
      </c>
      <c r="G24" s="13">
        <f t="shared" si="0"/>
        <v>0.37873189006311347</v>
      </c>
    </row>
    <row r="25" spans="1:7" ht="21" customHeight="1">
      <c r="A25" s="10" t="s">
        <v>30</v>
      </c>
      <c r="B25" s="11">
        <v>2512.3000000000002</v>
      </c>
      <c r="C25" s="11">
        <v>9.7360000000000007</v>
      </c>
      <c r="D25" s="11">
        <v>24460.031999999999</v>
      </c>
      <c r="E25" s="12">
        <v>13385.25</v>
      </c>
      <c r="F25" s="12">
        <v>8164.6220000000003</v>
      </c>
      <c r="G25" s="13">
        <f t="shared" si="0"/>
        <v>0.37887102067241979</v>
      </c>
    </row>
    <row r="26" spans="1:7" ht="21" customHeight="1">
      <c r="A26" s="10" t="s">
        <v>31</v>
      </c>
      <c r="B26" s="11">
        <v>2512.3000000000002</v>
      </c>
      <c r="C26" s="11">
        <v>10.202999999999999</v>
      </c>
      <c r="D26" s="11">
        <v>25633.833999999999</v>
      </c>
      <c r="E26" s="12">
        <v>11844.74</v>
      </c>
      <c r="F26" s="12">
        <v>10859.714</v>
      </c>
      <c r="G26" s="13">
        <f t="shared" si="0"/>
        <v>0.47830764835833539</v>
      </c>
    </row>
    <row r="27" spans="1:7" ht="21" customHeight="1">
      <c r="A27" s="10" t="s">
        <v>32</v>
      </c>
      <c r="B27" s="11">
        <v>2512.3000000000002</v>
      </c>
      <c r="C27" s="11">
        <v>9.6999999999999993</v>
      </c>
      <c r="D27" s="11">
        <v>24369.31</v>
      </c>
      <c r="E27" s="12">
        <v>10015.049999999999</v>
      </c>
      <c r="F27" s="12">
        <v>11417.161</v>
      </c>
      <c r="G27" s="13">
        <f t="shared" si="0"/>
        <v>0.53271036758643331</v>
      </c>
    </row>
    <row r="28" spans="1:7" ht="21" customHeight="1">
      <c r="A28" s="10" t="s">
        <v>33</v>
      </c>
      <c r="B28" s="11">
        <v>2512.3000000000002</v>
      </c>
      <c r="C28" s="11">
        <v>6.4020000000000001</v>
      </c>
      <c r="D28" s="11">
        <v>16083.605</v>
      </c>
      <c r="E28" s="12">
        <v>9694.4599999999991</v>
      </c>
      <c r="F28" s="12">
        <v>4466.3419999999996</v>
      </c>
      <c r="G28" s="13">
        <f t="shared" si="0"/>
        <v>0.3154017689111111</v>
      </c>
    </row>
    <row r="29" spans="1:7" ht="21" customHeight="1">
      <c r="A29" s="10" t="s">
        <v>34</v>
      </c>
      <c r="B29" s="11">
        <v>2512.3000000000002</v>
      </c>
      <c r="C29" s="11">
        <v>9.4049999999999994</v>
      </c>
      <c r="D29" s="11">
        <v>23628.879000000001</v>
      </c>
      <c r="E29" s="12">
        <v>15447.43</v>
      </c>
      <c r="F29" s="12">
        <v>5324.5879999999997</v>
      </c>
      <c r="G29" s="13">
        <f t="shared" si="0"/>
        <v>0.25633465174158809</v>
      </c>
    </row>
    <row r="30" spans="1:7" ht="21" customHeight="1">
      <c r="A30" s="10" t="s">
        <v>35</v>
      </c>
      <c r="B30" s="11">
        <v>2512.3000000000002</v>
      </c>
      <c r="C30" s="11">
        <v>9.4819999999999993</v>
      </c>
      <c r="D30" s="11">
        <v>23820.791000000001</v>
      </c>
      <c r="E30" s="12">
        <v>15811.15</v>
      </c>
      <c r="F30" s="12">
        <v>5414.3670000000002</v>
      </c>
      <c r="G30" s="13">
        <f t="shared" si="0"/>
        <v>0.25508763814798951</v>
      </c>
    </row>
    <row r="31" spans="1:7" ht="21" customHeight="1">
      <c r="A31" s="10" t="s">
        <v>36</v>
      </c>
      <c r="B31" s="11">
        <v>2512.3000000000002</v>
      </c>
      <c r="C31" s="11">
        <v>7.8319999999999999</v>
      </c>
      <c r="D31" s="11">
        <v>19677.59</v>
      </c>
      <c r="E31" s="12">
        <v>14198.43</v>
      </c>
      <c r="F31" s="12">
        <v>3185.9430000000002</v>
      </c>
      <c r="G31" s="13">
        <f t="shared" si="0"/>
        <v>0.18326476312950718</v>
      </c>
    </row>
    <row r="32" spans="1:7" ht="21" customHeight="1">
      <c r="A32" s="10" t="s">
        <v>37</v>
      </c>
      <c r="B32" s="11">
        <v>2512.3000000000002</v>
      </c>
      <c r="C32" s="11">
        <v>10.379</v>
      </c>
      <c r="D32" s="11">
        <v>26074.185000000001</v>
      </c>
      <c r="E32" s="12">
        <v>16519.91</v>
      </c>
      <c r="F32" s="12">
        <v>6616.0290000000005</v>
      </c>
      <c r="G32" s="13">
        <f t="shared" si="0"/>
        <v>0.28596327989972659</v>
      </c>
    </row>
    <row r="33" spans="1:7" ht="21" customHeight="1" thickBot="1">
      <c r="A33" s="14" t="s">
        <v>38</v>
      </c>
      <c r="B33" s="15">
        <v>2512.3000000000002</v>
      </c>
      <c r="C33" s="15">
        <v>8.3979999999999997</v>
      </c>
      <c r="D33" s="15">
        <v>21097.737000000001</v>
      </c>
      <c r="E33" s="16">
        <v>12541.67</v>
      </c>
      <c r="F33" s="16">
        <v>6137.9970000000003</v>
      </c>
      <c r="G33" s="17">
        <f t="shared" si="0"/>
        <v>0.32859242083919377</v>
      </c>
    </row>
    <row r="34" spans="1:7" ht="24" customHeight="1" thickBot="1">
      <c r="E34" s="20">
        <f>SUM(E3:E33)</f>
        <v>298094.35999999993</v>
      </c>
      <c r="F34" s="18">
        <f>SUM(F3:F33)</f>
        <v>297569.25200000004</v>
      </c>
      <c r="G34" s="19">
        <f t="shared" si="0"/>
        <v>0.49955922437645905</v>
      </c>
    </row>
    <row r="35" spans="1:7" ht="20.399999999999999" customHeight="1">
      <c r="F35" s="21">
        <f>F34/(F34+E34)</f>
        <v>0.49955922437645905</v>
      </c>
    </row>
  </sheetData>
  <mergeCells count="1">
    <mergeCell ref="A1:G1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