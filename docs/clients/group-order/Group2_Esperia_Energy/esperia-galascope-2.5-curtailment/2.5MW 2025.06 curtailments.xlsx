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8_{281B54A4-C5EE-43E3-9EFA-722E4D09EC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3" i="1" l="1"/>
  <c r="H33" i="1"/>
  <c r="K33" i="1" l="1"/>
  <c r="K34" i="1" s="1"/>
</calcChain>
</file>

<file path=xl/sharedStrings.xml><?xml version="1.0" encoding="utf-8"?>
<sst xmlns="http://schemas.openxmlformats.org/spreadsheetml/2006/main" count="42" uniqueCount="42">
  <si>
    <t>Galascope 2.5_06-2025_Plant Statistics Report_by Time</t>
  </si>
  <si>
    <t>Statistical Period</t>
  </si>
  <si>
    <t>Total String Capacity (kWp)</t>
  </si>
  <si>
    <t>Global Irradiation (kWh/㎡)</t>
  </si>
  <si>
    <t>Sun Hours (H)</t>
  </si>
  <si>
    <t>Average Temperature(°C)</t>
  </si>
  <si>
    <t>Theoretical Yield (kWh)</t>
  </si>
  <si>
    <t>PV Yield (kWh)</t>
  </si>
  <si>
    <t xml:space="preserve"> Inverter Yield (kWh)</t>
  </si>
  <si>
    <t>Total Yield (kWh)</t>
  </si>
  <si>
    <t>Specific Energy (kWh/kWp)</t>
  </si>
  <si>
    <t>Loss Due to Export Limitation (kWh)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</si>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</sst>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_ "/>
    <numFmt numFmtId="165" formatCode="0.0%"/>
  </numFmts>
  <fonts count="5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b/>
      <sz val="11"/>
      <color theme="1"/>
      <name val="Calibri"/>
      <family val="3"/>
      <charset val="134"/>
      <scheme val="minor"/>
    </font>
    <font>
      <b/>
      <sz val="11"/>
      <color theme="1"/>
      <name val="Calibri"/>
      <family val="2"/>
      <charset val="161"/>
      <scheme val="minor"/>
    </font>
    <font>
      <b/>
      <sz val="16"/>
      <color theme="1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BF4E4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2" fillId="2" borderId="2" xfId="0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center" vertical="center"/>
    </xf>
    <xf numFmtId="1" fontId="2" fillId="2" borderId="2" xfId="0" applyNumberFormat="1" applyFont="1" applyFill="1" applyBorder="1" applyAlignment="1">
      <alignment horizontal="center" vertical="center" wrapText="1"/>
    </xf>
    <xf numFmtId="1" fontId="0" fillId="0" borderId="0" xfId="0" applyNumberFormat="1">
      <alignment vertical="center"/>
    </xf>
    <xf numFmtId="3" fontId="3" fillId="0" borderId="3" xfId="0" applyNumberFormat="1" applyFont="1" applyBorder="1" applyAlignment="1">
      <alignment horizontal="center" vertical="center"/>
    </xf>
    <xf numFmtId="1" fontId="3" fillId="0" borderId="3" xfId="0" applyNumberFormat="1" applyFont="1" applyBorder="1">
      <alignment vertical="center"/>
    </xf>
    <xf numFmtId="0" fontId="3" fillId="0" borderId="3" xfId="0" applyFont="1" applyBorder="1">
      <alignment vertical="center"/>
    </xf>
    <xf numFmtId="165" fontId="3" fillId="0" borderId="0" xfId="0" applyNumberFormat="1" applyFont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3" fontId="0" fillId="0" borderId="7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3" fontId="0" fillId="0" borderId="10" xfId="0" applyNumberFormat="1" applyBorder="1" applyAlignment="1">
      <alignment horizontal="center" vertical="center"/>
    </xf>
    <xf numFmtId="0" fontId="4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4"/>
  <sheetViews>
    <sheetView tabSelected="1" workbookViewId="0">
      <selection activeCell="M15" sqref="M15"/>
    </sheetView>
  </sheetViews>
  <sheetFormatPr defaultColWidth="9" defaultRowHeight="14.4"/>
  <cols>
    <col min="1" max="4" width="12.77734375" customWidth="1"/>
    <col min="5" max="6" width="12.77734375" hidden="1" customWidth="1"/>
    <col min="7" max="7" width="12.77734375" customWidth="1"/>
    <col min="8" max="8" width="23.109375" style="3" hidden="1" customWidth="1"/>
    <col min="9" max="9" width="23.109375" style="5" hidden="1" customWidth="1"/>
    <col min="10" max="10" width="23.109375" hidden="1" customWidth="1"/>
    <col min="11" max="11" width="15.77734375" style="3" customWidth="1"/>
  </cols>
  <sheetData>
    <row r="1" spans="1:11" ht="24.9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1" ht="48.6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2" t="s">
        <v>8</v>
      </c>
      <c r="I2" s="4" t="s">
        <v>9</v>
      </c>
      <c r="J2" s="1" t="s">
        <v>10</v>
      </c>
      <c r="K2" s="2" t="s">
        <v>11</v>
      </c>
    </row>
    <row r="3" spans="1:11" ht="21" customHeight="1">
      <c r="A3" s="10" t="s">
        <v>12</v>
      </c>
      <c r="B3" s="11">
        <v>2512.3000000000002</v>
      </c>
      <c r="C3" s="11">
        <v>8.4380000000000006</v>
      </c>
      <c r="D3" s="11">
        <v>12.417</v>
      </c>
      <c r="E3" s="11">
        <v>11.196</v>
      </c>
      <c r="F3" s="11">
        <v>21198.927</v>
      </c>
      <c r="G3" s="12">
        <v>4316.8</v>
      </c>
      <c r="H3" s="12">
        <v>4316.8</v>
      </c>
      <c r="I3" s="12">
        <v>22294079.489999998</v>
      </c>
      <c r="J3" s="12">
        <v>1.718</v>
      </c>
      <c r="K3" s="12">
        <v>14544.923000000001</v>
      </c>
    </row>
    <row r="4" spans="1:11" ht="21" customHeight="1">
      <c r="A4" s="13" t="s">
        <v>13</v>
      </c>
      <c r="B4" s="14">
        <v>2512.3000000000002</v>
      </c>
      <c r="C4" s="14">
        <v>9.2409999999999997</v>
      </c>
      <c r="D4" s="14">
        <v>13.333</v>
      </c>
      <c r="E4" s="14">
        <v>11.148</v>
      </c>
      <c r="F4" s="14">
        <v>23216.442999999999</v>
      </c>
      <c r="G4" s="15">
        <v>11184.74</v>
      </c>
      <c r="H4" s="15">
        <v>11184.74</v>
      </c>
      <c r="I4" s="15">
        <v>22305264.23</v>
      </c>
      <c r="J4" s="15">
        <v>4.452</v>
      </c>
      <c r="K4" s="15">
        <v>9430.8760000000002</v>
      </c>
    </row>
    <row r="5" spans="1:11" ht="21" customHeight="1">
      <c r="A5" s="13" t="s">
        <v>14</v>
      </c>
      <c r="B5" s="14">
        <v>2512.3000000000002</v>
      </c>
      <c r="C5" s="14">
        <v>10.271000000000001</v>
      </c>
      <c r="D5" s="14">
        <v>13.5</v>
      </c>
      <c r="E5" s="14">
        <v>12.372</v>
      </c>
      <c r="F5" s="14">
        <v>25803.415000000001</v>
      </c>
      <c r="G5" s="15">
        <v>13646.77</v>
      </c>
      <c r="H5" s="15">
        <v>13646.77</v>
      </c>
      <c r="I5" s="15">
        <v>22318911</v>
      </c>
      <c r="J5" s="15">
        <v>5.4320000000000004</v>
      </c>
      <c r="K5" s="15">
        <v>9121.4680000000008</v>
      </c>
    </row>
    <row r="6" spans="1:11" ht="21" customHeight="1">
      <c r="A6" s="13" t="s">
        <v>15</v>
      </c>
      <c r="B6" s="14">
        <v>2512.3000000000002</v>
      </c>
      <c r="C6" s="14">
        <v>10.099</v>
      </c>
      <c r="D6" s="14">
        <v>13.25</v>
      </c>
      <c r="E6" s="14">
        <v>13.382</v>
      </c>
      <c r="F6" s="14">
        <v>25372.833999999999</v>
      </c>
      <c r="G6" s="15">
        <v>12995.97</v>
      </c>
      <c r="H6" s="15">
        <v>12995.97</v>
      </c>
      <c r="I6" s="15">
        <v>22331906.969999999</v>
      </c>
      <c r="J6" s="15">
        <v>5.173</v>
      </c>
      <c r="K6" s="15">
        <v>9540.7139999999999</v>
      </c>
    </row>
    <row r="7" spans="1:11" ht="21" customHeight="1">
      <c r="A7" s="13" t="s">
        <v>16</v>
      </c>
      <c r="B7" s="14">
        <v>2512.3000000000002</v>
      </c>
      <c r="C7" s="14">
        <v>10.217000000000001</v>
      </c>
      <c r="D7" s="14">
        <v>13.417</v>
      </c>
      <c r="E7" s="14">
        <v>13.874000000000001</v>
      </c>
      <c r="F7" s="14">
        <v>25668.726999999999</v>
      </c>
      <c r="G7" s="15">
        <v>14581.79</v>
      </c>
      <c r="H7" s="15">
        <v>14581.79</v>
      </c>
      <c r="I7" s="15">
        <v>22346488.760000002</v>
      </c>
      <c r="J7" s="15">
        <v>5.8040000000000003</v>
      </c>
      <c r="K7" s="15">
        <v>7976.326</v>
      </c>
    </row>
    <row r="8" spans="1:11" ht="21" customHeight="1">
      <c r="A8" s="13" t="s">
        <v>17</v>
      </c>
      <c r="B8" s="14">
        <v>2512.3000000000002</v>
      </c>
      <c r="C8" s="14">
        <v>9.968</v>
      </c>
      <c r="D8" s="14">
        <v>13.333</v>
      </c>
      <c r="E8" s="14">
        <v>13.475</v>
      </c>
      <c r="F8" s="14">
        <v>25042.047999999999</v>
      </c>
      <c r="G8" s="15">
        <v>13913.74</v>
      </c>
      <c r="H8" s="15">
        <v>13913.74</v>
      </c>
      <c r="I8" s="15">
        <v>22360402.5</v>
      </c>
      <c r="J8" s="15">
        <v>5.5380000000000003</v>
      </c>
      <c r="K8" s="15">
        <v>8095.8720000000003</v>
      </c>
    </row>
    <row r="9" spans="1:11" ht="21" customHeight="1">
      <c r="A9" s="13" t="s">
        <v>18</v>
      </c>
      <c r="B9" s="14">
        <v>2512.3000000000002</v>
      </c>
      <c r="C9" s="14">
        <v>10.208</v>
      </c>
      <c r="D9" s="14">
        <v>13.417</v>
      </c>
      <c r="E9" s="14">
        <v>12.888</v>
      </c>
      <c r="F9" s="14">
        <v>25644.302</v>
      </c>
      <c r="G9" s="15">
        <v>11284.06</v>
      </c>
      <c r="H9" s="15">
        <v>11284.06</v>
      </c>
      <c r="I9" s="15">
        <v>22371686.559999999</v>
      </c>
      <c r="J9" s="15">
        <v>4.492</v>
      </c>
      <c r="K9" s="15">
        <v>11347.776</v>
      </c>
    </row>
    <row r="10" spans="1:11" ht="21" customHeight="1">
      <c r="A10" s="13" t="s">
        <v>19</v>
      </c>
      <c r="B10" s="14">
        <v>2512.3000000000002</v>
      </c>
      <c r="C10" s="14">
        <v>9.7479999999999993</v>
      </c>
      <c r="D10" s="14">
        <v>13</v>
      </c>
      <c r="E10" s="14">
        <v>12.938000000000001</v>
      </c>
      <c r="F10" s="14">
        <v>24489.342000000001</v>
      </c>
      <c r="G10" s="15">
        <v>6320.93</v>
      </c>
      <c r="H10" s="15">
        <v>6320.93</v>
      </c>
      <c r="I10" s="15">
        <v>22378007.489999998</v>
      </c>
      <c r="J10" s="15">
        <v>2.516</v>
      </c>
      <c r="K10" s="15">
        <v>15300.47</v>
      </c>
    </row>
    <row r="11" spans="1:11" ht="21" customHeight="1">
      <c r="A11" s="13" t="s">
        <v>20</v>
      </c>
      <c r="B11" s="14">
        <v>2512.3000000000002</v>
      </c>
      <c r="C11" s="14">
        <v>9.7490000000000006</v>
      </c>
      <c r="D11" s="14">
        <v>13.167</v>
      </c>
      <c r="E11" s="14">
        <v>13.260999999999999</v>
      </c>
      <c r="F11" s="14">
        <v>24492.830999999998</v>
      </c>
      <c r="G11" s="15">
        <v>5434.52</v>
      </c>
      <c r="H11" s="15">
        <v>5434.52</v>
      </c>
      <c r="I11" s="15">
        <v>22383442.010000002</v>
      </c>
      <c r="J11" s="15">
        <v>2.1629999999999998</v>
      </c>
      <c r="K11" s="15">
        <v>16179.993</v>
      </c>
    </row>
    <row r="12" spans="1:11" ht="21" customHeight="1">
      <c r="A12" s="13" t="s">
        <v>21</v>
      </c>
      <c r="B12" s="14">
        <v>2512.3000000000002</v>
      </c>
      <c r="C12" s="14">
        <v>9.5790000000000006</v>
      </c>
      <c r="D12" s="14">
        <v>13</v>
      </c>
      <c r="E12" s="14">
        <v>13.209</v>
      </c>
      <c r="F12" s="14">
        <v>24064.345000000001</v>
      </c>
      <c r="G12" s="15">
        <v>16095.14</v>
      </c>
      <c r="H12" s="15">
        <v>16095.14</v>
      </c>
      <c r="I12" s="15">
        <v>22399537.149999999</v>
      </c>
      <c r="J12" s="15">
        <v>6.407</v>
      </c>
      <c r="K12" s="15">
        <v>4898.9530000000004</v>
      </c>
    </row>
    <row r="13" spans="1:11" ht="21" customHeight="1">
      <c r="A13" s="13" t="s">
        <v>22</v>
      </c>
      <c r="B13" s="14">
        <v>2512.3000000000002</v>
      </c>
      <c r="C13" s="14">
        <v>9.4320000000000004</v>
      </c>
      <c r="D13" s="14">
        <v>13.333</v>
      </c>
      <c r="E13" s="14">
        <v>13.323</v>
      </c>
      <c r="F13" s="14">
        <v>23695.874</v>
      </c>
      <c r="G13" s="15">
        <v>18547.23</v>
      </c>
      <c r="H13" s="15">
        <v>18547.23</v>
      </c>
      <c r="I13" s="15">
        <v>22418084.379999999</v>
      </c>
      <c r="J13" s="15">
        <v>7.383</v>
      </c>
      <c r="K13" s="15">
        <v>1811.66</v>
      </c>
    </row>
    <row r="14" spans="1:11" ht="21" customHeight="1">
      <c r="A14" s="13" t="s">
        <v>23</v>
      </c>
      <c r="B14" s="14">
        <v>2512.3000000000002</v>
      </c>
      <c r="C14" s="14">
        <v>8.9139999999999997</v>
      </c>
      <c r="D14" s="14">
        <v>13.333</v>
      </c>
      <c r="E14" s="14">
        <v>13.326000000000001</v>
      </c>
      <c r="F14" s="14">
        <v>22394.363000000001</v>
      </c>
      <c r="G14" s="15">
        <v>10831.53</v>
      </c>
      <c r="H14" s="15">
        <v>10831.53</v>
      </c>
      <c r="I14" s="15">
        <v>22428915.91</v>
      </c>
      <c r="J14" s="15">
        <v>4.3109999999999999</v>
      </c>
      <c r="K14" s="15">
        <v>8569.7360000000008</v>
      </c>
    </row>
    <row r="15" spans="1:11" ht="21" customHeight="1">
      <c r="A15" s="13" t="s">
        <v>24</v>
      </c>
      <c r="B15" s="14">
        <v>2512.3000000000002</v>
      </c>
      <c r="C15" s="14">
        <v>9.7490000000000006</v>
      </c>
      <c r="D15" s="14">
        <v>13.333</v>
      </c>
      <c r="E15" s="14">
        <v>13.377000000000001</v>
      </c>
      <c r="F15" s="14">
        <v>24491.436000000002</v>
      </c>
      <c r="G15" s="15">
        <v>0</v>
      </c>
      <c r="H15" s="15">
        <v>0</v>
      </c>
      <c r="I15" s="15">
        <v>22428915.91</v>
      </c>
      <c r="J15" s="15">
        <v>0</v>
      </c>
      <c r="K15" s="15"/>
    </row>
    <row r="16" spans="1:11" ht="21" customHeight="1">
      <c r="A16" s="13" t="s">
        <v>25</v>
      </c>
      <c r="B16" s="14">
        <v>2512.3000000000002</v>
      </c>
      <c r="C16" s="14">
        <v>10.081</v>
      </c>
      <c r="D16" s="14">
        <v>13.083</v>
      </c>
      <c r="E16" s="14">
        <v>13.407999999999999</v>
      </c>
      <c r="F16" s="14">
        <v>25326.078000000001</v>
      </c>
      <c r="G16" s="15">
        <v>15183.37</v>
      </c>
      <c r="H16" s="15">
        <v>15183.37</v>
      </c>
      <c r="I16" s="15">
        <v>22444099.280000001</v>
      </c>
      <c r="J16" s="15">
        <v>6.0439999999999996</v>
      </c>
      <c r="K16" s="15">
        <v>6950.6260000000002</v>
      </c>
    </row>
    <row r="17" spans="1:11" ht="21" customHeight="1">
      <c r="A17" s="13" t="s">
        <v>26</v>
      </c>
      <c r="B17" s="14">
        <v>2512.3000000000002</v>
      </c>
      <c r="C17" s="14">
        <v>8.5419999999999998</v>
      </c>
      <c r="D17" s="14">
        <v>13</v>
      </c>
      <c r="E17" s="14">
        <v>13.294</v>
      </c>
      <c r="F17" s="14">
        <v>21459.228999999999</v>
      </c>
      <c r="G17" s="15">
        <v>10481.74</v>
      </c>
      <c r="H17" s="15">
        <v>10481.74</v>
      </c>
      <c r="I17" s="15">
        <v>22454581.02</v>
      </c>
      <c r="J17" s="15">
        <v>4.1719999999999997</v>
      </c>
      <c r="K17" s="15">
        <v>8163.3990000000003</v>
      </c>
    </row>
    <row r="18" spans="1:11" ht="21" customHeight="1">
      <c r="A18" s="13" t="s">
        <v>27</v>
      </c>
      <c r="B18" s="14">
        <v>2512.3000000000002</v>
      </c>
      <c r="C18" s="14">
        <v>8.375</v>
      </c>
      <c r="D18" s="14">
        <v>12.75</v>
      </c>
      <c r="E18" s="14">
        <v>13.202999999999999</v>
      </c>
      <c r="F18" s="14">
        <v>21039.814999999999</v>
      </c>
      <c r="G18" s="15">
        <v>16343.97</v>
      </c>
      <c r="H18" s="15">
        <v>16343.97</v>
      </c>
      <c r="I18" s="15">
        <v>22470924.989999998</v>
      </c>
      <c r="J18" s="15">
        <v>6.5060000000000002</v>
      </c>
      <c r="K18" s="15">
        <v>1418.473</v>
      </c>
    </row>
    <row r="19" spans="1:11" ht="21" customHeight="1">
      <c r="A19" s="13" t="s">
        <v>28</v>
      </c>
      <c r="B19" s="14">
        <v>2512.3000000000002</v>
      </c>
      <c r="C19" s="14">
        <v>10.238</v>
      </c>
      <c r="D19" s="14">
        <v>13.5</v>
      </c>
      <c r="E19" s="14">
        <v>13.718999999999999</v>
      </c>
      <c r="F19" s="14">
        <v>25721.066999999999</v>
      </c>
      <c r="G19" s="15">
        <v>8780.26</v>
      </c>
      <c r="H19" s="15">
        <v>8780.26</v>
      </c>
      <c r="I19" s="15">
        <v>22479705.25</v>
      </c>
      <c r="J19" s="15">
        <v>3.4950000000000001</v>
      </c>
      <c r="K19" s="15">
        <v>13746.71</v>
      </c>
    </row>
    <row r="20" spans="1:11" ht="21" customHeight="1">
      <c r="A20" s="13" t="s">
        <v>29</v>
      </c>
      <c r="B20" s="14">
        <v>2512.3000000000002</v>
      </c>
      <c r="C20" s="14">
        <v>10.476000000000001</v>
      </c>
      <c r="D20" s="14">
        <v>13.5</v>
      </c>
      <c r="E20" s="14">
        <v>13.941000000000001</v>
      </c>
      <c r="F20" s="14">
        <v>26317.738000000001</v>
      </c>
      <c r="G20" s="15">
        <v>17351.97</v>
      </c>
      <c r="H20" s="15">
        <v>17351.97</v>
      </c>
      <c r="I20" s="15">
        <v>22497057.219999999</v>
      </c>
      <c r="J20" s="15">
        <v>6.907</v>
      </c>
      <c r="K20" s="15">
        <v>5742.6080000000002</v>
      </c>
    </row>
    <row r="21" spans="1:11" ht="21" customHeight="1">
      <c r="A21" s="13" t="s">
        <v>30</v>
      </c>
      <c r="B21" s="14">
        <v>2512.3000000000002</v>
      </c>
      <c r="C21" s="14">
        <v>10.481999999999999</v>
      </c>
      <c r="D21" s="14">
        <v>13.5</v>
      </c>
      <c r="E21" s="14">
        <v>14.768000000000001</v>
      </c>
      <c r="F21" s="14">
        <v>26333.789000000001</v>
      </c>
      <c r="G21" s="15">
        <v>19861.54</v>
      </c>
      <c r="H21" s="15">
        <v>19861.54</v>
      </c>
      <c r="I21" s="15">
        <v>22516918.760000002</v>
      </c>
      <c r="J21" s="15">
        <v>7.9059999999999997</v>
      </c>
      <c r="K21" s="15">
        <v>2689.1480000000001</v>
      </c>
    </row>
    <row r="22" spans="1:11" ht="21" customHeight="1">
      <c r="A22" s="13" t="s">
        <v>31</v>
      </c>
      <c r="B22" s="14">
        <v>2512.3000000000002</v>
      </c>
      <c r="C22" s="14">
        <v>10.202</v>
      </c>
      <c r="D22" s="14">
        <v>13.5</v>
      </c>
      <c r="E22" s="14">
        <v>14.497999999999999</v>
      </c>
      <c r="F22" s="14">
        <v>25629.647000000001</v>
      </c>
      <c r="G22" s="15">
        <v>20913.490000000002</v>
      </c>
      <c r="H22" s="15">
        <v>20913.490000000002</v>
      </c>
      <c r="I22" s="15">
        <v>22537832.25</v>
      </c>
      <c r="J22" s="15">
        <v>8.3239999999999998</v>
      </c>
      <c r="K22" s="15">
        <v>1098.105</v>
      </c>
    </row>
    <row r="23" spans="1:11" ht="21" customHeight="1">
      <c r="A23" s="13" t="s">
        <v>32</v>
      </c>
      <c r="B23" s="14">
        <v>2512.3000000000002</v>
      </c>
      <c r="C23" s="14">
        <v>10.009</v>
      </c>
      <c r="D23" s="14">
        <v>13.417</v>
      </c>
      <c r="E23" s="14">
        <v>13.726000000000001</v>
      </c>
      <c r="F23" s="14">
        <v>25146.726999999999</v>
      </c>
      <c r="G23" s="15">
        <v>17973.59</v>
      </c>
      <c r="H23" s="15">
        <v>17973.59</v>
      </c>
      <c r="I23" s="15">
        <v>22555805.84</v>
      </c>
      <c r="J23" s="15">
        <v>7.1539999999999999</v>
      </c>
      <c r="K23" s="15">
        <v>3954.8530000000001</v>
      </c>
    </row>
    <row r="24" spans="1:11" ht="21" customHeight="1">
      <c r="A24" s="13" t="s">
        <v>33</v>
      </c>
      <c r="B24" s="14">
        <v>2512.3000000000002</v>
      </c>
      <c r="C24" s="14">
        <v>10.077999999999999</v>
      </c>
      <c r="D24" s="14">
        <v>13.083</v>
      </c>
      <c r="E24" s="14">
        <v>13.616</v>
      </c>
      <c r="F24" s="14">
        <v>25317.703000000001</v>
      </c>
      <c r="G24" s="15">
        <v>13149.76</v>
      </c>
      <c r="H24" s="15">
        <v>13149.76</v>
      </c>
      <c r="I24" s="15">
        <v>22568955.600000001</v>
      </c>
      <c r="J24" s="15">
        <v>5.234</v>
      </c>
      <c r="K24" s="15">
        <v>9024.4699999999993</v>
      </c>
    </row>
    <row r="25" spans="1:11" ht="21" customHeight="1">
      <c r="A25" s="13" t="s">
        <v>34</v>
      </c>
      <c r="B25" s="14">
        <v>2512.3000000000002</v>
      </c>
      <c r="C25" s="14">
        <v>10.005000000000001</v>
      </c>
      <c r="D25" s="14">
        <v>13.417</v>
      </c>
      <c r="E25" s="14">
        <v>13.757</v>
      </c>
      <c r="F25" s="14">
        <v>25134.864000000001</v>
      </c>
      <c r="G25" s="15">
        <v>20618.650000000001</v>
      </c>
      <c r="H25" s="15">
        <v>20618.650000000001</v>
      </c>
      <c r="I25" s="15">
        <v>22589574.25</v>
      </c>
      <c r="J25" s="15">
        <v>8.2070000000000007</v>
      </c>
      <c r="K25" s="15">
        <v>658.255</v>
      </c>
    </row>
    <row r="26" spans="1:11" ht="21" customHeight="1">
      <c r="A26" s="13" t="s">
        <v>35</v>
      </c>
      <c r="B26" s="14">
        <v>2512.3000000000002</v>
      </c>
      <c r="C26" s="14">
        <v>10.513</v>
      </c>
      <c r="D26" s="14">
        <v>13.583</v>
      </c>
      <c r="E26" s="14">
        <v>14.702</v>
      </c>
      <c r="F26" s="14">
        <v>26411.949000000001</v>
      </c>
      <c r="G26" s="15">
        <v>21163.74</v>
      </c>
      <c r="H26" s="15">
        <v>21163.74</v>
      </c>
      <c r="I26" s="15">
        <v>22610737.989999998</v>
      </c>
      <c r="J26" s="15">
        <v>8.4239999999999995</v>
      </c>
      <c r="K26" s="15">
        <v>1323.6769999999999</v>
      </c>
    </row>
    <row r="27" spans="1:11" ht="21" customHeight="1">
      <c r="A27" s="13" t="s">
        <v>36</v>
      </c>
      <c r="B27" s="14">
        <v>2512.3000000000002</v>
      </c>
      <c r="C27" s="14">
        <v>10.563000000000001</v>
      </c>
      <c r="D27" s="14">
        <v>13.583</v>
      </c>
      <c r="E27" s="14">
        <v>15.103999999999999</v>
      </c>
      <c r="F27" s="14">
        <v>26538.261999999999</v>
      </c>
      <c r="G27" s="15">
        <v>21563.03</v>
      </c>
      <c r="H27" s="15">
        <v>21563.03</v>
      </c>
      <c r="I27" s="15">
        <v>22632301.02</v>
      </c>
      <c r="J27" s="15">
        <v>8.5830000000000002</v>
      </c>
      <c r="K27" s="15">
        <v>982.87900000000002</v>
      </c>
    </row>
    <row r="28" spans="1:11" ht="21" customHeight="1">
      <c r="A28" s="13" t="s">
        <v>37</v>
      </c>
      <c r="B28" s="14">
        <v>2512.3000000000002</v>
      </c>
      <c r="C28" s="14">
        <v>10.260999999999999</v>
      </c>
      <c r="D28" s="14">
        <v>13.5</v>
      </c>
      <c r="E28" s="14">
        <v>14.388</v>
      </c>
      <c r="F28" s="14">
        <v>25778.292000000001</v>
      </c>
      <c r="G28" s="15">
        <v>20848.189999999999</v>
      </c>
      <c r="H28" s="15">
        <v>20848.189999999999</v>
      </c>
      <c r="I28" s="15">
        <v>22653149.210000001</v>
      </c>
      <c r="J28" s="15">
        <v>8.298</v>
      </c>
      <c r="K28" s="15">
        <v>1016.772</v>
      </c>
    </row>
    <row r="29" spans="1:11" ht="21" customHeight="1">
      <c r="A29" s="13" t="s">
        <v>38</v>
      </c>
      <c r="B29" s="14">
        <v>2512.3000000000002</v>
      </c>
      <c r="C29" s="14">
        <v>10.111000000000001</v>
      </c>
      <c r="D29" s="14">
        <v>13.25</v>
      </c>
      <c r="E29" s="14">
        <v>14.502000000000001</v>
      </c>
      <c r="F29" s="14">
        <v>25401.447</v>
      </c>
      <c r="G29" s="15">
        <v>18150.95</v>
      </c>
      <c r="H29" s="15">
        <v>18150.95</v>
      </c>
      <c r="I29" s="15">
        <v>22671300.16</v>
      </c>
      <c r="J29" s="15">
        <v>7.2249999999999996</v>
      </c>
      <c r="K29" s="15">
        <v>736.38499999999999</v>
      </c>
    </row>
    <row r="30" spans="1:11" ht="21" customHeight="1">
      <c r="A30" s="13" t="s">
        <v>39</v>
      </c>
      <c r="B30" s="14">
        <v>2512.3000000000002</v>
      </c>
      <c r="C30" s="14">
        <v>9.7680000000000007</v>
      </c>
      <c r="D30" s="14">
        <v>12.833</v>
      </c>
      <c r="E30" s="14">
        <v>14.398</v>
      </c>
      <c r="F30" s="14">
        <v>24539.588</v>
      </c>
      <c r="G30" s="15">
        <v>18607.939999999999</v>
      </c>
      <c r="H30" s="15">
        <v>18607.939999999999</v>
      </c>
      <c r="I30" s="15">
        <v>22689908.100000001</v>
      </c>
      <c r="J30" s="15">
        <v>7.407</v>
      </c>
      <c r="K30" s="15">
        <v>2521.6460000000002</v>
      </c>
    </row>
    <row r="31" spans="1:11" ht="21" customHeight="1">
      <c r="A31" s="13" t="s">
        <v>40</v>
      </c>
      <c r="B31" s="14">
        <v>2512.3000000000002</v>
      </c>
      <c r="C31" s="14">
        <v>9.9819999999999993</v>
      </c>
      <c r="D31" s="14">
        <v>13.5</v>
      </c>
      <c r="E31" s="14">
        <v>14.961</v>
      </c>
      <c r="F31" s="14">
        <v>25079.035</v>
      </c>
      <c r="G31" s="15">
        <v>14478.62</v>
      </c>
      <c r="H31" s="15">
        <v>14478.62</v>
      </c>
      <c r="I31" s="15">
        <v>22704386.719999999</v>
      </c>
      <c r="J31" s="15">
        <v>5.7629999999999999</v>
      </c>
      <c r="K31" s="15">
        <v>7408.6480000000001</v>
      </c>
    </row>
    <row r="32" spans="1:11" ht="21" customHeight="1" thickBot="1">
      <c r="A32" s="16" t="s">
        <v>41</v>
      </c>
      <c r="B32" s="17">
        <v>2512.3000000000002</v>
      </c>
      <c r="C32" s="17">
        <v>10.137</v>
      </c>
      <c r="D32" s="17">
        <v>13.5</v>
      </c>
      <c r="E32" s="17">
        <v>14.422000000000001</v>
      </c>
      <c r="F32" s="17">
        <v>25466.348000000002</v>
      </c>
      <c r="G32" s="18">
        <v>18071.97</v>
      </c>
      <c r="H32" s="18">
        <v>18071.97</v>
      </c>
      <c r="I32" s="18">
        <v>22722458.690000001</v>
      </c>
      <c r="J32" s="18">
        <v>7.1929999999999996</v>
      </c>
      <c r="K32" s="18">
        <v>4050.922</v>
      </c>
    </row>
    <row r="33" spans="7:11" ht="19.8" customHeight="1" thickBot="1">
      <c r="G33" s="6">
        <f>SUM(G3:G32)</f>
        <v>432696.00000000012</v>
      </c>
      <c r="H33" s="6">
        <f>SUM(H3:H32)</f>
        <v>432696.00000000012</v>
      </c>
      <c r="I33" s="7"/>
      <c r="J33" s="8"/>
      <c r="K33" s="6">
        <f>SUM(K3:K32)</f>
        <v>188306.34299999999</v>
      </c>
    </row>
    <row r="34" spans="7:11">
      <c r="K34" s="9">
        <f>K33/(K33+H33)</f>
        <v>0.30322968201747985</v>
      </c>
    </row>
  </sheetData>
  <mergeCells count="1">
    <mergeCell ref="A1:K1"/>
  </mergeCells>
  <phoneticPr fontId="1" type="noConversion"/>
  <printOptions horizontalCentered="1"/>
  <pageMargins left="0.31496062992125984" right="0.11811023622047245" top="0.35433070866141736" bottom="0.15748031496062992" header="0.31496062992125984" footer="0.31496062992125984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2026-02-11T13:13:15Z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(3)gCc73SDQ63LS3Xc1wMuQn/3Eljo0JwanrCTdy2K4XAs/sAGVb82zAewVLp99ZghYKZXo0FOK
IBmfjp/aOyjSFt5IwcAkLIuvlEifKhIiS7m/AdUZ+LuTKwmqDOJXdETzHQe0+xgX++4+isiC
STm3SfZacTAaCJNAr0WkfRTJJNA4LQBHcX4JcNseMxZN2rRCk5/9bdKF9V9cYCpXGCSnprRs
6u79txRZqGTT4lzY5E</vt:lpwstr>
  </property>
  <property fmtid="{D5CDD505-2E9C-101B-9397-08002B2CF9AE}" pid="3" name="_2015_ms_pID_7253431">
    <vt:lpwstr>/HoJU1/3X0Sv+0lpCejZVtozAuiFZcelu0qszveAPtbf6mbTv8jhjH
z4MIUsXy6CNrx/3pkTwLjal3t3sh3yKwheFcl/GNdQQ0BjedSeUX9ahrR67qeo6GBnvleclo
RLelazHl+ZmL6OjHz6JYZPSntYo6bip/AhbxX0uGoxytNnbZ/p9trJTWebGN3yO+7zmxqHS/
h5p96DXIDIT8sd/XXcZy43Gk234ITarScDIU</vt:lpwstr>
  </property>
  <property fmtid="{D5CDD505-2E9C-101B-9397-08002B2CF9AE}" pid="4" name="_2015_ms_pID_7253432">
    <vt:lpwstr>gA==</vt:lpwstr>
  </property>
  <property fmtid="{D5CDD505-2E9C-101B-9397-08002B2CF9AE}" pid="5" name="_readonly">
    <vt:lpwstr/>
  </property>
  <property fmtid="{D5CDD505-2E9C-101B-9397-08002B2CF9AE}" pid="6" name="_change">
    <vt:lpwstr/>
  </property>
  <property fmtid="{D5CDD505-2E9C-101B-9397-08002B2CF9AE}" pid="7" name="_full-control">
    <vt:lpwstr/>
  </property>
  <property fmtid="{D5CDD505-2E9C-101B-9397-08002B2CF9AE}" pid="8" name="sflag">
    <vt:lpwstr>1725866001</vt:lpwstr>
  </property>
</Properties>
</file>