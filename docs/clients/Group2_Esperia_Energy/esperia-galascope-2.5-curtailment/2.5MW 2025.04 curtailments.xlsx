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E15FBE80-1322-4AF9-9C3F-123896A97E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34" i="1" s="1"/>
  <c r="F33" i="1"/>
</calcChain>
</file>

<file path=xl/sharedStrings.xml><?xml version="1.0" encoding="utf-8"?>
<sst xmlns="http://schemas.openxmlformats.org/spreadsheetml/2006/main" count="38" uniqueCount="38">
  <si>
    <t>Plant Report_Galascope 2.5</t>
  </si>
  <si>
    <t>Statistical Period</t>
  </si>
  <si>
    <t>Total String Capacity (kWp)</t>
  </si>
  <si>
    <t>Global Irradiation (kWh/㎡)</t>
  </si>
  <si>
    <t>Sun Hours (H)</t>
  </si>
  <si>
    <t>Average Temperature(°C)</t>
  </si>
  <si>
    <t>PV Yield (kWh)</t>
  </si>
  <si>
    <t>Loss Due to Export Limitation (kWh)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</si>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</sst>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_ "/>
  </numFmts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6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J6" sqref="J6"/>
    </sheetView>
  </sheetViews>
  <sheetFormatPr defaultColWidth="9" defaultRowHeight="14.4"/>
  <cols>
    <col min="1" max="3" width="12.77734375" customWidth="1"/>
    <col min="4" max="4" width="11.77734375" customWidth="1"/>
    <col min="5" max="5" width="12.77734375" hidden="1" customWidth="1"/>
    <col min="6" max="6" width="12.77734375" style="3" customWidth="1"/>
    <col min="7" max="7" width="15.77734375" style="3" customWidth="1"/>
  </cols>
  <sheetData>
    <row r="1" spans="1:7" ht="24.9" customHeight="1">
      <c r="A1" s="15" t="s">
        <v>0</v>
      </c>
      <c r="B1" s="15"/>
      <c r="C1" s="15"/>
      <c r="D1" s="15"/>
      <c r="E1" s="15"/>
      <c r="F1" s="15"/>
      <c r="G1" s="15"/>
    </row>
    <row r="2" spans="1:7" ht="49.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2" t="s">
        <v>7</v>
      </c>
    </row>
    <row r="3" spans="1:7" ht="21" customHeight="1">
      <c r="A3" s="6" t="s">
        <v>8</v>
      </c>
      <c r="B3" s="7">
        <v>2512.3000000000002</v>
      </c>
      <c r="C3" s="7">
        <v>1.3919999999999999</v>
      </c>
      <c r="D3" s="7">
        <v>8.4169999999999998</v>
      </c>
      <c r="E3" s="7">
        <v>9.35</v>
      </c>
      <c r="F3" s="8">
        <v>3056.87</v>
      </c>
      <c r="G3" s="8">
        <v>10.238</v>
      </c>
    </row>
    <row r="4" spans="1:7" ht="21" customHeight="1">
      <c r="A4" s="9" t="s">
        <v>9</v>
      </c>
      <c r="B4" s="10">
        <v>2512.3000000000002</v>
      </c>
      <c r="C4" s="10">
        <v>7.7389999999999999</v>
      </c>
      <c r="D4" s="10">
        <v>11.583</v>
      </c>
      <c r="E4" s="10">
        <v>9.0739999999999998</v>
      </c>
      <c r="F4" s="11">
        <v>9792.2000000000007</v>
      </c>
      <c r="G4" s="11">
        <v>7601.9620000000004</v>
      </c>
    </row>
    <row r="5" spans="1:7" ht="21" customHeight="1">
      <c r="A5" s="9" t="s">
        <v>10</v>
      </c>
      <c r="B5" s="10">
        <v>2512.3000000000002</v>
      </c>
      <c r="C5" s="10">
        <v>6.9619999999999997</v>
      </c>
      <c r="D5" s="10">
        <v>11.417</v>
      </c>
      <c r="E5" s="10">
        <v>8.5760000000000005</v>
      </c>
      <c r="F5" s="11">
        <v>8195.41</v>
      </c>
      <c r="G5" s="11">
        <v>7497.3029999999999</v>
      </c>
    </row>
    <row r="6" spans="1:7" ht="21" customHeight="1">
      <c r="A6" s="9" t="s">
        <v>11</v>
      </c>
      <c r="B6" s="10">
        <v>2512.3000000000002</v>
      </c>
      <c r="C6" s="10">
        <v>3.008</v>
      </c>
      <c r="D6" s="10">
        <v>9.0830000000000002</v>
      </c>
      <c r="E6" s="10">
        <v>7.0720000000000001</v>
      </c>
      <c r="F6" s="11">
        <v>2186.1</v>
      </c>
      <c r="G6" s="11">
        <v>4502.2489999999998</v>
      </c>
    </row>
    <row r="7" spans="1:7" ht="21" customHeight="1">
      <c r="A7" s="9" t="s">
        <v>12</v>
      </c>
      <c r="B7" s="10">
        <v>2512.3000000000002</v>
      </c>
      <c r="C7" s="10">
        <v>6.8949999999999996</v>
      </c>
      <c r="D7" s="10">
        <v>11.5</v>
      </c>
      <c r="E7" s="10">
        <v>7.2629999999999999</v>
      </c>
      <c r="F7" s="11">
        <v>6157.98</v>
      </c>
      <c r="G7" s="11">
        <v>9285.3430000000008</v>
      </c>
    </row>
    <row r="8" spans="1:7" ht="21" customHeight="1">
      <c r="A8" s="9" t="s">
        <v>13</v>
      </c>
      <c r="B8" s="10">
        <v>2512.3000000000002</v>
      </c>
      <c r="C8" s="10">
        <v>6.8090000000000002</v>
      </c>
      <c r="D8" s="10">
        <v>11.917</v>
      </c>
      <c r="E8" s="10">
        <v>7.399</v>
      </c>
      <c r="F8" s="11">
        <v>3852.59</v>
      </c>
      <c r="G8" s="11">
        <v>11344.848</v>
      </c>
    </row>
    <row r="9" spans="1:7" ht="21" customHeight="1">
      <c r="A9" s="9" t="s">
        <v>14</v>
      </c>
      <c r="B9" s="10">
        <v>2512.3000000000002</v>
      </c>
      <c r="C9" s="10">
        <v>6.0350000000000001</v>
      </c>
      <c r="D9" s="10">
        <v>11.833</v>
      </c>
      <c r="E9" s="10">
        <v>8.7539999999999996</v>
      </c>
      <c r="F9" s="11">
        <v>9516.5499999999993</v>
      </c>
      <c r="G9" s="11">
        <v>4020.0250000000001</v>
      </c>
    </row>
    <row r="10" spans="1:7" ht="21" customHeight="1">
      <c r="A10" s="9" t="s">
        <v>15</v>
      </c>
      <c r="B10" s="10">
        <v>2512.3000000000002</v>
      </c>
      <c r="C10" s="10">
        <v>6.9820000000000002</v>
      </c>
      <c r="D10" s="10">
        <v>11.417</v>
      </c>
      <c r="E10" s="10">
        <v>8.5039999999999996</v>
      </c>
      <c r="F10" s="11">
        <v>5287.78</v>
      </c>
      <c r="G10" s="11">
        <v>10324.989</v>
      </c>
    </row>
    <row r="11" spans="1:7" ht="21" customHeight="1">
      <c r="A11" s="9" t="s">
        <v>16</v>
      </c>
      <c r="B11" s="10">
        <v>2512.3000000000002</v>
      </c>
      <c r="C11" s="10">
        <v>7.4619999999999997</v>
      </c>
      <c r="D11" s="10">
        <v>11.917</v>
      </c>
      <c r="E11" s="10">
        <v>9.2159999999999993</v>
      </c>
      <c r="F11" s="11">
        <v>5796.44</v>
      </c>
      <c r="G11" s="11">
        <v>10906.781999999999</v>
      </c>
    </row>
    <row r="12" spans="1:7" ht="21" customHeight="1">
      <c r="A12" s="9" t="s">
        <v>17</v>
      </c>
      <c r="B12" s="10">
        <v>2512.3000000000002</v>
      </c>
      <c r="C12" s="10">
        <v>6.0650000000000004</v>
      </c>
      <c r="D12" s="10">
        <v>12</v>
      </c>
      <c r="E12" s="10">
        <v>7.3159999999999998</v>
      </c>
      <c r="F12" s="11">
        <v>6686.21</v>
      </c>
      <c r="G12" s="11">
        <v>6977.768</v>
      </c>
    </row>
    <row r="13" spans="1:7" ht="21" customHeight="1">
      <c r="A13" s="9" t="s">
        <v>18</v>
      </c>
      <c r="B13" s="10">
        <v>2512.3000000000002</v>
      </c>
      <c r="C13" s="10">
        <v>5.3949999999999996</v>
      </c>
      <c r="D13" s="10">
        <v>12</v>
      </c>
      <c r="E13" s="10">
        <v>7.1769999999999996</v>
      </c>
      <c r="F13" s="11">
        <v>7393.45</v>
      </c>
      <c r="G13" s="11">
        <v>4758.6809999999996</v>
      </c>
    </row>
    <row r="14" spans="1:7" ht="21" customHeight="1">
      <c r="A14" s="9" t="s">
        <v>19</v>
      </c>
      <c r="B14" s="10">
        <v>2512.3000000000002</v>
      </c>
      <c r="C14" s="10">
        <v>7.6619999999999999</v>
      </c>
      <c r="D14" s="10">
        <v>11.75</v>
      </c>
      <c r="E14" s="10">
        <v>7.0369999999999999</v>
      </c>
      <c r="F14" s="11">
        <v>5432.79</v>
      </c>
      <c r="G14" s="11">
        <v>11731.451999999999</v>
      </c>
    </row>
    <row r="15" spans="1:7" ht="21" customHeight="1">
      <c r="A15" s="9" t="s">
        <v>20</v>
      </c>
      <c r="B15" s="10">
        <v>2512.3000000000002</v>
      </c>
      <c r="C15" s="10">
        <v>3.2890000000000001</v>
      </c>
      <c r="D15" s="10">
        <v>11.25</v>
      </c>
      <c r="E15" s="10">
        <v>6.2779999999999996</v>
      </c>
      <c r="F15" s="11">
        <v>6567.73</v>
      </c>
      <c r="G15" s="11">
        <v>741.41200000000003</v>
      </c>
    </row>
    <row r="16" spans="1:7" ht="21" customHeight="1">
      <c r="A16" s="9" t="s">
        <v>21</v>
      </c>
      <c r="B16" s="10">
        <v>2512.3000000000002</v>
      </c>
      <c r="C16" s="10">
        <v>8.9109999999999996</v>
      </c>
      <c r="D16" s="10">
        <v>11.75</v>
      </c>
      <c r="E16" s="10">
        <v>7.66</v>
      </c>
      <c r="F16" s="11">
        <v>6649.06</v>
      </c>
      <c r="G16" s="11">
        <v>13425.098</v>
      </c>
    </row>
    <row r="17" spans="1:7" ht="21" customHeight="1">
      <c r="A17" s="9" t="s">
        <v>22</v>
      </c>
      <c r="B17" s="10">
        <v>2512.3000000000002</v>
      </c>
      <c r="C17" s="10">
        <v>9.4600000000000009</v>
      </c>
      <c r="D17" s="10">
        <v>12.167</v>
      </c>
      <c r="E17" s="10">
        <v>8.6020000000000003</v>
      </c>
      <c r="F17" s="11">
        <v>6015.37</v>
      </c>
      <c r="G17" s="11">
        <v>15194.24</v>
      </c>
    </row>
    <row r="18" spans="1:7" ht="21" customHeight="1">
      <c r="A18" s="9" t="s">
        <v>23</v>
      </c>
      <c r="B18" s="10">
        <v>2512.3000000000002</v>
      </c>
      <c r="C18" s="10">
        <v>9.4719999999999995</v>
      </c>
      <c r="D18" s="10">
        <v>12.25</v>
      </c>
      <c r="E18" s="10">
        <v>8.8539999999999992</v>
      </c>
      <c r="F18" s="11">
        <v>6022.26</v>
      </c>
      <c r="G18" s="11">
        <v>15203.696</v>
      </c>
    </row>
    <row r="19" spans="1:7" ht="21" customHeight="1">
      <c r="A19" s="9" t="s">
        <v>24</v>
      </c>
      <c r="B19" s="10">
        <v>2512.3000000000002</v>
      </c>
      <c r="C19" s="10">
        <v>9.3330000000000002</v>
      </c>
      <c r="D19" s="10">
        <v>12.167</v>
      </c>
      <c r="E19" s="10">
        <v>8.9179999999999993</v>
      </c>
      <c r="F19" s="11">
        <v>4723.32</v>
      </c>
      <c r="G19" s="11">
        <v>16186.097</v>
      </c>
    </row>
    <row r="20" spans="1:7" ht="21" customHeight="1">
      <c r="A20" s="9" t="s">
        <v>25</v>
      </c>
      <c r="B20" s="10">
        <v>2512.3000000000002</v>
      </c>
      <c r="C20" s="10">
        <v>9.2989999999999995</v>
      </c>
      <c r="D20" s="10">
        <v>12.333</v>
      </c>
      <c r="E20" s="10">
        <v>10.266</v>
      </c>
      <c r="F20" s="11">
        <v>6496.04</v>
      </c>
      <c r="G20" s="11">
        <v>14307.871999999999</v>
      </c>
    </row>
    <row r="21" spans="1:7" ht="21" customHeight="1">
      <c r="A21" s="9" t="s">
        <v>26</v>
      </c>
      <c r="B21" s="10">
        <v>2512.3000000000002</v>
      </c>
      <c r="C21" s="10">
        <v>9.1579999999999995</v>
      </c>
      <c r="D21" s="10">
        <v>12.167</v>
      </c>
      <c r="E21" s="10">
        <v>9.7149999999999999</v>
      </c>
      <c r="F21" s="11">
        <v>4988.0200000000004</v>
      </c>
      <c r="G21" s="11"/>
    </row>
    <row r="22" spans="1:7" ht="21" customHeight="1">
      <c r="A22" s="9" t="s">
        <v>27</v>
      </c>
      <c r="B22" s="10">
        <v>2512.3000000000002</v>
      </c>
      <c r="C22" s="10">
        <v>8.6690000000000005</v>
      </c>
      <c r="D22" s="10">
        <v>12.083</v>
      </c>
      <c r="E22" s="10">
        <v>9.1470000000000002</v>
      </c>
      <c r="F22" s="11">
        <v>3264.67</v>
      </c>
      <c r="G22" s="11">
        <v>16080.754000000001</v>
      </c>
    </row>
    <row r="23" spans="1:7" ht="21" customHeight="1">
      <c r="A23" s="9" t="s">
        <v>28</v>
      </c>
      <c r="B23" s="10">
        <v>2512.3000000000002</v>
      </c>
      <c r="C23" s="10">
        <v>7.5110000000000001</v>
      </c>
      <c r="D23" s="10">
        <v>11.083</v>
      </c>
      <c r="E23" s="10">
        <v>9.327</v>
      </c>
      <c r="F23" s="11">
        <v>1913.72</v>
      </c>
      <c r="G23" s="11">
        <v>14848.52</v>
      </c>
    </row>
    <row r="24" spans="1:7" ht="21" customHeight="1">
      <c r="A24" s="9" t="s">
        <v>29</v>
      </c>
      <c r="B24" s="10">
        <v>2512.3000000000002</v>
      </c>
      <c r="C24" s="10">
        <v>9.0459999999999994</v>
      </c>
      <c r="D24" s="10">
        <v>12.167</v>
      </c>
      <c r="E24" s="10">
        <v>9.6989999999999998</v>
      </c>
      <c r="F24" s="11">
        <v>4625.71</v>
      </c>
      <c r="G24" s="11">
        <v>15619.865</v>
      </c>
    </row>
    <row r="25" spans="1:7" ht="21" customHeight="1">
      <c r="A25" s="9" t="s">
        <v>30</v>
      </c>
      <c r="B25" s="10">
        <v>2512.3000000000002</v>
      </c>
      <c r="C25" s="10">
        <v>6.0609999999999999</v>
      </c>
      <c r="D25" s="10">
        <v>11.417</v>
      </c>
      <c r="E25" s="10">
        <v>10.564</v>
      </c>
      <c r="F25" s="11">
        <v>5897.48</v>
      </c>
      <c r="G25" s="11">
        <v>7635.0079999999998</v>
      </c>
    </row>
    <row r="26" spans="1:7" ht="21" customHeight="1">
      <c r="A26" s="9" t="s">
        <v>31</v>
      </c>
      <c r="B26" s="10">
        <v>2512.3000000000002</v>
      </c>
      <c r="C26" s="10">
        <v>2.552</v>
      </c>
      <c r="D26" s="10">
        <v>11.333</v>
      </c>
      <c r="E26" s="10">
        <v>9.4049999999999994</v>
      </c>
      <c r="F26" s="11">
        <v>5782.72</v>
      </c>
      <c r="G26" s="11">
        <v>5.5369999999999999</v>
      </c>
    </row>
    <row r="27" spans="1:7" ht="21" customHeight="1">
      <c r="A27" s="9" t="s">
        <v>32</v>
      </c>
      <c r="B27" s="10">
        <v>2512.3000000000002</v>
      </c>
      <c r="C27" s="10">
        <v>7.5549999999999997</v>
      </c>
      <c r="D27" s="10">
        <v>12.25</v>
      </c>
      <c r="E27" s="10">
        <v>9.5210000000000008</v>
      </c>
      <c r="F27" s="11">
        <v>8357.66</v>
      </c>
      <c r="G27" s="11">
        <v>8581.2340000000004</v>
      </c>
    </row>
    <row r="28" spans="1:7" ht="21" customHeight="1">
      <c r="A28" s="9" t="s">
        <v>33</v>
      </c>
      <c r="B28" s="10">
        <v>2512.3000000000002</v>
      </c>
      <c r="C28" s="10">
        <v>6.6879999999999997</v>
      </c>
      <c r="D28" s="10">
        <v>12.25</v>
      </c>
      <c r="E28" s="10">
        <v>8.9060000000000006</v>
      </c>
      <c r="F28" s="11">
        <v>6555.7</v>
      </c>
      <c r="G28" s="11">
        <v>8423.7669999999998</v>
      </c>
    </row>
    <row r="29" spans="1:7" ht="21" customHeight="1">
      <c r="A29" s="9" t="s">
        <v>34</v>
      </c>
      <c r="B29" s="10">
        <v>2512.3000000000002</v>
      </c>
      <c r="C29" s="10">
        <v>8.5939999999999994</v>
      </c>
      <c r="D29" s="10">
        <v>12.5</v>
      </c>
      <c r="E29" s="10">
        <v>9.3539999999999992</v>
      </c>
      <c r="F29" s="11">
        <v>5560.06</v>
      </c>
      <c r="G29" s="11">
        <v>13658.799000000001</v>
      </c>
    </row>
    <row r="30" spans="1:7" ht="21" customHeight="1">
      <c r="A30" s="9" t="s">
        <v>35</v>
      </c>
      <c r="B30" s="10">
        <v>2512.3000000000002</v>
      </c>
      <c r="C30" s="10">
        <v>9.3960000000000008</v>
      </c>
      <c r="D30" s="10">
        <v>12.583</v>
      </c>
      <c r="E30" s="10">
        <v>9.9179999999999993</v>
      </c>
      <c r="F30" s="11">
        <v>6577.01</v>
      </c>
      <c r="G30" s="11">
        <v>14473.459000000001</v>
      </c>
    </row>
    <row r="31" spans="1:7" ht="21" customHeight="1">
      <c r="A31" s="9" t="s">
        <v>36</v>
      </c>
      <c r="B31" s="10">
        <v>2512.3000000000002</v>
      </c>
      <c r="C31" s="10">
        <v>8.5709999999999997</v>
      </c>
      <c r="D31" s="10">
        <v>12.25</v>
      </c>
      <c r="E31" s="10">
        <v>9.2349999999999994</v>
      </c>
      <c r="F31" s="11">
        <v>6377.92</v>
      </c>
      <c r="G31" s="11">
        <v>12722.154</v>
      </c>
    </row>
    <row r="32" spans="1:7" ht="21" customHeight="1" thickBot="1">
      <c r="A32" s="12" t="s">
        <v>37</v>
      </c>
      <c r="B32" s="13">
        <v>2512.3000000000002</v>
      </c>
      <c r="C32" s="13">
        <v>4.8929999999999998</v>
      </c>
      <c r="D32" s="13">
        <v>11.25</v>
      </c>
      <c r="E32" s="13">
        <v>9.5830000000000002</v>
      </c>
      <c r="F32" s="14">
        <v>6120.66</v>
      </c>
      <c r="G32" s="14"/>
    </row>
    <row r="33" spans="6:7" ht="20.399999999999999" customHeight="1" thickBot="1">
      <c r="F33" s="5">
        <f>SUM(F3:F32)</f>
        <v>175849.48</v>
      </c>
      <c r="G33" s="5">
        <f>SUM(G3:G32)</f>
        <v>276069.15199999994</v>
      </c>
    </row>
    <row r="34" spans="6:7">
      <c r="G34" s="4">
        <f>G33/(G33+F33)</f>
        <v>0.61088242982643826</v>
      </c>
    </row>
  </sheetData>
  <mergeCells count="1">
    <mergeCell ref="A1:G1"/>
  </mergeCells>
  <phoneticPr fontId="1" type="noConversion"/>
  <printOptions horizontalCentered="1"/>
  <pageMargins left="0.31496062992125984" right="0.11811023622047245" top="0.35433070866141736" bottom="0.15748031496062992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2026-02-11T13:11:57Z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(3)gCc73SDQ63LS3Xc1wMuQn/3Eljo0JwanrCTdy2K4XAs/sAGVb82zAewVLp99ZghYKZXo0FOK
IBmfjp/aOyjSFt5IwcAkLIuvlEifKhIiS7m/AdUZ+LuTKwmqDOJXdETzHQe0+xgX++4+isiC
STm3SfZacTAaCJNAr0WkfRTJJNA4LQBHcX4JcNseMxZN2rRCk5/9bdKF9V9cYCpXGCSnprRs
6u79txRZqGTT4lzY5E</vt:lpwstr>
  </property>
  <property fmtid="{D5CDD505-2E9C-101B-9397-08002B2CF9AE}" pid="3" name="_2015_ms_pID_7253431">
    <vt:lpwstr>/HoJU1/3X0Sv+0lpCejZVtozAuiFZcelu0qszveAPtbf6mbTv8jhjH
z4MIUsXy6CNrx/3pkTwLjal3t3sh3yKwheFcl/GNdQQ0BjedSeUX9ahrR67qeo6GBnvleclo
RLelazHl+ZmL6OjHz6JYZPSntYo6bip/AhbxX0uGoxytNnbZ/p9trJTWebGN3yO+7zmxqHS/
h5p96DXIDIT8sd/XXcZy43Gk234ITarScDIU</vt:lpwstr>
  </property>
  <property fmtid="{D5CDD505-2E9C-101B-9397-08002B2CF9AE}" pid="4" name="_2015_ms_pID_7253432">
    <vt:lpwstr>gA==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