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nthly Model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15-Year Projection" sheetId="4" state="visible" r:id="rId4"/>
    <sheet xmlns:r="http://schemas.openxmlformats.org/officeDocument/2006/relationships" name="Park Data" sheetId="5" state="visible" r:id="rId5"/>
    <sheet xmlns:r="http://schemas.openxmlformats.org/officeDocument/2006/relationships" name="NPV &amp; IRR" sheetId="6" state="visible" r:id="rId6"/>
    <sheet xmlns:r="http://schemas.openxmlformats.org/officeDocument/2006/relationships" name="Model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"/>
    <numFmt numFmtId="165" formatCode="0.0%"/>
    <numFmt numFmtId="166" formatCode="€#,##0"/>
    <numFmt numFmtId="167" formatCode="0.0"/>
    <numFmt numFmtId="168" formatCode="€#,##0.00"/>
    <numFmt numFmtId="169" formatCode="0.0&quot; yrs&quot;"/>
    <numFmt numFmtId="170" formatCode="0.00&quot;x&quot;"/>
    <numFmt numFmtId="171" formatCode="0.000"/>
    <numFmt numFmtId="172" formatCode="0&quot; years&quot;"/>
  </numFmts>
  <fonts count="9">
    <font>
      <name val="Calibri"/>
      <family val="2"/>
      <color theme="1"/>
      <sz val="11"/>
      <scheme val="minor"/>
    </font>
    <font>
      <b val="1"/>
      <color rgb="0016213E"/>
      <sz val="14"/>
    </font>
    <font>
      <i val="1"/>
      <color rgb="00666666"/>
    </font>
    <font>
      <b val="1"/>
      <color rgb="0016213E"/>
      <sz val="12"/>
    </font>
    <font>
      <b val="1"/>
      <color rgb="00FFFFFF"/>
      <sz val="11"/>
    </font>
    <font>
      <b val="1"/>
    </font>
    <font>
      <b val="1"/>
      <color rgb="0092400E"/>
    </font>
    <font>
      <b val="1"/>
      <color rgb="00DC2626"/>
    </font>
    <font>
      <b val="1"/>
      <color rgb="00059669"/>
    </font>
  </fonts>
  <fills count="5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FFBEB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0" borderId="0" pivotButton="0" quotePrefix="0" xfId="0"/>
    <xf numFmtId="0" fontId="6" fillId="3" borderId="0" pivotButton="0" quotePrefix="0" xfId="0"/>
    <xf numFmtId="164" fontId="5" fillId="0" borderId="0" pivotButton="0" quotePrefix="0" xfId="0"/>
    <xf numFmtId="3" fontId="5" fillId="0" borderId="0" pivotButton="0" quotePrefix="0" xfId="0"/>
    <xf numFmtId="165" fontId="6" fillId="3" borderId="0" pivotButton="0" quotePrefix="0" xfId="0"/>
    <xf numFmtId="166" fontId="7" fillId="0" borderId="0" pivotButton="0" quotePrefix="0" xfId="0"/>
    <xf numFmtId="166" fontId="6" fillId="3" borderId="0" pivotButton="0" quotePrefix="0" xfId="0"/>
    <xf numFmtId="10" fontId="6" fillId="3" borderId="0" pivotButton="0" quotePrefix="0" xfId="0"/>
    <xf numFmtId="166" fontId="5" fillId="0" borderId="0" pivotButton="0" quotePrefix="0" xfId="0"/>
    <xf numFmtId="2" fontId="6" fillId="3" borderId="0" pivotButton="0" quotePrefix="0" xfId="0"/>
    <xf numFmtId="10" fontId="0" fillId="0" borderId="0" pivotButton="0" quotePrefix="0" xfId="0"/>
    <xf numFmtId="3" fontId="6" fillId="3" borderId="0" pivotButton="0" quotePrefix="0" xfId="0"/>
    <xf numFmtId="9" fontId="6" fillId="3" borderId="0" pivotButton="0" quotePrefix="0" xfId="0"/>
    <xf numFmtId="9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8" fontId="6" fillId="3" borderId="0" pivotButton="0" quotePrefix="0" xfId="0"/>
    <xf numFmtId="166" fontId="0" fillId="0" borderId="0" pivotButton="0" quotePrefix="0" xfId="0"/>
    <xf numFmtId="166" fontId="8" fillId="4" borderId="0" pivotButton="0" quotePrefix="0" xfId="0"/>
    <xf numFmtId="165" fontId="8" fillId="0" borderId="0" pivotButton="0" quotePrefix="0" xfId="0"/>
    <xf numFmtId="169" fontId="0" fillId="0" borderId="0" pivotButton="0" quotePrefix="0" xfId="0"/>
    <xf numFmtId="170" fontId="8" fillId="0" borderId="0" pivotButton="0" quotePrefix="0" xfId="0"/>
    <xf numFmtId="167" fontId="6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71" fontId="0" fillId="0" borderId="0" pivotButton="0" quotePrefix="0" xfId="0"/>
    <xf numFmtId="165" fontId="8" fillId="4" borderId="0" pivotButton="0" quotePrefix="0" xfId="0"/>
    <xf numFmtId="165" fontId="0" fillId="0" borderId="0" pivotButton="0" quotePrefix="0" xfId="0"/>
    <xf numFmtId="172" fontId="0" fillId="0" borderId="0" pivotButton="0" quotePrefix="0" xfId="0"/>
    <xf numFmtId="166" fontId="8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ANARITA BESS — MONTHLY MODEL WITH SCENARIOS</t>
        </is>
      </c>
    </row>
    <row r="2">
      <c r="A2" s="2" t="inlineStr">
        <is>
          <t>2 × 5 MW / 20 MWh | €4,760,000 | Muminjon (Spanercom)</t>
        </is>
      </c>
    </row>
    <row r="3">
      <c r="A3" s="2" t="inlineStr">
        <is>
          <t>Yellow cells are modifiable — change to run your own scenarios</t>
        </is>
      </c>
    </row>
    <row r="5">
      <c r="A5" s="3" t="inlineStr">
        <is>
          <t>PV PARK</t>
        </is>
      </c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Unit</t>
        </is>
      </c>
      <c r="D6" s="4" t="inlineStr">
        <is>
          <t>Notes</t>
        </is>
      </c>
    </row>
    <row r="7">
      <c r="A7" s="5" t="inlineStr">
        <is>
          <t>PV Installed Capacity</t>
        </is>
      </c>
      <c r="B7" s="6" t="n">
        <v>10</v>
      </c>
      <c r="C7" t="inlineStr">
        <is>
          <t>MW</t>
        </is>
      </c>
      <c r="D7" t="inlineStr">
        <is>
          <t>Client</t>
        </is>
      </c>
    </row>
    <row r="8">
      <c r="A8" s="5" t="inlineStr">
        <is>
          <t>Total PV Panels</t>
        </is>
      </c>
      <c r="B8" t="n">
        <v>15178</v>
      </c>
      <c r="D8" t="inlineStr">
        <is>
          <t>7,586 East + 7,592 West (ASTRO 660Wp)</t>
        </is>
      </c>
    </row>
    <row r="9">
      <c r="A9" s="5" t="inlineStr">
        <is>
          <t>Panels Removed for BESS</t>
        </is>
      </c>
      <c r="B9" s="6" t="n">
        <v>90</v>
      </c>
      <c r="D9" t="inlineStr">
        <is>
          <t>Lost to BESS foundation area</t>
        </is>
      </c>
    </row>
    <row r="10">
      <c r="A10" s="5" t="inlineStr">
        <is>
          <t>Panel Wattage</t>
        </is>
      </c>
      <c r="B10" s="6" t="n">
        <v>660</v>
      </c>
      <c r="C10" t="inlineStr">
        <is>
          <t>Wp</t>
        </is>
      </c>
      <c r="D10" t="inlineStr">
        <is>
          <t>ASTROENERGY ASTRO 6 CHSM66M-HC</t>
        </is>
      </c>
    </row>
    <row r="11">
      <c r="A11" s="5" t="inlineStr">
        <is>
          <t>Effective PV Capacity</t>
        </is>
      </c>
      <c r="B11" s="7">
        <f>(B7*1000)-(B9*B10/1000)</f>
        <v/>
      </c>
      <c r="C11" t="inlineStr">
        <is>
          <t>kWp</t>
        </is>
      </c>
      <c r="D11">
        <f>(B7*1000)-(B9*B10/1000)</f>
        <v/>
      </c>
    </row>
    <row r="12">
      <c r="A12" s="5" t="inlineStr">
        <is>
          <t>Annual Specific Yield</t>
        </is>
      </c>
      <c r="B12" s="6" t="n">
        <v>1932</v>
      </c>
      <c r="C12" t="inlineStr">
        <is>
          <t>kWh/kWp</t>
        </is>
      </c>
      <c r="D12" t="inlineStr">
        <is>
          <t>PVSyst verified</t>
        </is>
      </c>
    </row>
    <row r="13">
      <c r="A13" s="5" t="inlineStr">
        <is>
          <t>Effective Annual Production</t>
        </is>
      </c>
      <c r="B13" s="8">
        <f>B11*B12/1000</f>
        <v/>
      </c>
      <c r="C13" t="inlineStr">
        <is>
          <t>MWh</t>
        </is>
      </c>
      <c r="D13">
        <f>B11*B12/1000</f>
        <v/>
      </c>
    </row>
    <row r="14">
      <c r="A14" s="5" t="inlineStr">
        <is>
          <t>PV Revenue Price (solar-hour avg)</t>
        </is>
      </c>
      <c r="B14" s="6" t="n">
        <v>140.88</v>
      </c>
      <c r="C14" t="inlineStr">
        <is>
          <t>EUR/MWh</t>
        </is>
      </c>
      <c r="D14" t="inlineStr">
        <is>
          <t>TSOC DAM 134-day (06:00-17:00)</t>
        </is>
      </c>
    </row>
    <row r="15">
      <c r="A15" s="5" t="inlineStr">
        <is>
          <t>PV Annual Degradation</t>
        </is>
      </c>
      <c r="B15" s="9" t="n">
        <v>0.005</v>
      </c>
      <c r="D15" t="inlineStr">
        <is>
          <t>0.5%/yr</t>
        </is>
      </c>
    </row>
    <row r="16">
      <c r="A16" s="5" t="inlineStr">
        <is>
          <t>Annual PV Revenue Loss (panels)</t>
        </is>
      </c>
      <c r="B16" s="10">
        <f>(B9*B10/1000)*B12/1000*B14</f>
        <v/>
      </c>
      <c r="C16" t="inlineStr">
        <is>
          <t>EUR/yr</t>
        </is>
      </c>
      <c r="D16" t="inlineStr">
        <is>
          <t>Revenue lost per year from removing 90 panels</t>
        </is>
      </c>
    </row>
    <row r="18">
      <c r="A18" s="3" t="inlineStr">
        <is>
          <t>BESS SYSTEM</t>
        </is>
      </c>
    </row>
    <row r="19">
      <c r="A19" s="5" t="inlineStr">
        <is>
          <t>BESS Energy (Total)</t>
        </is>
      </c>
      <c r="B19" s="6" t="n">
        <v>40</v>
      </c>
      <c r="C19" t="inlineStr">
        <is>
          <t>MWh</t>
        </is>
      </c>
      <c r="D19" t="inlineStr">
        <is>
          <t>2 × 20 MWh (4 × 5 MWh containers per park)</t>
        </is>
      </c>
    </row>
    <row r="20">
      <c r="A20" s="5" t="inlineStr">
        <is>
          <t>BESS Power</t>
        </is>
      </c>
      <c r="B20" s="6" t="n">
        <v>10</v>
      </c>
      <c r="C20" t="inlineStr">
        <is>
          <t>MW</t>
        </is>
      </c>
      <c r="D20" t="inlineStr">
        <is>
          <t>2 × 5 MW</t>
        </is>
      </c>
    </row>
    <row r="21">
      <c r="A21" s="5" t="inlineStr">
        <is>
          <t>BESS EPC Price</t>
        </is>
      </c>
      <c r="B21" s="11" t="n">
        <v>4760000</v>
      </c>
      <c r="C21" t="inlineStr">
        <is>
          <t>EUR</t>
        </is>
      </c>
      <c r="D21" t="inlineStr">
        <is>
          <t>€119/kWh | 2 × €2,380,000</t>
        </is>
      </c>
    </row>
    <row r="22">
      <c r="A22" s="5" t="inlineStr">
        <is>
          <t>Round-Trip Efficiency (RTE)</t>
        </is>
      </c>
      <c r="B22" s="12" t="n">
        <v>0.8632</v>
      </c>
      <c r="D22" t="inlineStr">
        <is>
          <t>Linyang AC-AC full system</t>
        </is>
      </c>
    </row>
    <row r="23">
      <c r="A23" s="5" t="inlineStr">
        <is>
          <t>BESS Availability</t>
        </is>
      </c>
      <c r="B23" s="12" t="n">
        <v>0.97</v>
      </c>
      <c r="D23" t="inlineStr">
        <is>
          <t>97% guaranteed (LTSA)</t>
        </is>
      </c>
    </row>
    <row r="24">
      <c r="A24" s="5" t="inlineStr">
        <is>
          <t>LTSA Cost Rate</t>
        </is>
      </c>
      <c r="B24" s="6" t="n">
        <v>2469.59</v>
      </c>
      <c r="C24" t="inlineStr">
        <is>
          <t>EUR/MWh/yr</t>
        </is>
      </c>
      <c r="D24" t="inlineStr">
        <is>
          <t>Confirmed Linyang RFI V3</t>
        </is>
      </c>
    </row>
    <row r="25">
      <c r="A25" s="5" t="inlineStr">
        <is>
          <t>BESS Insurance</t>
        </is>
      </c>
      <c r="B25" s="6" t="n">
        <v>15000</v>
      </c>
      <c r="C25" t="inlineStr">
        <is>
          <t>EUR/yr</t>
        </is>
      </c>
      <c r="D25" t="inlineStr">
        <is>
          <t>Budget estimate</t>
        </is>
      </c>
    </row>
    <row r="26">
      <c r="A26" s="5" t="inlineStr">
        <is>
          <t>Annual O&amp;M + Insurance</t>
        </is>
      </c>
      <c r="B26" s="13">
        <f>B19*B24+B25</f>
        <v/>
      </c>
      <c r="C26" t="inlineStr">
        <is>
          <t>EUR/yr</t>
        </is>
      </c>
      <c r="D26">
        <f>B19*B24+B25</f>
        <v/>
      </c>
    </row>
    <row r="28">
      <c r="A28" s="3" t="inlineStr">
        <is>
          <t>SCENARIO CONTROL</t>
        </is>
      </c>
    </row>
    <row r="29">
      <c r="A29" s="5" t="inlineStr">
        <is>
          <t>Curtailment Scenario Multiplier</t>
        </is>
      </c>
      <c r="B29" s="14" t="n">
        <v>1</v>
      </c>
      <c r="D29" t="inlineStr">
        <is>
          <t>1.0 = actual data. Set 1.1 = +10% curtailment across all months. Set 1.3 = +30% etc.</t>
        </is>
      </c>
    </row>
    <row r="30">
      <c r="A30" s="2" t="inlineStr">
        <is>
          <t>Effective curtailment = Base × Multiplier (capped at 95%)</t>
        </is>
      </c>
    </row>
    <row r="32">
      <c r="A32" s="3" t="inlineStr">
        <is>
          <t>SOH DATA</t>
        </is>
      </c>
    </row>
    <row r="33">
      <c r="A33" t="inlineStr">
        <is>
          <t>Year 0</t>
        </is>
      </c>
      <c r="B33" s="15" t="n">
        <v>1</v>
      </c>
    </row>
    <row r="34">
      <c r="A34" t="inlineStr">
        <is>
          <t>Year 1</t>
        </is>
      </c>
      <c r="B34" s="15" t="n">
        <v>0.9462</v>
      </c>
    </row>
    <row r="35">
      <c r="A35" t="inlineStr">
        <is>
          <t>Year 2</t>
        </is>
      </c>
      <c r="B35" s="15" t="n">
        <v>0.9266</v>
      </c>
    </row>
    <row r="36">
      <c r="A36" t="inlineStr">
        <is>
          <t>Year 3</t>
        </is>
      </c>
      <c r="B36" s="15" t="n">
        <v>0.907</v>
      </c>
    </row>
    <row r="37">
      <c r="A37" t="inlineStr">
        <is>
          <t>Year 4</t>
        </is>
      </c>
      <c r="B37" s="15" t="n">
        <v>0.8874</v>
      </c>
    </row>
    <row r="38">
      <c r="A38" t="inlineStr">
        <is>
          <t>Year 5</t>
        </is>
      </c>
      <c r="B38" s="15" t="n">
        <v>0.8678</v>
      </c>
    </row>
    <row r="39">
      <c r="A39" t="inlineStr">
        <is>
          <t>Year 6</t>
        </is>
      </c>
      <c r="B39" s="15" t="n">
        <v>0.8534</v>
      </c>
    </row>
    <row r="40">
      <c r="A40" t="inlineStr">
        <is>
          <t>Year 7</t>
        </is>
      </c>
      <c r="B40" s="15" t="n">
        <v>0.839</v>
      </c>
    </row>
    <row r="41">
      <c r="A41" t="inlineStr">
        <is>
          <t>Year 8</t>
        </is>
      </c>
      <c r="B41" s="15" t="n">
        <v>0.8246</v>
      </c>
    </row>
    <row r="42">
      <c r="A42" t="inlineStr">
        <is>
          <t>Year 9</t>
        </is>
      </c>
      <c r="B42" s="15" t="n">
        <v>0.8102</v>
      </c>
    </row>
    <row r="43">
      <c r="A43" t="inlineStr">
        <is>
          <t>Year 10</t>
        </is>
      </c>
      <c r="B43" s="15" t="n">
        <v>0.7958</v>
      </c>
    </row>
    <row r="44">
      <c r="A44" t="inlineStr">
        <is>
          <t>Year 11</t>
        </is>
      </c>
      <c r="B44" s="15" t="n">
        <v>0.7839</v>
      </c>
    </row>
    <row r="45">
      <c r="A45" t="inlineStr">
        <is>
          <t>Year 12</t>
        </is>
      </c>
      <c r="B45" s="15" t="n">
        <v>0.772</v>
      </c>
    </row>
    <row r="46">
      <c r="A46" t="inlineStr">
        <is>
          <t>Year 13</t>
        </is>
      </c>
      <c r="B46" s="15" t="n">
        <v>0.7601</v>
      </c>
    </row>
    <row r="47">
      <c r="A47" t="inlineStr">
        <is>
          <t>Year 14</t>
        </is>
      </c>
      <c r="B47" s="15" t="n">
        <v>0.7482</v>
      </c>
    </row>
    <row r="48">
      <c r="A48" t="inlineStr">
        <is>
          <t>Year 15</t>
        </is>
      </c>
      <c r="B48" s="15" t="n">
        <v>0.7361</v>
      </c>
    </row>
    <row r="50">
      <c r="A50" s="3" t="inlineStr">
        <is>
          <t>INVESTOR-GRADE ADJUSTMENTS</t>
        </is>
      </c>
    </row>
    <row r="51">
      <c r="A51" s="5" t="inlineStr">
        <is>
          <t>Annual Peak Price Decline</t>
        </is>
      </c>
      <c r="B51" s="9" t="n">
        <v>0</v>
      </c>
      <c r="D51" t="inlineStr">
        <is>
          <t>0% = constant prices. Set 1-2% to model spread compression as more BESS enters market.</t>
        </is>
      </c>
    </row>
    <row r="52">
      <c r="A52" s="5" t="inlineStr">
        <is>
          <t>Curtailment Hours per Day (avg)</t>
        </is>
      </c>
      <c r="B52" s="27" t="n">
        <v>4.5</v>
      </c>
      <c r="D52" t="inlineStr">
        <is>
          <t>Typical curtailment window 10:00-14:30. Used for charge-rate check.</t>
        </is>
      </c>
    </row>
    <row r="53">
      <c r="A53" s="5" t="inlineStr">
        <is>
          <t>Discount Rate (WACC)</t>
        </is>
      </c>
      <c r="B53" s="9" t="n">
        <v>0.08</v>
      </c>
      <c r="D53" t="inlineStr">
        <is>
          <t>For NPV/IRR calculation. Typical 8% for project-financed renewables.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MONTHLY BESS REVENUE MODEL — YEAR 1</t>
        </is>
      </c>
    </row>
    <row r="2">
      <c r="A2" s="2" t="inlineStr">
        <is>
          <t>Based on actual Anarita monthly curtailment profile × scenario multiplier</t>
        </is>
      </c>
    </row>
    <row r="4">
      <c r="A4" s="4" t="inlineStr">
        <is>
          <t>Month</t>
        </is>
      </c>
      <c r="B4" s="4" t="inlineStr">
        <is>
          <t>Days</t>
        </is>
      </c>
      <c r="C4" s="4" t="inlineStr">
        <is>
          <t>PVSyst (MWh)</t>
        </is>
      </c>
      <c r="D4" s="4" t="inlineStr">
        <is>
          <t>Base Curt %</t>
        </is>
      </c>
      <c r="E4" s="4" t="inlineStr">
        <is>
          <t>Eff Curt %</t>
        </is>
      </c>
      <c r="F4" s="4" t="inlineStr">
        <is>
          <t>Curtailed (MWh)</t>
        </is>
      </c>
      <c r="G4" s="4" t="inlineStr">
        <is>
          <t>Daily Curt (MWh)</t>
        </is>
      </c>
      <c r="H4" s="4" t="inlineStr">
        <is>
          <t>BESS Eff (MWh)</t>
        </is>
      </c>
      <c r="I4" s="4" t="inlineStr">
        <is>
          <t>Daily Capture</t>
        </is>
      </c>
      <c r="J4" s="4" t="inlineStr">
        <is>
          <t>Monthly Cap (MWh)</t>
        </is>
      </c>
      <c r="K4" s="4" t="inlineStr">
        <is>
          <t>Dischgd (MWh)</t>
        </is>
      </c>
      <c r="L4" s="4" t="inlineStr">
        <is>
          <t>Peak Price</t>
        </is>
      </c>
      <c r="M4" s="4" t="inlineStr">
        <is>
          <t>Revenue (€)</t>
        </is>
      </c>
      <c r="N4" s="4" t="inlineStr">
        <is>
          <t>O&amp;M (€)</t>
        </is>
      </c>
      <c r="O4" s="4" t="inlineStr">
        <is>
          <t>Net (€)</t>
        </is>
      </c>
      <c r="P4" s="4" t="inlineStr">
        <is>
          <t>Charge Rate (MW)</t>
        </is>
      </c>
      <c r="Q4" s="4" t="inlineStr">
        <is>
          <t>Rate Check</t>
        </is>
      </c>
    </row>
    <row r="5">
      <c r="A5" s="5" t="inlineStr">
        <is>
          <t>Jan</t>
        </is>
      </c>
      <c r="B5" t="n">
        <v>31</v>
      </c>
      <c r="C5" s="16" t="n">
        <v>955</v>
      </c>
      <c r="D5" s="17" t="n">
        <v>0.49</v>
      </c>
      <c r="E5" s="18">
        <f>MIN(D5*Inputs!B29,0.95)</f>
        <v/>
      </c>
      <c r="F5" s="19">
        <f>C5*E5</f>
        <v/>
      </c>
      <c r="G5" s="20">
        <f>F5/B5</f>
        <v/>
      </c>
      <c r="H5" s="20">
        <f>Inputs!B19*0.9462</f>
        <v/>
      </c>
      <c r="I5" s="20">
        <f>MIN(H5,G5)*Inputs!B23</f>
        <v/>
      </c>
      <c r="J5" s="19">
        <f>I5*B5</f>
        <v/>
      </c>
      <c r="K5" s="19">
        <f>J5*Inputs!B22</f>
        <v/>
      </c>
      <c r="L5" s="21" t="n">
        <v>188.26</v>
      </c>
      <c r="M5" s="22">
        <f>K5*L5</f>
        <v/>
      </c>
      <c r="N5" s="22">
        <f>Inputs!B26/12</f>
        <v/>
      </c>
      <c r="O5" s="22">
        <f>M5-N5</f>
        <v/>
      </c>
      <c r="P5" s="20">
        <f>G5/Inputs!B52</f>
        <v/>
      </c>
      <c r="Q5" s="28">
        <f>IF(P5&gt;Inputs!B20,"EXCEEDS","OK")</f>
        <v/>
      </c>
    </row>
    <row r="6">
      <c r="A6" s="5" t="inlineStr">
        <is>
          <t>Feb</t>
        </is>
      </c>
      <c r="B6" t="n">
        <v>28</v>
      </c>
      <c r="C6" s="16" t="n">
        <v>1086</v>
      </c>
      <c r="D6" s="17" t="n">
        <v>0.45</v>
      </c>
      <c r="E6" s="18">
        <f>MIN(D6*Inputs!B29,0.95)</f>
        <v/>
      </c>
      <c r="F6" s="19">
        <f>C6*E6</f>
        <v/>
      </c>
      <c r="G6" s="20">
        <f>F6/B6</f>
        <v/>
      </c>
      <c r="H6" s="20">
        <f>Inputs!B19*0.9462</f>
        <v/>
      </c>
      <c r="I6" s="20">
        <f>MIN(H6,G6)*Inputs!B23</f>
        <v/>
      </c>
      <c r="J6" s="19">
        <f>I6*B6</f>
        <v/>
      </c>
      <c r="K6" s="19">
        <f>J6*Inputs!B22</f>
        <v/>
      </c>
      <c r="L6" s="21" t="n">
        <v>191.88</v>
      </c>
      <c r="M6" s="22">
        <f>K6*L6</f>
        <v/>
      </c>
      <c r="N6" s="22">
        <f>Inputs!B26/12</f>
        <v/>
      </c>
      <c r="O6" s="22">
        <f>M6-N6</f>
        <v/>
      </c>
      <c r="P6" s="20">
        <f>G6/Inputs!B52</f>
        <v/>
      </c>
      <c r="Q6" s="28">
        <f>IF(P6&gt;Inputs!B20,"EXCEEDS","OK")</f>
        <v/>
      </c>
    </row>
    <row r="7">
      <c r="A7" s="5" t="inlineStr">
        <is>
          <t>Mar</t>
        </is>
      </c>
      <c r="B7" t="n">
        <v>31</v>
      </c>
      <c r="C7" s="16" t="n">
        <v>1513</v>
      </c>
      <c r="D7" s="17" t="n">
        <v>0.66</v>
      </c>
      <c r="E7" s="18">
        <f>MIN(D7*Inputs!B29,0.95)</f>
        <v/>
      </c>
      <c r="F7" s="19">
        <f>C7*E7</f>
        <v/>
      </c>
      <c r="G7" s="20">
        <f>F7/B7</f>
        <v/>
      </c>
      <c r="H7" s="20">
        <f>Inputs!B19*0.9462</f>
        <v/>
      </c>
      <c r="I7" s="20">
        <f>MIN(H7,G7)*Inputs!B23</f>
        <v/>
      </c>
      <c r="J7" s="19">
        <f>I7*B7</f>
        <v/>
      </c>
      <c r="K7" s="19">
        <f>J7*Inputs!B22</f>
        <v/>
      </c>
      <c r="L7" s="21" t="n">
        <v>182.99</v>
      </c>
      <c r="M7" s="22">
        <f>K7*L7</f>
        <v/>
      </c>
      <c r="N7" s="22">
        <f>Inputs!B26/12</f>
        <v/>
      </c>
      <c r="O7" s="22">
        <f>M7-N7</f>
        <v/>
      </c>
      <c r="P7" s="20">
        <f>G7/Inputs!B52</f>
        <v/>
      </c>
      <c r="Q7" s="28">
        <f>IF(P7&gt;Inputs!B20,"EXCEEDS","OK")</f>
        <v/>
      </c>
    </row>
    <row r="8">
      <c r="A8" s="5" t="inlineStr">
        <is>
          <t>Apr</t>
        </is>
      </c>
      <c r="B8" t="n">
        <v>30</v>
      </c>
      <c r="C8" s="16" t="n">
        <v>1669</v>
      </c>
      <c r="D8" s="17" t="n">
        <v>0.67</v>
      </c>
      <c r="E8" s="18">
        <f>MIN(D8*Inputs!B29,0.95)</f>
        <v/>
      </c>
      <c r="F8" s="19">
        <f>C8*E8</f>
        <v/>
      </c>
      <c r="G8" s="20">
        <f>F8/B8</f>
        <v/>
      </c>
      <c r="H8" s="20">
        <f>Inputs!B19*0.9462</f>
        <v/>
      </c>
      <c r="I8" s="20">
        <f>MIN(H8,G8)*Inputs!B23</f>
        <v/>
      </c>
      <c r="J8" s="19">
        <f>I8*B8</f>
        <v/>
      </c>
      <c r="K8" s="19">
        <f>J8*Inputs!B22</f>
        <v/>
      </c>
      <c r="L8" s="21" t="n">
        <v>182.99</v>
      </c>
      <c r="M8" s="22">
        <f>K8*L8</f>
        <v/>
      </c>
      <c r="N8" s="22">
        <f>Inputs!B26/12</f>
        <v/>
      </c>
      <c r="O8" s="22">
        <f>M8-N8</f>
        <v/>
      </c>
      <c r="P8" s="20">
        <f>G8/Inputs!B52</f>
        <v/>
      </c>
      <c r="Q8" s="28">
        <f>IF(P8&gt;Inputs!B20,"EXCEEDS","OK")</f>
        <v/>
      </c>
    </row>
    <row r="9">
      <c r="A9" s="5" t="inlineStr">
        <is>
          <t>May</t>
        </is>
      </c>
      <c r="B9" t="n">
        <v>31</v>
      </c>
      <c r="C9" s="16" t="n">
        <v>1921</v>
      </c>
      <c r="D9" s="17" t="n">
        <v>0.52</v>
      </c>
      <c r="E9" s="18">
        <f>MIN(D9*Inputs!B29,0.95)</f>
        <v/>
      </c>
      <c r="F9" s="19">
        <f>C9*E9</f>
        <v/>
      </c>
      <c r="G9" s="20">
        <f>F9/B9</f>
        <v/>
      </c>
      <c r="H9" s="20">
        <f>Inputs!B19*0.9462</f>
        <v/>
      </c>
      <c r="I9" s="20">
        <f>MIN(H9,G9)*Inputs!B23</f>
        <v/>
      </c>
      <c r="J9" s="19">
        <f>I9*B9</f>
        <v/>
      </c>
      <c r="K9" s="19">
        <f>J9*Inputs!B22</f>
        <v/>
      </c>
      <c r="L9" s="21" t="n">
        <v>182.99</v>
      </c>
      <c r="M9" s="22">
        <f>K9*L9</f>
        <v/>
      </c>
      <c r="N9" s="22">
        <f>Inputs!B26/12</f>
        <v/>
      </c>
      <c r="O9" s="22">
        <f>M9-N9</f>
        <v/>
      </c>
      <c r="P9" s="20">
        <f>G9/Inputs!B52</f>
        <v/>
      </c>
      <c r="Q9" s="28">
        <f>IF(P9&gt;Inputs!B20,"EXCEEDS","OK")</f>
        <v/>
      </c>
    </row>
    <row r="10">
      <c r="A10" s="5" t="inlineStr">
        <is>
          <t>Jun</t>
        </is>
      </c>
      <c r="B10" t="n">
        <v>30</v>
      </c>
      <c r="C10" s="16" t="n">
        <v>1987</v>
      </c>
      <c r="D10" s="17" t="n">
        <v>0.28</v>
      </c>
      <c r="E10" s="18">
        <f>MIN(D10*Inputs!B29,0.95)</f>
        <v/>
      </c>
      <c r="F10" s="19">
        <f>C10*E10</f>
        <v/>
      </c>
      <c r="G10" s="20">
        <f>F10/B10</f>
        <v/>
      </c>
      <c r="H10" s="20">
        <f>Inputs!B19*0.9462</f>
        <v/>
      </c>
      <c r="I10" s="20">
        <f>MIN(H10,G10)*Inputs!B23</f>
        <v/>
      </c>
      <c r="J10" s="19">
        <f>I10*B10</f>
        <v/>
      </c>
      <c r="K10" s="19">
        <f>J10*Inputs!B22</f>
        <v/>
      </c>
      <c r="L10" s="21" t="n">
        <v>182.99</v>
      </c>
      <c r="M10" s="22">
        <f>K10*L10</f>
        <v/>
      </c>
      <c r="N10" s="22">
        <f>Inputs!B26/12</f>
        <v/>
      </c>
      <c r="O10" s="22">
        <f>M10-N10</f>
        <v/>
      </c>
      <c r="P10" s="20">
        <f>G10/Inputs!B52</f>
        <v/>
      </c>
      <c r="Q10" s="28">
        <f>IF(P10&gt;Inputs!B20,"EXCEEDS","OK")</f>
        <v/>
      </c>
    </row>
    <row r="11">
      <c r="A11" s="5" t="inlineStr">
        <is>
          <t>Jul</t>
        </is>
      </c>
      <c r="B11" t="n">
        <v>31</v>
      </c>
      <c r="C11" s="16" t="n">
        <v>2034</v>
      </c>
      <c r="D11" s="17" t="n">
        <v>0.27</v>
      </c>
      <c r="E11" s="18">
        <f>MIN(D11*Inputs!B29,0.95)</f>
        <v/>
      </c>
      <c r="F11" s="19">
        <f>C11*E11</f>
        <v/>
      </c>
      <c r="G11" s="20">
        <f>F11/B11</f>
        <v/>
      </c>
      <c r="H11" s="20">
        <f>Inputs!B19*0.9462</f>
        <v/>
      </c>
      <c r="I11" s="20">
        <f>MIN(H11,G11)*Inputs!B23</f>
        <v/>
      </c>
      <c r="J11" s="19">
        <f>I11*B11</f>
        <v/>
      </c>
      <c r="K11" s="19">
        <f>J11*Inputs!B22</f>
        <v/>
      </c>
      <c r="L11" s="21" t="n">
        <v>182.99</v>
      </c>
      <c r="M11" s="22">
        <f>K11*L11</f>
        <v/>
      </c>
      <c r="N11" s="22">
        <f>Inputs!B26/12</f>
        <v/>
      </c>
      <c r="O11" s="22">
        <f>M11-N11</f>
        <v/>
      </c>
      <c r="P11" s="20">
        <f>G11/Inputs!B52</f>
        <v/>
      </c>
      <c r="Q11" s="28">
        <f>IF(P11&gt;Inputs!B20,"EXCEEDS","OK")</f>
        <v/>
      </c>
    </row>
    <row r="12">
      <c r="A12" s="5" t="inlineStr">
        <is>
          <t>Aug</t>
        </is>
      </c>
      <c r="B12" t="n">
        <v>31</v>
      </c>
      <c r="C12" s="16" t="n">
        <v>1944</v>
      </c>
      <c r="D12" s="17" t="n">
        <v>0.39</v>
      </c>
      <c r="E12" s="18">
        <f>MIN(D12*Inputs!B29,0.95)</f>
        <v/>
      </c>
      <c r="F12" s="19">
        <f>C12*E12</f>
        <v/>
      </c>
      <c r="G12" s="20">
        <f>F12/B12</f>
        <v/>
      </c>
      <c r="H12" s="20">
        <f>Inputs!B19*0.9462</f>
        <v/>
      </c>
      <c r="I12" s="20">
        <f>MIN(H12,G12)*Inputs!B23</f>
        <v/>
      </c>
      <c r="J12" s="19">
        <f>I12*B12</f>
        <v/>
      </c>
      <c r="K12" s="19">
        <f>J12*Inputs!B22</f>
        <v/>
      </c>
      <c r="L12" s="21" t="n">
        <v>182.99</v>
      </c>
      <c r="M12" s="22">
        <f>K12*L12</f>
        <v/>
      </c>
      <c r="N12" s="22">
        <f>Inputs!B26/12</f>
        <v/>
      </c>
      <c r="O12" s="22">
        <f>M12-N12</f>
        <v/>
      </c>
      <c r="P12" s="20">
        <f>G12/Inputs!B52</f>
        <v/>
      </c>
      <c r="Q12" s="28">
        <f>IF(P12&gt;Inputs!B20,"EXCEEDS","OK")</f>
        <v/>
      </c>
    </row>
    <row r="13">
      <c r="A13" s="5" t="inlineStr">
        <is>
          <t>Sep</t>
        </is>
      </c>
      <c r="B13" t="n">
        <v>30</v>
      </c>
      <c r="C13" s="16" t="n">
        <v>1724</v>
      </c>
      <c r="D13" s="17" t="n">
        <v>0.44</v>
      </c>
      <c r="E13" s="18">
        <f>MIN(D13*Inputs!B29,0.95)</f>
        <v/>
      </c>
      <c r="F13" s="19">
        <f>C13*E13</f>
        <v/>
      </c>
      <c r="G13" s="20">
        <f>F13/B13</f>
        <v/>
      </c>
      <c r="H13" s="20">
        <f>Inputs!B19*0.9462</f>
        <v/>
      </c>
      <c r="I13" s="20">
        <f>MIN(H13,G13)*Inputs!B23</f>
        <v/>
      </c>
      <c r="J13" s="19">
        <f>I13*B13</f>
        <v/>
      </c>
      <c r="K13" s="19">
        <f>J13*Inputs!B22</f>
        <v/>
      </c>
      <c r="L13" s="21" t="n">
        <v>182.99</v>
      </c>
      <c r="M13" s="22">
        <f>K13*L13</f>
        <v/>
      </c>
      <c r="N13" s="22">
        <f>Inputs!B26/12</f>
        <v/>
      </c>
      <c r="O13" s="22">
        <f>M13-N13</f>
        <v/>
      </c>
      <c r="P13" s="20">
        <f>G13/Inputs!B52</f>
        <v/>
      </c>
      <c r="Q13" s="28">
        <f>IF(P13&gt;Inputs!B20,"EXCEEDS","OK")</f>
        <v/>
      </c>
    </row>
    <row r="14">
      <c r="A14" s="5" t="inlineStr">
        <is>
          <t>Oct</t>
        </is>
      </c>
      <c r="B14" t="n">
        <v>31</v>
      </c>
      <c r="C14" s="16" t="n">
        <v>1461</v>
      </c>
      <c r="D14" s="17" t="n">
        <v>0.59</v>
      </c>
      <c r="E14" s="18">
        <f>MIN(D14*Inputs!B29,0.95)</f>
        <v/>
      </c>
      <c r="F14" s="19">
        <f>C14*E14</f>
        <v/>
      </c>
      <c r="G14" s="20">
        <f>F14/B14</f>
        <v/>
      </c>
      <c r="H14" s="20">
        <f>Inputs!B19*0.9462</f>
        <v/>
      </c>
      <c r="I14" s="20">
        <f>MIN(H14,G14)*Inputs!B23</f>
        <v/>
      </c>
      <c r="J14" s="19">
        <f>I14*B14</f>
        <v/>
      </c>
      <c r="K14" s="19">
        <f>J14*Inputs!B22</f>
        <v/>
      </c>
      <c r="L14" s="21" t="n">
        <v>177.69</v>
      </c>
      <c r="M14" s="22">
        <f>K14*L14</f>
        <v/>
      </c>
      <c r="N14" s="22">
        <f>Inputs!B26/12</f>
        <v/>
      </c>
      <c r="O14" s="22">
        <f>M14-N14</f>
        <v/>
      </c>
      <c r="P14" s="20">
        <f>G14/Inputs!B52</f>
        <v/>
      </c>
      <c r="Q14" s="28">
        <f>IF(P14&gt;Inputs!B20,"EXCEEDS","OK")</f>
        <v/>
      </c>
    </row>
    <row r="15">
      <c r="A15" s="5" t="inlineStr">
        <is>
          <t>Nov</t>
        </is>
      </c>
      <c r="B15" t="n">
        <v>30</v>
      </c>
      <c r="C15" s="16" t="n">
        <v>1108</v>
      </c>
      <c r="D15" s="17" t="n">
        <v>0.44</v>
      </c>
      <c r="E15" s="18">
        <f>MIN(D15*Inputs!B29,0.95)</f>
        <v/>
      </c>
      <c r="F15" s="19">
        <f>C15*E15</f>
        <v/>
      </c>
      <c r="G15" s="20">
        <f>F15/B15</f>
        <v/>
      </c>
      <c r="H15" s="20">
        <f>Inputs!B19*0.9462</f>
        <v/>
      </c>
      <c r="I15" s="20">
        <f>MIN(H15,G15)*Inputs!B23</f>
        <v/>
      </c>
      <c r="J15" s="19">
        <f>I15*B15</f>
        <v/>
      </c>
      <c r="K15" s="19">
        <f>J15*Inputs!B22</f>
        <v/>
      </c>
      <c r="L15" s="21" t="n">
        <v>184.77</v>
      </c>
      <c r="M15" s="22">
        <f>K15*L15</f>
        <v/>
      </c>
      <c r="N15" s="22">
        <f>Inputs!B26/12</f>
        <v/>
      </c>
      <c r="O15" s="22">
        <f>M15-N15</f>
        <v/>
      </c>
      <c r="P15" s="20">
        <f>G15/Inputs!B52</f>
        <v/>
      </c>
      <c r="Q15" s="28">
        <f>IF(P15&gt;Inputs!B20,"EXCEEDS","OK")</f>
        <v/>
      </c>
    </row>
    <row r="16">
      <c r="A16" s="5" t="inlineStr">
        <is>
          <t>Dec</t>
        </is>
      </c>
      <c r="B16" t="n">
        <v>31</v>
      </c>
      <c r="C16" s="16" t="n">
        <v>922</v>
      </c>
      <c r="D16" s="17" t="n">
        <v>0.27</v>
      </c>
      <c r="E16" s="18">
        <f>MIN(D16*Inputs!B29,0.95)</f>
        <v/>
      </c>
      <c r="F16" s="19">
        <f>C16*E16</f>
        <v/>
      </c>
      <c r="G16" s="20">
        <f>F16/B16</f>
        <v/>
      </c>
      <c r="H16" s="20">
        <f>Inputs!B19*0.9462</f>
        <v/>
      </c>
      <c r="I16" s="20">
        <f>MIN(H16,G16)*Inputs!B23</f>
        <v/>
      </c>
      <c r="J16" s="19">
        <f>I16*B16</f>
        <v/>
      </c>
      <c r="K16" s="19">
        <f>J16*Inputs!B22</f>
        <v/>
      </c>
      <c r="L16" s="21" t="n">
        <v>147.55</v>
      </c>
      <c r="M16" s="22">
        <f>K16*L16</f>
        <v/>
      </c>
      <c r="N16" s="22">
        <f>Inputs!B26/12</f>
        <v/>
      </c>
      <c r="O16" s="22">
        <f>M16-N16</f>
        <v/>
      </c>
      <c r="P16" s="20">
        <f>G16/Inputs!B52</f>
        <v/>
      </c>
      <c r="Q16" s="28">
        <f>IF(P16&gt;Inputs!B20,"EXCEEDS","OK")</f>
        <v/>
      </c>
    </row>
    <row r="17">
      <c r="A17" s="5" t="inlineStr">
        <is>
          <t>TOTAL</t>
        </is>
      </c>
      <c r="C17" s="8">
        <f>SUM(C5:C16)</f>
        <v/>
      </c>
      <c r="F17" s="8">
        <f>SUM(F5:F16)</f>
        <v/>
      </c>
      <c r="J17" s="8">
        <f>SUM(J5:J16)</f>
        <v/>
      </c>
      <c r="K17" s="8">
        <f>SUM(K5:K16)</f>
        <v/>
      </c>
      <c r="M17" s="13">
        <f>SUM(M5:M16)</f>
        <v/>
      </c>
      <c r="N17" s="13">
        <f>SUM(N5:N16)</f>
        <v/>
      </c>
      <c r="O17" s="23">
        <f>SUM(O5:O16)</f>
        <v/>
      </c>
    </row>
    <row r="19">
      <c r="A19" s="3" t="inlineStr">
        <is>
          <t>YEAR 1 SUMMARY</t>
        </is>
      </c>
    </row>
    <row r="20">
      <c r="A20" s="5" t="inlineStr">
        <is>
          <t>Gross Revenue</t>
        </is>
      </c>
      <c r="B20" s="22">
        <f>M17</f>
        <v/>
      </c>
    </row>
    <row r="21">
      <c r="A21" s="5" t="inlineStr">
        <is>
          <t>Total O&amp;M</t>
        </is>
      </c>
      <c r="B21" s="22">
        <f>N17</f>
        <v/>
      </c>
    </row>
    <row r="22">
      <c r="A22" s="5" t="inlineStr">
        <is>
          <t>Net BESS Income</t>
        </is>
      </c>
      <c r="B22" s="23">
        <f>O17</f>
        <v/>
      </c>
    </row>
    <row r="23">
      <c r="A23" s="5" t="inlineStr">
        <is>
          <t>Panel Loss Revenue Impact</t>
        </is>
      </c>
      <c r="B23" s="10">
        <f>Inputs!B16</f>
        <v/>
      </c>
    </row>
    <row r="24">
      <c r="A24" s="5" t="inlineStr">
        <is>
          <t>Net Income After Panel Loss</t>
        </is>
      </c>
      <c r="B24" s="23">
        <f>B22-B23</f>
        <v/>
      </c>
    </row>
    <row r="25">
      <c r="A25" s="5" t="inlineStr">
        <is>
          <t>ROI (after panel loss)</t>
        </is>
      </c>
      <c r="B25" s="24">
        <f>B24/Inputs!B21</f>
        <v/>
      </c>
    </row>
    <row r="26">
      <c r="A26" s="5" t="inlineStr">
        <is>
          <t>Simple Payback</t>
        </is>
      </c>
      <c r="B26" s="25">
        <f>Inputs!B21/B24</f>
        <v/>
      </c>
    </row>
    <row r="27">
      <c r="A27" s="3" t="inlineStr">
        <is>
          <t>UTILISATION METRICS</t>
        </is>
      </c>
    </row>
    <row r="28">
      <c r="A28" s="5" t="inlineStr">
        <is>
          <t>Max Annual Throughput (MWh)</t>
        </is>
      </c>
      <c r="B28" s="19">
        <f>Inputs!B19*Inputs!B34*365*Inputs!B23</f>
        <v/>
      </c>
      <c r="D28" s="2">
        <f> BESS_MWh × SOH_Year1 × 365 × Availability</f>
        <v/>
      </c>
    </row>
    <row r="29">
      <c r="A29" s="5" t="inlineStr">
        <is>
          <t>Annual Captured (MWh)</t>
        </is>
      </c>
      <c r="B29" s="19">
        <f>J17</f>
        <v/>
      </c>
    </row>
    <row r="30">
      <c r="A30" s="5" t="inlineStr">
        <is>
          <t>BESS Utilisation</t>
        </is>
      </c>
      <c r="B30" s="24">
        <f>B29/B28</f>
        <v/>
      </c>
      <c r="D30" s="2">
        <f> Annual_Captured / Max_Annual_Throughput (standard definition)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5CF6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COMPARISON — CURTAILMENT MULTIPLIERS</t>
        </is>
      </c>
    </row>
    <row r="2">
      <c r="A2" s="2" t="inlineStr">
        <is>
          <t>Shows impact of different curtailment levels on returns</t>
        </is>
      </c>
    </row>
    <row r="4">
      <c r="A4" s="4" t="inlineStr">
        <is>
          <t>Metric</t>
        </is>
      </c>
      <c r="B4" s="4" t="inlineStr">
        <is>
          <t>Baseline (1.0×)</t>
        </is>
      </c>
      <c r="C4" s="4" t="inlineStr">
        <is>
          <t>Moderate (+20%)</t>
        </is>
      </c>
      <c r="D4" s="4" t="inlineStr">
        <is>
          <t>High (+40%)</t>
        </is>
      </c>
      <c r="E4" s="4" t="inlineStr">
        <is>
          <t>Very High (+55%)</t>
        </is>
      </c>
    </row>
    <row r="5">
      <c r="A5" s="5" t="inlineStr">
        <is>
          <t>Weighted Avg Curtailment</t>
        </is>
      </c>
      <c r="B5" s="18" t="n">
        <v>0.452580768391181</v>
      </c>
      <c r="C5" s="18" t="n">
        <v>0.5430969220694172</v>
      </c>
      <c r="D5" s="18" t="n">
        <v>0.6336130757476534</v>
      </c>
      <c r="E5" s="18" t="n">
        <v>0.6874118096485483</v>
      </c>
    </row>
    <row r="6">
      <c r="A6" s="5" t="inlineStr">
        <is>
          <t>Annual Curtailed (MWh)</t>
        </is>
      </c>
      <c r="B6" s="19" t="n">
        <v>8293.09</v>
      </c>
      <c r="C6" s="19" t="n">
        <v>9951.708000000001</v>
      </c>
      <c r="D6" s="19" t="n">
        <v>11610.326</v>
      </c>
      <c r="E6" s="19" t="n">
        <v>12596.134</v>
      </c>
    </row>
    <row r="7">
      <c r="A7" s="5" t="inlineStr">
        <is>
          <t>Annual Captured (MWh)</t>
        </is>
      </c>
      <c r="B7" s="19" t="n">
        <v>8044.297300000001</v>
      </c>
      <c r="C7" s="19" t="n">
        <v>9404.002560000001</v>
      </c>
      <c r="D7" s="19" t="n">
        <v>10375.91734</v>
      </c>
      <c r="E7" s="19" t="n">
        <v>10962.881315</v>
      </c>
    </row>
    <row r="8">
      <c r="A8" t="inlineStr">
        <is>
          <t>Annual Discharged (MWh)</t>
        </is>
      </c>
      <c r="B8" s="19" t="n">
        <v>6943.837429360001</v>
      </c>
      <c r="C8" s="19" t="n">
        <v>8117.535009792</v>
      </c>
      <c r="D8" s="19" t="n">
        <v>8956.491847887997</v>
      </c>
      <c r="E8" s="19" t="n">
        <v>9463.159151108002</v>
      </c>
    </row>
    <row r="9">
      <c r="A9" t="inlineStr">
        <is>
          <t>BESS Utilisation</t>
        </is>
      </c>
      <c r="B9" s="18" t="n">
        <v>0.6003169129292948</v>
      </c>
      <c r="C9" s="18" t="n">
        <v>0.7017868156114002</v>
      </c>
      <c r="D9" s="18" t="n">
        <v>0.7743173125088673</v>
      </c>
      <c r="E9" s="18" t="n">
        <v>0.8181203183317265</v>
      </c>
    </row>
    <row r="10">
      <c r="A10" s="5" t="inlineStr">
        <is>
          <t>Gross Revenue (EUR)</t>
        </is>
      </c>
      <c r="B10" s="22" t="n">
        <v>1265869.665628214</v>
      </c>
      <c r="C10" s="22" t="n">
        <v>1479687.956757392</v>
      </c>
      <c r="D10" s="22" t="n">
        <v>1632400.693896282</v>
      </c>
      <c r="E10" s="22" t="n">
        <v>1724972.061278547</v>
      </c>
    </row>
    <row r="11">
      <c r="A11" t="inlineStr">
        <is>
          <t>O&amp;M + Insurance</t>
        </is>
      </c>
      <c r="B11" s="22" t="n">
        <v>113783.6</v>
      </c>
      <c r="C11" s="22" t="n">
        <v>113783.6</v>
      </c>
      <c r="D11" s="22" t="n">
        <v>113783.6</v>
      </c>
      <c r="E11" s="22" t="n">
        <v>113783.6</v>
      </c>
    </row>
    <row r="12">
      <c r="A12" t="inlineStr">
        <is>
          <t>Panel Loss (90 panels)</t>
        </is>
      </c>
      <c r="B12" s="10" t="n">
        <v>16167.501504</v>
      </c>
      <c r="C12" s="10" t="n">
        <v>16167.501504</v>
      </c>
      <c r="D12" s="10" t="n">
        <v>16167.501504</v>
      </c>
      <c r="E12" s="10" t="n">
        <v>16167.501504</v>
      </c>
    </row>
    <row r="13">
      <c r="A13" s="5" t="inlineStr">
        <is>
          <t>Net Income (after panel loss)</t>
        </is>
      </c>
      <c r="B13" s="23" t="n">
        <v>1135918.564124214</v>
      </c>
      <c r="C13" s="23" t="n">
        <v>1349736.855253392</v>
      </c>
      <c r="D13" s="23" t="n">
        <v>1502449.592392282</v>
      </c>
      <c r="E13" s="23" t="n">
        <v>1595020.959774547</v>
      </c>
    </row>
    <row r="14">
      <c r="A14" s="5" t="inlineStr">
        <is>
          <t>ROI</t>
        </is>
      </c>
      <c r="B14" s="24" t="n">
        <v>0.238638353807608</v>
      </c>
      <c r="C14" s="24" t="n">
        <v>0.2835581628683596</v>
      </c>
      <c r="D14" s="24" t="n">
        <v>0.3156406706706474</v>
      </c>
      <c r="E14" s="24" t="n">
        <v>0.3350884369274259</v>
      </c>
    </row>
    <row r="15">
      <c r="A15" t="inlineStr">
        <is>
          <t>Simple Payback (years)</t>
        </is>
      </c>
      <c r="B15" s="20" t="n">
        <v>4.190441243180077</v>
      </c>
      <c r="C15" s="20" t="n">
        <v>3.526613340573252</v>
      </c>
      <c r="D15" s="20" t="n">
        <v>3.168159533672521</v>
      </c>
      <c r="E15" s="20" t="n">
        <v>2.984286802521276</v>
      </c>
    </row>
    <row r="17">
      <c r="A17" s="3" t="inlineStr">
        <is>
          <t>SCENARIO DEFINITIONS</t>
        </is>
      </c>
    </row>
    <row r="18">
      <c r="A18" t="inlineStr">
        <is>
          <t>Baseline (1.0×)</t>
        </is>
      </c>
      <c r="B18" t="inlineStr">
        <is>
          <t>Actual 2024-2025 monthly curtailment data as recorded</t>
        </is>
      </c>
    </row>
    <row r="19">
      <c r="A19" t="inlineStr">
        <is>
          <t>Moderate (+20%)</t>
        </is>
      </c>
      <c r="B19" t="inlineStr">
        <is>
          <t>Each month's curtailment increased by 20% — reflects near-term trend</t>
        </is>
      </c>
    </row>
    <row r="20">
      <c r="A20" t="inlineStr">
        <is>
          <t>High (+40%)</t>
        </is>
      </c>
      <c r="B20" t="inlineStr">
        <is>
          <t>Each month +40% — reflects 1-2 year outlook with more PV online</t>
        </is>
      </c>
    </row>
    <row r="21">
      <c r="A21" t="inlineStr">
        <is>
          <t>Very High (+55%)</t>
        </is>
      </c>
      <c r="B21" t="inlineStr">
        <is>
          <t>Each month +55% — reflects 2-3 year outlook, high solar penetration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DE80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15-YEAR PROJECTION (Monthly-Based)</t>
        </is>
      </c>
    </row>
    <row r="3">
      <c r="A3" s="2" t="inlineStr">
        <is>
          <t>Uses monthly model results for Year 1, then degrades PV and SOH</t>
        </is>
      </c>
    </row>
    <row r="5">
      <c r="A5" s="4" t="inlineStr">
        <is>
          <t>Year</t>
        </is>
      </c>
      <c r="B5" s="4" t="inlineStr">
        <is>
          <t>PV Prod</t>
        </is>
      </c>
      <c r="C5" s="4" t="inlineStr">
        <is>
          <t>SOH %</t>
        </is>
      </c>
      <c r="D5" s="4" t="inlineStr">
        <is>
          <t>BESS Rev</t>
        </is>
      </c>
      <c r="E5" s="4" t="inlineStr">
        <is>
          <t>O&amp;M</t>
        </is>
      </c>
      <c r="F5" s="4" t="inlineStr">
        <is>
          <t>Panel Loss</t>
        </is>
      </c>
      <c r="G5" s="4" t="inlineStr">
        <is>
          <t>Net Income</t>
        </is>
      </c>
      <c r="H5" s="4" t="inlineStr">
        <is>
          <t>Cumulative</t>
        </is>
      </c>
    </row>
    <row r="6">
      <c r="A6" t="n">
        <v>1</v>
      </c>
      <c r="B6" s="19">
        <f>Inputs!B13</f>
        <v/>
      </c>
      <c r="C6" s="15" t="n">
        <v>0.9462</v>
      </c>
      <c r="D6" s="22">
        <f>'Monthly Model'!M17</f>
        <v/>
      </c>
      <c r="E6" s="22">
        <f>Inputs!B26</f>
        <v/>
      </c>
      <c r="F6" s="10">
        <f>Inputs!B16</f>
        <v/>
      </c>
      <c r="G6" s="13">
        <f>D6-E6-F6</f>
        <v/>
      </c>
      <c r="H6" s="22">
        <f>G6</f>
        <v/>
      </c>
    </row>
    <row r="7">
      <c r="A7" t="n">
        <v>2</v>
      </c>
      <c r="B7" s="19">
        <f>Inputs!B13*(1-Inputs!B15)^(2-1)</f>
        <v/>
      </c>
      <c r="C7" s="15" t="n">
        <v>0.9266</v>
      </c>
      <c r="D7" s="22">
        <f>D6*C7/C6*(1-Inputs!B15)^(2-1)</f>
        <v/>
      </c>
      <c r="E7" s="22">
        <f>Inputs!B26</f>
        <v/>
      </c>
      <c r="F7" s="10">
        <f>Inputs!B16*(1-Inputs!B15)^(2-1)</f>
        <v/>
      </c>
      <c r="G7" s="13">
        <f>D7-E7-F7</f>
        <v/>
      </c>
      <c r="H7" s="22">
        <f>H6+G7</f>
        <v/>
      </c>
    </row>
    <row r="8">
      <c r="A8" t="n">
        <v>3</v>
      </c>
      <c r="B8" s="19">
        <f>Inputs!B13*(1-Inputs!B15)^(3-1)</f>
        <v/>
      </c>
      <c r="C8" s="15" t="n">
        <v>0.907</v>
      </c>
      <c r="D8" s="22">
        <f>D6*C8/C6*(1-Inputs!B15)^(3-1)</f>
        <v/>
      </c>
      <c r="E8" s="22">
        <f>Inputs!B26</f>
        <v/>
      </c>
      <c r="F8" s="10">
        <f>Inputs!B16*(1-Inputs!B15)^(3-1)</f>
        <v/>
      </c>
      <c r="G8" s="13">
        <f>D8-E8-F8</f>
        <v/>
      </c>
      <c r="H8" s="22">
        <f>H7+G8</f>
        <v/>
      </c>
    </row>
    <row r="9">
      <c r="A9" t="n">
        <v>4</v>
      </c>
      <c r="B9" s="19">
        <f>Inputs!B13*(1-Inputs!B15)^(4-1)</f>
        <v/>
      </c>
      <c r="C9" s="15" t="n">
        <v>0.8874</v>
      </c>
      <c r="D9" s="22">
        <f>D6*C9/C6*(1-Inputs!B15)^(4-1)</f>
        <v/>
      </c>
      <c r="E9" s="22">
        <f>Inputs!B26</f>
        <v/>
      </c>
      <c r="F9" s="10">
        <f>Inputs!B16*(1-Inputs!B15)^(4-1)</f>
        <v/>
      </c>
      <c r="G9" s="13">
        <f>D9-E9-F9</f>
        <v/>
      </c>
      <c r="H9" s="22">
        <f>H8+G9</f>
        <v/>
      </c>
    </row>
    <row r="10">
      <c r="A10" t="n">
        <v>5</v>
      </c>
      <c r="B10" s="19">
        <f>Inputs!B13*(1-Inputs!B15)^(5-1)</f>
        <v/>
      </c>
      <c r="C10" s="15" t="n">
        <v>0.8678</v>
      </c>
      <c r="D10" s="22">
        <f>D6*C10/C6*(1-Inputs!B15)^(5-1)</f>
        <v/>
      </c>
      <c r="E10" s="22">
        <f>Inputs!B26</f>
        <v/>
      </c>
      <c r="F10" s="10">
        <f>Inputs!B16*(1-Inputs!B15)^(5-1)</f>
        <v/>
      </c>
      <c r="G10" s="13">
        <f>D10-E10-F10</f>
        <v/>
      </c>
      <c r="H10" s="22">
        <f>H9+G10</f>
        <v/>
      </c>
    </row>
    <row r="11">
      <c r="A11" t="n">
        <v>6</v>
      </c>
      <c r="B11" s="19">
        <f>Inputs!B13*(1-Inputs!B15)^(6-1)</f>
        <v/>
      </c>
      <c r="C11" s="15" t="n">
        <v>0.8534</v>
      </c>
      <c r="D11" s="22">
        <f>D6*C11/C6*(1-Inputs!B15)^(6-1)</f>
        <v/>
      </c>
      <c r="E11" s="22">
        <f>Inputs!B26</f>
        <v/>
      </c>
      <c r="F11" s="10">
        <f>Inputs!B16*(1-Inputs!B15)^(6-1)</f>
        <v/>
      </c>
      <c r="G11" s="13">
        <f>D11-E11-F11</f>
        <v/>
      </c>
      <c r="H11" s="22">
        <f>H10+G11</f>
        <v/>
      </c>
    </row>
    <row r="12">
      <c r="A12" t="n">
        <v>7</v>
      </c>
      <c r="B12" s="19">
        <f>Inputs!B13*(1-Inputs!B15)^(7-1)</f>
        <v/>
      </c>
      <c r="C12" s="15" t="n">
        <v>0.839</v>
      </c>
      <c r="D12" s="22">
        <f>D6*C12/C6*(1-Inputs!B15)^(7-1)</f>
        <v/>
      </c>
      <c r="E12" s="22">
        <f>Inputs!B26</f>
        <v/>
      </c>
      <c r="F12" s="10">
        <f>Inputs!B16*(1-Inputs!B15)^(7-1)</f>
        <v/>
      </c>
      <c r="G12" s="13">
        <f>D12-E12-F12</f>
        <v/>
      </c>
      <c r="H12" s="22">
        <f>H11+G12</f>
        <v/>
      </c>
    </row>
    <row r="13">
      <c r="A13" t="n">
        <v>8</v>
      </c>
      <c r="B13" s="19">
        <f>Inputs!B13*(1-Inputs!B15)^(8-1)</f>
        <v/>
      </c>
      <c r="C13" s="15" t="n">
        <v>0.8246</v>
      </c>
      <c r="D13" s="22">
        <f>D6*C13/C6*(1-Inputs!B15)^(8-1)</f>
        <v/>
      </c>
      <c r="E13" s="22">
        <f>Inputs!B26</f>
        <v/>
      </c>
      <c r="F13" s="10">
        <f>Inputs!B16*(1-Inputs!B15)^(8-1)</f>
        <v/>
      </c>
      <c r="G13" s="13">
        <f>D13-E13-F13</f>
        <v/>
      </c>
      <c r="H13" s="22">
        <f>H12+G13</f>
        <v/>
      </c>
    </row>
    <row r="14">
      <c r="A14" t="n">
        <v>9</v>
      </c>
      <c r="B14" s="19">
        <f>Inputs!B13*(1-Inputs!B15)^(9-1)</f>
        <v/>
      </c>
      <c r="C14" s="15" t="n">
        <v>0.8102</v>
      </c>
      <c r="D14" s="22">
        <f>D6*C14/C6*(1-Inputs!B15)^(9-1)</f>
        <v/>
      </c>
      <c r="E14" s="22">
        <f>Inputs!B26</f>
        <v/>
      </c>
      <c r="F14" s="10">
        <f>Inputs!B16*(1-Inputs!B15)^(9-1)</f>
        <v/>
      </c>
      <c r="G14" s="13">
        <f>D14-E14-F14</f>
        <v/>
      </c>
      <c r="H14" s="22">
        <f>H13+G14</f>
        <v/>
      </c>
    </row>
    <row r="15">
      <c r="A15" t="n">
        <v>10</v>
      </c>
      <c r="B15" s="19">
        <f>Inputs!B13*(1-Inputs!B15)^(10-1)</f>
        <v/>
      </c>
      <c r="C15" s="15" t="n">
        <v>0.7958</v>
      </c>
      <c r="D15" s="22">
        <f>D6*C15/C6*(1-Inputs!B15)^(10-1)</f>
        <v/>
      </c>
      <c r="E15" s="22">
        <f>Inputs!B26</f>
        <v/>
      </c>
      <c r="F15" s="10">
        <f>Inputs!B16*(1-Inputs!B15)^(10-1)</f>
        <v/>
      </c>
      <c r="G15" s="13">
        <f>D15-E15-F15</f>
        <v/>
      </c>
      <c r="H15" s="22">
        <f>H14+G15</f>
        <v/>
      </c>
    </row>
    <row r="16">
      <c r="A16" t="n">
        <v>11</v>
      </c>
      <c r="B16" s="19">
        <f>Inputs!B13*(1-Inputs!B15)^(11-1)</f>
        <v/>
      </c>
      <c r="C16" s="15" t="n">
        <v>0.7839</v>
      </c>
      <c r="D16" s="22">
        <f>D6*C16/C6*(1-Inputs!B15)^(11-1)</f>
        <v/>
      </c>
      <c r="E16" s="22">
        <f>Inputs!B26</f>
        <v/>
      </c>
      <c r="F16" s="10">
        <f>Inputs!B16*(1-Inputs!B15)^(11-1)</f>
        <v/>
      </c>
      <c r="G16" s="13">
        <f>D16-E16-F16</f>
        <v/>
      </c>
      <c r="H16" s="22">
        <f>H15+G16</f>
        <v/>
      </c>
    </row>
    <row r="17">
      <c r="A17" t="n">
        <v>12</v>
      </c>
      <c r="B17" s="19">
        <f>Inputs!B13*(1-Inputs!B15)^(12-1)</f>
        <v/>
      </c>
      <c r="C17" s="15" t="n">
        <v>0.772</v>
      </c>
      <c r="D17" s="22">
        <f>D6*C17/C6*(1-Inputs!B15)^(12-1)</f>
        <v/>
      </c>
      <c r="E17" s="22">
        <f>Inputs!B26</f>
        <v/>
      </c>
      <c r="F17" s="10">
        <f>Inputs!B16*(1-Inputs!B15)^(12-1)</f>
        <v/>
      </c>
      <c r="G17" s="13">
        <f>D17-E17-F17</f>
        <v/>
      </c>
      <c r="H17" s="22">
        <f>H16+G17</f>
        <v/>
      </c>
    </row>
    <row r="18">
      <c r="A18" t="n">
        <v>13</v>
      </c>
      <c r="B18" s="19">
        <f>Inputs!B13*(1-Inputs!B15)^(13-1)</f>
        <v/>
      </c>
      <c r="C18" s="15" t="n">
        <v>0.7601</v>
      </c>
      <c r="D18" s="22">
        <f>D6*C18/C6*(1-Inputs!B15)^(13-1)</f>
        <v/>
      </c>
      <c r="E18" s="22">
        <f>Inputs!B26</f>
        <v/>
      </c>
      <c r="F18" s="10">
        <f>Inputs!B16*(1-Inputs!B15)^(13-1)</f>
        <v/>
      </c>
      <c r="G18" s="13">
        <f>D18-E18-F18</f>
        <v/>
      </c>
      <c r="H18" s="22">
        <f>H17+G18</f>
        <v/>
      </c>
    </row>
    <row r="19">
      <c r="A19" t="n">
        <v>14</v>
      </c>
      <c r="B19" s="19">
        <f>Inputs!B13*(1-Inputs!B15)^(14-1)</f>
        <v/>
      </c>
      <c r="C19" s="15" t="n">
        <v>0.7482</v>
      </c>
      <c r="D19" s="22">
        <f>D6*C19/C6*(1-Inputs!B15)^(14-1)</f>
        <v/>
      </c>
      <c r="E19" s="22">
        <f>Inputs!B26</f>
        <v/>
      </c>
      <c r="F19" s="10">
        <f>Inputs!B16*(1-Inputs!B15)^(14-1)</f>
        <v/>
      </c>
      <c r="G19" s="13">
        <f>D19-E19-F19</f>
        <v/>
      </c>
      <c r="H19" s="22">
        <f>H18+G19</f>
        <v/>
      </c>
    </row>
    <row r="20">
      <c r="A20" t="n">
        <v>15</v>
      </c>
      <c r="B20" s="19">
        <f>Inputs!B13*(1-Inputs!B15)^(15-1)</f>
        <v/>
      </c>
      <c r="C20" s="15" t="n">
        <v>0.7361</v>
      </c>
      <c r="D20" s="22">
        <f>D6*C20/C6*(1-Inputs!B15)^(15-1)</f>
        <v/>
      </c>
      <c r="E20" s="22">
        <f>Inputs!B26</f>
        <v/>
      </c>
      <c r="F20" s="10">
        <f>Inputs!B16*(1-Inputs!B15)^(15-1)</f>
        <v/>
      </c>
      <c r="G20" s="13">
        <f>D20-E20-F20</f>
        <v/>
      </c>
      <c r="H20" s="22">
        <f>H19+G20</f>
        <v/>
      </c>
    </row>
    <row r="22">
      <c r="A22" s="3" t="inlineStr">
        <is>
          <t>SUMMARY</t>
        </is>
      </c>
    </row>
    <row r="23">
      <c r="A23" s="5" t="inlineStr">
        <is>
          <t>Total Net Income</t>
        </is>
      </c>
      <c r="B23" s="23">
        <f>SUM(G6:G20)</f>
        <v/>
      </c>
    </row>
    <row r="24">
      <c r="A24" s="5" t="inlineStr">
        <is>
          <t>BESS Investment</t>
        </is>
      </c>
      <c r="B24" s="22">
        <f>Inputs!B21</f>
        <v/>
      </c>
    </row>
    <row r="25">
      <c r="A25" s="5" t="inlineStr">
        <is>
          <t>Return Multiple</t>
        </is>
      </c>
      <c r="B25" s="26">
        <f>B23/B24</f>
        <v/>
      </c>
    </row>
    <row r="26">
      <c r="A26" s="5" t="inlineStr">
        <is>
          <t>Total Panel Loss (15yr)</t>
        </is>
      </c>
      <c r="B26" s="10">
        <f>SUM(F6:F20)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ACTUAL PARK DATA — Spanercom Anarita</t>
        </is>
      </c>
    </row>
    <row r="3">
      <c r="A3" s="4" t="inlineStr">
        <is>
          <t>Month</t>
        </is>
      </c>
      <c r="B3" s="4" t="inlineStr">
        <is>
          <t>Yield (MWh)</t>
        </is>
      </c>
      <c r="C3" s="4" t="inlineStr">
        <is>
          <t>Potential (MWh)</t>
        </is>
      </c>
      <c r="D3" s="4" t="inlineStr">
        <is>
          <t>PVSyst (MWh)</t>
        </is>
      </c>
      <c r="E3" s="4" t="inlineStr">
        <is>
          <t>Curtailment %</t>
        </is>
      </c>
    </row>
    <row r="4">
      <c r="A4" s="5" t="inlineStr">
        <is>
          <t>May-24</t>
        </is>
      </c>
      <c r="B4" s="19" t="n">
        <v>1023</v>
      </c>
      <c r="C4" s="19" t="n">
        <v>1854</v>
      </c>
      <c r="D4" s="19" t="n">
        <v>1921</v>
      </c>
      <c r="E4" s="18" t="n">
        <v>0.45</v>
      </c>
    </row>
    <row r="5">
      <c r="A5" s="5" t="inlineStr">
        <is>
          <t>Jun-24</t>
        </is>
      </c>
      <c r="B5" s="19" t="n">
        <v>1670</v>
      </c>
      <c r="C5" s="19" t="n">
        <v>1888</v>
      </c>
      <c r="D5" s="19" t="n">
        <v>1987</v>
      </c>
      <c r="E5" s="18" t="n">
        <v>0.12</v>
      </c>
    </row>
    <row r="6">
      <c r="A6" s="5" t="inlineStr">
        <is>
          <t>Jul-24</t>
        </is>
      </c>
      <c r="B6" s="19" t="n">
        <v>1791</v>
      </c>
      <c r="C6" s="19" t="n">
        <v>1916</v>
      </c>
      <c r="D6" s="19" t="n">
        <v>2034</v>
      </c>
      <c r="E6" s="18" t="n">
        <v>0.07000000000000001</v>
      </c>
    </row>
    <row r="7">
      <c r="A7" s="5" t="inlineStr">
        <is>
          <t>Aug-24</t>
        </is>
      </c>
      <c r="B7" s="19" t="n">
        <v>1703</v>
      </c>
      <c r="C7" s="19" t="n">
        <v>1788</v>
      </c>
      <c r="D7" s="19" t="n">
        <v>1944</v>
      </c>
      <c r="E7" s="18" t="n">
        <v>0.05</v>
      </c>
    </row>
    <row r="8">
      <c r="A8" s="5" t="inlineStr">
        <is>
          <t>Sep-24</t>
        </is>
      </c>
      <c r="B8" s="19" t="n">
        <v>1225</v>
      </c>
      <c r="C8" s="19" t="n">
        <v>1589</v>
      </c>
      <c r="D8" s="19" t="n">
        <v>1724</v>
      </c>
      <c r="E8" s="18" t="n">
        <v>0.23</v>
      </c>
    </row>
    <row r="9">
      <c r="A9" s="5" t="inlineStr">
        <is>
          <t>Oct-24</t>
        </is>
      </c>
      <c r="B9" s="19" t="n">
        <v>941</v>
      </c>
      <c r="C9" s="19" t="n">
        <v>1617</v>
      </c>
      <c r="D9" s="19" t="n">
        <v>1461</v>
      </c>
      <c r="E9" s="18" t="n">
        <v>0.42</v>
      </c>
    </row>
    <row r="10">
      <c r="A10" s="5" t="inlineStr">
        <is>
          <t>Nov-24</t>
        </is>
      </c>
      <c r="B10" s="19" t="n">
        <v>645</v>
      </c>
      <c r="C10" s="19" t="n">
        <v>1160</v>
      </c>
      <c r="D10" s="19" t="n">
        <v>1108</v>
      </c>
      <c r="E10" s="18" t="n">
        <v>0.44</v>
      </c>
    </row>
    <row r="11">
      <c r="A11" s="5" t="inlineStr">
        <is>
          <t>Dec-24</t>
        </is>
      </c>
      <c r="B11" s="19" t="n">
        <v>694</v>
      </c>
      <c r="C11" s="19" t="n">
        <v>951</v>
      </c>
      <c r="D11" s="19" t="n">
        <v>922</v>
      </c>
      <c r="E11" s="18" t="n">
        <v>0.27</v>
      </c>
    </row>
    <row r="12">
      <c r="A12" s="5" t="inlineStr">
        <is>
          <t>Jan-25</t>
        </is>
      </c>
      <c r="B12" s="19" t="n">
        <v>600</v>
      </c>
      <c r="C12" s="19" t="n">
        <v>1179</v>
      </c>
      <c r="D12" s="19" t="n">
        <v>955</v>
      </c>
      <c r="E12" s="18" t="n">
        <v>0.49</v>
      </c>
    </row>
    <row r="13">
      <c r="A13" s="5" t="inlineStr">
        <is>
          <t>Feb-25</t>
        </is>
      </c>
      <c r="B13" s="19" t="n">
        <v>655</v>
      </c>
      <c r="C13" s="19" t="n">
        <v>1198</v>
      </c>
      <c r="D13" s="19" t="n">
        <v>1086</v>
      </c>
      <c r="E13" s="18" t="n">
        <v>0.45</v>
      </c>
    </row>
    <row r="14">
      <c r="A14" s="5" t="inlineStr">
        <is>
          <t>Mar-25</t>
        </is>
      </c>
      <c r="B14" s="19" t="n">
        <v>566</v>
      </c>
      <c r="C14" s="19" t="n">
        <v>1648</v>
      </c>
      <c r="D14" s="19" t="n">
        <v>1513</v>
      </c>
      <c r="E14" s="18" t="n">
        <v>0.66</v>
      </c>
    </row>
    <row r="15">
      <c r="A15" s="5" t="inlineStr">
        <is>
          <t>Apr-25</t>
        </is>
      </c>
      <c r="B15" s="19" t="n">
        <v>578</v>
      </c>
      <c r="C15" s="19" t="n">
        <v>1731</v>
      </c>
      <c r="D15" s="19" t="n">
        <v>1669</v>
      </c>
      <c r="E15" s="18" t="n">
        <v>0.67</v>
      </c>
    </row>
    <row r="16">
      <c r="A16" s="5" t="inlineStr">
        <is>
          <t>May-25</t>
        </is>
      </c>
      <c r="B16" s="19" t="n">
        <v>850</v>
      </c>
      <c r="C16" s="19" t="n">
        <v>1769</v>
      </c>
      <c r="D16" s="19" t="n">
        <v>1921</v>
      </c>
      <c r="E16" s="18" t="n">
        <v>0.52</v>
      </c>
    </row>
    <row r="17">
      <c r="A17" s="5" t="inlineStr">
        <is>
          <t>Jun-25</t>
        </is>
      </c>
      <c r="B17" s="19" t="n">
        <v>1376</v>
      </c>
      <c r="C17" s="19" t="n">
        <v>1898</v>
      </c>
      <c r="D17" s="19" t="n">
        <v>1987</v>
      </c>
      <c r="E17" s="18" t="n">
        <v>0.28</v>
      </c>
    </row>
    <row r="18">
      <c r="A18" s="5" t="inlineStr">
        <is>
          <t>Jul-25</t>
        </is>
      </c>
      <c r="B18" s="19" t="n">
        <v>1438</v>
      </c>
      <c r="C18" s="19" t="n">
        <v>1968</v>
      </c>
      <c r="D18" s="19" t="n">
        <v>2034</v>
      </c>
      <c r="E18" s="18" t="n">
        <v>0.27</v>
      </c>
    </row>
    <row r="19">
      <c r="A19" s="5" t="inlineStr">
        <is>
          <t>Aug-25</t>
        </is>
      </c>
      <c r="B19" s="19" t="n">
        <v>1147</v>
      </c>
      <c r="C19" s="19" t="n">
        <v>1878</v>
      </c>
      <c r="D19" s="19" t="n">
        <v>1944</v>
      </c>
      <c r="E19" s="18" t="n">
        <v>0.39</v>
      </c>
    </row>
    <row r="20">
      <c r="A20" s="5" t="inlineStr">
        <is>
          <t>Sep-25</t>
        </is>
      </c>
      <c r="B20" s="19" t="n">
        <v>965</v>
      </c>
      <c r="C20" s="19" t="n">
        <v>1725</v>
      </c>
      <c r="D20" s="19" t="n">
        <v>1724</v>
      </c>
      <c r="E20" s="18" t="n">
        <v>0.44</v>
      </c>
    </row>
    <row r="21">
      <c r="A21" s="5" t="inlineStr">
        <is>
          <t>Oct-25</t>
        </is>
      </c>
      <c r="B21" s="19" t="n">
        <v>467</v>
      </c>
      <c r="C21" s="19" t="n">
        <v>1139</v>
      </c>
      <c r="D21" s="19" t="n">
        <v>1461</v>
      </c>
      <c r="E21" s="18" t="n">
        <v>0.59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NPV &amp; IRR ANALYSIS</t>
        </is>
      </c>
    </row>
    <row r="2">
      <c r="A2" s="2" t="inlineStr">
        <is>
          <t>Discounted cashflow with price decline adjustment</t>
        </is>
      </c>
    </row>
    <row r="4">
      <c r="A4" s="4" t="inlineStr">
        <is>
          <t>Year</t>
        </is>
      </c>
      <c r="B4" s="4" t="inlineStr">
        <is>
          <t>Net Income</t>
        </is>
      </c>
      <c r="C4" s="4" t="inlineStr">
        <is>
          <t>Price Adj Factor</t>
        </is>
      </c>
      <c r="D4" s="4" t="inlineStr">
        <is>
          <t>Adj Net Income</t>
        </is>
      </c>
      <c r="E4" s="4" t="inlineStr">
        <is>
          <t>Discount Factor</t>
        </is>
      </c>
      <c r="F4" s="4" t="inlineStr">
        <is>
          <t>PV of Cashflow</t>
        </is>
      </c>
      <c r="G4" s="4" t="inlineStr">
        <is>
          <t>Cumul PV</t>
        </is>
      </c>
    </row>
    <row r="5">
      <c r="A5" t="n">
        <v>0</v>
      </c>
      <c r="B5" s="10">
        <f>-Inputs!B21</f>
        <v/>
      </c>
      <c r="C5" s="29" t="n">
        <v>1</v>
      </c>
      <c r="D5" s="22">
        <f>B5</f>
        <v/>
      </c>
      <c r="E5" s="30" t="n">
        <v>1</v>
      </c>
      <c r="F5" s="22">
        <f>D5*E5</f>
        <v/>
      </c>
      <c r="G5" s="22">
        <f>F5</f>
        <v/>
      </c>
    </row>
    <row r="6">
      <c r="A6" t="n">
        <v>1</v>
      </c>
      <c r="B6" s="22">
        <f>'15-Year Projection'!G6</f>
        <v/>
      </c>
      <c r="C6" s="30">
        <f>(1-Inputs!B51)^1</f>
        <v/>
      </c>
      <c r="D6" s="22">
        <f>B6*C6</f>
        <v/>
      </c>
      <c r="E6" s="30">
        <f>1/(1+Inputs!B53)^1</f>
        <v/>
      </c>
      <c r="F6" s="22">
        <f>D6*E6</f>
        <v/>
      </c>
      <c r="G6" s="22">
        <f>G5+F6</f>
        <v/>
      </c>
    </row>
    <row r="7">
      <c r="A7" t="n">
        <v>2</v>
      </c>
      <c r="B7" s="22">
        <f>'15-Year Projection'!G7</f>
        <v/>
      </c>
      <c r="C7" s="30">
        <f>(1-Inputs!B51)^2</f>
        <v/>
      </c>
      <c r="D7" s="22">
        <f>B7*C7</f>
        <v/>
      </c>
      <c r="E7" s="30">
        <f>1/(1+Inputs!B53)^2</f>
        <v/>
      </c>
      <c r="F7" s="22">
        <f>D7*E7</f>
        <v/>
      </c>
      <c r="G7" s="22">
        <f>G6+F7</f>
        <v/>
      </c>
    </row>
    <row r="8">
      <c r="A8" t="n">
        <v>3</v>
      </c>
      <c r="B8" s="22">
        <f>'15-Year Projection'!G8</f>
        <v/>
      </c>
      <c r="C8" s="30">
        <f>(1-Inputs!B51)^3</f>
        <v/>
      </c>
      <c r="D8" s="22">
        <f>B8*C8</f>
        <v/>
      </c>
      <c r="E8" s="30">
        <f>1/(1+Inputs!B53)^3</f>
        <v/>
      </c>
      <c r="F8" s="22">
        <f>D8*E8</f>
        <v/>
      </c>
      <c r="G8" s="22">
        <f>G7+F8</f>
        <v/>
      </c>
    </row>
    <row r="9">
      <c r="A9" t="n">
        <v>4</v>
      </c>
      <c r="B9" s="22">
        <f>'15-Year Projection'!G9</f>
        <v/>
      </c>
      <c r="C9" s="30">
        <f>(1-Inputs!B51)^4</f>
        <v/>
      </c>
      <c r="D9" s="22">
        <f>B9*C9</f>
        <v/>
      </c>
      <c r="E9" s="30">
        <f>1/(1+Inputs!B53)^4</f>
        <v/>
      </c>
      <c r="F9" s="22">
        <f>D9*E9</f>
        <v/>
      </c>
      <c r="G9" s="22">
        <f>G8+F9</f>
        <v/>
      </c>
    </row>
    <row r="10">
      <c r="A10" t="n">
        <v>5</v>
      </c>
      <c r="B10" s="22">
        <f>'15-Year Projection'!G10</f>
        <v/>
      </c>
      <c r="C10" s="30">
        <f>(1-Inputs!B51)^5</f>
        <v/>
      </c>
      <c r="D10" s="22">
        <f>B10*C10</f>
        <v/>
      </c>
      <c r="E10" s="30">
        <f>1/(1+Inputs!B53)^5</f>
        <v/>
      </c>
      <c r="F10" s="22">
        <f>D10*E10</f>
        <v/>
      </c>
      <c r="G10" s="22">
        <f>G9+F10</f>
        <v/>
      </c>
    </row>
    <row r="11">
      <c r="A11" t="n">
        <v>6</v>
      </c>
      <c r="B11" s="22">
        <f>'15-Year Projection'!G11</f>
        <v/>
      </c>
      <c r="C11" s="30">
        <f>(1-Inputs!B51)^6</f>
        <v/>
      </c>
      <c r="D11" s="22">
        <f>B11*C11</f>
        <v/>
      </c>
      <c r="E11" s="30">
        <f>1/(1+Inputs!B53)^6</f>
        <v/>
      </c>
      <c r="F11" s="22">
        <f>D11*E11</f>
        <v/>
      </c>
      <c r="G11" s="22">
        <f>G10+F11</f>
        <v/>
      </c>
    </row>
    <row r="12">
      <c r="A12" t="n">
        <v>7</v>
      </c>
      <c r="B12" s="22">
        <f>'15-Year Projection'!G12</f>
        <v/>
      </c>
      <c r="C12" s="30">
        <f>(1-Inputs!B51)^7</f>
        <v/>
      </c>
      <c r="D12" s="22">
        <f>B12*C12</f>
        <v/>
      </c>
      <c r="E12" s="30">
        <f>1/(1+Inputs!B53)^7</f>
        <v/>
      </c>
      <c r="F12" s="22">
        <f>D12*E12</f>
        <v/>
      </c>
      <c r="G12" s="22">
        <f>G11+F12</f>
        <v/>
      </c>
    </row>
    <row r="13">
      <c r="A13" t="n">
        <v>8</v>
      </c>
      <c r="B13" s="22">
        <f>'15-Year Projection'!G13</f>
        <v/>
      </c>
      <c r="C13" s="30">
        <f>(1-Inputs!B51)^8</f>
        <v/>
      </c>
      <c r="D13" s="22">
        <f>B13*C13</f>
        <v/>
      </c>
      <c r="E13" s="30">
        <f>1/(1+Inputs!B53)^8</f>
        <v/>
      </c>
      <c r="F13" s="22">
        <f>D13*E13</f>
        <v/>
      </c>
      <c r="G13" s="22">
        <f>G12+F13</f>
        <v/>
      </c>
    </row>
    <row r="14">
      <c r="A14" t="n">
        <v>9</v>
      </c>
      <c r="B14" s="22">
        <f>'15-Year Projection'!G14</f>
        <v/>
      </c>
      <c r="C14" s="30">
        <f>(1-Inputs!B51)^9</f>
        <v/>
      </c>
      <c r="D14" s="22">
        <f>B14*C14</f>
        <v/>
      </c>
      <c r="E14" s="30">
        <f>1/(1+Inputs!B53)^9</f>
        <v/>
      </c>
      <c r="F14" s="22">
        <f>D14*E14</f>
        <v/>
      </c>
      <c r="G14" s="22">
        <f>G13+F14</f>
        <v/>
      </c>
    </row>
    <row r="15">
      <c r="A15" t="n">
        <v>10</v>
      </c>
      <c r="B15" s="22">
        <f>'15-Year Projection'!G15</f>
        <v/>
      </c>
      <c r="C15" s="30">
        <f>(1-Inputs!B51)^10</f>
        <v/>
      </c>
      <c r="D15" s="22">
        <f>B15*C15</f>
        <v/>
      </c>
      <c r="E15" s="30">
        <f>1/(1+Inputs!B53)^10</f>
        <v/>
      </c>
      <c r="F15" s="22">
        <f>D15*E15</f>
        <v/>
      </c>
      <c r="G15" s="22">
        <f>G14+F15</f>
        <v/>
      </c>
    </row>
    <row r="16">
      <c r="A16" t="n">
        <v>11</v>
      </c>
      <c r="B16" s="22">
        <f>'15-Year Projection'!G16</f>
        <v/>
      </c>
      <c r="C16" s="30">
        <f>(1-Inputs!B51)^11</f>
        <v/>
      </c>
      <c r="D16" s="22">
        <f>B16*C16</f>
        <v/>
      </c>
      <c r="E16" s="30">
        <f>1/(1+Inputs!B53)^11</f>
        <v/>
      </c>
      <c r="F16" s="22">
        <f>D16*E16</f>
        <v/>
      </c>
      <c r="G16" s="22">
        <f>G15+F16</f>
        <v/>
      </c>
    </row>
    <row r="17">
      <c r="A17" t="n">
        <v>12</v>
      </c>
      <c r="B17" s="22">
        <f>'15-Year Projection'!G17</f>
        <v/>
      </c>
      <c r="C17" s="30">
        <f>(1-Inputs!B51)^12</f>
        <v/>
      </c>
      <c r="D17" s="22">
        <f>B17*C17</f>
        <v/>
      </c>
      <c r="E17" s="30">
        <f>1/(1+Inputs!B53)^12</f>
        <v/>
      </c>
      <c r="F17" s="22">
        <f>D17*E17</f>
        <v/>
      </c>
      <c r="G17" s="22">
        <f>G16+F17</f>
        <v/>
      </c>
    </row>
    <row r="18">
      <c r="A18" t="n">
        <v>13</v>
      </c>
      <c r="B18" s="22">
        <f>'15-Year Projection'!G18</f>
        <v/>
      </c>
      <c r="C18" s="30">
        <f>(1-Inputs!B51)^13</f>
        <v/>
      </c>
      <c r="D18" s="22">
        <f>B18*C18</f>
        <v/>
      </c>
      <c r="E18" s="30">
        <f>1/(1+Inputs!B53)^13</f>
        <v/>
      </c>
      <c r="F18" s="22">
        <f>D18*E18</f>
        <v/>
      </c>
      <c r="G18" s="22">
        <f>G17+F18</f>
        <v/>
      </c>
    </row>
    <row r="19">
      <c r="A19" t="n">
        <v>14</v>
      </c>
      <c r="B19" s="22">
        <f>'15-Year Projection'!G19</f>
        <v/>
      </c>
      <c r="C19" s="30">
        <f>(1-Inputs!B51)^14</f>
        <v/>
      </c>
      <c r="D19" s="22">
        <f>B19*C19</f>
        <v/>
      </c>
      <c r="E19" s="30">
        <f>1/(1+Inputs!B53)^14</f>
        <v/>
      </c>
      <c r="F19" s="22">
        <f>D19*E19</f>
        <v/>
      </c>
      <c r="G19" s="22">
        <f>G18+F19</f>
        <v/>
      </c>
    </row>
    <row r="20">
      <c r="A20" t="n">
        <v>15</v>
      </c>
      <c r="B20" s="22">
        <f>'15-Year Projection'!G20</f>
        <v/>
      </c>
      <c r="C20" s="30">
        <f>(1-Inputs!B51)^15</f>
        <v/>
      </c>
      <c r="D20" s="22">
        <f>B20*C20</f>
        <v/>
      </c>
      <c r="E20" s="30">
        <f>1/(1+Inputs!B53)^15</f>
        <v/>
      </c>
      <c r="F20" s="22">
        <f>D20*E20</f>
        <v/>
      </c>
      <c r="G20" s="22">
        <f>G19+F20</f>
        <v/>
      </c>
    </row>
    <row r="22">
      <c r="A22" s="3" t="inlineStr">
        <is>
          <t>RESULTS</t>
        </is>
      </c>
    </row>
    <row r="23">
      <c r="A23" s="5" t="inlineStr">
        <is>
          <t>NPV</t>
        </is>
      </c>
      <c r="B23" s="23">
        <f>SUM(F5:F20)</f>
        <v/>
      </c>
      <c r="D23" t="inlineStr">
        <is>
          <t>Net Present Value at WACC discount rate</t>
        </is>
      </c>
    </row>
    <row r="24">
      <c r="A24" s="5" t="inlineStr">
        <is>
          <t>IRR</t>
        </is>
      </c>
      <c r="B24" s="31">
        <f>IRR(D5:D20)</f>
        <v/>
      </c>
      <c r="D24" t="inlineStr">
        <is>
          <t>Internal Rate of Return (project IRR)</t>
        </is>
      </c>
    </row>
    <row r="25">
      <c r="A25" s="5" t="inlineStr">
        <is>
          <t>Discount Rate</t>
        </is>
      </c>
      <c r="B25" s="32">
        <f>Inputs!B53</f>
        <v/>
      </c>
      <c r="D25" t="inlineStr">
        <is>
          <t>From Inputs sheet (modifiable)</t>
        </is>
      </c>
    </row>
    <row r="26">
      <c r="A26" s="5" t="inlineStr">
        <is>
          <t>Price Decline</t>
        </is>
      </c>
      <c r="B26" s="32">
        <f>Inputs!B51</f>
        <v/>
      </c>
      <c r="D26" t="inlineStr">
        <is>
          <t>Annual peak price compression assumption</t>
        </is>
      </c>
    </row>
    <row r="27">
      <c r="A27" s="5" t="inlineStr">
        <is>
          <t>Investment</t>
        </is>
      </c>
      <c r="B27" s="22">
        <f>Inputs!B21</f>
        <v/>
      </c>
    </row>
    <row r="28">
      <c r="A28" s="5" t="inlineStr">
        <is>
          <t>Discounted Payback</t>
        </is>
      </c>
      <c r="B28" s="33">
        <f>MATCH(TRUE,INDEX(G5:G20&gt;0,0),0)-1</f>
        <v/>
      </c>
      <c r="D28" t="inlineStr">
        <is>
          <t>Year when cumulative discounted cashflow turns positive</t>
        </is>
      </c>
    </row>
    <row r="31">
      <c r="A31" s="3" t="inlineStr">
        <is>
          <t>NPV SENSITIVITY</t>
        </is>
      </c>
    </row>
    <row r="32">
      <c r="A32" s="4" t="inlineStr"/>
      <c r="B32" s="4" t="inlineStr">
        <is>
          <t>0% decline</t>
        </is>
      </c>
      <c r="C32" s="4" t="inlineStr">
        <is>
          <t>1% decline</t>
        </is>
      </c>
      <c r="D32" s="4" t="inlineStr">
        <is>
          <t>2% decline</t>
        </is>
      </c>
    </row>
    <row r="33">
      <c r="A33" s="5" t="inlineStr">
        <is>
          <t>WACC 6%</t>
        </is>
      </c>
      <c r="B33" s="34" t="n">
        <v>2110459.382037603</v>
      </c>
      <c r="C33" s="34" t="n">
        <v>1680439.389299305</v>
      </c>
      <c r="D33" s="34" t="n">
        <v>1283963.00780935</v>
      </c>
    </row>
    <row r="34">
      <c r="A34" s="5" t="inlineStr">
        <is>
          <t>WACC 8%</t>
        </is>
      </c>
      <c r="B34" s="34" t="n">
        <v>1340699.094115903</v>
      </c>
      <c r="C34" s="34" t="n">
        <v>977097.8764764646</v>
      </c>
      <c r="D34" s="34" t="n">
        <v>640894.4614498483</v>
      </c>
    </row>
    <row r="35">
      <c r="A35" s="5" t="inlineStr">
        <is>
          <t>WACC 10%</t>
        </is>
      </c>
      <c r="B35" s="34" t="n">
        <v>700091.3927310921</v>
      </c>
      <c r="C35" s="34" t="n">
        <v>390099.0178360303</v>
      </c>
      <c r="D35" s="34" t="n">
        <v>102647.9292664001</v>
      </c>
    </row>
    <row r="36">
      <c r="A36" s="5" t="inlineStr">
        <is>
          <t>WACC 12%</t>
        </is>
      </c>
      <c r="B36" s="34" t="n">
        <v>162442.6515177143</v>
      </c>
      <c r="C36" s="10" t="n">
        <v>-103944.1445301132</v>
      </c>
      <c r="D36" s="10" t="n">
        <v>-351654.1605451129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366F1"/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MODEL NOTES &amp; ASSUMPTIONS</t>
        </is>
      </c>
    </row>
    <row r="3"/>
    <row r="4">
      <c r="A4" s="3" t="inlineStr">
        <is>
          <t>CURTAILMENT DATA</t>
        </is>
      </c>
    </row>
    <row r="5">
      <c r="A5" s="35" t="inlineStr">
        <is>
          <t>Monthly curtailment rates use the most recent available data per calendar month (2025 preferred over 2024).</t>
        </is>
      </c>
    </row>
    <row r="6">
      <c r="A6" s="35" t="inlineStr">
        <is>
          <t>For May-Oct, only 2025 data is used. This reflects the latest (and higher) curtailment trend.</t>
        </is>
      </c>
    </row>
    <row r="7">
      <c r="A7" s="35" t="inlineStr">
        <is>
          <t>If you prefer a 2-year average, modify the Base Curt % cells on the Monthly Model sheet.</t>
        </is>
      </c>
    </row>
    <row r="8">
      <c r="A8" s="35" t="inlineStr">
        <is>
          <t>The Scenario Multiplier on the Inputs sheet scales all months uniformly. Set 1.0 for baseline, 1.2 for +20%, etc.</t>
        </is>
      </c>
    </row>
    <row r="9"/>
    <row r="10">
      <c r="A10" s="3" t="inlineStr">
        <is>
          <t>PEAK PRICE COMPRESSION</t>
        </is>
      </c>
    </row>
    <row r="11">
      <c r="A11" s="35" t="inlineStr">
        <is>
          <t>Base case assumes constant peak prices (0% annual decline).</t>
        </is>
      </c>
    </row>
    <row r="12">
      <c r="A12" s="35" t="inlineStr">
        <is>
          <t>The Annual Peak Price Decline input (Inputs sheet) applies a compounding reduction to the 15-year projection.</t>
        </is>
      </c>
    </row>
    <row r="13">
      <c r="A13" s="35" t="inlineStr">
        <is>
          <t>As more BESS enters the Cyprus market, peak-to-off-peak spreads may compress. 1-2%/yr is a reasonable stress test.</t>
        </is>
      </c>
    </row>
    <row r="14">
      <c r="A14" s="35" t="inlineStr">
        <is>
          <t>Summer peak prices not yet available from TSOC DAM (dataset is Oct-Feb only). Summer months use €182.99 as placeholder.</t>
        </is>
      </c>
    </row>
    <row r="15"/>
    <row r="16">
      <c r="A16" s="3" t="inlineStr">
        <is>
          <t>CHARGE-RATE CONSTRAINT</t>
        </is>
      </c>
    </row>
    <row r="17">
      <c r="A17" s="35" t="inlineStr">
        <is>
          <t>The Monthly Model now includes a Charge Rate (MW) column showing daily curtailed MWh / curtailment hours.</t>
        </is>
      </c>
    </row>
    <row r="18">
      <c r="A18" s="35" t="inlineStr">
        <is>
          <t>If this exceeds the BESS power rating (10 MW), the Rate Check column flags 'EXCEEDS'.</t>
        </is>
      </c>
    </row>
    <row r="19">
      <c r="A19" s="35" t="inlineStr">
        <is>
          <t>Default curtailment window: 4.5 hours (10:00-14:30). Modifiable on Inputs sheet.</t>
        </is>
      </c>
    </row>
    <row r="20">
      <c r="A20" s="35" t="inlineStr">
        <is>
          <t>In practice, curtailment may be spread over a longer window, so minor exceedances are acceptable.</t>
        </is>
      </c>
    </row>
    <row r="21"/>
    <row r="22">
      <c r="A22" s="3" t="inlineStr">
        <is>
          <t>BESS UTILISATION</t>
        </is>
      </c>
    </row>
    <row r="23">
      <c r="A23" s="35" t="inlineStr">
        <is>
          <t>Utilisation = Annual Captured MWh / Max Annual Throughput MWh</t>
        </is>
      </c>
    </row>
    <row r="24">
      <c r="A24" s="35" t="inlineStr">
        <is>
          <t>Max Annual Throughput = BESS_MWh × SOH_Year1 × 365 × Availability</t>
        </is>
      </c>
    </row>
    <row r="25">
      <c r="A25" s="35" t="inlineStr">
        <is>
          <t>This is the standard definition used in BESS project finance.</t>
        </is>
      </c>
    </row>
    <row r="26"/>
    <row r="27">
      <c r="A27" s="3" t="inlineStr">
        <is>
          <t>PANEL LOSS</t>
        </is>
      </c>
    </row>
    <row r="28">
      <c r="A28" s="35" t="inlineStr">
        <is>
          <t>90 panels (ASTRO 660Wp) removed for BESS foundation area = 59.4 kWp lost.</t>
        </is>
      </c>
    </row>
    <row r="29">
      <c r="A29" s="35" t="inlineStr">
        <is>
          <t>Annual revenue loss: ~€16,168 (declining with PV degradation).</t>
        </is>
      </c>
    </row>
    <row r="30">
      <c r="A30" s="35" t="inlineStr">
        <is>
          <t>This is deducted from BESS net income in all projections.</t>
        </is>
      </c>
    </row>
    <row r="31"/>
    <row r="32">
      <c r="A32" s="3" t="inlineStr">
        <is>
          <t>NPV &amp; IRR</t>
        </is>
      </c>
    </row>
    <row r="33">
      <c r="A33" s="35" t="inlineStr">
        <is>
          <t>NPV calculated at the WACC discount rate (default 8%, modifiable).</t>
        </is>
      </c>
    </row>
    <row r="34">
      <c r="A34" s="35" t="inlineStr">
        <is>
          <t>IRR is the project IRR (not equity IRR) — the discount rate at which NPV = 0.</t>
        </is>
      </c>
    </row>
    <row r="35">
      <c r="A35" s="35" t="inlineStr">
        <is>
          <t>Price decline adjustment is applied before discounting.</t>
        </is>
      </c>
    </row>
    <row r="36">
      <c r="A36" s="35" t="inlineStr">
        <is>
          <t>Sensitivity table shows NPV under different WACC and price decline combinations.</t>
        </is>
      </c>
    </row>
    <row r="37"/>
    <row r="38">
      <c r="A38" s="3" t="inlineStr">
        <is>
          <t>SOH DEGRADATION</t>
        </is>
      </c>
    </row>
    <row r="39">
      <c r="A39" s="35" t="inlineStr">
        <is>
          <t>Based on Linyang cycle-life data at 1 cycle/day, 0.25P charge/discharge rate.</t>
        </is>
      </c>
    </row>
    <row r="40">
      <c r="A40" s="35" t="inlineStr">
        <is>
          <t>EOL defined as 70% SOH. At 1 cycle/day, EOL is reached around Year 18 (beyond 15-year model horizon).</t>
        </is>
      </c>
    </row>
    <row r="41">
      <c r="A41" s="35" t="inlineStr">
        <is>
          <t>If the system operates at 2 cycles/day, degradation is faster — EOL at ~Year 12.</t>
        </is>
      </c>
    </row>
    <row r="42"/>
    <row r="43">
      <c r="A43" s="3" t="inlineStr">
        <is>
          <t>DATA SOURCES</t>
        </is>
      </c>
    </row>
    <row r="44">
      <c r="A44" s="35" t="inlineStr">
        <is>
          <t>PV Production: PVSyst simulation verified against 18 months of actual meter data (May 2024 – Oct 2025)</t>
        </is>
      </c>
    </row>
    <row r="45">
      <c r="A45" s="35" t="inlineStr">
        <is>
          <t>Curtailment: Actual DSO dispatch-down records for Spanercom Anarita EAST + WEST arrays</t>
        </is>
      </c>
    </row>
    <row r="46">
      <c r="A46" s="35" t="inlineStr">
        <is>
          <t>Market Prices: TSOC Day-Ahead Market, 134 consecutive days (Oct 2025 – Feb 2026)</t>
        </is>
      </c>
    </row>
    <row r="47">
      <c r="A47" s="35" t="inlineStr">
        <is>
          <t>RTE: 86.32% AC-AC full system (Linyang verified, includes PCS + cabling losses)</t>
        </is>
      </c>
    </row>
    <row r="48">
      <c r="A48" s="35" t="inlineStr">
        <is>
          <t>LTSA Rates: OEM-confirmed (Linyang RFI V3, February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2026-03-30T20:45:23Z</dcterms:created>
  <dcterms:modified xmlns:dcterms="http://purl.org/dc/terms/" xmlns:xsi="http://www.w3.org/2001/XMLSchema-instance" xsi:type="dcterms:W3CDTF">2026-04-01T15:09:41Z</dcterms:modified>
</cp:coreProperties>
</file>