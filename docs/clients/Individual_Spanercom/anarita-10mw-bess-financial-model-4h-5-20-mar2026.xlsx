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enario Matrix" sheetId="2" state="visible" r:id="rId2"/>
    <sheet xmlns:r="http://schemas.openxmlformats.org/officeDocument/2006/relationships" name="15-Year Projection" sheetId="3" state="visible" r:id="rId3"/>
    <sheet xmlns:r="http://schemas.openxmlformats.org/officeDocument/2006/relationships" name="LCOS" sheetId="4" state="visible" r:id="rId4"/>
    <sheet xmlns:r="http://schemas.openxmlformats.org/officeDocument/2006/relationships" name="Park Data" sheetId="5" state="visible" r:id="rId5"/>
    <sheet xmlns:r="http://schemas.openxmlformats.org/officeDocument/2006/relationships" name="Formula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€#,##0.00"/>
    <numFmt numFmtId="166" formatCode="€#,##0"/>
    <numFmt numFmtId="167" formatCode="0.0"/>
    <numFmt numFmtId="168" formatCode="0.00&quot;x&quot;"/>
  </numFmts>
  <fonts count="11">
    <font>
      <name val="Calibri"/>
      <family val="2"/>
      <color theme="1"/>
      <sz val="11"/>
      <scheme val="minor"/>
    </font>
    <font>
      <b val="1"/>
      <color rgb="0016213E"/>
      <sz val="14"/>
    </font>
    <font>
      <i val="1"/>
      <color rgb="0092400E"/>
    </font>
    <font>
      <b val="1"/>
      <color rgb="0016213E"/>
      <sz val="12"/>
    </font>
    <font>
      <b val="1"/>
      <color rgb="00FFFFFF"/>
      <sz val="11"/>
    </font>
    <font>
      <b val="1"/>
    </font>
    <font>
      <b val="1"/>
      <color rgb="0092400E"/>
    </font>
    <font>
      <i val="1"/>
      <color rgb="00666666"/>
    </font>
    <font>
      <b val="1"/>
      <color rgb="00059669"/>
    </font>
    <font>
      <b val="1"/>
      <color rgb="00DC2626"/>
    </font>
    <font>
      <name val="Consolas"/>
      <color rgb="001E3A5F"/>
      <sz val="10"/>
    </font>
  </fonts>
  <fills count="8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FFBEB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0" borderId="0" pivotButton="0" quotePrefix="0" xfId="0"/>
    <xf numFmtId="3" fontId="6" fillId="3" borderId="0" pivotButton="0" quotePrefix="0" xfId="0"/>
    <xf numFmtId="3" fontId="5" fillId="0" borderId="0" pivotButton="0" quotePrefix="0" xfId="0"/>
    <xf numFmtId="164" fontId="6" fillId="3" borderId="0" pivotButton="0" quotePrefix="0" xfId="0"/>
    <xf numFmtId="4" fontId="6" fillId="3" borderId="0" pivotButton="0" quotePrefix="0" xfId="0"/>
    <xf numFmtId="165" fontId="5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pivotButton="0" quotePrefix="0" xfId="0"/>
    <xf numFmtId="166" fontId="6" fillId="3" borderId="1" pivotButton="0" quotePrefix="0" xfId="0"/>
    <xf numFmtId="0" fontId="7" fillId="0" borderId="0" pivotButton="0" quotePrefix="0" xfId="0"/>
    <xf numFmtId="9" fontId="6" fillId="3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6" fontId="5" fillId="4" borderId="0" pivotButton="0" quotePrefix="0" xfId="0"/>
    <xf numFmtId="164" fontId="8" fillId="0" borderId="0" pivotButton="0" quotePrefix="0" xfId="0"/>
    <xf numFmtId="167" fontId="0" fillId="0" borderId="0" pivotButton="0" quotePrefix="0" xfId="0"/>
    <xf numFmtId="9" fontId="6" fillId="3" borderId="0" pivotButton="0" quotePrefix="0" xfId="0"/>
    <xf numFmtId="3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6" fontId="5" fillId="0" borderId="1" pivotButton="0" quotePrefix="0" xfId="0"/>
    <xf numFmtId="10" fontId="0" fillId="0" borderId="0" pivotButton="0" quotePrefix="0" xfId="0"/>
    <xf numFmtId="0" fontId="0" fillId="5" borderId="1" pivotButton="0" quotePrefix="0" xfId="0"/>
    <xf numFmtId="3" fontId="0" fillId="5" borderId="1" pivotButton="0" quotePrefix="0" xfId="0"/>
    <xf numFmtId="10" fontId="0" fillId="5" borderId="1" pivotButton="0" quotePrefix="0" xfId="0"/>
    <xf numFmtId="2" fontId="0" fillId="5" borderId="1" pivotButton="0" quotePrefix="0" xfId="0"/>
    <xf numFmtId="166" fontId="0" fillId="5" borderId="1" pivotButton="0" quotePrefix="0" xfId="0"/>
    <xf numFmtId="166" fontId="5" fillId="5" borderId="1" pivotButton="0" quotePrefix="0" xfId="0"/>
    <xf numFmtId="166" fontId="0" fillId="4" borderId="0" pivotButton="0" quotePrefix="0" xfId="0"/>
    <xf numFmtId="168" fontId="8" fillId="0" borderId="0" pivotButton="0" quotePrefix="0" xfId="0"/>
    <xf numFmtId="164" fontId="0" fillId="0" borderId="0" pivotButton="0" quotePrefix="0" xfId="0"/>
    <xf numFmtId="166" fontId="5" fillId="6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5" fontId="8" fillId="4" borderId="0" pivotButton="0" quotePrefix="0" xfId="0"/>
    <xf numFmtId="9" fontId="0" fillId="6" borderId="1" pivotButton="0" quotePrefix="0" xfId="0"/>
    <xf numFmtId="0" fontId="5" fillId="5" borderId="1" pivotButton="0" quotePrefix="0" xfId="0"/>
    <xf numFmtId="9" fontId="0" fillId="5" borderId="1" pivotButton="0" quotePrefix="0" xfId="0"/>
    <xf numFmtId="9" fontId="0" fillId="4" borderId="1" pivotButton="0" quotePrefix="0" xfId="0"/>
    <xf numFmtId="9" fontId="0" fillId="0" borderId="1" pivotButton="0" quotePrefix="0" xfId="0"/>
    <xf numFmtId="9" fontId="9" fillId="7" borderId="1" pivotButton="0" quotePrefix="0" xfId="0"/>
    <xf numFmtId="9" fontId="9" fillId="5" borderId="1" pivotButton="0" quotePrefix="0" xfId="0"/>
    <xf numFmtId="164" fontId="6" fillId="3" borderId="0" pivotButton="0" quotePrefix="0" xfId="0"/>
    <xf numFmtId="165" fontId="5" fillId="0" borderId="0" pivotButton="0" quotePrefix="0" xfId="0"/>
    <xf numFmtId="166" fontId="6" fillId="3" borderId="1" pivotButton="0" quotePrefix="0" xfId="0"/>
    <xf numFmtId="166" fontId="0" fillId="0" borderId="0" pivotButton="0" quotePrefix="0" xfId="0"/>
    <xf numFmtId="166" fontId="5" fillId="4" borderId="0" pivotButton="0" quotePrefix="0" xfId="0"/>
    <xf numFmtId="164" fontId="8" fillId="0" borderId="0" pivotButton="0" quotePrefix="0" xfId="0"/>
    <xf numFmtId="167" fontId="0" fillId="0" borderId="0" pivotButton="0" quotePrefix="0" xfId="0"/>
    <xf numFmtId="166" fontId="0" fillId="0" borderId="1" pivotButton="0" quotePrefix="0" xfId="0"/>
    <xf numFmtId="166" fontId="5" fillId="0" borderId="1" pivotButton="0" quotePrefix="0" xfId="0"/>
    <xf numFmtId="166" fontId="0" fillId="5" borderId="1" pivotButton="0" quotePrefix="0" xfId="0"/>
    <xf numFmtId="166" fontId="5" fillId="5" borderId="1" pivotButton="0" quotePrefix="0" xfId="0"/>
    <xf numFmtId="166" fontId="0" fillId="4" borderId="0" pivotButton="0" quotePrefix="0" xfId="0"/>
    <xf numFmtId="168" fontId="8" fillId="0" borderId="0" pivotButton="0" quotePrefix="0" xfId="0"/>
    <xf numFmtId="164" fontId="0" fillId="0" borderId="0" pivotButton="0" quotePrefix="0" xfId="0"/>
    <xf numFmtId="166" fontId="5" fillId="6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5" fontId="8" fillId="4" borderId="0" pivotButton="0" quotePrefix="0" xfId="0"/>
    <xf numFmtId="0" fontId="4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213E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50" customWidth="1" min="4" max="4"/>
  </cols>
  <sheetData>
    <row r="1">
      <c r="A1" s="1" t="inlineStr">
        <is>
          <t>ANARITA 10 MW BESS — FINANCIAL MODEL (4-HOUR, 2×5/20)</t>
        </is>
      </c>
    </row>
    <row r="2">
      <c r="A2" t="inlineStr">
        <is>
          <t>Prepared for: Muminjon (Spanercom) | Lighthief Cyprus Ltd | 24 March 2026 — matches commercial offer €119k/MWh turnkey (€4.76M, 40 MWh total)</t>
        </is>
      </c>
    </row>
    <row r="3">
      <c r="A3" s="2" t="inlineStr">
        <is>
          <t>⚡ Yellow cells are modifiable inputs — change them to run your own scenarios</t>
        </is>
      </c>
    </row>
    <row r="5">
      <c r="A5" s="3" t="inlineStr">
        <is>
          <t>INPUT PARAMETERS</t>
        </is>
      </c>
    </row>
    <row r="6">
      <c r="A6" s="4" t="inlineStr">
        <is>
          <t>Parameter</t>
        </is>
      </c>
      <c r="B6" s="4" t="inlineStr">
        <is>
          <t>Value</t>
        </is>
      </c>
      <c r="C6" s="4" t="inlineStr">
        <is>
          <t>Unit</t>
        </is>
      </c>
      <c r="D6" s="4" t="inlineStr">
        <is>
          <t>Source / Notes</t>
        </is>
      </c>
    </row>
    <row r="7">
      <c r="A7" s="5" t="inlineStr">
        <is>
          <t>PV Installed Capacity</t>
        </is>
      </c>
      <c r="B7" s="6" t="n">
        <v>10</v>
      </c>
      <c r="C7" t="inlineStr">
        <is>
          <t>MW</t>
        </is>
      </c>
      <c r="D7" t="inlineStr">
        <is>
          <t>Client</t>
        </is>
      </c>
    </row>
    <row r="8">
      <c r="A8" s="5" t="inlineStr">
        <is>
          <t>Annual Specific Yield</t>
        </is>
      </c>
      <c r="B8" s="6" t="n">
        <v>1932</v>
      </c>
      <c r="C8" t="inlineStr">
        <is>
          <t>kWh/kWp</t>
        </is>
      </c>
      <c r="D8" t="inlineStr">
        <is>
          <t>PVSyst verified (May-24 to Oct-25)</t>
        </is>
      </c>
    </row>
    <row r="9">
      <c r="A9" s="5" t="inlineStr">
        <is>
          <t>Annual PV Production</t>
        </is>
      </c>
      <c r="B9" s="7">
        <f>B7*B8</f>
        <v/>
      </c>
      <c r="C9" t="inlineStr">
        <is>
          <t>MWh</t>
        </is>
      </c>
      <c r="D9" t="inlineStr">
        <is>
          <t>Calculated: capacity × yield</t>
        </is>
      </c>
    </row>
    <row r="10">
      <c r="A10" s="5" t="inlineStr">
        <is>
          <t>Park Configuration</t>
        </is>
      </c>
      <c r="B10" s="6" t="inlineStr">
        <is>
          <t>Fixed Tilt (EAST + WEST)</t>
        </is>
      </c>
      <c r="D10" t="inlineStr">
        <is>
          <t>Client confirmed</t>
        </is>
      </c>
    </row>
    <row r="11">
      <c r="A11" s="5" t="inlineStr">
        <is>
          <t>PV Annual Degradation</t>
        </is>
      </c>
      <c r="B11" s="51" t="n">
        <v>0.005</v>
      </c>
      <c r="D11" t="inlineStr">
        <is>
          <t>Industry standard (0.5%/yr)</t>
        </is>
      </c>
    </row>
    <row r="12">
      <c r="A12" s="5" t="inlineStr">
        <is>
          <t>Peak Discharge Price</t>
        </is>
      </c>
      <c r="B12" s="9" t="n">
        <v>182.99</v>
      </c>
      <c r="C12" t="inlineStr">
        <is>
          <t>€/MWh</t>
        </is>
      </c>
      <c r="D12" t="inlineStr">
        <is>
          <t>TSOC DAM 134-day avg (17:00-21:00)</t>
        </is>
      </c>
    </row>
    <row r="13">
      <c r="A13" s="5" t="inlineStr">
        <is>
          <t>Round-Trip Efficiency</t>
        </is>
      </c>
      <c r="B13" s="51" t="n">
        <v>0.8632</v>
      </c>
      <c r="D13" t="inlineStr">
        <is>
          <t>Linyang AC-AC full system</t>
        </is>
      </c>
    </row>
    <row r="14">
      <c r="A14" s="5" t="inlineStr">
        <is>
          <t>Net Revenue per MWh Stored</t>
        </is>
      </c>
      <c r="B14" s="52">
        <f>B12*B13</f>
        <v/>
      </c>
      <c r="C14" t="inlineStr">
        <is>
          <t>€/MWh</t>
        </is>
      </c>
      <c r="D14" t="inlineStr">
        <is>
          <t>Calculated: peak price × RTE</t>
        </is>
      </c>
    </row>
    <row r="15">
      <c r="A15" s="5" t="inlineStr">
        <is>
          <t>BESS Availability</t>
        </is>
      </c>
      <c r="B15" s="51" t="n">
        <v>0.97</v>
      </c>
      <c r="D15" t="inlineStr">
        <is>
          <t>Guaranteed LTSA Tier C (97%)</t>
        </is>
      </c>
    </row>
    <row r="16">
      <c r="A16" s="5" t="inlineStr">
        <is>
          <t>LTSA Cost Rate</t>
        </is>
      </c>
      <c r="B16" s="9" t="n">
        <v>2469.59</v>
      </c>
      <c r="C16" t="inlineStr">
        <is>
          <t>€/MWh/yr</t>
        </is>
      </c>
      <c r="D16" t="inlineStr">
        <is>
          <t>Confirmed Linyang RFI V3</t>
        </is>
      </c>
    </row>
    <row r="17">
      <c r="A17" s="5" t="inlineStr">
        <is>
          <t>Insurance (annual)</t>
        </is>
      </c>
      <c r="B17" s="6" t="n">
        <v>15000</v>
      </c>
      <c r="C17" t="inlineStr">
        <is>
          <t>€/yr</t>
        </is>
      </c>
      <c r="D17" t="inlineStr">
        <is>
          <t>Budget estimate</t>
        </is>
      </c>
    </row>
    <row r="18">
      <c r="A18" s="5" t="inlineStr">
        <is>
          <t>Cycles per Day</t>
        </is>
      </c>
      <c r="B18" s="6" t="n">
        <v>1</v>
      </c>
      <c r="D18" t="inlineStr">
        <is>
          <t>Annual average (conservative)</t>
        </is>
      </c>
    </row>
    <row r="19">
      <c r="A19" s="5" t="inlineStr">
        <is>
          <t>BESS EOL Definition</t>
        </is>
      </c>
      <c r="B19" s="51" t="n">
        <v>0.7</v>
      </c>
      <c r="D19" t="inlineStr">
        <is>
          <t>SOH threshold (70%)</t>
        </is>
      </c>
    </row>
    <row r="22">
      <c r="A22" s="3" t="inlineStr">
        <is>
          <t>BESS OPTIONS</t>
        </is>
      </c>
    </row>
    <row r="23">
      <c r="A23" s="4" t="inlineStr">
        <is>
          <t>Option</t>
        </is>
      </c>
      <c r="B23" s="4" t="inlineStr">
        <is>
          <t>Power (MW)</t>
        </is>
      </c>
      <c r="C23" s="4" t="inlineStr">
        <is>
          <t>Energy (MWh)</t>
        </is>
      </c>
      <c r="D23" s="4" t="inlineStr">
        <is>
          <t>Price (€)</t>
        </is>
      </c>
      <c r="E23" t="inlineStr">
        <is>
          <t>EUR/kWh</t>
        </is>
      </c>
      <c r="F23" t="inlineStr">
        <is>
          <t>Configuration</t>
        </is>
      </c>
    </row>
    <row r="24">
      <c r="A24" s="11" t="inlineStr">
        <is>
          <t>Option A</t>
        </is>
      </c>
      <c r="B24" s="12" t="n">
        <v>10</v>
      </c>
      <c r="C24" s="13" t="n">
        <v>20</v>
      </c>
      <c r="D24" s="53" t="n">
        <v>3033000</v>
      </c>
      <c r="E24">
        <f>D24/(C24*1000)</f>
        <v/>
      </c>
      <c r="F24" t="inlineStr">
        <is>
          <t>4 x 5 MWh (2 per park)</t>
        </is>
      </c>
    </row>
    <row r="25">
      <c r="A25" s="11" t="inlineStr">
        <is>
          <t>Option B</t>
        </is>
      </c>
      <c r="B25" s="12" t="n">
        <v>10</v>
      </c>
      <c r="C25" s="13" t="n">
        <v>30</v>
      </c>
      <c r="D25" s="53" t="n">
        <v>4440000</v>
      </c>
      <c r="E25" t="n">
        <v>148</v>
      </c>
      <c r="F25" t="inlineStr">
        <is>
          <t>6 x 5 MWh (3 per park)</t>
        </is>
      </c>
    </row>
    <row r="26">
      <c r="A26" s="11" t="inlineStr">
        <is>
          <t>Selected offer (this workbook)</t>
        </is>
      </c>
      <c r="B26" s="12" t="n">
        <v>10</v>
      </c>
      <c r="C26" s="13" t="n">
        <v>40</v>
      </c>
      <c r="D26" s="53" t="n">
        <v>4760000</v>
      </c>
      <c r="E26">
        <f>D26/(C26*1000)</f>
        <v/>
      </c>
      <c r="F26" t="inlineStr">
        <is>
          <t>8 x 5 MWh (4 per park)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YEAR 1 SCENARIO ANALYSIS</t>
        </is>
      </c>
    </row>
    <row r="2">
      <c r="A2" s="15" t="inlineStr">
        <is>
          <t>Primary curtailment cases: B=50%, C=60%, D=70%. E and F repeat 50% and 70% so legacy option-block formulas stay valid.</t>
        </is>
      </c>
    </row>
    <row r="4">
      <c r="A4" s="5" t="inlineStr">
        <is>
          <t>Curtailment Rate</t>
        </is>
      </c>
      <c r="B4" s="16" t="n">
        <v>0.5</v>
      </c>
      <c r="C4" s="16" t="n">
        <v>0.6</v>
      </c>
      <c r="D4" s="16" t="n">
        <v>0.7</v>
      </c>
      <c r="E4" s="16" t="n">
        <v>0.5</v>
      </c>
      <c r="F4" s="16" t="n">
        <v>0.7</v>
      </c>
    </row>
    <row r="5">
      <c r="A5" s="5" t="inlineStr">
        <is>
          <t>Annual Curtailed (MWh)</t>
        </is>
      </c>
      <c r="B5" s="17">
        <f>Inputs!B9*B4</f>
        <v/>
      </c>
      <c r="C5" s="17">
        <f>Inputs!B9*C4</f>
        <v/>
      </c>
      <c r="D5" s="17">
        <f>Inputs!B9*D4</f>
        <v/>
      </c>
      <c r="E5" s="17">
        <f>Inputs!B9*E4</f>
        <v/>
      </c>
      <c r="F5" s="17">
        <f>Inputs!B9*F4</f>
        <v/>
      </c>
    </row>
    <row r="6">
      <c r="A6" s="5" t="inlineStr">
        <is>
          <t>Avg Daily Curtailed (MWh)</t>
        </is>
      </c>
      <c r="B6" s="18">
        <f>B5/365</f>
        <v/>
      </c>
      <c r="C6" s="18">
        <f>C5/365</f>
        <v/>
      </c>
      <c r="D6" s="18">
        <f>D5/365</f>
        <v/>
      </c>
      <c r="E6" s="18">
        <f>E5/365</f>
        <v/>
      </c>
      <c r="F6" s="18">
        <f>F5/365</f>
        <v/>
      </c>
    </row>
    <row r="8">
      <c r="A8" s="3" t="inlineStr">
        <is>
          <t>OPTION A: 10 MW / 20 MWh</t>
        </is>
      </c>
    </row>
    <row r="9">
      <c r="A9" s="5" t="inlineStr">
        <is>
          <t>BESS Price (€)</t>
        </is>
      </c>
      <c r="B9" s="54">
        <f>Inputs!D24</f>
        <v/>
      </c>
    </row>
    <row r="10">
      <c r="A10" s="5" t="inlineStr">
        <is>
          <t>Annual O&amp;M + Insurance (€)</t>
        </is>
      </c>
      <c r="B10" s="54">
        <f>Inputs!C24*Inputs!B16+Inputs!B17</f>
        <v/>
      </c>
    </row>
    <row r="11">
      <c r="A11" s="5" t="inlineStr">
        <is>
          <t>Max Annual Throughput (MWh)</t>
        </is>
      </c>
      <c r="B11" s="17">
        <f>Inputs!C24*365*Inputs!B15</f>
        <v/>
      </c>
      <c r="C11" s="17">
        <f>Inputs!C24*365*Inputs!B15</f>
        <v/>
      </c>
      <c r="D11" s="17">
        <f>Inputs!C24*365*Inputs!B15</f>
        <v/>
      </c>
      <c r="E11" s="17">
        <f>Inputs!C24*365*Inputs!B15</f>
        <v/>
      </c>
      <c r="F11" s="17">
        <f>Inputs!C24*365*Inputs!B15</f>
        <v/>
      </c>
    </row>
    <row r="12">
      <c r="A12" t="inlineStr">
        <is>
          <t>Ratio (daily curt / BESS MWh)</t>
        </is>
      </c>
      <c r="B12" s="20">
        <f>B6/Inputs!C24</f>
        <v/>
      </c>
      <c r="C12" s="20">
        <f>C6/Inputs!C24</f>
        <v/>
      </c>
      <c r="D12" s="20">
        <f>D6/Inputs!C24</f>
        <v/>
      </c>
      <c r="E12" s="20">
        <f>E6/Inputs!C24</f>
        <v/>
      </c>
      <c r="F12" s="20">
        <f>F6/Inputs!C24</f>
        <v/>
      </c>
    </row>
    <row r="13">
      <c r="A13" t="inlineStr">
        <is>
          <t>Capture Efficiency</t>
        </is>
      </c>
      <c r="B13" s="20">
        <f>IF(B12&gt;1.5,0.97,IF(B12&gt;1.2,0.95,IF(B12&gt;1.0,0.92,IF(B12&gt;0.8,0.88,IF(B12&gt;0.6,0.82,0.72)))))</f>
        <v/>
      </c>
      <c r="C13" s="20">
        <f>IF(C12&gt;1.5,0.97,IF(C12&gt;1.2,0.95,IF(C12&gt;1.0,0.92,IF(C12&gt;0.8,0.88,IF(C12&gt;0.6,0.82,0.72)))))</f>
        <v/>
      </c>
      <c r="D13" s="20">
        <f>IF(D12&gt;1.5,0.97,IF(D12&gt;1.2,0.95,IF(D12&gt;1.0,0.92,IF(D12&gt;0.8,0.88,IF(D12&gt;0.6,0.82,0.72)))))</f>
        <v/>
      </c>
      <c r="E13" s="20">
        <f>IF(E12&gt;1.5,0.97,IF(E12&gt;1.2,0.95,IF(E12&gt;1.0,0.92,IF(E12&gt;0.8,0.88,IF(E12&gt;0.6,0.82,0.72)))))</f>
        <v/>
      </c>
      <c r="F13" s="20">
        <f>IF(F12&gt;1.5,0.97,IF(F12&gt;1.2,0.95,IF(F12&gt;1.0,0.92,IF(F12&gt;0.8,0.88,IF(F12&gt;0.6,0.82,0.72)))))</f>
        <v/>
      </c>
    </row>
    <row r="14">
      <c r="A14" s="5" t="inlineStr">
        <is>
          <t>Annual Captured (MWh)</t>
        </is>
      </c>
      <c r="B14" s="17">
        <f>MIN(B11,B5*B13*Inputs!B15)</f>
        <v/>
      </c>
      <c r="C14" s="17">
        <f>MIN(C11,C5*C13*Inputs!B15)</f>
        <v/>
      </c>
      <c r="D14" s="17">
        <f>MIN(D11,D5*D13*Inputs!B15)</f>
        <v/>
      </c>
      <c r="E14" s="17">
        <f>MIN(E11,E5*E13*Inputs!B15)</f>
        <v/>
      </c>
      <c r="F14" s="17">
        <f>MIN(F11,F5*F13*Inputs!B15)</f>
        <v/>
      </c>
    </row>
    <row r="15">
      <c r="A15" t="inlineStr">
        <is>
          <t>Annual Discharged (MWh)</t>
        </is>
      </c>
      <c r="B15" s="17">
        <f>B14*Inputs!B13</f>
        <v/>
      </c>
      <c r="C15" s="17">
        <f>C14*Inputs!B13</f>
        <v/>
      </c>
      <c r="D15" s="17">
        <f>D14*Inputs!B13</f>
        <v/>
      </c>
      <c r="E15" s="17">
        <f>E14*Inputs!B13</f>
        <v/>
      </c>
      <c r="F15" s="17">
        <f>F14*Inputs!B13</f>
        <v/>
      </c>
    </row>
    <row r="16">
      <c r="A16" t="inlineStr">
        <is>
          <t>Gross Revenue (€)</t>
        </is>
      </c>
      <c r="B16" s="54">
        <f>B15*Inputs!B12</f>
        <v/>
      </c>
      <c r="C16" s="54">
        <f>C15*Inputs!B12</f>
        <v/>
      </c>
      <c r="D16" s="54">
        <f>D15*Inputs!B12</f>
        <v/>
      </c>
      <c r="E16" s="54">
        <f>E15*Inputs!B12</f>
        <v/>
      </c>
      <c r="F16" s="54">
        <f>F15*Inputs!B12</f>
        <v/>
      </c>
    </row>
    <row r="17">
      <c r="A17" s="5" t="inlineStr">
        <is>
          <t>Net Income (€)</t>
        </is>
      </c>
      <c r="B17" s="55">
        <f>B16-$B$10</f>
        <v/>
      </c>
      <c r="C17" s="55">
        <f>C16-$B$10</f>
        <v/>
      </c>
      <c r="D17" s="55">
        <f>D16-$B$10</f>
        <v/>
      </c>
      <c r="E17" s="55">
        <f>E16-$B$10</f>
        <v/>
      </c>
      <c r="F17" s="55">
        <f>F16-$B$10</f>
        <v/>
      </c>
    </row>
    <row r="18">
      <c r="A18" s="5" t="inlineStr">
        <is>
          <t>ROI (%)</t>
        </is>
      </c>
      <c r="B18" s="56">
        <f>B17/$B$9</f>
        <v/>
      </c>
      <c r="C18" s="56">
        <f>C17/$B$9</f>
        <v/>
      </c>
      <c r="D18" s="56">
        <f>D17/$B$9</f>
        <v/>
      </c>
      <c r="E18" s="56">
        <f>E17/$B$9</f>
        <v/>
      </c>
      <c r="F18" s="56">
        <f>F17/$B$9</f>
        <v/>
      </c>
    </row>
    <row r="19">
      <c r="A19" t="inlineStr">
        <is>
          <t>Simple Payback (years)</t>
        </is>
      </c>
      <c r="B19" s="57">
        <f>$B$9/B17</f>
        <v/>
      </c>
      <c r="C19" s="57">
        <f>$B$9/C17</f>
        <v/>
      </c>
      <c r="D19" s="57">
        <f>$B$9/D17</f>
        <v/>
      </c>
      <c r="E19" s="57">
        <f>$B$9/E17</f>
        <v/>
      </c>
      <c r="F19" s="57">
        <f>$B$9/F17</f>
        <v/>
      </c>
    </row>
    <row r="22">
      <c r="A22" s="3" t="inlineStr">
        <is>
          <t>OPTION B: 2 × 5 MW / 15 MWh (30 MWh total)</t>
        </is>
      </c>
    </row>
    <row r="23">
      <c r="A23" s="5" t="inlineStr">
        <is>
          <t>BESS Price (€)</t>
        </is>
      </c>
      <c r="B23" s="54">
        <f>Inputs!D25</f>
        <v/>
      </c>
    </row>
    <row r="24">
      <c r="A24" s="5" t="inlineStr">
        <is>
          <t>Annual O&amp;M + Insurance (€)</t>
        </is>
      </c>
      <c r="B24" s="54">
        <f>Inputs!C25*Inputs!B16+Inputs!B17</f>
        <v/>
      </c>
    </row>
    <row r="25">
      <c r="A25" s="5" t="inlineStr">
        <is>
          <t>Max Annual Throughput (MWh)</t>
        </is>
      </c>
      <c r="B25" s="17">
        <f>Inputs!C25*365*Inputs!B15</f>
        <v/>
      </c>
      <c r="C25" s="17">
        <f>Inputs!C25*365*Inputs!B15</f>
        <v/>
      </c>
      <c r="D25" s="17">
        <f>Inputs!C25*365*Inputs!B15</f>
        <v/>
      </c>
      <c r="E25" s="17">
        <f>Inputs!C25*365*Inputs!B15</f>
        <v/>
      </c>
      <c r="F25" s="17">
        <f>Inputs!C25*365*Inputs!B15</f>
        <v/>
      </c>
    </row>
    <row r="26">
      <c r="A26" t="inlineStr">
        <is>
          <t>Ratio (daily curt / BESS MWh)</t>
        </is>
      </c>
      <c r="B26" s="20">
        <f>B6/Inputs!C25</f>
        <v/>
      </c>
      <c r="C26" s="20">
        <f>C6/Inputs!C25</f>
        <v/>
      </c>
      <c r="D26" s="20">
        <f>D6/Inputs!C25</f>
        <v/>
      </c>
      <c r="E26" s="20">
        <f>E6/Inputs!C25</f>
        <v/>
      </c>
      <c r="F26" s="20">
        <f>F6/Inputs!C25</f>
        <v/>
      </c>
    </row>
    <row r="27">
      <c r="A27" t="inlineStr">
        <is>
          <t>Capture Efficiency</t>
        </is>
      </c>
      <c r="B27" s="20">
        <f>IF(B26&gt;1.5,0.97,IF(B26&gt;1.2,0.95,IF(B26&gt;1.0,0.92,IF(B26&gt;0.8,0.88,IF(B26&gt;0.6,0.82,0.72)))))</f>
        <v/>
      </c>
      <c r="C27" s="20">
        <f>IF(C26&gt;1.5,0.97,IF(C26&gt;1.2,0.95,IF(C26&gt;1.0,0.92,IF(C26&gt;0.8,0.88,IF(C26&gt;0.6,0.82,0.72)))))</f>
        <v/>
      </c>
      <c r="D27" s="20">
        <f>IF(D26&gt;1.5,0.97,IF(D26&gt;1.2,0.95,IF(D26&gt;1.0,0.92,IF(D26&gt;0.8,0.88,IF(D26&gt;0.6,0.82,0.72)))))</f>
        <v/>
      </c>
      <c r="E27" s="20">
        <f>IF(E26&gt;1.5,0.97,IF(E26&gt;1.2,0.95,IF(E26&gt;1.0,0.92,IF(E26&gt;0.8,0.88,IF(E26&gt;0.6,0.82,0.72)))))</f>
        <v/>
      </c>
      <c r="F27" s="20">
        <f>IF(F26&gt;1.5,0.97,IF(F26&gt;1.2,0.95,IF(F26&gt;1.0,0.92,IF(F26&gt;0.8,0.88,IF(F26&gt;0.6,0.82,0.72)))))</f>
        <v/>
      </c>
    </row>
    <row r="28">
      <c r="A28" s="5" t="inlineStr">
        <is>
          <t>Annual Captured (MWh)</t>
        </is>
      </c>
      <c r="B28" s="17">
        <f>MIN(B25,B5*B27*Inputs!B15)</f>
        <v/>
      </c>
      <c r="C28" s="17">
        <f>MIN(C25,C5*C27*Inputs!B15)</f>
        <v/>
      </c>
      <c r="D28" s="17">
        <f>MIN(D25,D5*D27*Inputs!B15)</f>
        <v/>
      </c>
      <c r="E28" s="17">
        <f>MIN(E25,E5*E27*Inputs!B15)</f>
        <v/>
      </c>
      <c r="F28" s="17">
        <f>MIN(F25,F5*F27*Inputs!B15)</f>
        <v/>
      </c>
    </row>
    <row r="29">
      <c r="A29" t="inlineStr">
        <is>
          <t>Annual Discharged (MWh)</t>
        </is>
      </c>
      <c r="B29" s="17">
        <f>B28*Inputs!B13</f>
        <v/>
      </c>
      <c r="C29" s="17">
        <f>C28*Inputs!B13</f>
        <v/>
      </c>
      <c r="D29" s="17">
        <f>D28*Inputs!B13</f>
        <v/>
      </c>
      <c r="E29" s="17">
        <f>E28*Inputs!B13</f>
        <v/>
      </c>
      <c r="F29" s="17">
        <f>F28*Inputs!B13</f>
        <v/>
      </c>
    </row>
    <row r="30">
      <c r="A30" t="inlineStr">
        <is>
          <t>Gross Revenue (€)</t>
        </is>
      </c>
      <c r="B30" s="54">
        <f>B29*Inputs!B12</f>
        <v/>
      </c>
      <c r="C30" s="54">
        <f>C29*Inputs!B12</f>
        <v/>
      </c>
      <c r="D30" s="54">
        <f>D29*Inputs!B12</f>
        <v/>
      </c>
      <c r="E30" s="54">
        <f>E29*Inputs!B12</f>
        <v/>
      </c>
      <c r="F30" s="54">
        <f>F29*Inputs!B12</f>
        <v/>
      </c>
    </row>
    <row r="31">
      <c r="A31" s="5" t="inlineStr">
        <is>
          <t>Net Income (€)</t>
        </is>
      </c>
      <c r="B31" s="55">
        <f>B30-$B$24</f>
        <v/>
      </c>
      <c r="C31" s="55">
        <f>C30-$B$24</f>
        <v/>
      </c>
      <c r="D31" s="55">
        <f>D30-$B$24</f>
        <v/>
      </c>
      <c r="E31" s="55">
        <f>E30-$B$24</f>
        <v/>
      </c>
      <c r="F31" s="55">
        <f>F30-$B$24</f>
        <v/>
      </c>
    </row>
    <row r="32">
      <c r="A32" s="5" t="inlineStr">
        <is>
          <t>ROI (%)</t>
        </is>
      </c>
      <c r="B32" s="56">
        <f>B31/$B$23</f>
        <v/>
      </c>
      <c r="C32" s="56">
        <f>C31/$B$23</f>
        <v/>
      </c>
      <c r="D32" s="56">
        <f>D31/$B$23</f>
        <v/>
      </c>
      <c r="E32" s="56">
        <f>E31/$B$23</f>
        <v/>
      </c>
      <c r="F32" s="56">
        <f>F31/$B$23</f>
        <v/>
      </c>
    </row>
    <row r="33">
      <c r="A33" t="inlineStr">
        <is>
          <t>Simple Payback (years)</t>
        </is>
      </c>
      <c r="B33" s="57">
        <f>$B$23/B31</f>
        <v/>
      </c>
      <c r="C33" s="57">
        <f>$B$23/C31</f>
        <v/>
      </c>
      <c r="D33" s="57">
        <f>$B$23/D31</f>
        <v/>
      </c>
      <c r="E33" s="57">
        <f>$B$23/E31</f>
        <v/>
      </c>
      <c r="F33" s="57">
        <f>$B$23/F31</f>
        <v/>
      </c>
    </row>
    <row r="36">
      <c r="A36" s="3" t="inlineStr">
        <is>
          <t>OPTION: 2 × 5 MW / 20 MWh (40 MWh total, 4-hour)</t>
        </is>
      </c>
    </row>
    <row r="37">
      <c r="A37" s="5" t="inlineStr">
        <is>
          <t>BESS Price (€)</t>
        </is>
      </c>
      <c r="B37" s="54">
        <f>Inputs!D26</f>
        <v/>
      </c>
    </row>
    <row r="38">
      <c r="A38" s="5" t="inlineStr">
        <is>
          <t>Annual O&amp;M + Insurance (€)</t>
        </is>
      </c>
      <c r="B38" s="54">
        <f>Inputs!C26*Inputs!B16+Inputs!B17</f>
        <v/>
      </c>
    </row>
    <row r="39">
      <c r="A39" s="5" t="inlineStr">
        <is>
          <t>Max Annual Throughput (MWh)</t>
        </is>
      </c>
      <c r="B39" s="17">
        <f>Inputs!C26*365*Inputs!B15</f>
        <v/>
      </c>
      <c r="C39" s="17">
        <f>Inputs!C26*365*Inputs!B15</f>
        <v/>
      </c>
      <c r="D39" s="17">
        <f>Inputs!C26*365*Inputs!B15</f>
        <v/>
      </c>
      <c r="E39" s="17">
        <f>Inputs!C26*365*Inputs!B15</f>
        <v/>
      </c>
      <c r="F39" s="17">
        <f>Inputs!C26*365*Inputs!B15</f>
        <v/>
      </c>
    </row>
    <row r="40">
      <c r="A40" t="inlineStr">
        <is>
          <t>Ratio (daily curt / BESS MWh)</t>
        </is>
      </c>
      <c r="B40" s="20">
        <f>B6/Inputs!C26</f>
        <v/>
      </c>
      <c r="C40" s="20">
        <f>C6/Inputs!C26</f>
        <v/>
      </c>
      <c r="D40" s="20">
        <f>D6/Inputs!C26</f>
        <v/>
      </c>
      <c r="E40" s="20">
        <f>E6/Inputs!C26</f>
        <v/>
      </c>
      <c r="F40" s="20">
        <f>F6/Inputs!C26</f>
        <v/>
      </c>
    </row>
    <row r="41">
      <c r="A41" t="inlineStr">
        <is>
          <t>Capture Efficiency</t>
        </is>
      </c>
      <c r="B41" s="20">
        <f>IF(B40&gt;1.5,0.97,IF(B40&gt;1.2,0.95,IF(B40&gt;1.0,0.92,IF(B40&gt;0.8,0.88,IF(B40&gt;0.6,0.82,0.72)))))</f>
        <v/>
      </c>
      <c r="C41" s="20">
        <f>IF(C40&gt;1.5,0.97,IF(C40&gt;1.2,0.95,IF(C40&gt;1.0,0.92,IF(C40&gt;0.8,0.88,IF(C40&gt;0.6,0.82,0.72)))))</f>
        <v/>
      </c>
      <c r="D41" s="20">
        <f>IF(D40&gt;1.5,0.97,IF(D40&gt;1.2,0.95,IF(D40&gt;1.0,0.92,IF(D40&gt;0.8,0.88,IF(D40&gt;0.6,0.82,0.72)))))</f>
        <v/>
      </c>
      <c r="E41" s="20">
        <f>IF(E40&gt;1.5,0.97,IF(E40&gt;1.2,0.95,IF(E40&gt;1.0,0.92,IF(E40&gt;0.8,0.88,IF(E40&gt;0.6,0.82,0.72)))))</f>
        <v/>
      </c>
      <c r="F41" s="20">
        <f>IF(F40&gt;1.5,0.97,IF(F40&gt;1.2,0.95,IF(F40&gt;1.0,0.92,IF(F40&gt;0.8,0.88,IF(F40&gt;0.6,0.82,0.72)))))</f>
        <v/>
      </c>
    </row>
    <row r="42">
      <c r="A42" s="5" t="inlineStr">
        <is>
          <t>Annual Captured (MWh)</t>
        </is>
      </c>
      <c r="B42" s="17">
        <f>MIN(B39,B5*B41*Inputs!B15)</f>
        <v/>
      </c>
      <c r="C42" s="17">
        <f>MIN(C39,C5*C41*Inputs!B15)</f>
        <v/>
      </c>
      <c r="D42" s="17">
        <f>MIN(D39,D5*D41*Inputs!B15)</f>
        <v/>
      </c>
      <c r="E42" s="17">
        <f>MIN(E39,E5*E41*Inputs!B15)</f>
        <v/>
      </c>
      <c r="F42" s="17">
        <f>MIN(F39,F5*F41*Inputs!B15)</f>
        <v/>
      </c>
    </row>
    <row r="43">
      <c r="A43" t="inlineStr">
        <is>
          <t>Annual Discharged (MWh)</t>
        </is>
      </c>
      <c r="B43" s="17">
        <f>B42*Inputs!B13</f>
        <v/>
      </c>
      <c r="C43" s="17">
        <f>C42*Inputs!B13</f>
        <v/>
      </c>
      <c r="D43" s="17">
        <f>D42*Inputs!B13</f>
        <v/>
      </c>
      <c r="E43" s="17">
        <f>E42*Inputs!B13</f>
        <v/>
      </c>
      <c r="F43" s="17">
        <f>F42*Inputs!B13</f>
        <v/>
      </c>
    </row>
    <row r="44">
      <c r="A44" t="inlineStr">
        <is>
          <t>Gross Revenue (€)</t>
        </is>
      </c>
      <c r="B44" s="54">
        <f>B43*Inputs!B12</f>
        <v/>
      </c>
      <c r="C44" s="54">
        <f>C43*Inputs!B12</f>
        <v/>
      </c>
      <c r="D44" s="54">
        <f>D43*Inputs!B12</f>
        <v/>
      </c>
      <c r="E44" s="54">
        <f>E43*Inputs!B12</f>
        <v/>
      </c>
      <c r="F44" s="54">
        <f>F43*Inputs!B12</f>
        <v/>
      </c>
    </row>
    <row r="45">
      <c r="A45" s="5" t="inlineStr">
        <is>
          <t>Net Income (€)</t>
        </is>
      </c>
      <c r="B45" s="55">
        <f>B44-$B$38</f>
        <v/>
      </c>
      <c r="C45" s="55">
        <f>C44-$B$38</f>
        <v/>
      </c>
      <c r="D45" s="55">
        <f>D44-$B$38</f>
        <v/>
      </c>
      <c r="E45" s="55">
        <f>E44-$B$38</f>
        <v/>
      </c>
      <c r="F45" s="55">
        <f>F44-$B$38</f>
        <v/>
      </c>
    </row>
    <row r="46">
      <c r="A46" s="5" t="inlineStr">
        <is>
          <t>ROI (%)</t>
        </is>
      </c>
      <c r="B46" s="56">
        <f>B45/$B$37</f>
        <v/>
      </c>
      <c r="C46" s="56">
        <f>C45/$B$37</f>
        <v/>
      </c>
      <c r="D46" s="56">
        <f>D45/$B$37</f>
        <v/>
      </c>
      <c r="E46" s="56">
        <f>E45/$B$37</f>
        <v/>
      </c>
      <c r="F46" s="56">
        <f>F45/$B$37</f>
        <v/>
      </c>
    </row>
    <row r="47">
      <c r="A47" t="inlineStr">
        <is>
          <t>Simple Payback (years)</t>
        </is>
      </c>
      <c r="B47" s="57">
        <f>$B$37/B45</f>
        <v/>
      </c>
      <c r="C47" s="57">
        <f>$B$37/C45</f>
        <v/>
      </c>
      <c r="D47" s="57">
        <f>$B$37/D45</f>
        <v/>
      </c>
      <c r="E47" s="57">
        <f>$B$37/E45</f>
        <v/>
      </c>
      <c r="F47" s="57">
        <f>$B$37/F45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DE80"/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15-YEAR PROJECTION — OPTION B (30 MWh)</t>
        </is>
      </c>
    </row>
    <row r="3">
      <c r="A3" s="5" t="inlineStr">
        <is>
          <t>Curtailment Rate:</t>
        </is>
      </c>
      <c r="B3" s="24" t="n">
        <v>0.5</v>
      </c>
      <c r="C3" s="15" t="inlineStr">
        <is>
          <t>← Change this to model different scenarios</t>
        </is>
      </c>
    </row>
    <row r="4">
      <c r="A4" s="5" t="inlineStr">
        <is>
          <t>BESS Option:</t>
        </is>
      </c>
      <c r="B4" t="inlineStr">
        <is>
          <t>B (30 MWh)</t>
        </is>
      </c>
    </row>
    <row r="6">
      <c r="A6" s="4" t="inlineStr">
        <is>
          <t>Year</t>
        </is>
      </c>
      <c r="B6" s="4" t="inlineStr">
        <is>
          <t>PV (MWh)</t>
        </is>
      </c>
      <c r="C6" s="4" t="inlineStr">
        <is>
          <t>SOH %</t>
        </is>
      </c>
      <c r="D6" s="4" t="inlineStr">
        <is>
          <t>Eff BESS (MWh)</t>
        </is>
      </c>
      <c r="E6" s="4" t="inlineStr">
        <is>
          <t>Curtailed (MWh)</t>
        </is>
      </c>
      <c r="F6" s="4" t="inlineStr">
        <is>
          <t>Ratio</t>
        </is>
      </c>
      <c r="G6" s="4" t="inlineStr">
        <is>
          <t>CE</t>
        </is>
      </c>
      <c r="H6" s="4" t="inlineStr">
        <is>
          <t>Captured (MWh)</t>
        </is>
      </c>
      <c r="I6" s="4" t="inlineStr">
        <is>
          <t>Dischgd (MWh)</t>
        </is>
      </c>
      <c r="J6" s="4" t="inlineStr">
        <is>
          <t>Revenue (€)</t>
        </is>
      </c>
      <c r="K6" s="4" t="inlineStr">
        <is>
          <t>O&amp;M (€)</t>
        </is>
      </c>
      <c r="L6" s="4" t="inlineStr">
        <is>
          <t>Net (€)</t>
        </is>
      </c>
      <c r="M6" s="4" t="inlineStr">
        <is>
          <t>Cumul. (€)</t>
        </is>
      </c>
      <c r="O6" s="5" t="inlineStr">
        <is>
          <t>SOH Data</t>
        </is>
      </c>
    </row>
    <row r="7">
      <c r="A7" s="12" t="n">
        <v>1</v>
      </c>
      <c r="B7" s="25">
        <f>Inputs!B9*(1-Inputs!B11)^(1-1)</f>
        <v/>
      </c>
      <c r="C7" s="26">
        <f>$O$8</f>
        <v/>
      </c>
      <c r="D7" s="27">
        <f>Inputs!C25*$O$8</f>
        <v/>
      </c>
      <c r="E7" s="25">
        <f>B7*$B$3</f>
        <v/>
      </c>
      <c r="F7" s="27">
        <f>(E7/365)/D7</f>
        <v/>
      </c>
      <c r="G7" s="27">
        <f>IF(F7&gt;1.5,0.97,IF(F7&gt;1.2,0.95,IF(F7&gt;1.0,0.92,IF(F7&gt;0.8,0.88,IF(F7&gt;0.6,0.82,0.72)))))</f>
        <v/>
      </c>
      <c r="H7" s="25">
        <f>MIN(D7*365*Inputs!B15, E7*G7*Inputs!B15)</f>
        <v/>
      </c>
      <c r="I7" s="25">
        <f>H7*Inputs!B13</f>
        <v/>
      </c>
      <c r="J7" s="58">
        <f>I7*Inputs!B12</f>
        <v/>
      </c>
      <c r="K7" s="58">
        <f>Inputs!C25*Inputs!B16+Inputs!B17</f>
        <v/>
      </c>
      <c r="L7" s="59">
        <f>J7-K7</f>
        <v/>
      </c>
      <c r="M7" s="58">
        <f>L7</f>
        <v/>
      </c>
      <c r="O7" s="30" t="n">
        <v>1</v>
      </c>
    </row>
    <row r="8">
      <c r="A8" s="31" t="n">
        <v>2</v>
      </c>
      <c r="B8" s="32">
        <f>Inputs!B9*(1-Inputs!B11)^(2-1)</f>
        <v/>
      </c>
      <c r="C8" s="33">
        <f>$O$9</f>
        <v/>
      </c>
      <c r="D8" s="34">
        <f>Inputs!C25*$O$9</f>
        <v/>
      </c>
      <c r="E8" s="32">
        <f>B8*$B$3</f>
        <v/>
      </c>
      <c r="F8" s="34">
        <f>(E8/365)/D8</f>
        <v/>
      </c>
      <c r="G8" s="34">
        <f>IF(F8&gt;1.5,0.97,IF(F8&gt;1.2,0.95,IF(F8&gt;1.0,0.92,IF(F8&gt;0.8,0.88,IF(F8&gt;0.6,0.82,0.72)))))</f>
        <v/>
      </c>
      <c r="H8" s="32">
        <f>MIN(D8*365*Inputs!B15, E8*G8*Inputs!B15)</f>
        <v/>
      </c>
      <c r="I8" s="32">
        <f>H8*Inputs!B13</f>
        <v/>
      </c>
      <c r="J8" s="60">
        <f>I8*Inputs!B12</f>
        <v/>
      </c>
      <c r="K8" s="60">
        <f>Inputs!C25*Inputs!B16+Inputs!B17</f>
        <v/>
      </c>
      <c r="L8" s="61">
        <f>J8-K8</f>
        <v/>
      </c>
      <c r="M8" s="60">
        <f>M7+L8</f>
        <v/>
      </c>
      <c r="O8" s="30" t="n">
        <v>0.9462</v>
      </c>
    </row>
    <row r="9">
      <c r="A9" s="12" t="n">
        <v>3</v>
      </c>
      <c r="B9" s="25">
        <f>Inputs!B9*(1-Inputs!B11)^(3-1)</f>
        <v/>
      </c>
      <c r="C9" s="26">
        <f>$O$10</f>
        <v/>
      </c>
      <c r="D9" s="27">
        <f>Inputs!C25*$O$10</f>
        <v/>
      </c>
      <c r="E9" s="25">
        <f>B9*$B$3</f>
        <v/>
      </c>
      <c r="F9" s="27">
        <f>(E9/365)/D9</f>
        <v/>
      </c>
      <c r="G9" s="27">
        <f>IF(F9&gt;1.5,0.97,IF(F9&gt;1.2,0.95,IF(F9&gt;1.0,0.92,IF(F9&gt;0.8,0.88,IF(F9&gt;0.6,0.82,0.72)))))</f>
        <v/>
      </c>
      <c r="H9" s="25">
        <f>MIN(D9*365*Inputs!B15, E9*G9*Inputs!B15)</f>
        <v/>
      </c>
      <c r="I9" s="25">
        <f>H9*Inputs!B13</f>
        <v/>
      </c>
      <c r="J9" s="58">
        <f>I9*Inputs!B12</f>
        <v/>
      </c>
      <c r="K9" s="58">
        <f>Inputs!C25*Inputs!B16+Inputs!B17</f>
        <v/>
      </c>
      <c r="L9" s="59">
        <f>J9-K9</f>
        <v/>
      </c>
      <c r="M9" s="58">
        <f>M8+L9</f>
        <v/>
      </c>
      <c r="O9" s="30" t="n">
        <v>0.9266</v>
      </c>
    </row>
    <row r="10">
      <c r="A10" s="31" t="n">
        <v>4</v>
      </c>
      <c r="B10" s="32">
        <f>Inputs!B9*(1-Inputs!B11)^(4-1)</f>
        <v/>
      </c>
      <c r="C10" s="33">
        <f>$O$11</f>
        <v/>
      </c>
      <c r="D10" s="34">
        <f>Inputs!C25*$O$11</f>
        <v/>
      </c>
      <c r="E10" s="32">
        <f>B10*$B$3</f>
        <v/>
      </c>
      <c r="F10" s="34">
        <f>(E10/365)/D10</f>
        <v/>
      </c>
      <c r="G10" s="34">
        <f>IF(F10&gt;1.5,0.97,IF(F10&gt;1.2,0.95,IF(F10&gt;1.0,0.92,IF(F10&gt;0.8,0.88,IF(F10&gt;0.6,0.82,0.72)))))</f>
        <v/>
      </c>
      <c r="H10" s="32">
        <f>MIN(D10*365*Inputs!B15, E10*G10*Inputs!B15)</f>
        <v/>
      </c>
      <c r="I10" s="32">
        <f>H10*Inputs!B13</f>
        <v/>
      </c>
      <c r="J10" s="60">
        <f>I10*Inputs!B12</f>
        <v/>
      </c>
      <c r="K10" s="60">
        <f>Inputs!C25*Inputs!B16+Inputs!B17</f>
        <v/>
      </c>
      <c r="L10" s="61">
        <f>J10-K10</f>
        <v/>
      </c>
      <c r="M10" s="60">
        <f>M9+L10</f>
        <v/>
      </c>
      <c r="O10" s="30" t="n">
        <v>0.907</v>
      </c>
    </row>
    <row r="11">
      <c r="A11" s="12" t="n">
        <v>5</v>
      </c>
      <c r="B11" s="25">
        <f>Inputs!B9*(1-Inputs!B11)^(5-1)</f>
        <v/>
      </c>
      <c r="C11" s="26">
        <f>$O$12</f>
        <v/>
      </c>
      <c r="D11" s="27">
        <f>Inputs!C25*$O$12</f>
        <v/>
      </c>
      <c r="E11" s="25">
        <f>B11*$B$3</f>
        <v/>
      </c>
      <c r="F11" s="27">
        <f>(E11/365)/D11</f>
        <v/>
      </c>
      <c r="G11" s="27">
        <f>IF(F11&gt;1.5,0.97,IF(F11&gt;1.2,0.95,IF(F11&gt;1.0,0.92,IF(F11&gt;0.8,0.88,IF(F11&gt;0.6,0.82,0.72)))))</f>
        <v/>
      </c>
      <c r="H11" s="25">
        <f>MIN(D11*365*Inputs!B15, E11*G11*Inputs!B15)</f>
        <v/>
      </c>
      <c r="I11" s="25">
        <f>H11*Inputs!B13</f>
        <v/>
      </c>
      <c r="J11" s="58">
        <f>I11*Inputs!B12</f>
        <v/>
      </c>
      <c r="K11" s="58">
        <f>Inputs!C25*Inputs!B16+Inputs!B17</f>
        <v/>
      </c>
      <c r="L11" s="59">
        <f>J11-K11</f>
        <v/>
      </c>
      <c r="M11" s="58">
        <f>M10+L11</f>
        <v/>
      </c>
      <c r="O11" s="30" t="n">
        <v>0.8874</v>
      </c>
    </row>
    <row r="12">
      <c r="A12" s="31" t="n">
        <v>6</v>
      </c>
      <c r="B12" s="32">
        <f>Inputs!B9*(1-Inputs!B11)^(6-1)</f>
        <v/>
      </c>
      <c r="C12" s="33">
        <f>$O$13</f>
        <v/>
      </c>
      <c r="D12" s="34">
        <f>Inputs!C25*$O$13</f>
        <v/>
      </c>
      <c r="E12" s="32">
        <f>B12*$B$3</f>
        <v/>
      </c>
      <c r="F12" s="34">
        <f>(E12/365)/D12</f>
        <v/>
      </c>
      <c r="G12" s="34">
        <f>IF(F12&gt;1.5,0.97,IF(F12&gt;1.2,0.95,IF(F12&gt;1.0,0.92,IF(F12&gt;0.8,0.88,IF(F12&gt;0.6,0.82,0.72)))))</f>
        <v/>
      </c>
      <c r="H12" s="32">
        <f>MIN(D12*365*Inputs!B15, E12*G12*Inputs!B15)</f>
        <v/>
      </c>
      <c r="I12" s="32">
        <f>H12*Inputs!B13</f>
        <v/>
      </c>
      <c r="J12" s="60">
        <f>I12*Inputs!B12</f>
        <v/>
      </c>
      <c r="K12" s="60">
        <f>Inputs!C25*Inputs!B16+Inputs!B17</f>
        <v/>
      </c>
      <c r="L12" s="61">
        <f>J12-K12</f>
        <v/>
      </c>
      <c r="M12" s="60">
        <f>M11+L12</f>
        <v/>
      </c>
      <c r="O12" s="30" t="n">
        <v>0.8678</v>
      </c>
    </row>
    <row r="13">
      <c r="A13" s="12" t="n">
        <v>7</v>
      </c>
      <c r="B13" s="25">
        <f>Inputs!B9*(1-Inputs!B11)^(7-1)</f>
        <v/>
      </c>
      <c r="C13" s="26">
        <f>$O$14</f>
        <v/>
      </c>
      <c r="D13" s="27">
        <f>Inputs!C25*$O$14</f>
        <v/>
      </c>
      <c r="E13" s="25">
        <f>B13*$B$3</f>
        <v/>
      </c>
      <c r="F13" s="27">
        <f>(E13/365)/D13</f>
        <v/>
      </c>
      <c r="G13" s="27">
        <f>IF(F13&gt;1.5,0.97,IF(F13&gt;1.2,0.95,IF(F13&gt;1.0,0.92,IF(F13&gt;0.8,0.88,IF(F13&gt;0.6,0.82,0.72)))))</f>
        <v/>
      </c>
      <c r="H13" s="25">
        <f>MIN(D13*365*Inputs!B15, E13*G13*Inputs!B15)</f>
        <v/>
      </c>
      <c r="I13" s="25">
        <f>H13*Inputs!B13</f>
        <v/>
      </c>
      <c r="J13" s="58">
        <f>I13*Inputs!B12</f>
        <v/>
      </c>
      <c r="K13" s="58">
        <f>Inputs!C25*Inputs!B16+Inputs!B17</f>
        <v/>
      </c>
      <c r="L13" s="59">
        <f>J13-K13</f>
        <v/>
      </c>
      <c r="M13" s="58">
        <f>M12+L13</f>
        <v/>
      </c>
      <c r="O13" s="30" t="n">
        <v>0.8534</v>
      </c>
    </row>
    <row r="14">
      <c r="A14" s="31" t="n">
        <v>8</v>
      </c>
      <c r="B14" s="32">
        <f>Inputs!B9*(1-Inputs!B11)^(8-1)</f>
        <v/>
      </c>
      <c r="C14" s="33">
        <f>$O$15</f>
        <v/>
      </c>
      <c r="D14" s="34">
        <f>Inputs!C25*$O$15</f>
        <v/>
      </c>
      <c r="E14" s="32">
        <f>B14*$B$3</f>
        <v/>
      </c>
      <c r="F14" s="34">
        <f>(E14/365)/D14</f>
        <v/>
      </c>
      <c r="G14" s="34">
        <f>IF(F14&gt;1.5,0.97,IF(F14&gt;1.2,0.95,IF(F14&gt;1.0,0.92,IF(F14&gt;0.8,0.88,IF(F14&gt;0.6,0.82,0.72)))))</f>
        <v/>
      </c>
      <c r="H14" s="32">
        <f>MIN(D14*365*Inputs!B15, E14*G14*Inputs!B15)</f>
        <v/>
      </c>
      <c r="I14" s="32">
        <f>H14*Inputs!B13</f>
        <v/>
      </c>
      <c r="J14" s="60">
        <f>I14*Inputs!B12</f>
        <v/>
      </c>
      <c r="K14" s="60">
        <f>Inputs!C25*Inputs!B16+Inputs!B17</f>
        <v/>
      </c>
      <c r="L14" s="61">
        <f>J14-K14</f>
        <v/>
      </c>
      <c r="M14" s="60">
        <f>M13+L14</f>
        <v/>
      </c>
      <c r="O14" s="30" t="n">
        <v>0.839</v>
      </c>
    </row>
    <row r="15">
      <c r="A15" s="12" t="n">
        <v>9</v>
      </c>
      <c r="B15" s="25">
        <f>Inputs!B9*(1-Inputs!B11)^(9-1)</f>
        <v/>
      </c>
      <c r="C15" s="26">
        <f>$O$16</f>
        <v/>
      </c>
      <c r="D15" s="27">
        <f>Inputs!C25*$O$16</f>
        <v/>
      </c>
      <c r="E15" s="25">
        <f>B15*$B$3</f>
        <v/>
      </c>
      <c r="F15" s="27">
        <f>(E15/365)/D15</f>
        <v/>
      </c>
      <c r="G15" s="27">
        <f>IF(F15&gt;1.5,0.97,IF(F15&gt;1.2,0.95,IF(F15&gt;1.0,0.92,IF(F15&gt;0.8,0.88,IF(F15&gt;0.6,0.82,0.72)))))</f>
        <v/>
      </c>
      <c r="H15" s="25">
        <f>MIN(D15*365*Inputs!B15, E15*G15*Inputs!B15)</f>
        <v/>
      </c>
      <c r="I15" s="25">
        <f>H15*Inputs!B13</f>
        <v/>
      </c>
      <c r="J15" s="58">
        <f>I15*Inputs!B12</f>
        <v/>
      </c>
      <c r="K15" s="58">
        <f>Inputs!C25*Inputs!B16+Inputs!B17</f>
        <v/>
      </c>
      <c r="L15" s="59">
        <f>J15-K15</f>
        <v/>
      </c>
      <c r="M15" s="58">
        <f>M14+L15</f>
        <v/>
      </c>
      <c r="O15" s="30" t="n">
        <v>0.8246</v>
      </c>
    </row>
    <row r="16">
      <c r="A16" s="31" t="n">
        <v>10</v>
      </c>
      <c r="B16" s="32">
        <f>Inputs!B9*(1-Inputs!B11)^(10-1)</f>
        <v/>
      </c>
      <c r="C16" s="33">
        <f>$O$17</f>
        <v/>
      </c>
      <c r="D16" s="34">
        <f>Inputs!C25*$O$17</f>
        <v/>
      </c>
      <c r="E16" s="32">
        <f>B16*$B$3</f>
        <v/>
      </c>
      <c r="F16" s="34">
        <f>(E16/365)/D16</f>
        <v/>
      </c>
      <c r="G16" s="34">
        <f>IF(F16&gt;1.5,0.97,IF(F16&gt;1.2,0.95,IF(F16&gt;1.0,0.92,IF(F16&gt;0.8,0.88,IF(F16&gt;0.6,0.82,0.72)))))</f>
        <v/>
      </c>
      <c r="H16" s="32">
        <f>MIN(D16*365*Inputs!B15, E16*G16*Inputs!B15)</f>
        <v/>
      </c>
      <c r="I16" s="32">
        <f>H16*Inputs!B13</f>
        <v/>
      </c>
      <c r="J16" s="60">
        <f>I16*Inputs!B12</f>
        <v/>
      </c>
      <c r="K16" s="60">
        <f>Inputs!C25*Inputs!B16+Inputs!B17</f>
        <v/>
      </c>
      <c r="L16" s="61">
        <f>J16-K16</f>
        <v/>
      </c>
      <c r="M16" s="60">
        <f>M15+L16</f>
        <v/>
      </c>
      <c r="O16" s="30" t="n">
        <v>0.8102</v>
      </c>
    </row>
    <row r="17">
      <c r="A17" s="12" t="n">
        <v>11</v>
      </c>
      <c r="B17" s="25">
        <f>Inputs!B9*(1-Inputs!B11)^(11-1)</f>
        <v/>
      </c>
      <c r="C17" s="26">
        <f>$O$18</f>
        <v/>
      </c>
      <c r="D17" s="27">
        <f>Inputs!C25*$O$18</f>
        <v/>
      </c>
      <c r="E17" s="25">
        <f>B17*$B$3</f>
        <v/>
      </c>
      <c r="F17" s="27">
        <f>(E17/365)/D17</f>
        <v/>
      </c>
      <c r="G17" s="27">
        <f>IF(F17&gt;1.5,0.97,IF(F17&gt;1.2,0.95,IF(F17&gt;1.0,0.92,IF(F17&gt;0.8,0.88,IF(F17&gt;0.6,0.82,0.72)))))</f>
        <v/>
      </c>
      <c r="H17" s="25">
        <f>MIN(D17*365*Inputs!B15, E17*G17*Inputs!B15)</f>
        <v/>
      </c>
      <c r="I17" s="25">
        <f>H17*Inputs!B13</f>
        <v/>
      </c>
      <c r="J17" s="58">
        <f>I17*Inputs!B12</f>
        <v/>
      </c>
      <c r="K17" s="58">
        <f>Inputs!C25*Inputs!B16+Inputs!B17</f>
        <v/>
      </c>
      <c r="L17" s="59">
        <f>J17-K17</f>
        <v/>
      </c>
      <c r="M17" s="58">
        <f>M16+L17</f>
        <v/>
      </c>
      <c r="O17" s="30" t="n">
        <v>0.7958</v>
      </c>
    </row>
    <row r="18">
      <c r="A18" s="31" t="n">
        <v>12</v>
      </c>
      <c r="B18" s="32">
        <f>Inputs!B9*(1-Inputs!B11)^(12-1)</f>
        <v/>
      </c>
      <c r="C18" s="33">
        <f>$O$19</f>
        <v/>
      </c>
      <c r="D18" s="34">
        <f>Inputs!C25*$O$19</f>
        <v/>
      </c>
      <c r="E18" s="32">
        <f>B18*$B$3</f>
        <v/>
      </c>
      <c r="F18" s="34">
        <f>(E18/365)/D18</f>
        <v/>
      </c>
      <c r="G18" s="34">
        <f>IF(F18&gt;1.5,0.97,IF(F18&gt;1.2,0.95,IF(F18&gt;1.0,0.92,IF(F18&gt;0.8,0.88,IF(F18&gt;0.6,0.82,0.72)))))</f>
        <v/>
      </c>
      <c r="H18" s="32">
        <f>MIN(D18*365*Inputs!B15, E18*G18*Inputs!B15)</f>
        <v/>
      </c>
      <c r="I18" s="32">
        <f>H18*Inputs!B13</f>
        <v/>
      </c>
      <c r="J18" s="60">
        <f>I18*Inputs!B12</f>
        <v/>
      </c>
      <c r="K18" s="60">
        <f>Inputs!C25*Inputs!B16+Inputs!B17</f>
        <v/>
      </c>
      <c r="L18" s="61">
        <f>J18-K18</f>
        <v/>
      </c>
      <c r="M18" s="60">
        <f>M17+L18</f>
        <v/>
      </c>
      <c r="O18" s="30" t="n">
        <v>0.7839</v>
      </c>
    </row>
    <row r="19">
      <c r="A19" s="12" t="n">
        <v>13</v>
      </c>
      <c r="B19" s="25">
        <f>Inputs!B9*(1-Inputs!B11)^(13-1)</f>
        <v/>
      </c>
      <c r="C19" s="26">
        <f>$O$20</f>
        <v/>
      </c>
      <c r="D19" s="27">
        <f>Inputs!C25*$O$20</f>
        <v/>
      </c>
      <c r="E19" s="25">
        <f>B19*$B$3</f>
        <v/>
      </c>
      <c r="F19" s="27">
        <f>(E19/365)/D19</f>
        <v/>
      </c>
      <c r="G19" s="27">
        <f>IF(F19&gt;1.5,0.97,IF(F19&gt;1.2,0.95,IF(F19&gt;1.0,0.92,IF(F19&gt;0.8,0.88,IF(F19&gt;0.6,0.82,0.72)))))</f>
        <v/>
      </c>
      <c r="H19" s="25">
        <f>MIN(D19*365*Inputs!B15, E19*G19*Inputs!B15)</f>
        <v/>
      </c>
      <c r="I19" s="25">
        <f>H19*Inputs!B13</f>
        <v/>
      </c>
      <c r="J19" s="58">
        <f>I19*Inputs!B12</f>
        <v/>
      </c>
      <c r="K19" s="58">
        <f>Inputs!C25*Inputs!B16+Inputs!B17</f>
        <v/>
      </c>
      <c r="L19" s="59">
        <f>J19-K19</f>
        <v/>
      </c>
      <c r="M19" s="58">
        <f>M18+L19</f>
        <v/>
      </c>
      <c r="O19" s="30" t="n">
        <v>0.772</v>
      </c>
    </row>
    <row r="20">
      <c r="A20" s="31" t="n">
        <v>14</v>
      </c>
      <c r="B20" s="32">
        <f>Inputs!B9*(1-Inputs!B11)^(14-1)</f>
        <v/>
      </c>
      <c r="C20" s="33">
        <f>$O$21</f>
        <v/>
      </c>
      <c r="D20" s="34">
        <f>Inputs!C25*$O$21</f>
        <v/>
      </c>
      <c r="E20" s="32">
        <f>B20*$B$3</f>
        <v/>
      </c>
      <c r="F20" s="34">
        <f>(E20/365)/D20</f>
        <v/>
      </c>
      <c r="G20" s="34">
        <f>IF(F20&gt;1.5,0.97,IF(F20&gt;1.2,0.95,IF(F20&gt;1.0,0.92,IF(F20&gt;0.8,0.88,IF(F20&gt;0.6,0.82,0.72)))))</f>
        <v/>
      </c>
      <c r="H20" s="32">
        <f>MIN(D20*365*Inputs!B15, E20*G20*Inputs!B15)</f>
        <v/>
      </c>
      <c r="I20" s="32">
        <f>H20*Inputs!B13</f>
        <v/>
      </c>
      <c r="J20" s="60">
        <f>I20*Inputs!B12</f>
        <v/>
      </c>
      <c r="K20" s="60">
        <f>Inputs!C25*Inputs!B16+Inputs!B17</f>
        <v/>
      </c>
      <c r="L20" s="61">
        <f>J20-K20</f>
        <v/>
      </c>
      <c r="M20" s="60">
        <f>M19+L20</f>
        <v/>
      </c>
      <c r="O20" s="30" t="n">
        <v>0.7601</v>
      </c>
    </row>
    <row r="21">
      <c r="A21" s="12" t="n">
        <v>15</v>
      </c>
      <c r="B21" s="25">
        <f>Inputs!B9*(1-Inputs!B11)^(15-1)</f>
        <v/>
      </c>
      <c r="C21" s="26">
        <f>$O$22</f>
        <v/>
      </c>
      <c r="D21" s="27">
        <f>Inputs!C25*$O$22</f>
        <v/>
      </c>
      <c r="E21" s="25">
        <f>B21*$B$3</f>
        <v/>
      </c>
      <c r="F21" s="27">
        <f>(E21/365)/D21</f>
        <v/>
      </c>
      <c r="G21" s="27">
        <f>IF(F21&gt;1.5,0.97,IF(F21&gt;1.2,0.95,IF(F21&gt;1.0,0.92,IF(F21&gt;0.8,0.88,IF(F21&gt;0.6,0.82,0.72)))))</f>
        <v/>
      </c>
      <c r="H21" s="25">
        <f>MIN(D21*365*Inputs!B15, E21*G21*Inputs!B15)</f>
        <v/>
      </c>
      <c r="I21" s="25">
        <f>H21*Inputs!B13</f>
        <v/>
      </c>
      <c r="J21" s="58">
        <f>I21*Inputs!B12</f>
        <v/>
      </c>
      <c r="K21" s="58">
        <f>Inputs!C25*Inputs!B16+Inputs!B17</f>
        <v/>
      </c>
      <c r="L21" s="59">
        <f>J21-K21</f>
        <v/>
      </c>
      <c r="M21" s="58">
        <f>M20+L21</f>
        <v/>
      </c>
      <c r="O21" s="30" t="n">
        <v>0.7482</v>
      </c>
    </row>
    <row r="22">
      <c r="L22" s="30" t="n">
        <v>0.7361</v>
      </c>
      <c r="O22" s="30" t="n">
        <v>0.7361</v>
      </c>
    </row>
    <row r="23">
      <c r="A23" s="3" t="inlineStr">
        <is>
          <t>SUMMARY</t>
        </is>
      </c>
    </row>
    <row r="24">
      <c r="A24" s="5" t="inlineStr">
        <is>
          <t>Total Revenue (€)</t>
        </is>
      </c>
      <c r="B24" s="54">
        <f>SUM(J7:J21)</f>
        <v/>
      </c>
    </row>
    <row r="25">
      <c r="A25" s="5" t="inlineStr">
        <is>
          <t>Total O&amp;M (€)</t>
        </is>
      </c>
      <c r="B25" s="54">
        <f>SUM(K7:K21)</f>
        <v/>
      </c>
    </row>
    <row r="26">
      <c r="A26" s="5" t="inlineStr">
        <is>
          <t>Total Net Income (€)</t>
        </is>
      </c>
      <c r="B26" s="62">
        <f>SUM(L7:L21)</f>
        <v/>
      </c>
    </row>
    <row r="27">
      <c r="A27" s="5" t="inlineStr">
        <is>
          <t>BESS Investment (€)</t>
        </is>
      </c>
      <c r="B27" s="54">
        <f>Inputs!D25</f>
        <v/>
      </c>
    </row>
    <row r="28">
      <c r="A28" s="5" t="inlineStr">
        <is>
          <t>Return Multiple</t>
        </is>
      </c>
      <c r="B28" s="63">
        <f>B26/B27</f>
        <v/>
      </c>
    </row>
    <row r="29">
      <c r="A29" s="5" t="inlineStr">
        <is>
          <t>Annualised ROI</t>
        </is>
      </c>
      <c r="B29" s="64">
        <f>B26/(B27*15)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LEVELIZED COST OF STORAGE</t>
        </is>
      </c>
    </row>
    <row r="3">
      <c r="A3" s="4" t="inlineStr">
        <is>
          <t>Cost Component</t>
        </is>
      </c>
      <c r="B3" s="4" t="inlineStr">
        <is>
          <t>Option A (20 MWh)</t>
        </is>
      </c>
      <c r="C3" s="4" t="inlineStr">
        <is>
          <t>Option B (30 MWh)</t>
        </is>
      </c>
      <c r="D3" s="4" t="inlineStr">
        <is>
          <t>Option C (40 MWh)</t>
        </is>
      </c>
    </row>
    <row r="4">
      <c r="A4" s="5" t="inlineStr">
        <is>
          <t>Capital (BESS EPC)</t>
        </is>
      </c>
      <c r="B4" s="54">
        <f>Inputs!D24</f>
        <v/>
      </c>
      <c r="C4" s="54">
        <f>Inputs!D25</f>
        <v/>
      </c>
      <c r="D4" s="54">
        <f>Inputs!D26</f>
        <v/>
      </c>
    </row>
    <row r="5">
      <c r="A5" t="inlineStr">
        <is>
          <t>O&amp;M — LTSA 15 years</t>
        </is>
      </c>
      <c r="B5" s="54">
        <f>(Inputs!C24*Inputs!B16+Inputs!B17)*15</f>
        <v/>
      </c>
      <c r="C5" s="54">
        <f>(Inputs!C25*Inputs!B16+Inputs!B17)*15</f>
        <v/>
      </c>
      <c r="D5" s="54">
        <f>(Inputs!C26*Inputs!B16+Inputs!B17)*15</f>
        <v/>
      </c>
    </row>
    <row r="6">
      <c r="A6" t="inlineStr">
        <is>
          <t>Ext. Warranty Yr 6-10 (€1,661.68/MWh×5)</t>
        </is>
      </c>
      <c r="B6" s="54">
        <f>1661.68*Inputs!C24*5</f>
        <v/>
      </c>
      <c r="C6" s="54">
        <f>1661.68*Inputs!C25*5</f>
        <v/>
      </c>
      <c r="D6" s="54">
        <f>1661.68*Inputs!C26*5</f>
        <v/>
      </c>
    </row>
    <row r="7">
      <c r="A7" t="inlineStr">
        <is>
          <t>Ext. Warranty Yr 11-15 (€2,083.72/MWh×5)</t>
        </is>
      </c>
      <c r="B7" s="54">
        <f>2083.72*Inputs!C24*5</f>
        <v/>
      </c>
      <c r="C7" s="54">
        <f>2083.72*Inputs!C25*5</f>
        <v/>
      </c>
      <c r="D7" s="54">
        <f>2083.72*Inputs!C26*5</f>
        <v/>
      </c>
    </row>
    <row r="8">
      <c r="A8" s="5" t="inlineStr">
        <is>
          <t>TOTAL 15-YEAR COST</t>
        </is>
      </c>
      <c r="B8" s="65">
        <f>SUM(B4:B7)</f>
        <v/>
      </c>
      <c r="C8" s="65">
        <f>SUM(C4:C7)</f>
        <v/>
      </c>
      <c r="D8" s="65">
        <f>SUM(D4:D7)</f>
        <v/>
      </c>
    </row>
    <row r="10">
      <c r="A10" s="3" t="inlineStr">
        <is>
          <t>SYSTEM LCOS (full utilisation)</t>
        </is>
      </c>
    </row>
    <row r="11">
      <c r="A11" t="inlineStr">
        <is>
          <t>15-Year Discharged (MWh)</t>
        </is>
      </c>
      <c r="B11" s="17">
        <f>20*365*Inputs!B15*Inputs!B13*SUM('15-Year Projection'!O8:O22)</f>
        <v/>
      </c>
      <c r="C11" s="17">
        <f>30*365*Inputs!B15*Inputs!B13*SUM('15-Year Projection'!O8:O22)</f>
        <v/>
      </c>
      <c r="D11" s="17">
        <f>40*365*Inputs!B15*Inputs!B13*SUM('15-Year Projection'!O8:O22)</f>
        <v/>
      </c>
    </row>
    <row r="12">
      <c r="A12" s="5" t="inlineStr">
        <is>
          <t>System LCOS (€/MWh)</t>
        </is>
      </c>
      <c r="B12" s="66">
        <f>B8/B11</f>
        <v/>
      </c>
      <c r="C12" s="66">
        <f>C8/C11</f>
        <v/>
      </c>
      <c r="D12" s="66">
        <f>D8/D11</f>
        <v/>
      </c>
    </row>
    <row r="14">
      <c r="A14" s="3" t="inlineStr">
        <is>
          <t>REVENUE MARGIN</t>
        </is>
      </c>
    </row>
    <row r="15">
      <c r="A15" t="inlineStr">
        <is>
          <t>Revenue per MWh Discharged</t>
        </is>
      </c>
      <c r="B15" s="67">
        <f>Inputs!B12</f>
        <v/>
      </c>
      <c r="C15" s="67">
        <f>Inputs!B12</f>
        <v/>
      </c>
      <c r="D15" s="67">
        <f>Inputs!B12</f>
        <v/>
      </c>
    </row>
    <row r="16">
      <c r="A16" s="5" t="inlineStr">
        <is>
          <t>System LCOS</t>
        </is>
      </c>
      <c r="B16" s="67">
        <f>B12</f>
        <v/>
      </c>
      <c r="C16" s="67">
        <f>C12</f>
        <v/>
      </c>
      <c r="D16" s="67">
        <f>D12</f>
        <v/>
      </c>
    </row>
    <row r="17">
      <c r="A17" s="5" t="inlineStr">
        <is>
          <t>Margin per MWh (€)</t>
        </is>
      </c>
      <c r="B17" s="68">
        <f>B15-B16</f>
        <v/>
      </c>
      <c r="C17" s="68">
        <f>C15-C16</f>
        <v/>
      </c>
      <c r="D17" s="68">
        <f>D15-D16</f>
        <v/>
      </c>
    </row>
    <row r="18">
      <c r="A18" s="5" t="inlineStr">
        <is>
          <t>Margin %</t>
        </is>
      </c>
      <c r="B18" s="64">
        <f>B17/B15</f>
        <v/>
      </c>
      <c r="C18" s="64">
        <f>C17/C15</f>
        <v/>
      </c>
      <c r="D18" s="64">
        <f>D17/D15</f>
        <v/>
      </c>
    </row>
    <row r="21">
      <c r="A21" s="3" t="inlineStr">
        <is>
          <t>DISCOUNTED LCOS (8% WACC)</t>
        </is>
      </c>
    </row>
    <row r="22">
      <c r="A22" s="5" t="inlineStr">
        <is>
          <t>Discount Rate</t>
        </is>
      </c>
      <c r="B22" s="24" t="n">
        <v>0.08</v>
      </c>
      <c r="C22" s="15" t="inlineStr">
        <is>
          <t>← Modifiable</t>
        </is>
      </c>
    </row>
    <row r="23">
      <c r="A23" s="5" t="inlineStr">
        <is>
          <t>NPV of Total Costs (€)</t>
        </is>
      </c>
      <c r="B23" s="54">
        <f>Inputs!D24+SUMPRODUCT((Inputs!C24*Inputs!B16+Inputs!B17)/(1+$B$22)^ROW(INDIRECT("1:15")))+SUMPRODUCT((1661.68*Inputs!C24)/(1+$B$22)^{6,7,8,9,10})+SUMPRODUCT((2083.72*Inputs!C24)/(1+$B$22)^{11,12,13,14,15})</f>
        <v/>
      </c>
      <c r="C23" s="54">
        <f>Inputs!D25+SUMPRODUCT((Inputs!C25*Inputs!B16+Inputs!B17)/(1+$B$22)^ROW(INDIRECT("1:15")))+SUMPRODUCT((1661.68*Inputs!C25)/(1+$B$22)^{6,7,8,9,10})+SUMPRODUCT((2083.72*Inputs!C25)/(1+$B$22)^{11,12,13,14,15})</f>
        <v/>
      </c>
      <c r="D23" s="54">
        <f>Inputs!D26+SUMPRODUCT((Inputs!C26*Inputs!B16+Inputs!B17)/(1+$B$22)^ROW(INDIRECT("1:15")))+SUMPRODUCT((1661.68*Inputs!C26)/(1+$B$22)^{6,7,8,9,10})+SUMPRODUCT((2083.72*Inputs!C26)/(1+$B$22)^{11,12,13,14,15})</f>
        <v/>
      </c>
    </row>
    <row r="24">
      <c r="A24" s="5" t="inlineStr">
        <is>
          <t>NPV of Energy Discharged (MWh)</t>
        </is>
      </c>
      <c r="B24" s="17">
        <f>(20*0.9462*365*Inputs!B15*Inputs!B13)/(1+$B$22)^1+(20*0.9266*365*Inputs!B15*Inputs!B13)/(1+$B$22)^2+(20*0.907*365*Inputs!B15*Inputs!B13)/(1+$B$22)^3+(20*0.8874*365*Inputs!B15*Inputs!B13)/(1+$B$22)^4+(20*0.8678*365*Inputs!B15*Inputs!B13)/(1+$B$22)^5+(20*0.8534*365*Inputs!B15*Inputs!B13)/(1+$B$22)^6+(20*0.839*365*Inputs!B15*Inputs!B13)/(1+$B$22)^7+(20*0.8246*365*Inputs!B15*Inputs!B13)/(1+$B$22)^8+(20*0.8102*365*Inputs!B15*Inputs!B13)/(1+$B$22)^9+(20*0.7958*365*Inputs!B15*Inputs!B13)/(1+$B$22)^10+(20*0.7839*365*Inputs!B15*Inputs!B13)/(1+$B$22)^11+(20*0.772*365*Inputs!B15*Inputs!B13)/(1+$B$22)^12+(20*0.7601*365*Inputs!B15*Inputs!B13)/(1+$B$22)^13+(20*0.7482*365*Inputs!B15*Inputs!B13)/(1+$B$22)^14+(20*0.7361*365*Inputs!B15*Inputs!B13)/(1+$B$22)^15</f>
        <v/>
      </c>
      <c r="C24" s="17">
        <f>(30*0.9462*365*Inputs!B15*Inputs!B13)/(1+$B$22)^1+(30*0.9266*365*Inputs!B15*Inputs!B13)/(1+$B$22)^2+(30*0.907*365*Inputs!B15*Inputs!B13)/(1+$B$22)^3+(30*0.8874*365*Inputs!B15*Inputs!B13)/(1+$B$22)^4+(30*0.8678*365*Inputs!B15*Inputs!B13)/(1+$B$22)^5+(30*0.8534*365*Inputs!B15*Inputs!B13)/(1+$B$22)^6+(30*0.839*365*Inputs!B15*Inputs!B13)/(1+$B$22)^7+(30*0.8246*365*Inputs!B15*Inputs!B13)/(1+$B$22)^8+(30*0.8102*365*Inputs!B15*Inputs!B13)/(1+$B$22)^9+(30*0.7958*365*Inputs!B15*Inputs!B13)/(1+$B$22)^10+(30*0.7839*365*Inputs!B15*Inputs!B13)/(1+$B$22)^11+(30*0.772*365*Inputs!B15*Inputs!B13)/(1+$B$22)^12+(30*0.7601*365*Inputs!B15*Inputs!B13)/(1+$B$22)^13+(30*0.7482*365*Inputs!B15*Inputs!B13)/(1+$B$22)^14+(30*0.7361*365*Inputs!B15*Inputs!B13)/(1+$B$22)^15</f>
        <v/>
      </c>
      <c r="D24" s="17">
        <f>(40*0.9462*365*Inputs!B15*Inputs!B13)/(1+$B$22)^1+(40*0.9266*365*Inputs!B15*Inputs!B13)/(1+$B$22)^2+(40*0.907*365*Inputs!B15*Inputs!B13)/(1+$B$22)^3+(40*0.8874*365*Inputs!B15*Inputs!B13)/(1+$B$22)^4+(40*0.8678*365*Inputs!B15*Inputs!B13)/(1+$B$22)^5+(40*0.8534*365*Inputs!B15*Inputs!B13)/(1+$B$22)^6+(40*0.839*365*Inputs!B15*Inputs!B13)/(1+$B$22)^7+(40*0.8246*365*Inputs!B15*Inputs!B13)/(1+$B$22)^8+(40*0.8102*365*Inputs!B15*Inputs!B13)/(1+$B$22)^9+(40*0.7958*365*Inputs!B15*Inputs!B13)/(1+$B$22)^10+(40*0.7839*365*Inputs!B15*Inputs!B13)/(1+$B$22)^11+(40*0.772*365*Inputs!B15*Inputs!B13)/(1+$B$22)^12+(40*0.7601*365*Inputs!B15*Inputs!B13)/(1+$B$22)^13+(40*0.7482*365*Inputs!B15*Inputs!B13)/(1+$B$22)^14+(40*0.7361*365*Inputs!B15*Inputs!B13)/(1+$B$22)^15</f>
        <v/>
      </c>
    </row>
    <row r="25">
      <c r="A25" s="5" t="inlineStr">
        <is>
          <t>Discounted LCOS (€/MWh)</t>
        </is>
      </c>
      <c r="B25" s="68">
        <f>B23/B24</f>
        <v/>
      </c>
      <c r="C25" s="68">
        <f>C23/C24</f>
        <v/>
      </c>
      <c r="D25" s="68">
        <f>D23/D24</f>
        <v/>
      </c>
    </row>
    <row r="26">
      <c r="A26" s="5" t="inlineStr">
        <is>
          <t>Discounted Margin per MWh (€)</t>
        </is>
      </c>
      <c r="B26" s="66">
        <f>Inputs!B12-B25</f>
        <v/>
      </c>
      <c r="C26" s="66">
        <f>Inputs!B12-C25</f>
        <v/>
      </c>
      <c r="D26" s="66">
        <f>Inputs!B12-D25</f>
        <v/>
      </c>
    </row>
    <row r="27">
      <c r="A27" s="5" t="inlineStr">
        <is>
          <t>Discounted Margin %</t>
        </is>
      </c>
      <c r="B27" s="64">
        <f>B26/Inputs!B12</f>
        <v/>
      </c>
      <c r="C27" s="64">
        <f>C26/Inputs!B12</f>
        <v/>
      </c>
      <c r="D27" s="64">
        <f>D26/Inputs!B12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8" customWidth="1" min="4" max="4"/>
    <col width="16" customWidth="1" min="5" max="5"/>
  </cols>
  <sheetData>
    <row r="1">
      <c r="A1" s="1" t="inlineStr">
        <is>
          <t>ACTUAL PARK CURTAILMENT DATA — Spanercom Anarita</t>
        </is>
      </c>
    </row>
    <row r="2">
      <c r="A2" t="inlineStr">
        <is>
          <t>Source: energy_production_Oct2025.xlsx | EAST + WEST combined | Fixed tilt</t>
        </is>
      </c>
    </row>
    <row r="4">
      <c r="A4" s="4" t="inlineStr">
        <is>
          <t>Month</t>
        </is>
      </c>
      <c r="B4" s="4" t="inlineStr">
        <is>
          <t>Energy Yield (MWh)</t>
        </is>
      </c>
      <c r="C4" s="4" t="inlineStr">
        <is>
          <t>Est. Potential (MWh)</t>
        </is>
      </c>
      <c r="D4" s="4" t="inlineStr">
        <is>
          <t>PVSyst (MWh)</t>
        </is>
      </c>
      <c r="E4" s="4" t="inlineStr">
        <is>
          <t>Curtailment %</t>
        </is>
      </c>
    </row>
    <row r="5">
      <c r="A5" s="11" t="inlineStr">
        <is>
          <t>May-24</t>
        </is>
      </c>
      <c r="B5" s="25" t="n">
        <v>1023</v>
      </c>
      <c r="C5" s="25" t="n">
        <v>1854</v>
      </c>
      <c r="D5" s="25" t="n">
        <v>1921</v>
      </c>
      <c r="E5" s="44" t="n">
        <v>0.45</v>
      </c>
    </row>
    <row r="6">
      <c r="A6" s="45" t="inlineStr">
        <is>
          <t>Jun-24</t>
        </is>
      </c>
      <c r="B6" s="32" t="n">
        <v>1670</v>
      </c>
      <c r="C6" s="32" t="n">
        <v>1888</v>
      </c>
      <c r="D6" s="32" t="n">
        <v>1987</v>
      </c>
      <c r="E6" s="46" t="n">
        <v>0.12</v>
      </c>
    </row>
    <row r="7">
      <c r="A7" s="11" t="inlineStr">
        <is>
          <t>Jul-24</t>
        </is>
      </c>
      <c r="B7" s="25" t="n">
        <v>1791</v>
      </c>
      <c r="C7" s="25" t="n">
        <v>1916</v>
      </c>
      <c r="D7" s="25" t="n">
        <v>2034</v>
      </c>
      <c r="E7" s="47" t="n">
        <v>0.07000000000000001</v>
      </c>
    </row>
    <row r="8">
      <c r="A8" s="45" t="inlineStr">
        <is>
          <t>Aug-24</t>
        </is>
      </c>
      <c r="B8" s="32" t="n">
        <v>1703</v>
      </c>
      <c r="C8" s="32" t="n">
        <v>1788</v>
      </c>
      <c r="D8" s="32" t="n">
        <v>1944</v>
      </c>
      <c r="E8" s="46" t="n">
        <v>0.05</v>
      </c>
    </row>
    <row r="9">
      <c r="A9" s="11" t="inlineStr">
        <is>
          <t>Sep-24</t>
        </is>
      </c>
      <c r="B9" s="25" t="n">
        <v>1225</v>
      </c>
      <c r="C9" s="25" t="n">
        <v>1589</v>
      </c>
      <c r="D9" s="25" t="n">
        <v>1724</v>
      </c>
      <c r="E9" s="48" t="n">
        <v>0.23</v>
      </c>
    </row>
    <row r="10">
      <c r="A10" s="45" t="inlineStr">
        <is>
          <t>Oct-24</t>
        </is>
      </c>
      <c r="B10" s="32" t="n">
        <v>941</v>
      </c>
      <c r="C10" s="32" t="n">
        <v>1617</v>
      </c>
      <c r="D10" s="32" t="n">
        <v>1461</v>
      </c>
      <c r="E10" s="46" t="n">
        <v>0.42</v>
      </c>
    </row>
    <row r="11">
      <c r="A11" s="11" t="inlineStr">
        <is>
          <t>Nov-24</t>
        </is>
      </c>
      <c r="B11" s="25" t="n">
        <v>645</v>
      </c>
      <c r="C11" s="25" t="n">
        <v>1160</v>
      </c>
      <c r="D11" s="25" t="n">
        <v>1108</v>
      </c>
      <c r="E11" s="44" t="n">
        <v>0.44</v>
      </c>
    </row>
    <row r="12">
      <c r="A12" s="45" t="inlineStr">
        <is>
          <t>Dec-24</t>
        </is>
      </c>
      <c r="B12" s="32" t="n">
        <v>694</v>
      </c>
      <c r="C12" s="32" t="n">
        <v>951</v>
      </c>
      <c r="D12" s="32" t="n">
        <v>922</v>
      </c>
      <c r="E12" s="46" t="n">
        <v>0.27</v>
      </c>
    </row>
    <row r="13">
      <c r="A13" s="11" t="inlineStr">
        <is>
          <t>Jan-25</t>
        </is>
      </c>
      <c r="B13" s="25" t="n">
        <v>600</v>
      </c>
      <c r="C13" s="25" t="n">
        <v>1179</v>
      </c>
      <c r="D13" s="25" t="n">
        <v>955</v>
      </c>
      <c r="E13" s="44" t="n">
        <v>0.49</v>
      </c>
    </row>
    <row r="14">
      <c r="A14" s="45" t="inlineStr">
        <is>
          <t>Feb-25</t>
        </is>
      </c>
      <c r="B14" s="32" t="n">
        <v>655</v>
      </c>
      <c r="C14" s="32" t="n">
        <v>1198</v>
      </c>
      <c r="D14" s="32" t="n">
        <v>1086</v>
      </c>
      <c r="E14" s="46" t="n">
        <v>0.45</v>
      </c>
    </row>
    <row r="15">
      <c r="A15" s="11" t="inlineStr">
        <is>
          <t>Mar-25</t>
        </is>
      </c>
      <c r="B15" s="25" t="n">
        <v>566</v>
      </c>
      <c r="C15" s="25" t="n">
        <v>1648</v>
      </c>
      <c r="D15" s="25" t="n">
        <v>1513</v>
      </c>
      <c r="E15" s="49" t="n">
        <v>0.66</v>
      </c>
    </row>
    <row r="16">
      <c r="A16" s="45" t="inlineStr">
        <is>
          <t>Apr-25</t>
        </is>
      </c>
      <c r="B16" s="32" t="n">
        <v>578</v>
      </c>
      <c r="C16" s="32" t="n">
        <v>1731</v>
      </c>
      <c r="D16" s="32" t="n">
        <v>1669</v>
      </c>
      <c r="E16" s="50" t="n">
        <v>0.67</v>
      </c>
    </row>
    <row r="17">
      <c r="A17" s="11" t="inlineStr">
        <is>
          <t>May-25</t>
        </is>
      </c>
      <c r="B17" s="25" t="n">
        <v>850</v>
      </c>
      <c r="C17" s="25" t="n">
        <v>1769</v>
      </c>
      <c r="D17" s="25" t="n">
        <v>1921</v>
      </c>
      <c r="E17" s="44" t="n">
        <v>0.52</v>
      </c>
    </row>
    <row r="18">
      <c r="A18" s="45" t="inlineStr">
        <is>
          <t>Jun-25</t>
        </is>
      </c>
      <c r="B18" s="32" t="n">
        <v>1376</v>
      </c>
      <c r="C18" s="32" t="n">
        <v>1898</v>
      </c>
      <c r="D18" s="32" t="n">
        <v>1987</v>
      </c>
      <c r="E18" s="46" t="n">
        <v>0.28</v>
      </c>
    </row>
    <row r="19">
      <c r="A19" s="11" t="inlineStr">
        <is>
          <t>Jul-25</t>
        </is>
      </c>
      <c r="B19" s="25" t="n">
        <v>1438</v>
      </c>
      <c r="C19" s="25" t="n">
        <v>1968</v>
      </c>
      <c r="D19" s="25" t="n">
        <v>2034</v>
      </c>
      <c r="E19" s="48" t="n">
        <v>0.27</v>
      </c>
    </row>
    <row r="20">
      <c r="A20" s="45" t="inlineStr">
        <is>
          <t>Aug-25</t>
        </is>
      </c>
      <c r="B20" s="32" t="n">
        <v>1147</v>
      </c>
      <c r="C20" s="32" t="n">
        <v>1878</v>
      </c>
      <c r="D20" s="32" t="n">
        <v>1944</v>
      </c>
      <c r="E20" s="46" t="n">
        <v>0.39</v>
      </c>
    </row>
    <row r="21">
      <c r="A21" s="11" t="inlineStr">
        <is>
          <t>Sep-25</t>
        </is>
      </c>
      <c r="B21" s="25" t="n">
        <v>965</v>
      </c>
      <c r="C21" s="25" t="n">
        <v>1725</v>
      </c>
      <c r="D21" s="25" t="n">
        <v>1724</v>
      </c>
      <c r="E21" s="44" t="n">
        <v>0.44</v>
      </c>
    </row>
    <row r="22">
      <c r="A22" s="45" t="inlineStr">
        <is>
          <t>Oct-25</t>
        </is>
      </c>
      <c r="B22" s="32" t="n">
        <v>467</v>
      </c>
      <c r="C22" s="32" t="n">
        <v>1139</v>
      </c>
      <c r="D22" s="32" t="n">
        <v>1461</v>
      </c>
      <c r="E22" s="46" t="n">
        <v>0.59</v>
      </c>
    </row>
    <row r="24">
      <c r="A24" s="3" t="inlineStr">
        <is>
          <t>CURTAILMENT TREND</t>
        </is>
      </c>
    </row>
    <row r="25">
      <c r="A25" s="5" t="inlineStr">
        <is>
          <t>Period</t>
        </is>
      </c>
      <c r="B25" s="5" t="inlineStr">
        <is>
          <t>Avg Curtailment</t>
        </is>
      </c>
      <c r="C25" s="5" t="inlineStr">
        <is>
          <t>Notes</t>
        </is>
      </c>
    </row>
    <row r="26">
      <c r="A26" t="inlineStr">
        <is>
          <t>May-Aug 2024</t>
        </is>
      </c>
      <c r="B26" t="inlineStr">
        <is>
          <t>18%</t>
        </is>
      </c>
      <c r="C26" t="inlineStr">
        <is>
          <t>Low — early market</t>
        </is>
      </c>
    </row>
    <row r="27">
      <c r="A27" t="inlineStr">
        <is>
          <t>Sep-Dec 2024</t>
        </is>
      </c>
      <c r="B27" t="inlineStr">
        <is>
          <t>34%</t>
        </is>
      </c>
      <c r="C27" t="inlineStr">
        <is>
          <t>Increasing</t>
        </is>
      </c>
    </row>
    <row r="28">
      <c r="A28" t="inlineStr">
        <is>
          <t>Jan-Apr 2025</t>
        </is>
      </c>
      <c r="B28" t="inlineStr">
        <is>
          <t>57%</t>
        </is>
      </c>
      <c r="C28" t="inlineStr">
        <is>
          <t>High — spring peak</t>
        </is>
      </c>
    </row>
    <row r="29">
      <c r="A29" t="inlineStr">
        <is>
          <t>May-Oct 2025</t>
        </is>
      </c>
      <c r="B29" t="inlineStr">
        <is>
          <t>42%</t>
        </is>
      </c>
      <c r="C29" t="inlineStr">
        <is>
          <t>Summer lower, still elevated</t>
        </is>
      </c>
    </row>
    <row r="30">
      <c r="A30" t="inlineStr">
        <is>
          <t>Full 2025 (Jan-Oct)</t>
        </is>
      </c>
      <c r="B30" t="inlineStr">
        <is>
          <t>48%</t>
        </is>
      </c>
      <c r="C30" t="inlineStr">
        <is>
          <t>Current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366F1"/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55" customWidth="1" min="3" max="3"/>
  </cols>
  <sheetData>
    <row r="1">
      <c r="A1" s="1" t="inlineStr">
        <is>
          <t>FORMULA REFERENCE &amp; METHODOLOGY</t>
        </is>
      </c>
    </row>
    <row r="2">
      <c r="A2" s="15" t="inlineStr">
        <is>
          <t>All formulas used in this model, with descriptions and cell references</t>
        </is>
      </c>
    </row>
    <row r="4">
      <c r="A4" s="3" t="inlineStr">
        <is>
          <t>INPUT CALCULATIONS</t>
        </is>
      </c>
    </row>
    <row r="5">
      <c r="A5" s="69" t="inlineStr">
        <is>
          <t>Calculation</t>
        </is>
      </c>
      <c r="B5" s="69" t="inlineStr">
        <is>
          <t>Formula (text representation)</t>
        </is>
      </c>
      <c r="C5" s="69" t="inlineStr">
        <is>
          <t>Description</t>
        </is>
      </c>
    </row>
    <row r="6">
      <c r="A6" s="5" t="inlineStr">
        <is>
          <t>Annual PV Production (MWh)</t>
        </is>
      </c>
      <c r="B6" s="71" t="inlineStr">
        <is>
          <t>PV_MW  ×  Specific_Yield
[Inputs!B9]  =  B7 × B8</t>
        </is>
      </c>
      <c r="C6" s="70" t="inlineStr">
        <is>
          <t>10 MW × 1,932 kWh/kWp = 19,320 MWh.
Units: MW × kWh/kWp = MWh (since 1 MW = 1000 kWp).</t>
        </is>
      </c>
    </row>
    <row r="7">
      <c r="A7" s="5" t="inlineStr">
        <is>
          <t>Net Revenue per MWh Stored</t>
        </is>
      </c>
      <c r="B7" s="71" t="inlineStr">
        <is>
          <t>Peak_Price  ×  RTE
[Inputs!B14]  =  B12 × B13</t>
        </is>
      </c>
      <c r="C7" s="70" t="inlineStr">
        <is>
          <t>€182.99 × 86.32% = €157.96/MWh.
Revenue after round-trip losses on each MWh stored.</t>
        </is>
      </c>
    </row>
    <row r="8">
      <c r="A8" s="5" t="inlineStr">
        <is>
          <t>Annual O&amp;M Cost</t>
        </is>
      </c>
      <c r="B8" s="71" t="inlineStr">
        <is>
          <t>BESS_MWh × LTSA_Rate + Insurance
[Scenario Matrix]  =  Inputs!C24 × Inputs!B16 + Inputs!B17</t>
        </is>
      </c>
      <c r="C8" s="70" t="inlineStr">
        <is>
          <t>e.g. 30 MWh × €2,469.59 + €15,000 = €89,088/yr.
LTSA rate is OEM-confirmed (Linyang RFI V3).</t>
        </is>
      </c>
    </row>
    <row r="10">
      <c r="A10" s="3" t="inlineStr">
        <is>
          <t>SCENARIO MATRIX FORMULAS</t>
        </is>
      </c>
    </row>
    <row r="11">
      <c r="A11" s="69" t="inlineStr">
        <is>
          <t>Calculation</t>
        </is>
      </c>
      <c r="B11" s="69" t="inlineStr">
        <is>
          <t>Formula (text representation)</t>
        </is>
      </c>
      <c r="C11" s="69" t="inlineStr">
        <is>
          <t>Description</t>
        </is>
      </c>
    </row>
    <row r="12">
      <c r="A12" s="5" t="inlineStr">
        <is>
          <t>Annual Curtailed Energy</t>
        </is>
      </c>
      <c r="B12" s="71" t="inlineStr">
        <is>
          <t>Annual_PV_Production  ×  Curtailment_Rate
[Row 5]  =  Inputs!B9 × [curtailment %]</t>
        </is>
      </c>
      <c r="C12" s="70" t="inlineStr">
        <is>
          <t>Total energy the DSO orders curtailed per year.
e.g. 19,320 MWh × 50% = 9,660 MWh</t>
        </is>
      </c>
    </row>
    <row r="13">
      <c r="A13" s="5" t="inlineStr">
        <is>
          <t>Avg Daily Curtailed</t>
        </is>
      </c>
      <c r="B13" s="71" t="inlineStr">
        <is>
          <t>Annual_Curtailed  /  365
[Row 6]  =  [Row 5] / 365</t>
        </is>
      </c>
      <c r="C13" s="70" t="inlineStr">
        <is>
          <t>Average daily curtailment in MWh.
Used to calculate the ratio for CE lookup.</t>
        </is>
      </c>
    </row>
    <row r="14">
      <c r="A14" s="5" t="inlineStr">
        <is>
          <t>Max Annual Throughput</t>
        </is>
      </c>
      <c r="B14" s="71" t="inlineStr">
        <is>
          <t>BESS_MWh × 365 × Availability
[Row 11/25/39]  =  Inputs!C[option] × 365 × Inputs!B15</t>
        </is>
      </c>
      <c r="C14" s="70" t="inlineStr">
        <is>
          <t>Maximum energy the BESS can cycle in a year.
e.g. 20 MWh × 365 × 97% = 7,081 MWh</t>
        </is>
      </c>
    </row>
    <row r="15">
      <c r="A15" s="5" t="inlineStr">
        <is>
          <t>Ratio</t>
        </is>
      </c>
      <c r="B15" s="71" t="inlineStr">
        <is>
          <t>Avg_Daily_Curtailed  /  BESS_MWh
[Row 12/26/40]  =  [Row 6] / Inputs!C[option]</t>
        </is>
      </c>
      <c r="C15" s="70" t="inlineStr">
        <is>
          <t>How much daily curtailment vs BESS capacity.
Ratio &gt; 1 = more curtailment than battery can absorb.</t>
        </is>
      </c>
    </row>
    <row r="16">
      <c r="A16" s="5" t="inlineStr">
        <is>
          <t>Capture Efficiency (CE)</t>
        </is>
      </c>
      <c r="B16" s="71" t="inlineStr">
        <is>
          <t>IF(Ratio&gt;1.5, 0.97,
  IF(Ratio&gt;1.2, 0.95,
    IF(Ratio&gt;1.0, 0.92,
      IF(Ratio&gt;0.8, 0.88,
        IF(Ratio&gt;0.6, 0.82, 0.72)))))</t>
        </is>
      </c>
      <c r="C16" s="70" t="inlineStr">
        <is>
          <t>Accounts for temporal mismatch: not all curtailment occurs when BESS is available.
Higher ratio = more days the BESS fills = higher efficiency.</t>
        </is>
      </c>
    </row>
    <row r="17">
      <c r="A17" s="5" t="inlineStr">
        <is>
          <t>Annual Captured</t>
        </is>
      </c>
      <c r="B17" s="71" t="inlineStr">
        <is>
          <t>MIN( Max_Throughput,  Annual_Curtailed × CE × Availability )
[Row 14/28/42]  =  MIN([throughput], [curtailed] × [CE] × Inputs!B15)</t>
        </is>
      </c>
      <c r="C17" s="70" t="inlineStr">
        <is>
          <t>The lesser of: BESS cycling limit OR available curtailed energy adjusted for capture efficiency and ~11 days/yr downtime.</t>
        </is>
      </c>
    </row>
    <row r="18">
      <c r="A18" s="5" t="inlineStr">
        <is>
          <t>Annual Discharged</t>
        </is>
      </c>
      <c r="B18" s="71" t="inlineStr">
        <is>
          <t>Annual_Captured  ×  RTE
[Row 15/29/43]  =  [captured] × Inputs!B13</t>
        </is>
      </c>
      <c r="C18" s="70" t="inlineStr">
        <is>
          <t>Energy actually delivered to grid after round-trip losses.
RTE = 86.32% AC-AC full system.</t>
        </is>
      </c>
    </row>
    <row r="19">
      <c r="A19" s="5" t="inlineStr">
        <is>
          <t>Gross Revenue</t>
        </is>
      </c>
      <c r="B19" s="71" t="inlineStr">
        <is>
          <t>Annual_Discharged  ×  Peak_Price
[Row 16/30/44]  =  [discharged] × Inputs!B12</t>
        </is>
      </c>
      <c r="C19" s="70" t="inlineStr">
        <is>
          <t>Total revenue from selling discharged energy at evening peak prices.
€182.99/MWh avg (17:00-21:00).</t>
        </is>
      </c>
    </row>
    <row r="20">
      <c r="A20" s="5" t="inlineStr">
        <is>
          <t>Net Income</t>
        </is>
      </c>
      <c r="B20" s="71" t="inlineStr">
        <is>
          <t>Gross_Revenue  −  Annual_O&amp;M
[Row 17/31/45]  =  [revenue] − $B$[O&amp;M row]</t>
        </is>
      </c>
      <c r="C20" s="70" t="inlineStr">
        <is>
          <t>Revenue minus operating costs.
O&amp;M referenced with absolute $ to column B.</t>
        </is>
      </c>
    </row>
    <row r="21">
      <c r="A21" s="5" t="inlineStr">
        <is>
          <t>ROI (%)</t>
        </is>
      </c>
      <c r="B21" s="71" t="inlineStr">
        <is>
          <t>Net_Income  /  BESS_Price
[Row 18/32/46]  =  [net] / $B$[price row]</t>
        </is>
      </c>
      <c r="C21" s="70" t="inlineStr">
        <is>
          <t>Simple annual return on investment.
e.g. €1,054,101 / €3,033,000 = 34.8%</t>
        </is>
      </c>
    </row>
    <row r="22">
      <c r="A22" s="5" t="inlineStr">
        <is>
          <t>Simple Payback (years)</t>
        </is>
      </c>
      <c r="B22" s="71" t="inlineStr">
        <is>
          <t>BESS_Price  /  Net_Income
[Row 19/33/47]  =  $B$[price row] / [net income]</t>
        </is>
      </c>
      <c r="C22" s="70" t="inlineStr">
        <is>
          <t>Years to recover the initial investment.
e.g. €3,033,000 / €1,054,101 = 2.9 years</t>
        </is>
      </c>
    </row>
    <row r="24">
      <c r="A24" s="3" t="inlineStr">
        <is>
          <t>15-YEAR PROJECTION FORMULAS</t>
        </is>
      </c>
    </row>
    <row r="25">
      <c r="A25" s="69" t="inlineStr">
        <is>
          <t>Calculation</t>
        </is>
      </c>
      <c r="B25" s="69" t="inlineStr">
        <is>
          <t>Formula (text representation)</t>
        </is>
      </c>
      <c r="C25" s="69" t="inlineStr">
        <is>
          <t>Description</t>
        </is>
      </c>
    </row>
    <row r="26">
      <c r="A26" s="5" t="inlineStr">
        <is>
          <t>PV Production (Year N)</t>
        </is>
      </c>
      <c r="B26" s="71" t="inlineStr">
        <is>
          <t>Base_PV × (1 − Degradation)^(N−1)
[Col B]  =  Inputs!B9 × (1 − Inputs!B11)^(year−1)</t>
        </is>
      </c>
      <c r="C26" s="70" t="inlineStr">
        <is>
          <t>PV output declines 0.5%/yr.
Year 1 = 19,320 MWh → Year 15 ≈ 17,996 MWh.</t>
        </is>
      </c>
    </row>
    <row r="27">
      <c r="A27" s="5" t="inlineStr">
        <is>
          <t>SOH % (Year N)</t>
        </is>
      </c>
      <c r="B27" s="71" t="inlineStr">
        <is>
          <t>Hardcoded from Linyang degradation curve
[Col C]  =  $O$[row] (lookup to SOH data column)</t>
        </is>
      </c>
      <c r="C27" s="70" t="inlineStr">
        <is>
          <t>State of Health at 1 cycle/day, 0.25P rate.
Year 1: 94.62%, Year 5: 86.78%, Year 10: 79.58%, Year 15: 73.61%.
Source: Linyang cycle-life test data.</t>
        </is>
      </c>
    </row>
    <row r="28">
      <c r="A28" s="5" t="inlineStr">
        <is>
          <t>Effective BESS (MWh)</t>
        </is>
      </c>
      <c r="B28" s="71" t="inlineStr">
        <is>
          <t>Nominal_BESS_MWh  ×  SOH%
[Col D]  =  Inputs!C25 × $O$[row]</t>
        </is>
      </c>
      <c r="C28" s="70" t="inlineStr">
        <is>
          <t>Usable capacity decreases as cells degrade.
e.g. 30 MWh × 86.78% = 26.03 MWh at Year 5.</t>
        </is>
      </c>
    </row>
    <row r="29">
      <c r="A29" s="5" t="inlineStr">
        <is>
          <t>Annual Curtailed</t>
        </is>
      </c>
      <c r="B29" s="71" t="inlineStr">
        <is>
          <t>PV_Production  ×  Curtailment_Rate
[Col E]  =  B[row] × $B$3</t>
        </is>
      </c>
      <c r="C29" s="70" t="inlineStr">
        <is>
          <t>Curtailment rate held constant (modifiable in cell B3).
PV degradation reduces available curtailment each year.</t>
        </is>
      </c>
    </row>
    <row r="30">
      <c r="A30" s="5" t="inlineStr">
        <is>
          <t>Captured</t>
        </is>
      </c>
      <c r="B30" s="71" t="inlineStr">
        <is>
          <t>MIN( Eff_BESS × 365 × Avail,  Curtailed × CE × Avail )
[Col H]  =  MIN(D[row]×365×Inputs!B15, E[row]×G[row]×Inputs!B15)</t>
        </is>
      </c>
      <c r="C30" s="70" t="inlineStr">
        <is>
          <t>Same formula as scenario matrix but using year-specific effective BESS capacity and PV production.</t>
        </is>
      </c>
    </row>
    <row r="31">
      <c r="A31" s="5" t="inlineStr">
        <is>
          <t>Cumulative Net</t>
        </is>
      </c>
      <c r="B31" s="71" t="inlineStr">
        <is>
          <t>Previous_Cumulative + Current_Year_Net
[Col M]  =  M[prev] + L[row]</t>
        </is>
      </c>
      <c r="C31" s="70" t="inlineStr">
        <is>
          <t>Running total.
Payback year is when cumulative net exceeds BESS investment.</t>
        </is>
      </c>
    </row>
    <row r="33">
      <c r="A33" s="3" t="inlineStr">
        <is>
          <t>LCOS FORMULAS</t>
        </is>
      </c>
    </row>
    <row r="34">
      <c r="A34" s="69" t="inlineStr">
        <is>
          <t>Calculation</t>
        </is>
      </c>
      <c r="B34" s="69" t="inlineStr">
        <is>
          <t>Formula (text representation)</t>
        </is>
      </c>
      <c r="C34" s="69" t="inlineStr">
        <is>
          <t>Description</t>
        </is>
      </c>
    </row>
    <row r="35">
      <c r="A35" s="5" t="inlineStr">
        <is>
          <t>Total 15-Year Cost</t>
        </is>
      </c>
      <c r="B35" s="71" t="inlineStr">
        <is>
          <t>CAPEX + (O&amp;M × 15) + Ext_Warranty_6to10 + Ext_Warranty_11to15
[LCOS sheet Row 8]  =  SUM(rows 4:7)</t>
        </is>
      </c>
      <c r="C35" s="70" t="inlineStr">
        <is>
          <t>Sum of capital, operating, and warranty costs over 15 years.</t>
        </is>
      </c>
    </row>
    <row r="36">
      <c r="A36" s="5" t="inlineStr">
        <is>
          <t>15-Year Discharged (System)</t>
        </is>
      </c>
      <c r="B36" s="71" t="inlineStr">
        <is>
          <t>BESS_MWh × 365 × Avail × RTE × SUM(SOH_yr1..yr15)
[LCOS Row 11]  =  [MWh] × 365 × B15 × B13 × SUM('15-Year Projection'!O8:O22)</t>
        </is>
      </c>
      <c r="C36" s="70" t="inlineStr">
        <is>
          <t>Total energy delivered assuming 1 full cycle per available day, declining with SOH.</t>
        </is>
      </c>
    </row>
    <row r="37">
      <c r="A37" s="5" t="inlineStr">
        <is>
          <t>System LCOS</t>
        </is>
      </c>
      <c r="B37" s="71" t="inlineStr">
        <is>
          <t>Total_15yr_Cost  /  Total_15yr_Discharged
[LCOS Row 12]  =  [Row 8] / [Row 11]</t>
        </is>
      </c>
      <c r="C37" s="70" t="inlineStr">
        <is>
          <t>Cost per MWh delivered at full utilisation.
Intrinsic cost of the storage technology.</t>
        </is>
      </c>
    </row>
    <row r="38">
      <c r="A38" s="5" t="inlineStr">
        <is>
          <t>Margin per MWh</t>
        </is>
      </c>
      <c r="B38" s="71" t="inlineStr">
        <is>
          <t>Peak_Discharge_Price  −  LCOS
[LCOS Row 17]  =  Inputs!B12 − [LCOS]</t>
        </is>
      </c>
      <c r="C38" s="70" t="inlineStr">
        <is>
          <t>Profit per MWh discharged.
Driven by €0 charge cost under curtailment recovery.</t>
        </is>
      </c>
    </row>
    <row r="39">
      <c r="A39" s="5" t="inlineStr">
        <is>
          <t>Discounted LCOS</t>
        </is>
      </c>
      <c r="B39" s="71" t="inlineStr">
        <is>
          <t>NPV(All_Costs)  /  NPV(All_Energy_Discharged)
[LCOS Row 25]  =  [NPV costs] / [NPV energy]</t>
        </is>
      </c>
      <c r="C39" s="70" t="inlineStr">
        <is>
          <t>Levelized cost with time-value-of-money.
Discount rate (default 8%) weights early costs more heavily.
More rigorous for investor analysis.</t>
        </is>
      </c>
    </row>
    <row r="40">
      <c r="A40" s="5" t="inlineStr">
        <is>
          <t>NPV of Costs</t>
        </is>
      </c>
      <c r="B40" s="71" t="inlineStr">
        <is>
          <t>CAPEX + SUMPRODUCT(Annual_Cost / (1+r)^{1..15})
[LCOS Row 23]  =  CAPEX + discounted O&amp;M + discounted warranties</t>
        </is>
      </c>
      <c r="C40" s="70" t="inlineStr">
        <is>
          <t>Present value of all future costs discounted at WACC.
Includes O&amp;M (yr 1-15) + ext warranty (yr 6-15).</t>
        </is>
      </c>
    </row>
    <row r="41">
      <c r="A41" s="5" t="inlineStr">
        <is>
          <t>NPV of Energy</t>
        </is>
      </c>
      <c r="B41" s="71" t="inlineStr">
        <is>
          <t>SUM( Discharged_yr_n / (1+r)^n ) for n=1..15
[LCOS Row 24]  =  sum of SOH-adjusted discharged per year, each discounted</t>
        </is>
      </c>
      <c r="C41" s="70" t="inlineStr">
        <is>
          <t>Present value of energy delivered, using SOH-adjusted capacity for each year.</t>
        </is>
      </c>
    </row>
    <row r="43">
      <c r="A43" s="3" t="inlineStr">
        <is>
          <t>KEY ASSUMPTIONS &amp; DATA SOURCES</t>
        </is>
      </c>
    </row>
    <row r="44">
      <c r="A44" s="69" t="inlineStr">
        <is>
          <t>Parameter</t>
        </is>
      </c>
      <c r="B44" s="69" t="inlineStr">
        <is>
          <t>Value</t>
        </is>
      </c>
      <c r="C44" s="69" t="inlineStr">
        <is>
          <t>Source</t>
        </is>
      </c>
    </row>
    <row r="45">
      <c r="A45" s="5" t="inlineStr">
        <is>
          <t>Peak Discharge Price</t>
        </is>
      </c>
      <c r="B45" t="inlineStr">
        <is>
          <t>€182.99/MWh</t>
        </is>
      </c>
      <c r="C45" s="70" t="inlineStr">
        <is>
          <t>TSOC DAM 134-day verified avg (Oct 2025 – Feb 2026), 17:00-21:00. Summer not yet available.</t>
        </is>
      </c>
    </row>
    <row r="46">
      <c r="A46" s="5" t="inlineStr">
        <is>
          <t>Charge Cost</t>
        </is>
      </c>
      <c r="B46" t="inlineStr">
        <is>
          <t>€0/MWh</t>
        </is>
      </c>
      <c r="C46" s="70" t="inlineStr">
        <is>
          <t>Curtailment recovery: energy would otherwise be wasted. Not purchased from grid.</t>
        </is>
      </c>
    </row>
    <row r="47">
      <c r="A47" s="5" t="inlineStr">
        <is>
          <t>Round-Trip Efficiency</t>
        </is>
      </c>
      <c r="B47" t="inlineStr">
        <is>
          <t>86.32%</t>
        </is>
      </c>
      <c r="C47" s="70" t="inlineStr">
        <is>
          <t>Linyang AC-AC full system incl. PCS, transformers, cabling, auxiliaries. PCS-only = 87.8%.</t>
        </is>
      </c>
    </row>
    <row r="48">
      <c r="A48" s="5" t="inlineStr">
        <is>
          <t>BESS Availability</t>
        </is>
      </c>
      <c r="B48" t="inlineStr">
        <is>
          <t>97%</t>
        </is>
      </c>
      <c r="C48" s="70" t="inlineStr">
        <is>
          <t>Guaranteed under LTSA Tier C. ~11 days/year downtime.</t>
        </is>
      </c>
    </row>
    <row r="49">
      <c r="A49" s="5" t="inlineStr">
        <is>
          <t>PV Degradation</t>
        </is>
      </c>
      <c r="B49" t="inlineStr">
        <is>
          <t>0.5%/year</t>
        </is>
      </c>
      <c r="C49" s="70" t="inlineStr">
        <is>
          <t>Industry standard for crystalline silicon. Linear degradation.</t>
        </is>
      </c>
    </row>
    <row r="50">
      <c r="A50" s="5" t="inlineStr">
        <is>
          <t>SOH Degradation</t>
        </is>
      </c>
      <c r="B50" t="inlineStr">
        <is>
          <t>See SOH curve (col O)</t>
        </is>
      </c>
      <c r="C50" s="70" t="inlineStr">
        <is>
          <t>Linyang cycle-life data at 0.25P, 1 cycle/day. EOL = 70% SOH.</t>
        </is>
      </c>
    </row>
    <row r="51">
      <c r="A51" s="5" t="inlineStr">
        <is>
          <t>Cycles per Day</t>
        </is>
      </c>
      <c r="B51" t="inlineStr">
        <is>
          <t>1 (annual average)</t>
        </is>
      </c>
      <c r="C51" s="70" t="inlineStr">
        <is>
          <t>Conservative. Winter ~0.7-0.8; summer constrained by BESS capacity.</t>
        </is>
      </c>
    </row>
    <row r="52">
      <c r="A52" s="5" t="inlineStr">
        <is>
          <t>Curtailment Rate</t>
        </is>
      </c>
      <c r="B52" t="inlineStr">
        <is>
          <t>Modifiable (45-70%)</t>
        </is>
      </c>
      <c r="C52" s="70" t="inlineStr">
        <is>
          <t>Current park baseline: 48% (2025 avg). Trend: 0% (2021) → 48% (2025).</t>
        </is>
      </c>
    </row>
    <row r="53">
      <c r="A53" s="5" t="inlineStr">
        <is>
          <t>PV Production</t>
        </is>
      </c>
      <c r="B53" t="inlineStr">
        <is>
          <t>19,320 MWh/yr</t>
        </is>
      </c>
      <c r="C53" s="70" t="inlineStr">
        <is>
          <t>PVSyst verified, 18 months meter data. Fixed tilt, EAST+WEST.</t>
        </is>
      </c>
    </row>
    <row r="54">
      <c r="A54" s="5" t="inlineStr">
        <is>
          <t>LTSA Rate</t>
        </is>
      </c>
      <c r="B54" t="inlineStr">
        <is>
          <t>€2,469.59/MWh/yr</t>
        </is>
      </c>
      <c r="C54" s="70" t="inlineStr">
        <is>
          <t>OEM-confirmed (Linyang RFI V3, Feb 2026). Preventive + corrective.</t>
        </is>
      </c>
    </row>
    <row r="55">
      <c r="A55" s="5" t="inlineStr">
        <is>
          <t>Ext Warranty Yr 6-10</t>
        </is>
      </c>
      <c r="B55" t="inlineStr">
        <is>
          <t>€1,661.68/MWh/yr</t>
        </is>
      </c>
      <c r="C55" s="70" t="inlineStr">
        <is>
          <t>BESS: €913.92 + PCS/MV: €747.76. OEM-confirmed.</t>
        </is>
      </c>
    </row>
    <row r="56">
      <c r="A56" s="5" t="inlineStr">
        <is>
          <t>Ext Warranty Yr 11-15</t>
        </is>
      </c>
      <c r="B56" t="inlineStr">
        <is>
          <t>€2,083.72/MWh/yr</t>
        </is>
      </c>
      <c r="C56" s="70" t="inlineStr">
        <is>
          <t>BESS: €1,157.62 + PCS/MV: €926.10. OEM-confirmed.</t>
        </is>
      </c>
    </row>
    <row r="57">
      <c r="A57" s="5" t="inlineStr">
        <is>
          <t>Discount Rate (LCOS)</t>
        </is>
      </c>
      <c r="B57" t="inlineStr">
        <is>
          <t>8% (modifiable)</t>
        </is>
      </c>
      <c r="C57" s="70" t="inlineStr">
        <is>
          <t>Typical WACC for project-financed renewables in Cyprus/EU.</t>
        </is>
      </c>
    </row>
    <row r="58">
      <c r="A58" s="5" t="inlineStr">
        <is>
          <t>Inflation</t>
        </is>
      </c>
      <c r="B58" t="inlineStr">
        <is>
          <t>Not applied</t>
        </is>
      </c>
      <c r="C58" s="70" t="inlineStr">
        <is>
          <t>All values in nominal 2026 EUR.</t>
        </is>
      </c>
    </row>
    <row r="59">
      <c r="A59" s="5" t="inlineStr">
        <is>
          <t>Grid Arbitrage</t>
        </is>
      </c>
      <c r="B59" t="inlineStr">
        <is>
          <t>Excluded</t>
        </is>
      </c>
      <c r="C59" s="70" t="inlineStr">
        <is>
          <t>BESS cannot buy from DAM grid as of Feb 2026.</t>
        </is>
      </c>
    </row>
    <row r="60">
      <c r="A60" s="5" t="inlineStr">
        <is>
          <t>FCR / aFRR</t>
        </is>
      </c>
      <c r="B60" t="inlineStr">
        <is>
          <t>Excluded from base</t>
        </is>
      </c>
      <c r="C60" s="70" t="inlineStr">
        <is>
          <t>Requires TSO market framework (not yet in Cyprus).</t>
        </is>
      </c>
    </row>
    <row r="62">
      <c r="A62" s="3" t="inlineStr">
        <is>
          <t>CAPTURE EFFICIENCY LOOKUP TABLE</t>
        </is>
      </c>
    </row>
    <row r="63">
      <c r="A63" s="69" t="inlineStr">
        <is>
          <t>Ratio (Daily Curtailed / BESS MWh)</t>
        </is>
      </c>
      <c r="B63" s="69" t="inlineStr">
        <is>
          <t>Capture Efficiency</t>
        </is>
      </c>
      <c r="C63" s="69" t="inlineStr">
        <is>
          <t>Rationale</t>
        </is>
      </c>
    </row>
    <row r="64">
      <c r="A64" t="inlineStr">
        <is>
          <t>&gt; 1.5</t>
        </is>
      </c>
      <c r="B64" t="inlineStr">
        <is>
          <t>97%</t>
        </is>
      </c>
      <c r="C64" s="70" t="inlineStr">
        <is>
          <t>Abundant surplus — near-guaranteed full daily cycle</t>
        </is>
      </c>
    </row>
    <row r="65">
      <c r="A65" t="inlineStr">
        <is>
          <t>&gt; 1.2</t>
        </is>
      </c>
      <c r="B65" t="inlineStr">
        <is>
          <t>95%</t>
        </is>
      </c>
      <c r="C65" s="70" t="inlineStr">
        <is>
          <t>Strong surplus — very high fill probability</t>
        </is>
      </c>
    </row>
    <row r="66">
      <c r="A66" t="inlineStr">
        <is>
          <t>&gt; 1.0</t>
        </is>
      </c>
      <c r="B66" t="inlineStr">
        <is>
          <t>92%</t>
        </is>
      </c>
      <c r="C66" s="70" t="inlineStr">
        <is>
          <t>Surplus exceeds capacity — reliable daily fill</t>
        </is>
      </c>
    </row>
    <row r="67">
      <c r="A67" t="inlineStr">
        <is>
          <t>&gt; 0.8</t>
        </is>
      </c>
      <c r="B67" t="inlineStr">
        <is>
          <t>88%</t>
        </is>
      </c>
      <c r="C67" s="70" t="inlineStr">
        <is>
          <t>Near-parity — occasional partial cycles</t>
        </is>
      </c>
    </row>
    <row r="68">
      <c r="A68" t="inlineStr">
        <is>
          <t>&gt; 0.6</t>
        </is>
      </c>
      <c r="B68" t="inlineStr">
        <is>
          <t>82%</t>
        </is>
      </c>
      <c r="C68" s="70" t="inlineStr">
        <is>
          <t>Moderate shortfall — frequent partial fills</t>
        </is>
      </c>
    </row>
    <row r="69">
      <c r="A69" t="inlineStr">
        <is>
          <t>&lt; 0.6</t>
        </is>
      </c>
      <c r="B69" t="inlineStr">
        <is>
          <t>72%</t>
        </is>
      </c>
      <c r="C69" s="70" t="inlineStr">
        <is>
          <t>Significant shortfall — many days incomplete 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2026-03-06T17:53:03Z</dcterms:created>
  <dcterms:modified xmlns:dcterms="http://purl.org/dc/terms/" xmlns:xsi="http://www.w3.org/2001/XMLSchema-instance" xsi:type="dcterms:W3CDTF">2026-03-24T14:08:43Z</dcterms:modified>
</cp:coreProperties>
</file>