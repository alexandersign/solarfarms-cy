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LBSA1-IND-FSS1V\Phoenix Energy\Production\Projects\E21082 - Anarita Solar Park\_HandOver Docs\New Owner\Sent to Owner_Dec2025\"/>
    </mc:Choice>
  </mc:AlternateContent>
  <xr:revisionPtr revIDLastSave="0" documentId="13_ncr:1_{9C1A0C34-8A89-4EA1-BC79-668290B94E46}" xr6:coauthVersionLast="47" xr6:coauthVersionMax="47" xr10:uidLastSave="{00000000-0000-0000-0000-000000000000}"/>
  <bookViews>
    <workbookView xWindow="-28920" yWindow="-120" windowWidth="23280" windowHeight="12600" xr2:uid="{015E84AE-137B-4624-A8B7-1F00302F4F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B12" i="2"/>
  <c r="L17" i="1" l="1"/>
  <c r="L18" i="1"/>
  <c r="L19" i="1"/>
  <c r="L20" i="1"/>
  <c r="L16" i="1"/>
  <c r="K16" i="1" l="1"/>
  <c r="N16" i="1" s="1"/>
  <c r="J16" i="1"/>
  <c r="J17" i="1"/>
  <c r="K17" i="1"/>
  <c r="N17" i="1" s="1"/>
  <c r="J18" i="1"/>
  <c r="K18" i="1"/>
  <c r="N18" i="1" s="1"/>
  <c r="J19" i="1"/>
  <c r="K19" i="1"/>
  <c r="J20" i="1"/>
  <c r="K20" i="1"/>
  <c r="N20" i="1" s="1"/>
  <c r="J21" i="1"/>
  <c r="L21" i="1" s="1"/>
  <c r="K21" i="1"/>
  <c r="I17" i="1"/>
  <c r="I18" i="1"/>
  <c r="I19" i="1"/>
  <c r="I20" i="1"/>
  <c r="I21" i="1"/>
  <c r="E16" i="1"/>
  <c r="E17" i="1"/>
  <c r="E18" i="1"/>
  <c r="E19" i="1"/>
  <c r="E20" i="1"/>
  <c r="E21" i="1"/>
  <c r="M21" i="1"/>
  <c r="M20" i="1"/>
  <c r="M19" i="1"/>
  <c r="M18" i="1"/>
  <c r="M17" i="1"/>
  <c r="M16" i="1"/>
  <c r="N21" i="1" l="1"/>
  <c r="N19" i="1"/>
  <c r="I16" i="1"/>
  <c r="K5" i="1" l="1"/>
  <c r="K6" i="1"/>
  <c r="K7" i="1"/>
  <c r="K8" i="1"/>
  <c r="K9" i="1"/>
  <c r="K10" i="1"/>
  <c r="K11" i="1"/>
  <c r="K12" i="1"/>
  <c r="K13" i="1"/>
  <c r="K14" i="1"/>
  <c r="K15" i="1"/>
  <c r="K4" i="1"/>
  <c r="M5" i="1"/>
  <c r="M6" i="1"/>
  <c r="M7" i="1"/>
  <c r="M8" i="1"/>
  <c r="M9" i="1"/>
  <c r="M10" i="1"/>
  <c r="M11" i="1"/>
  <c r="M12" i="1"/>
  <c r="M13" i="1"/>
  <c r="M14" i="1"/>
  <c r="M15" i="1"/>
  <c r="M4" i="1"/>
  <c r="J5" i="1"/>
  <c r="J6" i="1"/>
  <c r="N6" i="1" s="1"/>
  <c r="J7" i="1"/>
  <c r="N7" i="1" s="1"/>
  <c r="J8" i="1"/>
  <c r="J9" i="1"/>
  <c r="J10" i="1"/>
  <c r="J11" i="1"/>
  <c r="N11" i="1" s="1"/>
  <c r="J12" i="1"/>
  <c r="N12" i="1" s="1"/>
  <c r="J13" i="1"/>
  <c r="N13" i="1" s="1"/>
  <c r="J14" i="1"/>
  <c r="N14" i="1" s="1"/>
  <c r="J15" i="1"/>
  <c r="N15" i="1" s="1"/>
  <c r="J4" i="1"/>
  <c r="I15" i="1"/>
  <c r="I14" i="1"/>
  <c r="I13" i="1"/>
  <c r="I12" i="1"/>
  <c r="I11" i="1"/>
  <c r="I10" i="1"/>
  <c r="I9" i="1"/>
  <c r="I8" i="1"/>
  <c r="I7" i="1"/>
  <c r="I6" i="1"/>
  <c r="I5" i="1"/>
  <c r="I4" i="1"/>
  <c r="E5" i="1"/>
  <c r="E6" i="1"/>
  <c r="E7" i="1"/>
  <c r="E8" i="1"/>
  <c r="E9" i="1"/>
  <c r="E10" i="1"/>
  <c r="E11" i="1"/>
  <c r="E12" i="1"/>
  <c r="E13" i="1"/>
  <c r="E14" i="1"/>
  <c r="E15" i="1"/>
  <c r="E4" i="1"/>
  <c r="N9" i="1" l="1"/>
  <c r="N8" i="1"/>
  <c r="N10" i="1"/>
  <c r="N4" i="1"/>
  <c r="N5" i="1"/>
</calcChain>
</file>

<file path=xl/sharedStrings.xml><?xml version="1.0" encoding="utf-8"?>
<sst xmlns="http://schemas.openxmlformats.org/spreadsheetml/2006/main" count="51" uniqueCount="30">
  <si>
    <t>EAST</t>
  </si>
  <si>
    <t>WEST</t>
  </si>
  <si>
    <t>Total</t>
  </si>
  <si>
    <t>Month</t>
  </si>
  <si>
    <t xml:space="preserve">PVSyst Estimation </t>
  </si>
  <si>
    <t xml:space="preserve">Estimated Potential Yield </t>
  </si>
  <si>
    <t>Energy 
Yield</t>
  </si>
  <si>
    <t xml:space="preserve">Estimated Curtailed Energy </t>
  </si>
  <si>
    <t>PVSyst Estimation</t>
  </si>
  <si>
    <t>Estimated Curtailed Energy</t>
  </si>
  <si>
    <t>Estimated Potential Yield</t>
  </si>
  <si>
    <t>kWh</t>
  </si>
  <si>
    <t>%</t>
  </si>
  <si>
    <t>Actual Energy 
Sold (PPA)</t>
  </si>
  <si>
    <t>Not Provided</t>
  </si>
  <si>
    <t>Plant</t>
  </si>
  <si>
    <t>Data Period Start</t>
  </si>
  <si>
    <t>Data Period End</t>
  </si>
  <si>
    <t>Total Missing Points</t>
  </si>
  <si>
    <t>Missing Days Equivalent</t>
  </si>
  <si>
    <t>Days with Missing Data</t>
  </si>
  <si>
    <t>Missing Data %</t>
  </si>
  <si>
    <t>10.53</t>
  </si>
  <si>
    <t>2.68%</t>
  </si>
  <si>
    <t>7.30</t>
  </si>
  <si>
    <t>1.86%</t>
  </si>
  <si>
    <t>Missing time East</t>
  </si>
  <si>
    <t>Missing Time West</t>
  </si>
  <si>
    <t>Energy Yield is based on Meters Readings</t>
  </si>
  <si>
    <t>Total [min]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</si>
</sst>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yyyy\-mm\-dd"/>
    <numFmt numFmtId="166" formatCode="0.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i/>
      <sz val="10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/>
      <right style="medium">
        <color rgb="FFC9C9C9"/>
      </right>
      <top/>
      <bottom style="medium">
        <color rgb="FFC9C9C9"/>
      </bottom>
      <diagonal/>
    </border>
    <border>
      <left style="medium">
        <color indexed="64"/>
      </left>
      <right style="medium">
        <color rgb="FFC9C9C9"/>
      </right>
      <top/>
      <bottom style="medium">
        <color rgb="FFC9C9C9"/>
      </bottom>
      <diagonal/>
    </border>
    <border>
      <left/>
      <right style="medium">
        <color indexed="64"/>
      </right>
      <top/>
      <bottom style="medium">
        <color rgb="FFC9C9C9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C9C9C9"/>
      </right>
      <top style="medium">
        <color indexed="64"/>
      </top>
      <bottom style="medium">
        <color indexed="64"/>
      </bottom>
      <diagonal/>
    </border>
    <border>
      <left/>
      <right style="medium">
        <color rgb="FFC9C9C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C9C9C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C9C9C9"/>
      </right>
      <top/>
      <bottom/>
      <diagonal/>
    </border>
    <border>
      <left/>
      <right style="medium">
        <color rgb="FFC9C9C9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164" fontId="0" fillId="0" borderId="0" xfId="0" applyNumberFormat="1"/>
    <xf numFmtId="3" fontId="6" fillId="0" borderId="1" xfId="0" applyNumberFormat="1" applyFont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9" fontId="6" fillId="0" borderId="3" xfId="1" applyFont="1" applyBorder="1" applyAlignment="1">
      <alignment horizontal="center" vertical="center"/>
    </xf>
    <xf numFmtId="9" fontId="7" fillId="2" borderId="3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wrapText="1"/>
    </xf>
    <xf numFmtId="17" fontId="5" fillId="0" borderId="11" xfId="0" applyNumberFormat="1" applyFont="1" applyBorder="1" applyAlignment="1">
      <alignment horizontal="center" vertical="center"/>
    </xf>
    <xf numFmtId="17" fontId="3" fillId="2" borderId="11" xfId="0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0" fontId="8" fillId="2" borderId="7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center" wrapText="1"/>
    </xf>
    <xf numFmtId="3" fontId="9" fillId="0" borderId="1" xfId="0" applyNumberFormat="1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5" fontId="12" fillId="0" borderId="15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165" fontId="12" fillId="0" borderId="20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7" fillId="2" borderId="22" xfId="0" applyNumberFormat="1" applyFont="1" applyFill="1" applyBorder="1" applyAlignment="1">
      <alignment horizontal="center" vertical="center"/>
    </xf>
    <xf numFmtId="3" fontId="7" fillId="2" borderId="23" xfId="0" applyNumberFormat="1" applyFont="1" applyFill="1" applyBorder="1" applyAlignment="1">
      <alignment horizontal="center" vertical="center"/>
    </xf>
    <xf numFmtId="3" fontId="9" fillId="2" borderId="23" xfId="0" applyNumberFormat="1" applyFont="1" applyFill="1" applyBorder="1" applyAlignment="1">
      <alignment horizontal="center" vertical="center"/>
    </xf>
    <xf numFmtId="9" fontId="7" fillId="2" borderId="24" xfId="1" applyFont="1" applyFill="1" applyBorder="1" applyAlignment="1">
      <alignment horizontal="center" vertical="center"/>
    </xf>
    <xf numFmtId="3" fontId="4" fillId="2" borderId="23" xfId="0" applyNumberFormat="1" applyFont="1" applyFill="1" applyBorder="1" applyAlignment="1">
      <alignment horizontal="center" vertical="center"/>
    </xf>
    <xf numFmtId="17" fontId="3" fillId="2" borderId="25" xfId="0" applyNumberFormat="1" applyFont="1" applyFill="1" applyBorder="1" applyAlignment="1">
      <alignment horizontal="center" vertical="center"/>
    </xf>
    <xf numFmtId="17" fontId="3" fillId="6" borderId="26" xfId="0" applyNumberFormat="1" applyFont="1" applyFill="1" applyBorder="1" applyAlignment="1">
      <alignment horizontal="center" vertical="center"/>
    </xf>
    <xf numFmtId="3" fontId="7" fillId="6" borderId="26" xfId="0" applyNumberFormat="1" applyFont="1" applyFill="1" applyBorder="1" applyAlignment="1">
      <alignment horizontal="center" vertical="center"/>
    </xf>
    <xf numFmtId="3" fontId="9" fillId="6" borderId="26" xfId="0" applyNumberFormat="1" applyFont="1" applyFill="1" applyBorder="1" applyAlignment="1">
      <alignment horizontal="center" vertical="center"/>
    </xf>
    <xf numFmtId="9" fontId="7" fillId="6" borderId="26" xfId="1" applyFont="1" applyFill="1" applyBorder="1" applyAlignment="1">
      <alignment horizontal="center" vertical="center"/>
    </xf>
    <xf numFmtId="3" fontId="4" fillId="6" borderId="26" xfId="0" applyNumberFormat="1" applyFont="1" applyFill="1" applyBorder="1" applyAlignment="1">
      <alignment horizontal="center" vertical="center"/>
    </xf>
    <xf numFmtId="0" fontId="13" fillId="0" borderId="0" xfId="0" applyFont="1"/>
    <xf numFmtId="0" fontId="0" fillId="0" borderId="0" xfId="0" applyAlignment="1">
      <alignment horizontal="center"/>
    </xf>
    <xf numFmtId="17" fontId="7" fillId="0" borderId="0" xfId="0" applyNumberFormat="1" applyFont="1" applyFill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166" fontId="7" fillId="6" borderId="26" xfId="1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6010-9CF8-485F-8DA4-2EA3253681E1}">
  <dimension ref="A1:P21"/>
  <sheetViews>
    <sheetView tabSelected="1" workbookViewId="0">
      <selection activeCell="I21" sqref="I21"/>
    </sheetView>
  </sheetViews>
  <sheetFormatPr defaultColWidth="11.28515625" defaultRowHeight="15" x14ac:dyDescent="0.25"/>
  <cols>
    <col min="1" max="1" width="7.7109375" bestFit="1" customWidth="1"/>
    <col min="2" max="3" width="11.42578125" bestFit="1" customWidth="1"/>
    <col min="4" max="4" width="10.42578125" bestFit="1" customWidth="1"/>
    <col min="5" max="5" width="10" bestFit="1" customWidth="1"/>
    <col min="6" max="6" width="11.42578125" bestFit="1" customWidth="1"/>
    <col min="7" max="7" width="10" bestFit="1" customWidth="1"/>
    <col min="8" max="8" width="10.42578125" bestFit="1" customWidth="1"/>
    <col min="9" max="9" width="10.7109375" bestFit="1" customWidth="1"/>
    <col min="10" max="11" width="11.42578125" bestFit="1" customWidth="1"/>
    <col min="12" max="12" width="11.42578125" customWidth="1"/>
    <col min="13" max="13" width="10.42578125" bestFit="1" customWidth="1"/>
    <col min="14" max="14" width="10.7109375" bestFit="1" customWidth="1"/>
  </cols>
  <sheetData>
    <row r="1" spans="1:16" ht="15.75" thickBot="1" x14ac:dyDescent="0.3">
      <c r="A1" s="16"/>
      <c r="B1" s="56" t="s">
        <v>0</v>
      </c>
      <c r="C1" s="57"/>
      <c r="D1" s="57"/>
      <c r="E1" s="58"/>
      <c r="F1" s="59" t="s">
        <v>1</v>
      </c>
      <c r="G1" s="60"/>
      <c r="H1" s="60"/>
      <c r="I1" s="61"/>
      <c r="J1" s="54" t="s">
        <v>2</v>
      </c>
      <c r="K1" s="54"/>
      <c r="L1" s="54"/>
      <c r="M1" s="54"/>
      <c r="N1" s="55"/>
    </row>
    <row r="2" spans="1:16" ht="39" thickBot="1" x14ac:dyDescent="0.3">
      <c r="A2" s="52" t="s">
        <v>3</v>
      </c>
      <c r="B2" s="10" t="s">
        <v>6</v>
      </c>
      <c r="C2" s="6" t="s">
        <v>5</v>
      </c>
      <c r="D2" s="17" t="s">
        <v>8</v>
      </c>
      <c r="E2" s="7" t="s">
        <v>7</v>
      </c>
      <c r="F2" s="10" t="s">
        <v>6</v>
      </c>
      <c r="G2" s="6" t="s">
        <v>5</v>
      </c>
      <c r="H2" s="17" t="s">
        <v>4</v>
      </c>
      <c r="I2" s="7" t="s">
        <v>9</v>
      </c>
      <c r="J2" s="6" t="s">
        <v>6</v>
      </c>
      <c r="K2" s="6" t="s">
        <v>10</v>
      </c>
      <c r="L2" s="6" t="s">
        <v>13</v>
      </c>
      <c r="M2" s="17" t="s">
        <v>4</v>
      </c>
      <c r="N2" s="7" t="s">
        <v>9</v>
      </c>
    </row>
    <row r="3" spans="1:16" ht="15.75" thickBot="1" x14ac:dyDescent="0.3">
      <c r="A3" s="53"/>
      <c r="B3" s="11" t="s">
        <v>11</v>
      </c>
      <c r="C3" s="8" t="s">
        <v>11</v>
      </c>
      <c r="D3" s="18" t="s">
        <v>11</v>
      </c>
      <c r="E3" s="9" t="s">
        <v>12</v>
      </c>
      <c r="F3" s="11" t="s">
        <v>11</v>
      </c>
      <c r="G3" s="8" t="s">
        <v>11</v>
      </c>
      <c r="H3" s="18" t="s">
        <v>11</v>
      </c>
      <c r="I3" s="9" t="s">
        <v>12</v>
      </c>
      <c r="J3" s="8" t="s">
        <v>11</v>
      </c>
      <c r="K3" s="8" t="s">
        <v>11</v>
      </c>
      <c r="L3" s="8" t="s">
        <v>11</v>
      </c>
      <c r="M3" s="18" t="s">
        <v>11</v>
      </c>
      <c r="N3" s="9" t="s">
        <v>12</v>
      </c>
    </row>
    <row r="4" spans="1:16" ht="15.75" thickBot="1" x14ac:dyDescent="0.3">
      <c r="A4" s="12">
        <v>45413</v>
      </c>
      <c r="B4" s="14">
        <v>507277.42646584183</v>
      </c>
      <c r="C4" s="2">
        <v>907821.37116866361</v>
      </c>
      <c r="D4" s="19">
        <v>957000</v>
      </c>
      <c r="E4" s="4">
        <f>(C4-B4)/C4</f>
        <v>0.44121449155486442</v>
      </c>
      <c r="F4" s="2">
        <v>515846.11954548513</v>
      </c>
      <c r="G4" s="2">
        <v>946466.67528789048</v>
      </c>
      <c r="H4" s="19">
        <v>964000</v>
      </c>
      <c r="I4" s="4">
        <f>(G4-F4)/G4</f>
        <v>0.45497698649709123</v>
      </c>
      <c r="J4" s="2">
        <f>B4+F4</f>
        <v>1023123.546011327</v>
      </c>
      <c r="K4" s="2">
        <f>C4+G4</f>
        <v>1854288.046456554</v>
      </c>
      <c r="L4" s="2">
        <v>1033260</v>
      </c>
      <c r="M4" s="19">
        <f>D4+H4</f>
        <v>1921000</v>
      </c>
      <c r="N4" s="4">
        <f>(K4-J4)/K4</f>
        <v>0.44823915142716808</v>
      </c>
    </row>
    <row r="5" spans="1:16" ht="15.75" thickBot="1" x14ac:dyDescent="0.3">
      <c r="A5" s="13">
        <v>45444</v>
      </c>
      <c r="B5" s="15">
        <v>830563.31618334888</v>
      </c>
      <c r="C5" s="3">
        <v>918215.22134957486</v>
      </c>
      <c r="D5" s="20">
        <v>987000</v>
      </c>
      <c r="E5" s="5">
        <f t="shared" ref="E5:E21" si="0">(C5-B5)/C5</f>
        <v>9.5458998204578774E-2</v>
      </c>
      <c r="F5" s="3">
        <v>839566.04302684497</v>
      </c>
      <c r="G5" s="3">
        <v>969449.08134275314</v>
      </c>
      <c r="H5" s="20">
        <v>1000000</v>
      </c>
      <c r="I5" s="5">
        <f t="shared" ref="I5:I21" si="1">(G5-F5)/G5</f>
        <v>0.1339761322337954</v>
      </c>
      <c r="J5" s="3">
        <f t="shared" ref="J5:J15" si="2">B5+F5</f>
        <v>1670129.3592101939</v>
      </c>
      <c r="K5" s="3">
        <f t="shared" ref="K5:K15" si="3">C5+G5</f>
        <v>1887664.3026923281</v>
      </c>
      <c r="L5" s="3">
        <v>1693113</v>
      </c>
      <c r="M5" s="20">
        <f t="shared" ref="M5:M21" si="4">D5+H5</f>
        <v>1987000</v>
      </c>
      <c r="N5" s="5">
        <f t="shared" ref="N5:N21" si="5">(K5-J5)/K5</f>
        <v>0.11524026977247472</v>
      </c>
    </row>
    <row r="6" spans="1:16" ht="15.75" thickBot="1" x14ac:dyDescent="0.3">
      <c r="A6" s="12">
        <v>45474</v>
      </c>
      <c r="B6" s="14">
        <v>879871.91450297751</v>
      </c>
      <c r="C6" s="2">
        <v>941562.35207468004</v>
      </c>
      <c r="D6" s="19">
        <v>1012000</v>
      </c>
      <c r="E6" s="4">
        <f t="shared" si="0"/>
        <v>6.5519227097144542E-2</v>
      </c>
      <c r="F6" s="2">
        <v>910665.45613962761</v>
      </c>
      <c r="G6" s="2">
        <v>974163.11898040993</v>
      </c>
      <c r="H6" s="19">
        <v>1022200</v>
      </c>
      <c r="I6" s="4">
        <f t="shared" si="1"/>
        <v>6.5181756118257675E-2</v>
      </c>
      <c r="J6" s="2">
        <f t="shared" si="2"/>
        <v>1790537.3706426052</v>
      </c>
      <c r="K6" s="2">
        <f t="shared" si="3"/>
        <v>1915725.47105509</v>
      </c>
      <c r="L6" s="2">
        <v>1769873</v>
      </c>
      <c r="M6" s="19">
        <f t="shared" si="4"/>
        <v>2034200</v>
      </c>
      <c r="N6" s="4">
        <f t="shared" si="5"/>
        <v>6.5347620159550895E-2</v>
      </c>
      <c r="O6" s="1"/>
    </row>
    <row r="7" spans="1:16" ht="15.75" thickBot="1" x14ac:dyDescent="0.3">
      <c r="A7" s="13">
        <v>45505</v>
      </c>
      <c r="B7" s="15">
        <v>863542.26614575495</v>
      </c>
      <c r="C7" s="3">
        <v>875568.25367583835</v>
      </c>
      <c r="D7" s="20">
        <v>975000</v>
      </c>
      <c r="E7" s="5">
        <f t="shared" si="0"/>
        <v>1.3735065746839855E-2</v>
      </c>
      <c r="F7" s="3">
        <v>839241.77093914349</v>
      </c>
      <c r="G7" s="3">
        <v>912632.83693239023</v>
      </c>
      <c r="H7" s="20">
        <v>969000</v>
      </c>
      <c r="I7" s="5">
        <f t="shared" si="1"/>
        <v>8.0416858810312242E-2</v>
      </c>
      <c r="J7" s="3">
        <f t="shared" si="2"/>
        <v>1702784.0370848984</v>
      </c>
      <c r="K7" s="3">
        <f t="shared" si="3"/>
        <v>1788201.0906082285</v>
      </c>
      <c r="L7" s="3">
        <v>1706055</v>
      </c>
      <c r="M7" s="20">
        <f t="shared" si="4"/>
        <v>1944000</v>
      </c>
      <c r="N7" s="5">
        <f t="shared" si="5"/>
        <v>4.7767029095299764E-2</v>
      </c>
    </row>
    <row r="8" spans="1:16" ht="15.75" thickBot="1" x14ac:dyDescent="0.3">
      <c r="A8" s="12">
        <v>45536</v>
      </c>
      <c r="B8" s="14">
        <v>582994.35333333339</v>
      </c>
      <c r="C8" s="2">
        <v>784109.95928375737</v>
      </c>
      <c r="D8" s="19">
        <v>868000</v>
      </c>
      <c r="E8" s="4">
        <f t="shared" si="0"/>
        <v>0.2564890339285224</v>
      </c>
      <c r="F8" s="2">
        <v>642226.10166666668</v>
      </c>
      <c r="G8" s="2">
        <v>804437.06125931058</v>
      </c>
      <c r="H8" s="19">
        <v>856000</v>
      </c>
      <c r="I8" s="4">
        <f t="shared" si="1"/>
        <v>0.20164530875629949</v>
      </c>
      <c r="J8" s="2">
        <f t="shared" si="2"/>
        <v>1225220.4550000001</v>
      </c>
      <c r="K8" s="2">
        <f t="shared" si="3"/>
        <v>1588547.0205430679</v>
      </c>
      <c r="L8" s="2">
        <v>1235495</v>
      </c>
      <c r="M8" s="19">
        <f t="shared" si="4"/>
        <v>1724000</v>
      </c>
      <c r="N8" s="4">
        <f t="shared" si="5"/>
        <v>0.22871628025140822</v>
      </c>
    </row>
    <row r="9" spans="1:16" ht="15.75" thickBot="1" x14ac:dyDescent="0.3">
      <c r="A9" s="13">
        <v>45566</v>
      </c>
      <c r="B9" s="15">
        <v>457364.81493910687</v>
      </c>
      <c r="C9" s="3">
        <v>833305.73097722814</v>
      </c>
      <c r="D9" s="20">
        <v>741000</v>
      </c>
      <c r="E9" s="5">
        <f t="shared" si="0"/>
        <v>0.4511440424119616</v>
      </c>
      <c r="F9" s="3">
        <v>483818.1107983762</v>
      </c>
      <c r="G9" s="3">
        <v>783414.28830904316</v>
      </c>
      <c r="H9" s="20">
        <v>720000</v>
      </c>
      <c r="I9" s="5">
        <f t="shared" si="1"/>
        <v>0.38242368307747987</v>
      </c>
      <c r="J9" s="3">
        <f t="shared" si="2"/>
        <v>941182.92573748308</v>
      </c>
      <c r="K9" s="3">
        <f t="shared" si="3"/>
        <v>1616720.0192862712</v>
      </c>
      <c r="L9" s="3">
        <v>943111</v>
      </c>
      <c r="M9" s="20">
        <f t="shared" si="4"/>
        <v>1461000</v>
      </c>
      <c r="N9" s="5">
        <f t="shared" si="5"/>
        <v>0.41784420647368214</v>
      </c>
    </row>
    <row r="10" spans="1:16" ht="15.75" thickBot="1" x14ac:dyDescent="0.3">
      <c r="A10" s="12">
        <v>45597</v>
      </c>
      <c r="B10" s="14">
        <v>315652.98560400598</v>
      </c>
      <c r="C10" s="2">
        <v>564221.02936617471</v>
      </c>
      <c r="D10" s="19">
        <v>565000</v>
      </c>
      <c r="E10" s="4">
        <f t="shared" si="0"/>
        <v>0.44055083172174742</v>
      </c>
      <c r="F10" s="2">
        <v>329652.98560400581</v>
      </c>
      <c r="G10" s="2">
        <v>595829.27425749437</v>
      </c>
      <c r="H10" s="19">
        <v>543000</v>
      </c>
      <c r="I10" s="4">
        <f t="shared" si="1"/>
        <v>0.44673247883832151</v>
      </c>
      <c r="J10" s="2">
        <f t="shared" si="2"/>
        <v>645305.97120801173</v>
      </c>
      <c r="K10" s="2">
        <f t="shared" si="3"/>
        <v>1160050.3036236691</v>
      </c>
      <c r="L10" s="2">
        <v>650915</v>
      </c>
      <c r="M10" s="19">
        <f t="shared" si="4"/>
        <v>1108000</v>
      </c>
      <c r="N10" s="4">
        <f t="shared" si="5"/>
        <v>0.44372587189343565</v>
      </c>
    </row>
    <row r="11" spans="1:16" ht="15.75" thickBot="1" x14ac:dyDescent="0.3">
      <c r="A11" s="13">
        <v>45627</v>
      </c>
      <c r="B11" s="15">
        <v>358924.49931034492</v>
      </c>
      <c r="C11" s="3">
        <v>476643.53051238699</v>
      </c>
      <c r="D11" s="20">
        <v>472000</v>
      </c>
      <c r="E11" s="5">
        <f t="shared" si="0"/>
        <v>0.24697499004233897</v>
      </c>
      <c r="F11" s="3">
        <v>334731.48904128012</v>
      </c>
      <c r="G11" s="3">
        <v>473993.2512476886</v>
      </c>
      <c r="H11" s="20">
        <v>450000</v>
      </c>
      <c r="I11" s="5">
        <f t="shared" si="1"/>
        <v>0.29380536925331929</v>
      </c>
      <c r="J11" s="3">
        <f t="shared" si="2"/>
        <v>693655.98835162504</v>
      </c>
      <c r="K11" s="3">
        <f t="shared" si="3"/>
        <v>950636.7817600756</v>
      </c>
      <c r="L11" s="3">
        <v>698783</v>
      </c>
      <c r="M11" s="20">
        <f t="shared" si="4"/>
        <v>922000</v>
      </c>
      <c r="N11" s="5">
        <f t="shared" si="5"/>
        <v>0.27032490046583124</v>
      </c>
      <c r="O11" s="1"/>
    </row>
    <row r="12" spans="1:16" ht="15.75" thickBot="1" x14ac:dyDescent="0.3">
      <c r="A12" s="12">
        <v>45658</v>
      </c>
      <c r="B12" s="14">
        <v>296645.04595754237</v>
      </c>
      <c r="C12" s="2">
        <v>607787.30948956765</v>
      </c>
      <c r="D12" s="19">
        <v>487000</v>
      </c>
      <c r="E12" s="4">
        <f t="shared" si="0"/>
        <v>0.51192622595777626</v>
      </c>
      <c r="F12" s="2">
        <v>303161.39415015501</v>
      </c>
      <c r="G12" s="2">
        <v>571511.1354133602</v>
      </c>
      <c r="H12" s="19">
        <v>468000</v>
      </c>
      <c r="I12" s="4">
        <f t="shared" si="1"/>
        <v>0.46954420418967741</v>
      </c>
      <c r="J12" s="2">
        <f t="shared" si="2"/>
        <v>599806.44010769739</v>
      </c>
      <c r="K12" s="2">
        <f t="shared" si="3"/>
        <v>1179298.4449029278</v>
      </c>
      <c r="L12" s="21" t="s">
        <v>14</v>
      </c>
      <c r="M12" s="19">
        <f t="shared" si="4"/>
        <v>955000</v>
      </c>
      <c r="N12" s="4">
        <f t="shared" si="5"/>
        <v>0.4913870677095063</v>
      </c>
    </row>
    <row r="13" spans="1:16" ht="15.75" thickBot="1" x14ac:dyDescent="0.3">
      <c r="A13" s="13">
        <v>45689</v>
      </c>
      <c r="B13" s="15">
        <v>323454.64126228052</v>
      </c>
      <c r="C13" s="3">
        <v>609933.32526220882</v>
      </c>
      <c r="D13" s="20">
        <v>555000</v>
      </c>
      <c r="E13" s="5">
        <f t="shared" si="0"/>
        <v>0.46968852517899695</v>
      </c>
      <c r="F13" s="3">
        <v>331222.35673530138</v>
      </c>
      <c r="G13" s="3">
        <v>588508.06790486851</v>
      </c>
      <c r="H13" s="20">
        <v>531000</v>
      </c>
      <c r="I13" s="5">
        <f t="shared" si="1"/>
        <v>0.4371829804908588</v>
      </c>
      <c r="J13" s="3">
        <f t="shared" si="2"/>
        <v>654676.99799758196</v>
      </c>
      <c r="K13" s="3">
        <f t="shared" si="3"/>
        <v>1198441.3931670773</v>
      </c>
      <c r="L13" s="22" t="s">
        <v>14</v>
      </c>
      <c r="M13" s="20">
        <f t="shared" si="4"/>
        <v>1086000</v>
      </c>
      <c r="N13" s="5">
        <f t="shared" si="5"/>
        <v>0.45372631341822151</v>
      </c>
    </row>
    <row r="14" spans="1:16" ht="15.75" thickBot="1" x14ac:dyDescent="0.3">
      <c r="A14" s="12">
        <v>45717</v>
      </c>
      <c r="B14" s="14">
        <v>272973.34705922351</v>
      </c>
      <c r="C14" s="2">
        <v>832846.56167377706</v>
      </c>
      <c r="D14" s="19">
        <v>765000</v>
      </c>
      <c r="E14" s="4">
        <f t="shared" si="0"/>
        <v>0.67224053070396639</v>
      </c>
      <c r="F14" s="2">
        <v>292702.17564535502</v>
      </c>
      <c r="G14" s="2">
        <v>815173.60128228273</v>
      </c>
      <c r="H14" s="19">
        <v>748000</v>
      </c>
      <c r="I14" s="4">
        <f t="shared" si="1"/>
        <v>0.64093271030253041</v>
      </c>
      <c r="J14" s="2">
        <f t="shared" si="2"/>
        <v>565675.52270457847</v>
      </c>
      <c r="K14" s="2">
        <f t="shared" si="3"/>
        <v>1648020.1629560599</v>
      </c>
      <c r="L14" s="21" t="s">
        <v>14</v>
      </c>
      <c r="M14" s="19">
        <f t="shared" si="4"/>
        <v>1513000</v>
      </c>
      <c r="N14" s="4">
        <f t="shared" si="5"/>
        <v>0.65675448916236301</v>
      </c>
    </row>
    <row r="15" spans="1:16" x14ac:dyDescent="0.25">
      <c r="A15" s="39">
        <v>45748</v>
      </c>
      <c r="B15" s="34">
        <v>278699.22231139638</v>
      </c>
      <c r="C15" s="35">
        <v>862252.36855616327</v>
      </c>
      <c r="D15" s="36">
        <v>837000</v>
      </c>
      <c r="E15" s="37">
        <f t="shared" si="0"/>
        <v>0.67677766687022656</v>
      </c>
      <c r="F15" s="35">
        <v>299202.35028588632</v>
      </c>
      <c r="G15" s="35">
        <v>868288.16092934704</v>
      </c>
      <c r="H15" s="36">
        <v>832000</v>
      </c>
      <c r="I15" s="37">
        <f t="shared" si="1"/>
        <v>0.65541122895693549</v>
      </c>
      <c r="J15" s="35">
        <f t="shared" si="2"/>
        <v>577901.57259728271</v>
      </c>
      <c r="K15" s="35">
        <f t="shared" si="3"/>
        <v>1730540.5294855102</v>
      </c>
      <c r="L15" s="38" t="s">
        <v>14</v>
      </c>
      <c r="M15" s="36">
        <f t="shared" si="4"/>
        <v>1669000</v>
      </c>
      <c r="N15" s="37">
        <f t="shared" si="5"/>
        <v>0.66605718690154403</v>
      </c>
    </row>
    <row r="16" spans="1:16" x14ac:dyDescent="0.25">
      <c r="A16" s="40">
        <v>45778</v>
      </c>
      <c r="B16" s="41">
        <v>414285</v>
      </c>
      <c r="C16" s="41">
        <v>882139.37207122706</v>
      </c>
      <c r="D16" s="42">
        <v>957000</v>
      </c>
      <c r="E16" s="51">
        <f t="shared" si="0"/>
        <v>0.53036332679803666</v>
      </c>
      <c r="F16" s="41">
        <v>436184</v>
      </c>
      <c r="G16" s="41">
        <v>887037.50889857113</v>
      </c>
      <c r="H16" s="42">
        <v>964000</v>
      </c>
      <c r="I16" s="51">
        <f t="shared" si="1"/>
        <v>0.50826882107656657</v>
      </c>
      <c r="J16" s="41">
        <f t="shared" ref="J16:J21" si="6">B16+F16</f>
        <v>850469</v>
      </c>
      <c r="K16" s="41">
        <f t="shared" ref="K16:K21" si="7">C16+G16</f>
        <v>1769176.8809697982</v>
      </c>
      <c r="L16" s="44">
        <f>J16</f>
        <v>850469</v>
      </c>
      <c r="M16" s="42">
        <f>D16+H16</f>
        <v>1921000</v>
      </c>
      <c r="N16" s="43">
        <f t="shared" si="5"/>
        <v>0.51928548855227863</v>
      </c>
      <c r="P16" s="45" t="s">
        <v>28</v>
      </c>
    </row>
    <row r="17" spans="1:14" x14ac:dyDescent="0.25">
      <c r="A17" s="40">
        <v>45809</v>
      </c>
      <c r="B17" s="41">
        <v>678090</v>
      </c>
      <c r="C17" s="41">
        <v>901742.48535282235</v>
      </c>
      <c r="D17" s="42">
        <v>987000</v>
      </c>
      <c r="E17" s="51">
        <f t="shared" si="0"/>
        <v>0.24802256629320779</v>
      </c>
      <c r="F17" s="41">
        <v>697474</v>
      </c>
      <c r="G17" s="41">
        <v>996472.21380632848</v>
      </c>
      <c r="H17" s="42">
        <v>1000000</v>
      </c>
      <c r="I17" s="51">
        <f t="shared" si="1"/>
        <v>0.30005674986582309</v>
      </c>
      <c r="J17" s="41">
        <f t="shared" si="6"/>
        <v>1375564</v>
      </c>
      <c r="K17" s="41">
        <f t="shared" si="7"/>
        <v>1898214.6991591509</v>
      </c>
      <c r="L17" s="44">
        <f t="shared" ref="L17:L21" si="8">J17</f>
        <v>1375564</v>
      </c>
      <c r="M17" s="42">
        <f t="shared" si="4"/>
        <v>1987000</v>
      </c>
      <c r="N17" s="43">
        <f t="shared" si="5"/>
        <v>0.27533803177831712</v>
      </c>
    </row>
    <row r="18" spans="1:14" x14ac:dyDescent="0.25">
      <c r="A18" s="40">
        <v>45839</v>
      </c>
      <c r="B18" s="41">
        <v>708427</v>
      </c>
      <c r="C18" s="41">
        <v>960602.12908079627</v>
      </c>
      <c r="D18" s="42">
        <v>1012000</v>
      </c>
      <c r="E18" s="51">
        <f t="shared" si="0"/>
        <v>0.26251777030944495</v>
      </c>
      <c r="F18" s="41">
        <v>729697</v>
      </c>
      <c r="G18" s="41">
        <v>1007854.9095246443</v>
      </c>
      <c r="H18" s="42">
        <v>1022200</v>
      </c>
      <c r="I18" s="51">
        <f t="shared" si="1"/>
        <v>0.27599003278739564</v>
      </c>
      <c r="J18" s="41">
        <f t="shared" si="6"/>
        <v>1438124</v>
      </c>
      <c r="K18" s="41">
        <f t="shared" si="7"/>
        <v>1968457.0386054404</v>
      </c>
      <c r="L18" s="44">
        <f t="shared" si="8"/>
        <v>1438124</v>
      </c>
      <c r="M18" s="42">
        <f t="shared" si="4"/>
        <v>2034200</v>
      </c>
      <c r="N18" s="43">
        <f t="shared" si="5"/>
        <v>0.26941560227352307</v>
      </c>
    </row>
    <row r="19" spans="1:14" x14ac:dyDescent="0.25">
      <c r="A19" s="40">
        <v>45870</v>
      </c>
      <c r="B19" s="41">
        <v>570543</v>
      </c>
      <c r="C19" s="41">
        <v>934018.42079405661</v>
      </c>
      <c r="D19" s="42">
        <v>975000</v>
      </c>
      <c r="E19" s="51">
        <f t="shared" si="0"/>
        <v>0.38915230438929421</v>
      </c>
      <c r="F19" s="41">
        <v>576584</v>
      </c>
      <c r="G19" s="41">
        <v>943882.21018874669</v>
      </c>
      <c r="H19" s="42">
        <v>969000</v>
      </c>
      <c r="I19" s="51">
        <f t="shared" si="1"/>
        <v>0.38913564237565046</v>
      </c>
      <c r="J19" s="41">
        <f t="shared" si="6"/>
        <v>1147127</v>
      </c>
      <c r="K19" s="41">
        <f t="shared" si="7"/>
        <v>1877900.6309828032</v>
      </c>
      <c r="L19" s="44">
        <f t="shared" si="8"/>
        <v>1147127</v>
      </c>
      <c r="M19" s="42">
        <f t="shared" si="4"/>
        <v>1944000</v>
      </c>
      <c r="N19" s="43">
        <f t="shared" si="5"/>
        <v>0.38914392962334288</v>
      </c>
    </row>
    <row r="20" spans="1:14" x14ac:dyDescent="0.25">
      <c r="A20" s="40">
        <v>45901</v>
      </c>
      <c r="B20" s="41">
        <v>487944</v>
      </c>
      <c r="C20" s="41">
        <v>866948.12326933804</v>
      </c>
      <c r="D20" s="42">
        <v>868000</v>
      </c>
      <c r="E20" s="51">
        <f t="shared" si="0"/>
        <v>0.4371704754836771</v>
      </c>
      <c r="F20" s="41">
        <v>476835</v>
      </c>
      <c r="G20" s="41">
        <v>857646.84966724005</v>
      </c>
      <c r="H20" s="42">
        <v>856000</v>
      </c>
      <c r="I20" s="51">
        <f t="shared" si="1"/>
        <v>0.44401941173688442</v>
      </c>
      <c r="J20" s="41">
        <f t="shared" si="6"/>
        <v>964779</v>
      </c>
      <c r="K20" s="41">
        <f t="shared" si="7"/>
        <v>1724594.9729365781</v>
      </c>
      <c r="L20" s="44">
        <f t="shared" si="8"/>
        <v>964779</v>
      </c>
      <c r="M20" s="42">
        <f t="shared" si="4"/>
        <v>1724000</v>
      </c>
      <c r="N20" s="43">
        <f t="shared" si="5"/>
        <v>0.44057647439548714</v>
      </c>
    </row>
    <row r="21" spans="1:14" x14ac:dyDescent="0.25">
      <c r="A21" s="40">
        <v>45931</v>
      </c>
      <c r="B21" s="41">
        <v>215159</v>
      </c>
      <c r="C21" s="41">
        <v>595886.47038954159</v>
      </c>
      <c r="D21" s="42">
        <v>741000</v>
      </c>
      <c r="E21" s="43">
        <f t="shared" si="0"/>
        <v>0.63892618696419345</v>
      </c>
      <c r="F21" s="41">
        <v>251826</v>
      </c>
      <c r="G21" s="41">
        <v>542806.4385960286</v>
      </c>
      <c r="H21" s="42">
        <v>720000</v>
      </c>
      <c r="I21" s="43">
        <f t="shared" si="1"/>
        <v>0.53606666742688402</v>
      </c>
      <c r="J21" s="41">
        <f t="shared" si="6"/>
        <v>466985</v>
      </c>
      <c r="K21" s="41">
        <f t="shared" si="7"/>
        <v>1138692.9089855701</v>
      </c>
      <c r="L21" s="44">
        <f t="shared" si="8"/>
        <v>466985</v>
      </c>
      <c r="M21" s="42">
        <f t="shared" si="4"/>
        <v>1461000</v>
      </c>
      <c r="N21" s="43">
        <f t="shared" si="5"/>
        <v>0.5898938192071258</v>
      </c>
    </row>
  </sheetData>
  <mergeCells count="4">
    <mergeCell ref="A2:A3"/>
    <mergeCell ref="J1:N1"/>
    <mergeCell ref="B1:E1"/>
    <mergeCell ref="F1:I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8058-1972-4DD7-8132-EB4BF092A75F}">
  <dimension ref="A1:G12"/>
  <sheetViews>
    <sheetView workbookViewId="0">
      <selection activeCell="B11" sqref="B11"/>
    </sheetView>
  </sheetViews>
  <sheetFormatPr defaultColWidth="11" defaultRowHeight="15" x14ac:dyDescent="0.25"/>
  <cols>
    <col min="1" max="1" width="10.42578125" bestFit="1" customWidth="1"/>
    <col min="2" max="3" width="11.5703125" bestFit="1" customWidth="1"/>
    <col min="4" max="4" width="11.140625" bestFit="1" customWidth="1"/>
    <col min="5" max="5" width="13.42578125" customWidth="1"/>
    <col min="6" max="6" width="11.140625" bestFit="1" customWidth="1"/>
  </cols>
  <sheetData>
    <row r="1" spans="1:7" ht="45.75" thickBot="1" x14ac:dyDescent="0.3">
      <c r="A1" s="27" t="s">
        <v>15</v>
      </c>
      <c r="B1" s="28" t="s">
        <v>16</v>
      </c>
      <c r="C1" s="28" t="s">
        <v>17</v>
      </c>
      <c r="D1" s="28" t="s">
        <v>18</v>
      </c>
      <c r="E1" s="28" t="s">
        <v>19</v>
      </c>
      <c r="F1" s="28" t="s">
        <v>20</v>
      </c>
      <c r="G1" s="29" t="s">
        <v>21</v>
      </c>
    </row>
    <row r="2" spans="1:7" x14ac:dyDescent="0.25">
      <c r="A2" s="30" t="s">
        <v>0</v>
      </c>
      <c r="B2" s="31">
        <v>45406</v>
      </c>
      <c r="C2" s="31">
        <v>45799</v>
      </c>
      <c r="D2" s="32">
        <v>15165</v>
      </c>
      <c r="E2" s="32" t="s">
        <v>22</v>
      </c>
      <c r="F2" s="32">
        <v>108</v>
      </c>
      <c r="G2" s="33" t="s">
        <v>23</v>
      </c>
    </row>
    <row r="3" spans="1:7" ht="15.75" thickBot="1" x14ac:dyDescent="0.3">
      <c r="A3" s="23" t="s">
        <v>1</v>
      </c>
      <c r="B3" s="24">
        <v>45406</v>
      </c>
      <c r="C3" s="24">
        <v>45799</v>
      </c>
      <c r="D3" s="25">
        <v>10514</v>
      </c>
      <c r="E3" s="25" t="s">
        <v>24</v>
      </c>
      <c r="F3" s="25">
        <v>90</v>
      </c>
      <c r="G3" s="26" t="s">
        <v>25</v>
      </c>
    </row>
    <row r="5" spans="1:7" ht="30" x14ac:dyDescent="0.25">
      <c r="B5" s="50" t="s">
        <v>26</v>
      </c>
      <c r="C5" s="50" t="s">
        <v>27</v>
      </c>
    </row>
    <row r="6" spans="1:7" x14ac:dyDescent="0.25">
      <c r="A6" s="47">
        <v>45778</v>
      </c>
      <c r="B6" s="46">
        <v>89</v>
      </c>
      <c r="C6" s="46">
        <v>90</v>
      </c>
    </row>
    <row r="7" spans="1:7" x14ac:dyDescent="0.25">
      <c r="A7" s="47">
        <v>45809</v>
      </c>
      <c r="B7" s="46">
        <v>317</v>
      </c>
      <c r="C7" s="46">
        <v>306</v>
      </c>
    </row>
    <row r="8" spans="1:7" x14ac:dyDescent="0.25">
      <c r="A8" s="47">
        <v>45839</v>
      </c>
      <c r="B8" s="46">
        <v>355</v>
      </c>
      <c r="C8" s="46">
        <v>342</v>
      </c>
    </row>
    <row r="9" spans="1:7" x14ac:dyDescent="0.25">
      <c r="A9" s="47">
        <v>45870</v>
      </c>
      <c r="B9" s="46">
        <v>639</v>
      </c>
      <c r="C9" s="46">
        <v>620</v>
      </c>
    </row>
    <row r="10" spans="1:7" x14ac:dyDescent="0.25">
      <c r="A10" s="47">
        <v>45901</v>
      </c>
      <c r="B10" s="46">
        <v>1776</v>
      </c>
      <c r="C10" s="46">
        <v>1766</v>
      </c>
    </row>
    <row r="11" spans="1:7" x14ac:dyDescent="0.25">
      <c r="A11" s="47">
        <v>45931</v>
      </c>
      <c r="B11" s="46">
        <v>212</v>
      </c>
      <c r="C11" s="46">
        <v>212</v>
      </c>
    </row>
    <row r="12" spans="1:7" x14ac:dyDescent="0.25">
      <c r="A12" s="48" t="s">
        <v>29</v>
      </c>
      <c r="B12" s="49">
        <f>SUM(B6:B11)</f>
        <v>3388</v>
      </c>
      <c r="C12" s="49">
        <f>SUM(C6:C11)</f>
        <v>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Procopiou</dc:creator>
  <cp:lastModifiedBy>Charles Berbery</cp:lastModifiedBy>
  <dcterms:created xsi:type="dcterms:W3CDTF">2025-05-22T00:27:06Z</dcterms:created>
  <dcterms:modified xsi:type="dcterms:W3CDTF">2025-12-08T10:36:30Z</dcterms:modified>
</cp:coreProperties>
</file>