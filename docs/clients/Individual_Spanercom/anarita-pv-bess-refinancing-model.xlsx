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mbined Cashflow" sheetId="2" state="visible" r:id="rId2"/>
    <sheet xmlns:r="http://schemas.openxmlformats.org/officeDocument/2006/relationships" name="Debt Schedul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Bankability" sheetId="5" state="visible" r:id="rId5"/>
    <sheet xmlns:r="http://schemas.openxmlformats.org/officeDocument/2006/relationships" name="With vs Without B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0.0%"/>
    <numFmt numFmtId="166" formatCode="€#,##0.00"/>
    <numFmt numFmtId="167" formatCode="0.00&quot;x&quot;"/>
  </numFmts>
  <fonts count="9">
    <font>
      <name val="Calibri"/>
      <family val="2"/>
      <color theme="1"/>
      <sz val="11"/>
      <scheme val="minor"/>
    </font>
    <font>
      <b val="1"/>
      <color rgb="0016213E"/>
      <sz val="14"/>
    </font>
    <font>
      <i val="1"/>
      <color rgb="00666666"/>
    </font>
    <font>
      <b val="1"/>
      <color rgb="0016213E"/>
      <sz val="12"/>
    </font>
    <font>
      <b val="1"/>
      <color rgb="00FFFFFF"/>
      <sz val="11"/>
    </font>
    <font>
      <b val="1"/>
    </font>
    <font>
      <b val="1"/>
      <color rgb="0092400E"/>
    </font>
    <font>
      <b val="1"/>
      <color rgb="00059669"/>
    </font>
    <font>
      <b val="1"/>
      <color rgb="00DC2626"/>
    </font>
  </fonts>
  <fills count="6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FFBEB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 wrapText="1"/>
    </xf>
    <xf numFmtId="10" fontId="0" fillId="0" borderId="0" pivotButton="0" quotePrefix="0" xfId="0"/>
    <xf numFmtId="0" fontId="6" fillId="3" borderId="0" pivotButton="0" quotePrefix="0" xfId="0"/>
    <xf numFmtId="3" fontId="6" fillId="3" borderId="0" pivotButton="0" quotePrefix="0" xfId="0"/>
    <xf numFmtId="164" fontId="5" fillId="0" borderId="0" pivotButton="0" quotePrefix="0" xfId="0"/>
    <xf numFmtId="165" fontId="6" fillId="3" borderId="0" pivotButton="0" quotePrefix="0" xfId="0"/>
    <xf numFmtId="166" fontId="6" fillId="3" borderId="0" pivotButton="0" quotePrefix="0" xfId="0"/>
    <xf numFmtId="164" fontId="6" fillId="3" borderId="0" pivotButton="0" quotePrefix="0" xfId="0"/>
    <xf numFmtId="10" fontId="6" fillId="3" borderId="0" pivotButton="0" quotePrefix="0" xfId="0"/>
    <xf numFmtId="166" fontId="5" fillId="0" borderId="0" pivotButton="0" quotePrefix="0" xfId="0"/>
    <xf numFmtId="9" fontId="6" fillId="3" borderId="0" pivotButton="0" quotePrefix="0" xfId="0"/>
    <xf numFmtId="164" fontId="5" fillId="4" borderId="0" pivotButton="0" quotePrefix="0" xfId="0"/>
    <xf numFmtId="165" fontId="5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7" fontId="7" fillId="0" borderId="0" pivotButton="0" quotePrefix="0" xfId="0"/>
    <xf numFmtId="167" fontId="8" fillId="0" borderId="0" pivotButton="0" quotePrefix="0" xfId="0"/>
    <xf numFmtId="164" fontId="0" fillId="5" borderId="0" pivotButton="0" quotePrefix="0" xfId="0"/>
    <xf numFmtId="9" fontId="4" fillId="2" borderId="0" applyAlignment="1" pivotButton="0" quotePrefix="0" xfId="0">
      <alignment horizontal="center" wrapText="1"/>
    </xf>
    <xf numFmtId="167" fontId="7" fillId="4" borderId="0" pivotButton="0" quotePrefix="0" xfId="0"/>
    <xf numFmtId="164" fontId="0" fillId="4" borderId="0" pivotButton="0" quotePrefix="0" xfId="0"/>
    <xf numFmtId="164" fontId="7" fillId="4" borderId="0" pivotButton="0" quotePrefix="0" xfId="0"/>
    <xf numFmtId="167" fontId="0" fillId="0" borderId="0" pivotButton="0" quotePrefix="0" xfId="0"/>
    <xf numFmtId="165" fontId="7" fillId="0" borderId="0" pivotButton="0" quotePrefix="0" xfId="0"/>
    <xf numFmtId="0" fontId="0" fillId="0" borderId="0" applyAlignment="1" pivotButton="0" quotePrefix="0" xfId="0">
      <alignment wrapText="1"/>
    </xf>
    <xf numFmtId="164" fontId="7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45" customWidth="1" min="4" max="4"/>
  </cols>
  <sheetData>
    <row r="1">
      <c r="A1" s="1" t="inlineStr">
        <is>
          <t>ANARITA 10 MW — PV + BESS REFINANCING MODEL</t>
        </is>
      </c>
    </row>
    <row r="2">
      <c r="A2" t="inlineStr">
        <is>
          <t>Prepared for: Muminjon (Spanercom) | Lighthief Cyprus Ltd | March 2026</t>
        </is>
      </c>
    </row>
    <row r="3">
      <c r="A3" s="2" t="inlineStr">
        <is>
          <t>Yellow cells are modifiable inputs</t>
        </is>
      </c>
    </row>
    <row r="5">
      <c r="A5" s="3" t="inlineStr">
        <is>
          <t>PV PARK</t>
        </is>
      </c>
      <c r="F5" s="4" t="inlineStr">
        <is>
          <t>SOH Data</t>
        </is>
      </c>
    </row>
    <row r="6">
      <c r="A6" s="5" t="inlineStr">
        <is>
          <t>Parameter</t>
        </is>
      </c>
      <c r="B6" s="5" t="inlineStr">
        <is>
          <t>Value</t>
        </is>
      </c>
      <c r="C6" s="5" t="inlineStr">
        <is>
          <t>Unit</t>
        </is>
      </c>
      <c r="D6" s="5" t="inlineStr">
        <is>
          <t>Notes</t>
        </is>
      </c>
      <c r="F6" s="6" t="n">
        <v>1</v>
      </c>
    </row>
    <row r="7">
      <c r="A7" s="4" t="inlineStr">
        <is>
          <t>PV Installed Capacity</t>
        </is>
      </c>
      <c r="B7" s="7" t="n">
        <v>10</v>
      </c>
      <c r="C7" t="inlineStr">
        <is>
          <t>MW</t>
        </is>
      </c>
      <c r="D7" t="inlineStr">
        <is>
          <t>Client</t>
        </is>
      </c>
      <c r="F7" s="6" t="n">
        <v>0.9462</v>
      </c>
    </row>
    <row r="8">
      <c r="A8" s="4" t="inlineStr">
        <is>
          <t>PV Value per MW</t>
        </is>
      </c>
      <c r="B8" s="8" t="n">
        <v>1525000</v>
      </c>
      <c r="C8" t="inlineStr">
        <is>
          <t>EUR/MW</t>
        </is>
      </c>
      <c r="D8" t="inlineStr">
        <is>
          <t>Client estimate</t>
        </is>
      </c>
      <c r="F8" s="6" t="n">
        <v>0.9266</v>
      </c>
    </row>
    <row r="9">
      <c r="A9" s="4" t="inlineStr">
        <is>
          <t>Total PV Asset Value</t>
        </is>
      </c>
      <c r="B9" s="9">
        <f>B7*B8</f>
        <v/>
      </c>
      <c r="C9" t="inlineStr">
        <is>
          <t>EUR</t>
        </is>
      </c>
      <c r="D9">
        <f>B7*B8</f>
        <v/>
      </c>
      <c r="F9" s="6" t="n">
        <v>0.907</v>
      </c>
    </row>
    <row r="10">
      <c r="A10" s="4" t="inlineStr">
        <is>
          <t>Annual PV Production (PVSyst)</t>
        </is>
      </c>
      <c r="B10" s="8" t="n">
        <v>19320</v>
      </c>
      <c r="C10" t="inlineStr">
        <is>
          <t>MWh</t>
        </is>
      </c>
      <c r="D10" t="inlineStr">
        <is>
          <t>Verified May-24 to Oct-25</t>
        </is>
      </c>
      <c r="F10" s="6" t="n">
        <v>0.8874</v>
      </c>
    </row>
    <row r="11">
      <c r="A11" s="4" t="inlineStr">
        <is>
          <t>PV Degradation</t>
        </is>
      </c>
      <c r="B11" s="10" t="n">
        <v>0.005</v>
      </c>
      <c r="D11" t="inlineStr">
        <is>
          <t>0.5%/yr</t>
        </is>
      </c>
      <c r="F11" s="6" t="n">
        <v>0.8678</v>
      </c>
    </row>
    <row r="12">
      <c r="A12" s="4" t="inlineStr">
        <is>
          <t>PV Revenue Price (solar-hour avg)</t>
        </is>
      </c>
      <c r="B12" s="11" t="n">
        <v>140.88</v>
      </c>
      <c r="C12" t="inlineStr">
        <is>
          <t>EUR/MWh</t>
        </is>
      </c>
      <c r="D12" t="inlineStr">
        <is>
          <t>TSOC DAM 134-day verified (06:00-17:00)</t>
        </is>
      </c>
      <c r="F12" s="6" t="n">
        <v>0.8534</v>
      </c>
    </row>
    <row r="13">
      <c r="A13" s="4" t="inlineStr">
        <is>
          <t>PV Annual O&amp;M (estimated)</t>
        </is>
      </c>
      <c r="B13" s="12" t="n">
        <v>90000</v>
      </c>
      <c r="C13" t="inlineStr">
        <is>
          <t>EUR/yr</t>
        </is>
      </c>
      <c r="D13" t="inlineStr">
        <is>
          <t>Industry estimate for 10 MW</t>
        </is>
      </c>
      <c r="F13" s="6" t="n">
        <v>0.839</v>
      </c>
    </row>
    <row r="14">
      <c r="F14" s="6" t="n">
        <v>0.8246</v>
      </c>
    </row>
    <row r="15">
      <c r="A15" s="3" t="inlineStr">
        <is>
          <t>BESS SYSTEM (Option B: 10 MW / 30 MWh)</t>
        </is>
      </c>
      <c r="F15" s="6" t="n">
        <v>0.8102</v>
      </c>
    </row>
    <row r="16">
      <c r="A16" s="4" t="inlineStr">
        <is>
          <t>BESS Power</t>
        </is>
      </c>
      <c r="B16" s="8" t="n">
        <v>10</v>
      </c>
      <c r="C16" t="inlineStr">
        <is>
          <t>MW</t>
        </is>
      </c>
      <c r="F16" s="6" t="n">
        <v>0.7958</v>
      </c>
    </row>
    <row r="17">
      <c r="A17" s="4" t="inlineStr">
        <is>
          <t>BESS Energy</t>
        </is>
      </c>
      <c r="B17" s="8" t="n">
        <v>30</v>
      </c>
      <c r="C17" t="inlineStr">
        <is>
          <t>MWh</t>
        </is>
      </c>
      <c r="D17" t="inlineStr">
        <is>
          <t>6 x 5 MWh containers</t>
        </is>
      </c>
      <c r="F17" s="6" t="n">
        <v>0.7839</v>
      </c>
    </row>
    <row r="18">
      <c r="A18" s="4" t="inlineStr">
        <is>
          <t>BESS Duration</t>
        </is>
      </c>
      <c r="B18" s="7" t="n">
        <v>3</v>
      </c>
      <c r="C18" t="inlineStr">
        <is>
          <t>hours</t>
        </is>
      </c>
      <c r="F18" s="6" t="n">
        <v>0.772</v>
      </c>
    </row>
    <row r="19">
      <c r="A19" s="4" t="inlineStr">
        <is>
          <t>BESS EPC Price</t>
        </is>
      </c>
      <c r="B19" s="12" t="n">
        <v>4040500</v>
      </c>
      <c r="C19" t="inlineStr">
        <is>
          <t>EUR</t>
        </is>
      </c>
      <c r="D19" t="inlineStr">
        <is>
          <t>Offer LCY-OFFER-MUMINJON-2026-03-01</t>
        </is>
      </c>
      <c r="F19" s="6" t="n">
        <v>0.7601</v>
      </c>
    </row>
    <row r="20">
      <c r="A20" s="4" t="inlineStr">
        <is>
          <t>Peak Discharge Price</t>
        </is>
      </c>
      <c r="B20" s="11" t="n">
        <v>182.99</v>
      </c>
      <c r="C20" t="inlineStr">
        <is>
          <t>EUR/MWh</t>
        </is>
      </c>
      <c r="D20" t="inlineStr">
        <is>
          <t>TSOC DAM 134-day avg (17:00-21:00)</t>
        </is>
      </c>
      <c r="F20" s="6" t="n">
        <v>0.7482</v>
      </c>
    </row>
    <row r="21">
      <c r="A21" s="4" t="inlineStr">
        <is>
          <t>Round-Trip Efficiency (RTE)</t>
        </is>
      </c>
      <c r="B21" s="13" t="n">
        <v>0.8632</v>
      </c>
      <c r="D21" t="inlineStr">
        <is>
          <t>Linyang AC-AC full system</t>
        </is>
      </c>
      <c r="F21" s="6" t="n">
        <v>0.7361</v>
      </c>
    </row>
    <row r="22">
      <c r="A22" s="4" t="inlineStr">
        <is>
          <t>Net Revenue per MWh Stored</t>
        </is>
      </c>
      <c r="B22" s="14">
        <f>B20*B21</f>
        <v/>
      </c>
      <c r="C22" t="inlineStr">
        <is>
          <t>EUR/MWh</t>
        </is>
      </c>
      <c r="D22">
        <f>B20*B21</f>
        <v/>
      </c>
    </row>
    <row r="23">
      <c r="A23" s="4" t="inlineStr">
        <is>
          <t>BESS Availability</t>
        </is>
      </c>
      <c r="B23" s="13" t="n">
        <v>0.97</v>
      </c>
      <c r="D23" t="inlineStr">
        <is>
          <t>97% guaranteed (LTSA)</t>
        </is>
      </c>
    </row>
    <row r="24">
      <c r="A24" s="4" t="inlineStr">
        <is>
          <t>Curtailment Rate</t>
        </is>
      </c>
      <c r="B24" s="15" t="n">
        <v>0.5</v>
      </c>
      <c r="D24" t="inlineStr">
        <is>
          <t>Current park baseline (modifiable)</t>
        </is>
      </c>
    </row>
    <row r="25">
      <c r="A25" s="4" t="inlineStr">
        <is>
          <t>LTSA Cost Rate</t>
        </is>
      </c>
      <c r="B25" s="11" t="n">
        <v>2469.59</v>
      </c>
      <c r="C25" t="inlineStr">
        <is>
          <t>EUR/MWh/yr</t>
        </is>
      </c>
      <c r="D25" t="inlineStr">
        <is>
          <t>Confirmed Linyang RFI V3</t>
        </is>
      </c>
    </row>
    <row r="26">
      <c r="A26" s="4" t="inlineStr">
        <is>
          <t>BESS Insurance</t>
        </is>
      </c>
      <c r="B26" s="12" t="n">
        <v>15000</v>
      </c>
      <c r="C26" t="inlineStr">
        <is>
          <t>EUR/yr</t>
        </is>
      </c>
      <c r="D26" t="inlineStr">
        <is>
          <t>Budget estimate</t>
        </is>
      </c>
    </row>
    <row r="27">
      <c r="A27" s="4" t="inlineStr">
        <is>
          <t>BESS Annual O&amp;M</t>
        </is>
      </c>
      <c r="B27" s="9">
        <f>B17*B25+B26</f>
        <v/>
      </c>
      <c r="C27" t="inlineStr">
        <is>
          <t>EUR/yr</t>
        </is>
      </c>
      <c r="D27">
        <f>B17*B25+B26</f>
        <v/>
      </c>
    </row>
    <row r="29">
      <c r="A29" s="3" t="inlineStr">
        <is>
          <t>FINANCING</t>
        </is>
      </c>
    </row>
    <row r="30">
      <c r="A30" s="4" t="inlineStr">
        <is>
          <t>Existing PV Loan Balance</t>
        </is>
      </c>
      <c r="B30" s="12" t="n">
        <v>6000000</v>
      </c>
      <c r="C30" t="inlineStr">
        <is>
          <t>EUR</t>
        </is>
      </c>
      <c r="D30" t="inlineStr">
        <is>
          <t>Current: 10yr (2026-2035), 3.13%, semi-annual €400K installments</t>
        </is>
      </c>
    </row>
    <row r="31">
      <c r="A31" s="4" t="inlineStr">
        <is>
          <t>BESS Investment</t>
        </is>
      </c>
      <c r="B31" s="9">
        <f>B19</f>
        <v/>
      </c>
      <c r="C31" t="inlineStr">
        <is>
          <t>EUR</t>
        </is>
      </c>
      <c r="D31">
        <f>B19</f>
        <v/>
      </c>
    </row>
    <row r="32">
      <c r="A32" s="4" t="inlineStr">
        <is>
          <t>Target LTV</t>
        </is>
      </c>
      <c r="B32" s="15" t="n">
        <v>0.7</v>
      </c>
      <c r="D32" t="inlineStr">
        <is>
          <t>Loan-to-Value target on combined PV+BESS assets</t>
        </is>
      </c>
    </row>
    <row r="33">
      <c r="A33" s="4" t="inlineStr">
        <is>
          <t>Total New Facility</t>
        </is>
      </c>
      <c r="B33" s="16">
        <f>(B9+B19)*B32</f>
        <v/>
      </c>
      <c r="C33" t="inlineStr">
        <is>
          <t>EUR</t>
        </is>
      </c>
      <c r="D33">
        <f> (PV Value + BESS Value) x Target LTV</f>
        <v/>
      </c>
    </row>
    <row r="34">
      <c r="A34" s="4" t="inlineStr">
        <is>
          <t>Interest Rate</t>
        </is>
      </c>
      <c r="B34" s="13" t="n">
        <v>0.0313</v>
      </c>
      <c r="D34" t="inlineStr">
        <is>
          <t>3.13% fixed</t>
        </is>
      </c>
    </row>
    <row r="35">
      <c r="A35" s="4" t="inlineStr">
        <is>
          <t>Loan Term</t>
        </is>
      </c>
      <c r="B35" s="12" t="n">
        <v>15</v>
      </c>
      <c r="C35" t="inlineStr">
        <is>
          <t>years</t>
        </is>
      </c>
      <c r="D35" t="inlineStr">
        <is>
          <t>Matching BESS operational life</t>
        </is>
      </c>
    </row>
    <row r="36">
      <c r="A36" s="4" t="inlineStr">
        <is>
          <t>Annual Annuity Payment</t>
        </is>
      </c>
      <c r="B36" s="16">
        <f>B33*(B34*(1+B34)^B35)/((1+B34)^B35-1)</f>
        <v/>
      </c>
      <c r="C36" t="inlineStr">
        <is>
          <t>EUR</t>
        </is>
      </c>
      <c r="D36" t="inlineStr">
        <is>
          <t>PMT formula: P × r(1+r)^n / ((1+r)^n - 1)</t>
        </is>
      </c>
    </row>
    <row r="37">
      <c r="A37" s="4" t="inlineStr">
        <is>
          <t>Cash Released to Client</t>
        </is>
      </c>
      <c r="B37" s="26">
        <f>B33-B30-B31</f>
        <v/>
      </c>
      <c r="C37" t="inlineStr">
        <is>
          <t>EUR</t>
        </is>
      </c>
      <c r="D37">
        <f> Total Facility - Old Loan Payoff - BESS Cost</f>
        <v/>
      </c>
    </row>
    <row r="38">
      <c r="A38" s="4" t="inlineStr">
        <is>
          <t>LTV (PV only)</t>
        </is>
      </c>
      <c r="B38" s="17">
        <f>B33/B9</f>
        <v/>
      </c>
      <c r="D38" t="inlineStr">
        <is>
          <t>Should be &lt; 80% for most lenders</t>
        </is>
      </c>
    </row>
    <row r="39">
      <c r="A39" s="4" t="inlineStr">
        <is>
          <t>LTV (PV + BESS combined)</t>
        </is>
      </c>
      <c r="B39" s="28">
        <f>B33/(B9+B19)</f>
        <v/>
      </c>
      <c r="D39">
        <f> Target LTV (verification)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15-YEAR COMBINED PV + BESS CASHFLOW</t>
        </is>
      </c>
    </row>
    <row r="2">
      <c r="A2" s="2" t="inlineStr">
        <is>
          <t>All formulas reference the Inputs sheet</t>
        </is>
      </c>
    </row>
    <row r="4">
      <c r="A4" s="5" t="inlineStr">
        <is>
          <t>Year</t>
        </is>
      </c>
      <c r="B4" s="5" t="inlineStr">
        <is>
          <t>PV Prod (MWh)</t>
        </is>
      </c>
      <c r="C4" s="5" t="inlineStr">
        <is>
          <t>PV Revenue (EUR)</t>
        </is>
      </c>
      <c r="D4" s="5" t="inlineStr">
        <is>
          <t>BESS Captured (MWh)</t>
        </is>
      </c>
      <c r="E4" s="5" t="inlineStr">
        <is>
          <t>BESS Dischgd (MWh)</t>
        </is>
      </c>
      <c r="F4" s="5" t="inlineStr">
        <is>
          <t>BESS Revenue (EUR)</t>
        </is>
      </c>
      <c r="G4" s="5" t="inlineStr">
        <is>
          <t>Total Revenue (EUR)</t>
        </is>
      </c>
      <c r="H4" s="5" t="inlineStr">
        <is>
          <t>PV O&amp;M (EUR)</t>
        </is>
      </c>
      <c r="I4" s="5" t="inlineStr">
        <is>
          <t>BESS O&amp;M (EUR)</t>
        </is>
      </c>
      <c r="J4" s="5" t="inlineStr">
        <is>
          <t>EBITDA (EUR)</t>
        </is>
      </c>
      <c r="K4" s="5" t="inlineStr">
        <is>
          <t>Debt Service (EUR)</t>
        </is>
      </c>
      <c r="L4" s="5" t="inlineStr">
        <is>
          <t>Net After Debt (EUR)</t>
        </is>
      </c>
      <c r="M4" s="5" t="inlineStr">
        <is>
          <t>DSCR</t>
        </is>
      </c>
    </row>
    <row r="5">
      <c r="A5" t="n">
        <v>1</v>
      </c>
      <c r="B5" s="18">
        <f>Inputs!B10*(1-Inputs!B11)^(1-1)</f>
        <v/>
      </c>
      <c r="C5" s="19">
        <f>B5*Inputs!B12</f>
        <v/>
      </c>
      <c r="D5" s="18">
        <f>MIN((Inputs!B17*Inputs!$F$7)*365*Inputs!B23,(B5*Inputs!B24)*IF((((B5*Inputs!B24)/365)/(Inputs!B17*Inputs!$F$7))&gt;1.5,0.97,IF((((B5*Inputs!B24)/365)/(Inputs!B17*Inputs!$F$7))&gt;1.2,0.95,IF((((B5*Inputs!B24)/365)/(Inputs!B17*Inputs!$F$7))&gt;1.0,0.92,IF((((B5*Inputs!B24)/365)/(Inputs!B17*Inputs!$F$7))&gt;0.8,0.88,IF((((B5*Inputs!B24)/365)/(Inputs!B17*Inputs!$F$7))&gt;0.6,0.82,0.72)))))*Inputs!B23)</f>
        <v/>
      </c>
      <c r="E5" s="18">
        <f>D5*Inputs!B21</f>
        <v/>
      </c>
      <c r="F5" s="19">
        <f>E5*Inputs!B20</f>
        <v/>
      </c>
      <c r="G5" s="19">
        <f>C5+F5</f>
        <v/>
      </c>
      <c r="H5" s="19">
        <f>Inputs!B13</f>
        <v/>
      </c>
      <c r="I5" s="19">
        <f>Inputs!B27</f>
        <v/>
      </c>
      <c r="J5" s="9">
        <f>G5-H5-I5</f>
        <v/>
      </c>
      <c r="K5" s="19">
        <f>Inputs!B36</f>
        <v/>
      </c>
      <c r="L5" s="16">
        <f>J5-K5</f>
        <v/>
      </c>
      <c r="M5" s="20">
        <f>J5/K5</f>
        <v/>
      </c>
    </row>
    <row r="6">
      <c r="A6" t="n">
        <v>2</v>
      </c>
      <c r="B6" s="18">
        <f>Inputs!B10*(1-Inputs!B11)^(2-1)</f>
        <v/>
      </c>
      <c r="C6" s="19">
        <f>B6*Inputs!B12</f>
        <v/>
      </c>
      <c r="D6" s="18">
        <f>MIN((Inputs!B17*Inputs!$F$8)*365*Inputs!B23,(B6*Inputs!B24)*IF((((B6*Inputs!B24)/365)/(Inputs!B17*Inputs!$F$8))&gt;1.5,0.97,IF((((B6*Inputs!B24)/365)/(Inputs!B17*Inputs!$F$8))&gt;1.2,0.95,IF((((B6*Inputs!B24)/365)/(Inputs!B17*Inputs!$F$8))&gt;1.0,0.92,IF((((B6*Inputs!B24)/365)/(Inputs!B17*Inputs!$F$8))&gt;0.8,0.88,IF((((B6*Inputs!B24)/365)/(Inputs!B17*Inputs!$F$8))&gt;0.6,0.82,0.72)))))*Inputs!B23)</f>
        <v/>
      </c>
      <c r="E6" s="18">
        <f>D6*Inputs!B21</f>
        <v/>
      </c>
      <c r="F6" s="19">
        <f>E6*Inputs!B20</f>
        <v/>
      </c>
      <c r="G6" s="19">
        <f>C6+F6</f>
        <v/>
      </c>
      <c r="H6" s="19">
        <f>Inputs!B13</f>
        <v/>
      </c>
      <c r="I6" s="19">
        <f>Inputs!B27</f>
        <v/>
      </c>
      <c r="J6" s="9">
        <f>G6-H6-I6</f>
        <v/>
      </c>
      <c r="K6" s="19">
        <f>Inputs!B36</f>
        <v/>
      </c>
      <c r="L6" s="16">
        <f>J6-K6</f>
        <v/>
      </c>
      <c r="M6" s="20">
        <f>J6/K6</f>
        <v/>
      </c>
    </row>
    <row r="7">
      <c r="A7" t="n">
        <v>3</v>
      </c>
      <c r="B7" s="18">
        <f>Inputs!B10*(1-Inputs!B11)^(3-1)</f>
        <v/>
      </c>
      <c r="C7" s="19">
        <f>B7*Inputs!B12</f>
        <v/>
      </c>
      <c r="D7" s="18">
        <f>MIN((Inputs!B17*Inputs!$F$9)*365*Inputs!B23,(B7*Inputs!B24)*IF((((B7*Inputs!B24)/365)/(Inputs!B17*Inputs!$F$9))&gt;1.5,0.97,IF((((B7*Inputs!B24)/365)/(Inputs!B17*Inputs!$F$9))&gt;1.2,0.95,IF((((B7*Inputs!B24)/365)/(Inputs!B17*Inputs!$F$9))&gt;1.0,0.92,IF((((B7*Inputs!B24)/365)/(Inputs!B17*Inputs!$F$9))&gt;0.8,0.88,IF((((B7*Inputs!B24)/365)/(Inputs!B17*Inputs!$F$9))&gt;0.6,0.82,0.72)))))*Inputs!B23)</f>
        <v/>
      </c>
      <c r="E7" s="18">
        <f>D7*Inputs!B21</f>
        <v/>
      </c>
      <c r="F7" s="19">
        <f>E7*Inputs!B20</f>
        <v/>
      </c>
      <c r="G7" s="19">
        <f>C7+F7</f>
        <v/>
      </c>
      <c r="H7" s="19">
        <f>Inputs!B13</f>
        <v/>
      </c>
      <c r="I7" s="19">
        <f>Inputs!B27</f>
        <v/>
      </c>
      <c r="J7" s="9">
        <f>G7-H7-I7</f>
        <v/>
      </c>
      <c r="K7" s="19">
        <f>Inputs!B36</f>
        <v/>
      </c>
      <c r="L7" s="16">
        <f>J7-K7</f>
        <v/>
      </c>
      <c r="M7" s="20">
        <f>J7/K7</f>
        <v/>
      </c>
    </row>
    <row r="8">
      <c r="A8" t="n">
        <v>4</v>
      </c>
      <c r="B8" s="18">
        <f>Inputs!B10*(1-Inputs!B11)^(4-1)</f>
        <v/>
      </c>
      <c r="C8" s="19">
        <f>B8*Inputs!B12</f>
        <v/>
      </c>
      <c r="D8" s="18">
        <f>MIN((Inputs!B17*Inputs!$F$10)*365*Inputs!B23,(B8*Inputs!B24)*IF((((B8*Inputs!B24)/365)/(Inputs!B17*Inputs!$F$10))&gt;1.5,0.97,IF((((B8*Inputs!B24)/365)/(Inputs!B17*Inputs!$F$10))&gt;1.2,0.95,IF((((B8*Inputs!B24)/365)/(Inputs!B17*Inputs!$F$10))&gt;1.0,0.92,IF((((B8*Inputs!B24)/365)/(Inputs!B17*Inputs!$F$10))&gt;0.8,0.88,IF((((B8*Inputs!B24)/365)/(Inputs!B17*Inputs!$F$10))&gt;0.6,0.82,0.72)))))*Inputs!B23)</f>
        <v/>
      </c>
      <c r="E8" s="18">
        <f>D8*Inputs!B21</f>
        <v/>
      </c>
      <c r="F8" s="19">
        <f>E8*Inputs!B20</f>
        <v/>
      </c>
      <c r="G8" s="19">
        <f>C8+F8</f>
        <v/>
      </c>
      <c r="H8" s="19">
        <f>Inputs!B13</f>
        <v/>
      </c>
      <c r="I8" s="19">
        <f>Inputs!B27</f>
        <v/>
      </c>
      <c r="J8" s="9">
        <f>G8-H8-I8</f>
        <v/>
      </c>
      <c r="K8" s="19">
        <f>Inputs!B36</f>
        <v/>
      </c>
      <c r="L8" s="16">
        <f>J8-K8</f>
        <v/>
      </c>
      <c r="M8" s="20">
        <f>J8/K8</f>
        <v/>
      </c>
    </row>
    <row r="9">
      <c r="A9" t="n">
        <v>5</v>
      </c>
      <c r="B9" s="18">
        <f>Inputs!B10*(1-Inputs!B11)^(5-1)</f>
        <v/>
      </c>
      <c r="C9" s="19">
        <f>B9*Inputs!B12</f>
        <v/>
      </c>
      <c r="D9" s="18">
        <f>MIN((Inputs!B17*Inputs!$F$11)*365*Inputs!B23,(B9*Inputs!B24)*IF((((B9*Inputs!B24)/365)/(Inputs!B17*Inputs!$F$11))&gt;1.5,0.97,IF((((B9*Inputs!B24)/365)/(Inputs!B17*Inputs!$F$11))&gt;1.2,0.95,IF((((B9*Inputs!B24)/365)/(Inputs!B17*Inputs!$F$11))&gt;1.0,0.92,IF((((B9*Inputs!B24)/365)/(Inputs!B17*Inputs!$F$11))&gt;0.8,0.88,IF((((B9*Inputs!B24)/365)/(Inputs!B17*Inputs!$F$11))&gt;0.6,0.82,0.72)))))*Inputs!B23)</f>
        <v/>
      </c>
      <c r="E9" s="18">
        <f>D9*Inputs!B21</f>
        <v/>
      </c>
      <c r="F9" s="19">
        <f>E9*Inputs!B20</f>
        <v/>
      </c>
      <c r="G9" s="19">
        <f>C9+F9</f>
        <v/>
      </c>
      <c r="H9" s="19">
        <f>Inputs!B13</f>
        <v/>
      </c>
      <c r="I9" s="19">
        <f>Inputs!B27</f>
        <v/>
      </c>
      <c r="J9" s="9">
        <f>G9-H9-I9</f>
        <v/>
      </c>
      <c r="K9" s="19">
        <f>Inputs!B36</f>
        <v/>
      </c>
      <c r="L9" s="16">
        <f>J9-K9</f>
        <v/>
      </c>
      <c r="M9" s="20">
        <f>J9/K9</f>
        <v/>
      </c>
    </row>
    <row r="10">
      <c r="A10" t="n">
        <v>6</v>
      </c>
      <c r="B10" s="18">
        <f>Inputs!B10*(1-Inputs!B11)^(6-1)</f>
        <v/>
      </c>
      <c r="C10" s="19">
        <f>B10*Inputs!B12</f>
        <v/>
      </c>
      <c r="D10" s="18">
        <f>MIN((Inputs!B17*Inputs!$F$12)*365*Inputs!B23,(B10*Inputs!B24)*IF((((B10*Inputs!B24)/365)/(Inputs!B17*Inputs!$F$12))&gt;1.5,0.97,IF((((B10*Inputs!B24)/365)/(Inputs!B17*Inputs!$F$12))&gt;1.2,0.95,IF((((B10*Inputs!B24)/365)/(Inputs!B17*Inputs!$F$12))&gt;1.0,0.92,IF((((B10*Inputs!B24)/365)/(Inputs!B17*Inputs!$F$12))&gt;0.8,0.88,IF((((B10*Inputs!B24)/365)/(Inputs!B17*Inputs!$F$12))&gt;0.6,0.82,0.72)))))*Inputs!B23)</f>
        <v/>
      </c>
      <c r="E10" s="18">
        <f>D10*Inputs!B21</f>
        <v/>
      </c>
      <c r="F10" s="19">
        <f>E10*Inputs!B20</f>
        <v/>
      </c>
      <c r="G10" s="19">
        <f>C10+F10</f>
        <v/>
      </c>
      <c r="H10" s="19">
        <f>Inputs!B13</f>
        <v/>
      </c>
      <c r="I10" s="19">
        <f>Inputs!B27</f>
        <v/>
      </c>
      <c r="J10" s="9">
        <f>G10-H10-I10</f>
        <v/>
      </c>
      <c r="K10" s="19">
        <f>Inputs!B36</f>
        <v/>
      </c>
      <c r="L10" s="16">
        <f>J10-K10</f>
        <v/>
      </c>
      <c r="M10" s="20">
        <f>J10/K10</f>
        <v/>
      </c>
    </row>
    <row r="11">
      <c r="A11" t="n">
        <v>7</v>
      </c>
      <c r="B11" s="18">
        <f>Inputs!B10*(1-Inputs!B11)^(7-1)</f>
        <v/>
      </c>
      <c r="C11" s="19">
        <f>B11*Inputs!B12</f>
        <v/>
      </c>
      <c r="D11" s="18">
        <f>MIN((Inputs!B17*Inputs!$F$13)*365*Inputs!B23,(B11*Inputs!B24)*IF((((B11*Inputs!B24)/365)/(Inputs!B17*Inputs!$F$13))&gt;1.5,0.97,IF((((B11*Inputs!B24)/365)/(Inputs!B17*Inputs!$F$13))&gt;1.2,0.95,IF((((B11*Inputs!B24)/365)/(Inputs!B17*Inputs!$F$13))&gt;1.0,0.92,IF((((B11*Inputs!B24)/365)/(Inputs!B17*Inputs!$F$13))&gt;0.8,0.88,IF((((B11*Inputs!B24)/365)/(Inputs!B17*Inputs!$F$13))&gt;0.6,0.82,0.72)))))*Inputs!B23)</f>
        <v/>
      </c>
      <c r="E11" s="18">
        <f>D11*Inputs!B21</f>
        <v/>
      </c>
      <c r="F11" s="19">
        <f>E11*Inputs!B20</f>
        <v/>
      </c>
      <c r="G11" s="19">
        <f>C11+F11</f>
        <v/>
      </c>
      <c r="H11" s="19">
        <f>Inputs!B13</f>
        <v/>
      </c>
      <c r="I11" s="19">
        <f>Inputs!B27</f>
        <v/>
      </c>
      <c r="J11" s="9">
        <f>G11-H11-I11</f>
        <v/>
      </c>
      <c r="K11" s="19">
        <f>Inputs!B36</f>
        <v/>
      </c>
      <c r="L11" s="16">
        <f>J11-K11</f>
        <v/>
      </c>
      <c r="M11" s="20">
        <f>J11/K11</f>
        <v/>
      </c>
    </row>
    <row r="12">
      <c r="A12" t="n">
        <v>8</v>
      </c>
      <c r="B12" s="18">
        <f>Inputs!B10*(1-Inputs!B11)^(8-1)</f>
        <v/>
      </c>
      <c r="C12" s="19">
        <f>B12*Inputs!B12</f>
        <v/>
      </c>
      <c r="D12" s="18">
        <f>MIN((Inputs!B17*Inputs!$F$14)*365*Inputs!B23,(B12*Inputs!B24)*IF((((B12*Inputs!B24)/365)/(Inputs!B17*Inputs!$F$14))&gt;1.5,0.97,IF((((B12*Inputs!B24)/365)/(Inputs!B17*Inputs!$F$14))&gt;1.2,0.95,IF((((B12*Inputs!B24)/365)/(Inputs!B17*Inputs!$F$14))&gt;1.0,0.92,IF((((B12*Inputs!B24)/365)/(Inputs!B17*Inputs!$F$14))&gt;0.8,0.88,IF((((B12*Inputs!B24)/365)/(Inputs!B17*Inputs!$F$14))&gt;0.6,0.82,0.72)))))*Inputs!B23)</f>
        <v/>
      </c>
      <c r="E12" s="18">
        <f>D12*Inputs!B21</f>
        <v/>
      </c>
      <c r="F12" s="19">
        <f>E12*Inputs!B20</f>
        <v/>
      </c>
      <c r="G12" s="19">
        <f>C12+F12</f>
        <v/>
      </c>
      <c r="H12" s="19">
        <f>Inputs!B13</f>
        <v/>
      </c>
      <c r="I12" s="19">
        <f>Inputs!B27</f>
        <v/>
      </c>
      <c r="J12" s="9">
        <f>G12-H12-I12</f>
        <v/>
      </c>
      <c r="K12" s="19">
        <f>Inputs!B36</f>
        <v/>
      </c>
      <c r="L12" s="16">
        <f>J12-K12</f>
        <v/>
      </c>
      <c r="M12" s="20">
        <f>J12/K12</f>
        <v/>
      </c>
    </row>
    <row r="13">
      <c r="A13" t="n">
        <v>9</v>
      </c>
      <c r="B13" s="18">
        <f>Inputs!B10*(1-Inputs!B11)^(9-1)</f>
        <v/>
      </c>
      <c r="C13" s="19">
        <f>B13*Inputs!B12</f>
        <v/>
      </c>
      <c r="D13" s="18">
        <f>MIN((Inputs!B17*Inputs!$F$15)*365*Inputs!B23,(B13*Inputs!B24)*IF((((B13*Inputs!B24)/365)/(Inputs!B17*Inputs!$F$15))&gt;1.5,0.97,IF((((B13*Inputs!B24)/365)/(Inputs!B17*Inputs!$F$15))&gt;1.2,0.95,IF((((B13*Inputs!B24)/365)/(Inputs!B17*Inputs!$F$15))&gt;1.0,0.92,IF((((B13*Inputs!B24)/365)/(Inputs!B17*Inputs!$F$15))&gt;0.8,0.88,IF((((B13*Inputs!B24)/365)/(Inputs!B17*Inputs!$F$15))&gt;0.6,0.82,0.72)))))*Inputs!B23)</f>
        <v/>
      </c>
      <c r="E13" s="18">
        <f>D13*Inputs!B21</f>
        <v/>
      </c>
      <c r="F13" s="19">
        <f>E13*Inputs!B20</f>
        <v/>
      </c>
      <c r="G13" s="19">
        <f>C13+F13</f>
        <v/>
      </c>
      <c r="H13" s="19">
        <f>Inputs!B13</f>
        <v/>
      </c>
      <c r="I13" s="19">
        <f>Inputs!B27</f>
        <v/>
      </c>
      <c r="J13" s="9">
        <f>G13-H13-I13</f>
        <v/>
      </c>
      <c r="K13" s="19">
        <f>Inputs!B36</f>
        <v/>
      </c>
      <c r="L13" s="16">
        <f>J13-K13</f>
        <v/>
      </c>
      <c r="M13" s="20">
        <f>J13/K13</f>
        <v/>
      </c>
    </row>
    <row r="14">
      <c r="A14" t="n">
        <v>10</v>
      </c>
      <c r="B14" s="18">
        <f>Inputs!B10*(1-Inputs!B11)^(10-1)</f>
        <v/>
      </c>
      <c r="C14" s="19">
        <f>B14*Inputs!B12</f>
        <v/>
      </c>
      <c r="D14" s="18">
        <f>MIN((Inputs!B17*Inputs!$F$16)*365*Inputs!B23,(B14*Inputs!B24)*IF((((B14*Inputs!B24)/365)/(Inputs!B17*Inputs!$F$16))&gt;1.5,0.97,IF((((B14*Inputs!B24)/365)/(Inputs!B17*Inputs!$F$16))&gt;1.2,0.95,IF((((B14*Inputs!B24)/365)/(Inputs!B17*Inputs!$F$16))&gt;1.0,0.92,IF((((B14*Inputs!B24)/365)/(Inputs!B17*Inputs!$F$16))&gt;0.8,0.88,IF((((B14*Inputs!B24)/365)/(Inputs!B17*Inputs!$F$16))&gt;0.6,0.82,0.72)))))*Inputs!B23)</f>
        <v/>
      </c>
      <c r="E14" s="18">
        <f>D14*Inputs!B21</f>
        <v/>
      </c>
      <c r="F14" s="19">
        <f>E14*Inputs!B20</f>
        <v/>
      </c>
      <c r="G14" s="19">
        <f>C14+F14</f>
        <v/>
      </c>
      <c r="H14" s="19">
        <f>Inputs!B13</f>
        <v/>
      </c>
      <c r="I14" s="19">
        <f>Inputs!B27</f>
        <v/>
      </c>
      <c r="J14" s="9">
        <f>G14-H14-I14</f>
        <v/>
      </c>
      <c r="K14" s="19">
        <f>Inputs!B36</f>
        <v/>
      </c>
      <c r="L14" s="16">
        <f>J14-K14</f>
        <v/>
      </c>
      <c r="M14" s="20">
        <f>J14/K14</f>
        <v/>
      </c>
    </row>
    <row r="15">
      <c r="A15" t="n">
        <v>11</v>
      </c>
      <c r="B15" s="18">
        <f>Inputs!B10*(1-Inputs!B11)^(11-1)</f>
        <v/>
      </c>
      <c r="C15" s="19">
        <f>B15*Inputs!B12</f>
        <v/>
      </c>
      <c r="D15" s="18">
        <f>MIN((Inputs!B17*Inputs!$F$17)*365*Inputs!B23,(B15*Inputs!B24)*IF((((B15*Inputs!B24)/365)/(Inputs!B17*Inputs!$F$17))&gt;1.5,0.97,IF((((B15*Inputs!B24)/365)/(Inputs!B17*Inputs!$F$17))&gt;1.2,0.95,IF((((B15*Inputs!B24)/365)/(Inputs!B17*Inputs!$F$17))&gt;1.0,0.92,IF((((B15*Inputs!B24)/365)/(Inputs!B17*Inputs!$F$17))&gt;0.8,0.88,IF((((B15*Inputs!B24)/365)/(Inputs!B17*Inputs!$F$17))&gt;0.6,0.82,0.72)))))*Inputs!B23)</f>
        <v/>
      </c>
      <c r="E15" s="18">
        <f>D15*Inputs!B21</f>
        <v/>
      </c>
      <c r="F15" s="19">
        <f>E15*Inputs!B20</f>
        <v/>
      </c>
      <c r="G15" s="19">
        <f>C15+F15</f>
        <v/>
      </c>
      <c r="H15" s="19">
        <f>Inputs!B13</f>
        <v/>
      </c>
      <c r="I15" s="19">
        <f>Inputs!B27</f>
        <v/>
      </c>
      <c r="J15" s="9">
        <f>G15-H15-I15</f>
        <v/>
      </c>
      <c r="K15" s="19">
        <f>Inputs!B36</f>
        <v/>
      </c>
      <c r="L15" s="16">
        <f>J15-K15</f>
        <v/>
      </c>
      <c r="M15" s="20">
        <f>J15/K15</f>
        <v/>
      </c>
    </row>
    <row r="16">
      <c r="A16" t="n">
        <v>12</v>
      </c>
      <c r="B16" s="18">
        <f>Inputs!B10*(1-Inputs!B11)^(12-1)</f>
        <v/>
      </c>
      <c r="C16" s="19">
        <f>B16*Inputs!B12</f>
        <v/>
      </c>
      <c r="D16" s="18">
        <f>MIN((Inputs!B17*Inputs!$F$18)*365*Inputs!B23,(B16*Inputs!B24)*IF((((B16*Inputs!B24)/365)/(Inputs!B17*Inputs!$F$18))&gt;1.5,0.97,IF((((B16*Inputs!B24)/365)/(Inputs!B17*Inputs!$F$18))&gt;1.2,0.95,IF((((B16*Inputs!B24)/365)/(Inputs!B17*Inputs!$F$18))&gt;1.0,0.92,IF((((B16*Inputs!B24)/365)/(Inputs!B17*Inputs!$F$18))&gt;0.8,0.88,IF((((B16*Inputs!B24)/365)/(Inputs!B17*Inputs!$F$18))&gt;0.6,0.82,0.72)))))*Inputs!B23)</f>
        <v/>
      </c>
      <c r="E16" s="18">
        <f>D16*Inputs!B21</f>
        <v/>
      </c>
      <c r="F16" s="19">
        <f>E16*Inputs!B20</f>
        <v/>
      </c>
      <c r="G16" s="19">
        <f>C16+F16</f>
        <v/>
      </c>
      <c r="H16" s="19">
        <f>Inputs!B13</f>
        <v/>
      </c>
      <c r="I16" s="19">
        <f>Inputs!B27</f>
        <v/>
      </c>
      <c r="J16" s="9">
        <f>G16-H16-I16</f>
        <v/>
      </c>
      <c r="K16" s="19">
        <f>Inputs!B36</f>
        <v/>
      </c>
      <c r="L16" s="16">
        <f>J16-K16</f>
        <v/>
      </c>
      <c r="M16" s="20">
        <f>J16/K16</f>
        <v/>
      </c>
    </row>
    <row r="17">
      <c r="A17" t="n">
        <v>13</v>
      </c>
      <c r="B17" s="18">
        <f>Inputs!B10*(1-Inputs!B11)^(13-1)</f>
        <v/>
      </c>
      <c r="C17" s="19">
        <f>B17*Inputs!B12</f>
        <v/>
      </c>
      <c r="D17" s="18">
        <f>MIN((Inputs!B17*Inputs!$F$19)*365*Inputs!B23,(B17*Inputs!B24)*IF((((B17*Inputs!B24)/365)/(Inputs!B17*Inputs!$F$19))&gt;1.5,0.97,IF((((B17*Inputs!B24)/365)/(Inputs!B17*Inputs!$F$19))&gt;1.2,0.95,IF((((B17*Inputs!B24)/365)/(Inputs!B17*Inputs!$F$19))&gt;1.0,0.92,IF((((B17*Inputs!B24)/365)/(Inputs!B17*Inputs!$F$19))&gt;0.8,0.88,IF((((B17*Inputs!B24)/365)/(Inputs!B17*Inputs!$F$19))&gt;0.6,0.82,0.72)))))*Inputs!B23)</f>
        <v/>
      </c>
      <c r="E17" s="18">
        <f>D17*Inputs!B21</f>
        <v/>
      </c>
      <c r="F17" s="19">
        <f>E17*Inputs!B20</f>
        <v/>
      </c>
      <c r="G17" s="19">
        <f>C17+F17</f>
        <v/>
      </c>
      <c r="H17" s="19">
        <f>Inputs!B13</f>
        <v/>
      </c>
      <c r="I17" s="19">
        <f>Inputs!B27</f>
        <v/>
      </c>
      <c r="J17" s="9">
        <f>G17-H17-I17</f>
        <v/>
      </c>
      <c r="K17" s="19">
        <f>Inputs!B36</f>
        <v/>
      </c>
      <c r="L17" s="16">
        <f>J17-K17</f>
        <v/>
      </c>
      <c r="M17" s="20">
        <f>J17/K17</f>
        <v/>
      </c>
    </row>
    <row r="18">
      <c r="A18" t="n">
        <v>14</v>
      </c>
      <c r="B18" s="18">
        <f>Inputs!B10*(1-Inputs!B11)^(14-1)</f>
        <v/>
      </c>
      <c r="C18" s="19">
        <f>B18*Inputs!B12</f>
        <v/>
      </c>
      <c r="D18" s="18">
        <f>MIN((Inputs!B17*Inputs!$F$20)*365*Inputs!B23,(B18*Inputs!B24)*IF((((B18*Inputs!B24)/365)/(Inputs!B17*Inputs!$F$20))&gt;1.5,0.97,IF((((B18*Inputs!B24)/365)/(Inputs!B17*Inputs!$F$20))&gt;1.2,0.95,IF((((B18*Inputs!B24)/365)/(Inputs!B17*Inputs!$F$20))&gt;1.0,0.92,IF((((B18*Inputs!B24)/365)/(Inputs!B17*Inputs!$F$20))&gt;0.8,0.88,IF((((B18*Inputs!B24)/365)/(Inputs!B17*Inputs!$F$20))&gt;0.6,0.82,0.72)))))*Inputs!B23)</f>
        <v/>
      </c>
      <c r="E18" s="18">
        <f>D18*Inputs!B21</f>
        <v/>
      </c>
      <c r="F18" s="19">
        <f>E18*Inputs!B20</f>
        <v/>
      </c>
      <c r="G18" s="19">
        <f>C18+F18</f>
        <v/>
      </c>
      <c r="H18" s="19">
        <f>Inputs!B13</f>
        <v/>
      </c>
      <c r="I18" s="19">
        <f>Inputs!B27</f>
        <v/>
      </c>
      <c r="J18" s="9">
        <f>G18-H18-I18</f>
        <v/>
      </c>
      <c r="K18" s="19">
        <f>Inputs!B36</f>
        <v/>
      </c>
      <c r="L18" s="16">
        <f>J18-K18</f>
        <v/>
      </c>
      <c r="M18" s="20">
        <f>J18/K18</f>
        <v/>
      </c>
    </row>
    <row r="19">
      <c r="A19" t="n">
        <v>15</v>
      </c>
      <c r="B19" s="18">
        <f>Inputs!B10*(1-Inputs!B11)^(15-1)</f>
        <v/>
      </c>
      <c r="C19" s="19">
        <f>B19*Inputs!B12</f>
        <v/>
      </c>
      <c r="D19" s="18">
        <f>MIN((Inputs!B17*Inputs!$F$21)*365*Inputs!B23,(B19*Inputs!B24)*IF((((B19*Inputs!B24)/365)/(Inputs!B17*Inputs!$F$21))&gt;1.5,0.97,IF((((B19*Inputs!B24)/365)/(Inputs!B17*Inputs!$F$21))&gt;1.2,0.95,IF((((B19*Inputs!B24)/365)/(Inputs!B17*Inputs!$F$21))&gt;1.0,0.92,IF((((B19*Inputs!B24)/365)/(Inputs!B17*Inputs!$F$21))&gt;0.8,0.88,IF((((B19*Inputs!B24)/365)/(Inputs!B17*Inputs!$F$21))&gt;0.6,0.82,0.72)))))*Inputs!B23)</f>
        <v/>
      </c>
      <c r="E19" s="18">
        <f>D19*Inputs!B21</f>
        <v/>
      </c>
      <c r="F19" s="19">
        <f>E19*Inputs!B20</f>
        <v/>
      </c>
      <c r="G19" s="19">
        <f>C19+F19</f>
        <v/>
      </c>
      <c r="H19" s="19">
        <f>Inputs!B13</f>
        <v/>
      </c>
      <c r="I19" s="19">
        <f>Inputs!B27</f>
        <v/>
      </c>
      <c r="J19" s="9">
        <f>G19-H19-I19</f>
        <v/>
      </c>
      <c r="K19" s="19">
        <f>Inputs!B36</f>
        <v/>
      </c>
      <c r="L19" s="16">
        <f>J19-K19</f>
        <v/>
      </c>
      <c r="M19" s="20">
        <f>J19/K19</f>
        <v/>
      </c>
    </row>
    <row r="21">
      <c r="A21" s="4" t="inlineStr">
        <is>
          <t>TOTAL</t>
        </is>
      </c>
      <c r="C21" s="9">
        <f>SUM(C5:C19)</f>
        <v/>
      </c>
      <c r="F21" s="9">
        <f>SUM(F5:F19)</f>
        <v/>
      </c>
      <c r="G21" s="9">
        <f>SUM(G5:G19)</f>
        <v/>
      </c>
      <c r="H21" s="9">
        <f>SUM(H5:H19)</f>
        <v/>
      </c>
      <c r="I21" s="9">
        <f>SUM(I5:I19)</f>
        <v/>
      </c>
      <c r="J21" s="9">
        <f>SUM(J5:J19)</f>
        <v/>
      </c>
      <c r="K21" s="9">
        <f>SUM(K5:K19)</f>
        <v/>
      </c>
      <c r="L21" s="9">
        <f>SUM(L5:L19)</f>
        <v/>
      </c>
      <c r="M21" s="20">
        <f>AVERAGE(M5:M19)</f>
        <v/>
      </c>
    </row>
    <row r="22">
      <c r="A22" s="4" t="inlineStr">
        <is>
          <t>MIN DSCR</t>
        </is>
      </c>
      <c r="M22" s="21">
        <f>MIN(M5:M19)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DEBT AMORTISATION SCHEDULE</t>
        </is>
      </c>
    </row>
    <row r="3">
      <c r="A3" s="5" t="inlineStr">
        <is>
          <t>Year</t>
        </is>
      </c>
      <c r="B3" s="5" t="inlineStr">
        <is>
          <t>Opening Balance</t>
        </is>
      </c>
      <c r="C3" s="5" t="inlineStr">
        <is>
          <t>Interest (3.13%)</t>
        </is>
      </c>
      <c r="D3" s="5" t="inlineStr">
        <is>
          <t>Principal</t>
        </is>
      </c>
      <c r="E3" s="5" t="inlineStr">
        <is>
          <t>Annuity Payment</t>
        </is>
      </c>
      <c r="F3" s="5" t="inlineStr">
        <is>
          <t>Closing Balance</t>
        </is>
      </c>
    </row>
    <row r="4">
      <c r="A4" t="n">
        <v>1</v>
      </c>
      <c r="B4" s="19">
        <f>Inputs!B33</f>
        <v/>
      </c>
      <c r="C4" s="19">
        <f>B4*Inputs!B34</f>
        <v/>
      </c>
      <c r="D4" s="19">
        <f>E4-C4</f>
        <v/>
      </c>
      <c r="E4" s="19">
        <f>Inputs!B36</f>
        <v/>
      </c>
      <c r="F4" s="19">
        <f>B4-D4</f>
        <v/>
      </c>
    </row>
    <row r="5">
      <c r="A5" t="n">
        <v>2</v>
      </c>
      <c r="B5" s="19">
        <f>F4</f>
        <v/>
      </c>
      <c r="C5" s="19">
        <f>B5*Inputs!B34</f>
        <v/>
      </c>
      <c r="D5" s="19">
        <f>E5-C5</f>
        <v/>
      </c>
      <c r="E5" s="19">
        <f>Inputs!B36</f>
        <v/>
      </c>
      <c r="F5" s="19">
        <f>B5-D5</f>
        <v/>
      </c>
    </row>
    <row r="6">
      <c r="A6" t="n">
        <v>3</v>
      </c>
      <c r="B6" s="19">
        <f>F5</f>
        <v/>
      </c>
      <c r="C6" s="19">
        <f>B6*Inputs!B34</f>
        <v/>
      </c>
      <c r="D6" s="19">
        <f>E6-C6</f>
        <v/>
      </c>
      <c r="E6" s="19">
        <f>Inputs!B36</f>
        <v/>
      </c>
      <c r="F6" s="19">
        <f>B6-D6</f>
        <v/>
      </c>
    </row>
    <row r="7">
      <c r="A7" t="n">
        <v>4</v>
      </c>
      <c r="B7" s="19">
        <f>F6</f>
        <v/>
      </c>
      <c r="C7" s="19">
        <f>B7*Inputs!B34</f>
        <v/>
      </c>
      <c r="D7" s="19">
        <f>E7-C7</f>
        <v/>
      </c>
      <c r="E7" s="19">
        <f>Inputs!B36</f>
        <v/>
      </c>
      <c r="F7" s="19">
        <f>B7-D7</f>
        <v/>
      </c>
    </row>
    <row r="8">
      <c r="A8" t="n">
        <v>5</v>
      </c>
      <c r="B8" s="19">
        <f>F7</f>
        <v/>
      </c>
      <c r="C8" s="19">
        <f>B8*Inputs!B34</f>
        <v/>
      </c>
      <c r="D8" s="19">
        <f>E8-C8</f>
        <v/>
      </c>
      <c r="E8" s="19">
        <f>Inputs!B36</f>
        <v/>
      </c>
      <c r="F8" s="19">
        <f>B8-D8</f>
        <v/>
      </c>
    </row>
    <row r="9">
      <c r="A9" t="n">
        <v>6</v>
      </c>
      <c r="B9" s="19">
        <f>F8</f>
        <v/>
      </c>
      <c r="C9" s="19">
        <f>B9*Inputs!B34</f>
        <v/>
      </c>
      <c r="D9" s="19">
        <f>E9-C9</f>
        <v/>
      </c>
      <c r="E9" s="19">
        <f>Inputs!B36</f>
        <v/>
      </c>
      <c r="F9" s="19">
        <f>B9-D9</f>
        <v/>
      </c>
    </row>
    <row r="10">
      <c r="A10" t="n">
        <v>7</v>
      </c>
      <c r="B10" s="19">
        <f>F9</f>
        <v/>
      </c>
      <c r="C10" s="19">
        <f>B10*Inputs!B34</f>
        <v/>
      </c>
      <c r="D10" s="19">
        <f>E10-C10</f>
        <v/>
      </c>
      <c r="E10" s="19">
        <f>Inputs!B36</f>
        <v/>
      </c>
      <c r="F10" s="19">
        <f>B10-D10</f>
        <v/>
      </c>
    </row>
    <row r="11">
      <c r="A11" t="n">
        <v>8</v>
      </c>
      <c r="B11" s="19">
        <f>F10</f>
        <v/>
      </c>
      <c r="C11" s="19">
        <f>B11*Inputs!B34</f>
        <v/>
      </c>
      <c r="D11" s="19">
        <f>E11-C11</f>
        <v/>
      </c>
      <c r="E11" s="19">
        <f>Inputs!B36</f>
        <v/>
      </c>
      <c r="F11" s="19">
        <f>B11-D11</f>
        <v/>
      </c>
    </row>
    <row r="12">
      <c r="A12" t="n">
        <v>9</v>
      </c>
      <c r="B12" s="19">
        <f>F11</f>
        <v/>
      </c>
      <c r="C12" s="19">
        <f>B12*Inputs!B34</f>
        <v/>
      </c>
      <c r="D12" s="19">
        <f>E12-C12</f>
        <v/>
      </c>
      <c r="E12" s="19">
        <f>Inputs!B36</f>
        <v/>
      </c>
      <c r="F12" s="19">
        <f>B12-D12</f>
        <v/>
      </c>
    </row>
    <row r="13">
      <c r="A13" t="n">
        <v>10</v>
      </c>
      <c r="B13" s="19">
        <f>F12</f>
        <v/>
      </c>
      <c r="C13" s="19">
        <f>B13*Inputs!B34</f>
        <v/>
      </c>
      <c r="D13" s="19">
        <f>E13-C13</f>
        <v/>
      </c>
      <c r="E13" s="19">
        <f>Inputs!B36</f>
        <v/>
      </c>
      <c r="F13" s="19">
        <f>B13-D13</f>
        <v/>
      </c>
    </row>
    <row r="14">
      <c r="A14" t="n">
        <v>11</v>
      </c>
      <c r="B14" s="19">
        <f>F13</f>
        <v/>
      </c>
      <c r="C14" s="19">
        <f>B14*Inputs!B34</f>
        <v/>
      </c>
      <c r="D14" s="19">
        <f>E14-C14</f>
        <v/>
      </c>
      <c r="E14" s="19">
        <f>Inputs!B36</f>
        <v/>
      </c>
      <c r="F14" s="19">
        <f>B14-D14</f>
        <v/>
      </c>
    </row>
    <row r="15">
      <c r="A15" t="n">
        <v>12</v>
      </c>
      <c r="B15" s="19">
        <f>F14</f>
        <v/>
      </c>
      <c r="C15" s="19">
        <f>B15*Inputs!B34</f>
        <v/>
      </c>
      <c r="D15" s="19">
        <f>E15-C15</f>
        <v/>
      </c>
      <c r="E15" s="19">
        <f>Inputs!B36</f>
        <v/>
      </c>
      <c r="F15" s="19">
        <f>B15-D15</f>
        <v/>
      </c>
    </row>
    <row r="16">
      <c r="A16" t="n">
        <v>13</v>
      </c>
      <c r="B16" s="19">
        <f>F15</f>
        <v/>
      </c>
      <c r="C16" s="19">
        <f>B16*Inputs!B34</f>
        <v/>
      </c>
      <c r="D16" s="19">
        <f>E16-C16</f>
        <v/>
      </c>
      <c r="E16" s="19">
        <f>Inputs!B36</f>
        <v/>
      </c>
      <c r="F16" s="19">
        <f>B16-D16</f>
        <v/>
      </c>
    </row>
    <row r="17">
      <c r="A17" t="n">
        <v>14</v>
      </c>
      <c r="B17" s="19">
        <f>F16</f>
        <v/>
      </c>
      <c r="C17" s="19">
        <f>B17*Inputs!B34</f>
        <v/>
      </c>
      <c r="D17" s="19">
        <f>E17-C17</f>
        <v/>
      </c>
      <c r="E17" s="19">
        <f>Inputs!B36</f>
        <v/>
      </c>
      <c r="F17" s="19">
        <f>B17-D17</f>
        <v/>
      </c>
    </row>
    <row r="18">
      <c r="A18" t="n">
        <v>15</v>
      </c>
      <c r="B18" s="19">
        <f>F17</f>
        <v/>
      </c>
      <c r="C18" s="19">
        <f>B18*Inputs!B34</f>
        <v/>
      </c>
      <c r="D18" s="19">
        <f>E18-C18</f>
        <v/>
      </c>
      <c r="E18" s="19">
        <f>Inputs!B36</f>
        <v/>
      </c>
      <c r="F18" s="19">
        <f>B18-D18</f>
        <v/>
      </c>
    </row>
    <row r="20">
      <c r="A20" s="4" t="inlineStr">
        <is>
          <t>TOTAL</t>
        </is>
      </c>
      <c r="C20" s="9">
        <f>SUM(C4:C18)</f>
        <v/>
      </c>
      <c r="D20" s="9">
        <f>SUM(D4:D18)</f>
        <v/>
      </c>
      <c r="E20" s="9">
        <f>SUM(E4:E18)</f>
        <v/>
      </c>
    </row>
    <row r="21">
      <c r="A21" s="4" t="inlineStr">
        <is>
          <t>Total Interest Paid</t>
        </is>
      </c>
      <c r="B21" s="22">
        <f>C20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SENSITIVITY ANALYSIS</t>
        </is>
      </c>
    </row>
    <row r="3">
      <c r="A3" s="3" t="inlineStr">
        <is>
          <t>DSCR BY CURTAILMENT RATE (Year 1)</t>
        </is>
      </c>
    </row>
    <row r="4">
      <c r="A4" s="5" t="inlineStr">
        <is>
          <t>Curtailment Rate</t>
        </is>
      </c>
      <c r="B4" s="23" t="n">
        <v>0.45</v>
      </c>
      <c r="C4" s="23" t="n">
        <v>0.5</v>
      </c>
      <c r="D4" s="23" t="n">
        <v>0.55</v>
      </c>
      <c r="E4" s="23" t="n">
        <v>0.6</v>
      </c>
      <c r="F4" s="23" t="n">
        <v>0.7</v>
      </c>
    </row>
    <row r="5">
      <c r="A5" s="4" t="inlineStr">
        <is>
          <t>PV Revenue (EUR)</t>
        </is>
      </c>
      <c r="B5" s="19">
        <f>Inputs!B10*Inputs!B12</f>
        <v/>
      </c>
      <c r="C5" s="19">
        <f>Inputs!B10*Inputs!B12</f>
        <v/>
      </c>
      <c r="D5" s="19">
        <f>Inputs!B10*Inputs!B12</f>
        <v/>
      </c>
      <c r="E5" s="19">
        <f>Inputs!B10*Inputs!B12</f>
        <v/>
      </c>
      <c r="F5" s="19">
        <f>Inputs!B10*Inputs!B12</f>
        <v/>
      </c>
    </row>
    <row r="6">
      <c r="A6" t="inlineStr">
        <is>
          <t>Annual Curtailed (MWh)</t>
        </is>
      </c>
      <c r="B6" s="18">
        <f>Inputs!B10*B4</f>
        <v/>
      </c>
      <c r="C6" s="18">
        <f>Inputs!B10*C4</f>
        <v/>
      </c>
      <c r="D6" s="18">
        <f>Inputs!B10*D4</f>
        <v/>
      </c>
      <c r="E6" s="18">
        <f>Inputs!B10*E4</f>
        <v/>
      </c>
      <c r="F6" s="18">
        <f>Inputs!B10*F4</f>
        <v/>
      </c>
    </row>
    <row r="7">
      <c r="A7" t="inlineStr">
        <is>
          <t>BESS Revenue (EUR)</t>
        </is>
      </c>
      <c r="B7" s="19">
        <f>MIN((Inputs!B17*Inputs!$F$7)*365*Inputs!B23,B6*IF(((B6/365)/(Inputs!B17*Inputs!$F$7))&gt;1.5,0.97,IF(((B6/365)/(Inputs!B17*Inputs!$F$7))&gt;1.2,0.95,IF(((B6/365)/(Inputs!B17*Inputs!$F$7))&gt;1.0,0.92,IF(((B6/365)/(Inputs!B17*Inputs!$F$7))&gt;0.8,0.88,IF(((B6/365)/(Inputs!B17*Inputs!$F$7))&gt;0.6,0.82,0.72)))))*Inputs!B23)*Inputs!B21*Inputs!B20</f>
        <v/>
      </c>
      <c r="C7" s="19">
        <f>MIN((Inputs!B17*Inputs!$F$7)*365*Inputs!B23,C6*IF(((C6/365)/(Inputs!B17*Inputs!$F$7))&gt;1.5,0.97,IF(((C6/365)/(Inputs!B17*Inputs!$F$7))&gt;1.2,0.95,IF(((C6/365)/(Inputs!B17*Inputs!$F$7))&gt;1.0,0.92,IF(((C6/365)/(Inputs!B17*Inputs!$F$7))&gt;0.8,0.88,IF(((C6/365)/(Inputs!B17*Inputs!$F$7))&gt;0.6,0.82,0.72)))))*Inputs!B23)*Inputs!B21*Inputs!B20</f>
        <v/>
      </c>
      <c r="D7" s="19">
        <f>MIN((Inputs!B17*Inputs!$F$7)*365*Inputs!B23,D6*IF(((D6/365)/(Inputs!B17*Inputs!$F$7))&gt;1.5,0.97,IF(((D6/365)/(Inputs!B17*Inputs!$F$7))&gt;1.2,0.95,IF(((D6/365)/(Inputs!B17*Inputs!$F$7))&gt;1.0,0.92,IF(((D6/365)/(Inputs!B17*Inputs!$F$7))&gt;0.8,0.88,IF(((D6/365)/(Inputs!B17*Inputs!$F$7))&gt;0.6,0.82,0.72)))))*Inputs!B23)*Inputs!B21*Inputs!B20</f>
        <v/>
      </c>
      <c r="E7" s="19">
        <f>MIN((Inputs!B17*Inputs!$F$7)*365*Inputs!B23,E6*IF(((E6/365)/(Inputs!B17*Inputs!$F$7))&gt;1.5,0.97,IF(((E6/365)/(Inputs!B17*Inputs!$F$7))&gt;1.2,0.95,IF(((E6/365)/(Inputs!B17*Inputs!$F$7))&gt;1.0,0.92,IF(((E6/365)/(Inputs!B17*Inputs!$F$7))&gt;0.8,0.88,IF(((E6/365)/(Inputs!B17*Inputs!$F$7))&gt;0.6,0.82,0.72)))))*Inputs!B23)*Inputs!B21*Inputs!B20</f>
        <v/>
      </c>
      <c r="F7" s="19">
        <f>MIN((Inputs!B17*Inputs!$F$7)*365*Inputs!B23,F6*IF(((F6/365)/(Inputs!B17*Inputs!$F$7))&gt;1.5,0.97,IF(((F6/365)/(Inputs!B17*Inputs!$F$7))&gt;1.2,0.95,IF(((F6/365)/(Inputs!B17*Inputs!$F$7))&gt;1.0,0.92,IF(((F6/365)/(Inputs!B17*Inputs!$F$7))&gt;0.8,0.88,IF(((F6/365)/(Inputs!B17*Inputs!$F$7))&gt;0.6,0.82,0.72)))))*Inputs!B23)*Inputs!B21*Inputs!B20</f>
        <v/>
      </c>
    </row>
    <row r="8">
      <c r="A8" s="4" t="inlineStr">
        <is>
          <t>Total Revenue (EUR)</t>
        </is>
      </c>
      <c r="B8" s="19">
        <f>B5+B7</f>
        <v/>
      </c>
      <c r="C8" s="19">
        <f>C5+C7</f>
        <v/>
      </c>
      <c r="D8" s="19">
        <f>D5+D7</f>
        <v/>
      </c>
      <c r="E8" s="19">
        <f>E5+E7</f>
        <v/>
      </c>
      <c r="F8" s="19">
        <f>F5+F7</f>
        <v/>
      </c>
    </row>
    <row r="9">
      <c r="A9" t="inlineStr">
        <is>
          <t>Total O&amp;M (EUR)</t>
        </is>
      </c>
      <c r="B9" s="19">
        <f>Inputs!B13+Inputs!B27</f>
        <v/>
      </c>
      <c r="C9" s="19">
        <f>Inputs!B13+Inputs!B27</f>
        <v/>
      </c>
      <c r="D9" s="19">
        <f>Inputs!B13+Inputs!B27</f>
        <v/>
      </c>
      <c r="E9" s="19">
        <f>Inputs!B13+Inputs!B27</f>
        <v/>
      </c>
      <c r="F9" s="19">
        <f>Inputs!B13+Inputs!B27</f>
        <v/>
      </c>
    </row>
    <row r="10">
      <c r="A10" s="4" t="inlineStr">
        <is>
          <t>EBITDA (EUR)</t>
        </is>
      </c>
      <c r="B10" s="19">
        <f>B8-B9</f>
        <v/>
      </c>
      <c r="C10" s="19">
        <f>C8-C9</f>
        <v/>
      </c>
      <c r="D10" s="19">
        <f>D8-D9</f>
        <v/>
      </c>
      <c r="E10" s="19">
        <f>E8-E9</f>
        <v/>
      </c>
      <c r="F10" s="19">
        <f>F8-F9</f>
        <v/>
      </c>
    </row>
    <row r="11">
      <c r="A11" t="inlineStr">
        <is>
          <t>Annual Debt Service (EUR)</t>
        </is>
      </c>
      <c r="B11" s="19">
        <f>Inputs!B36</f>
        <v/>
      </c>
      <c r="C11" s="19">
        <f>Inputs!B36</f>
        <v/>
      </c>
      <c r="D11" s="19">
        <f>Inputs!B36</f>
        <v/>
      </c>
      <c r="E11" s="19">
        <f>Inputs!B36</f>
        <v/>
      </c>
      <c r="F11" s="19">
        <f>Inputs!B36</f>
        <v/>
      </c>
    </row>
    <row r="12">
      <c r="A12" s="4" t="inlineStr">
        <is>
          <t>DSCR</t>
        </is>
      </c>
      <c r="B12" s="24">
        <f>B10/B11</f>
        <v/>
      </c>
      <c r="C12" s="24">
        <f>C10/C11</f>
        <v/>
      </c>
      <c r="D12" s="24">
        <f>D10/D11</f>
        <v/>
      </c>
      <c r="E12" s="24">
        <f>E10/E11</f>
        <v/>
      </c>
      <c r="F12" s="24">
        <f>F10/F11</f>
        <v/>
      </c>
    </row>
    <row r="13">
      <c r="A13" s="4" t="inlineStr">
        <is>
          <t>Net Free Cash After Debt (EUR)</t>
        </is>
      </c>
      <c r="B13" s="25">
        <f>B10-B11</f>
        <v/>
      </c>
      <c r="C13" s="25">
        <f>C10-C11</f>
        <v/>
      </c>
      <c r="D13" s="25">
        <f>D10-D11</f>
        <v/>
      </c>
      <c r="E13" s="25">
        <f>E10-E11</f>
        <v/>
      </c>
      <c r="F13" s="25">
        <f>F10-F11</f>
        <v/>
      </c>
    </row>
    <row r="16">
      <c r="A16" s="3" t="inlineStr">
        <is>
          <t>WITHOUT BESS vs WITH BESS (at 50% curtailment)</t>
        </is>
      </c>
    </row>
    <row r="17">
      <c r="A17" s="5" t="inlineStr"/>
      <c r="B17" s="5" t="inlineStr">
        <is>
          <t>Without BESS</t>
        </is>
      </c>
      <c r="C17" s="5" t="inlineStr">
        <is>
          <t>With BESS</t>
        </is>
      </c>
      <c r="D17" s="5" t="inlineStr">
        <is>
          <t>Delta</t>
        </is>
      </c>
    </row>
    <row r="18">
      <c r="A18" s="4" t="inlineStr">
        <is>
          <t>Loan Amount</t>
        </is>
      </c>
      <c r="B18" s="19">
        <f>Inputs!B30</f>
        <v/>
      </c>
      <c r="C18" s="19">
        <f>Inputs!B33</f>
        <v/>
      </c>
      <c r="D18" s="19">
        <f>C18-B18</f>
        <v/>
      </c>
    </row>
    <row r="19">
      <c r="A19" s="4" t="inlineStr">
        <is>
          <t>Annual Debt Service</t>
        </is>
      </c>
      <c r="B19" s="19">
        <f>Inputs!B30*(Inputs!B34*(1+Inputs!B34)^Inputs!B35)/((1+Inputs!B34)^Inputs!B35-1)</f>
        <v/>
      </c>
      <c r="C19" s="19">
        <f>Inputs!B36</f>
        <v/>
      </c>
      <c r="D19" s="19">
        <f>C19-B19</f>
        <v/>
      </c>
    </row>
    <row r="20">
      <c r="A20" t="inlineStr">
        <is>
          <t>PV Revenue (Year 1)</t>
        </is>
      </c>
      <c r="B20" s="19">
        <f>Inputs!B10*Inputs!B12</f>
        <v/>
      </c>
      <c r="C20" s="19">
        <f>Inputs!B10*Inputs!B12</f>
        <v/>
      </c>
      <c r="D20" s="19">
        <f>C20-B20</f>
        <v/>
      </c>
    </row>
    <row r="21">
      <c r="A21" t="inlineStr">
        <is>
          <t>BESS Revenue (Year 1)</t>
        </is>
      </c>
      <c r="B21" s="19" t="n">
        <v>0</v>
      </c>
      <c r="C21" s="19">
        <f>MIN((Inputs!B17*Inputs!$F$7)*365*Inputs!B23,(Inputs!B10*0.5)*IF((((Inputs!B10*0.5)/365)/(Inputs!B17*Inputs!$F$7))&gt;1.5,0.97,IF((((Inputs!B10*0.5)/365)/(Inputs!B17*Inputs!$F$7))&gt;1.2,0.95,IF((((Inputs!B10*0.5)/365)/(Inputs!B17*Inputs!$F$7))&gt;1.0,0.92,IF((((Inputs!B10*0.5)/365)/(Inputs!B17*Inputs!$F$7))&gt;0.8,0.88,IF((((Inputs!B10*0.5)/365)/(Inputs!B17*Inputs!$F$7))&gt;0.6,0.82,0.72)))))*Inputs!B23)*Inputs!B21*Inputs!B20</f>
        <v/>
      </c>
      <c r="D21" s="19">
        <f>C21-B21</f>
        <v/>
      </c>
    </row>
    <row r="22">
      <c r="A22" s="4" t="inlineStr">
        <is>
          <t>Total Revenue</t>
        </is>
      </c>
      <c r="B22" s="19">
        <f>B20+B21</f>
        <v/>
      </c>
      <c r="C22" s="19">
        <f>C20+C21</f>
        <v/>
      </c>
      <c r="D22" s="19">
        <f>C22-B22</f>
        <v/>
      </c>
    </row>
    <row r="23">
      <c r="A23" t="inlineStr">
        <is>
          <t>Total O&amp;M</t>
        </is>
      </c>
      <c r="B23" s="19">
        <f>Inputs!B13</f>
        <v/>
      </c>
      <c r="C23" s="19">
        <f>Inputs!B13+Inputs!B27</f>
        <v/>
      </c>
      <c r="D23" s="19">
        <f>C23-B23</f>
        <v/>
      </c>
    </row>
    <row r="24">
      <c r="A24" s="4" t="inlineStr">
        <is>
          <t>EBITDA</t>
        </is>
      </c>
      <c r="B24" s="19">
        <f>B22-B23</f>
        <v/>
      </c>
      <c r="C24" s="19">
        <f>C22-C23</f>
        <v/>
      </c>
      <c r="D24" s="19">
        <f>C24-B24</f>
        <v/>
      </c>
    </row>
    <row r="25">
      <c r="A25" s="4" t="inlineStr">
        <is>
          <t>Net After Debt</t>
        </is>
      </c>
      <c r="B25" s="19">
        <f>B24-B19</f>
        <v/>
      </c>
      <c r="C25" s="19">
        <f>C24-C19</f>
        <v/>
      </c>
      <c r="D25" s="26">
        <f>C25-B25</f>
        <v/>
      </c>
    </row>
    <row r="26">
      <c r="A26" s="4" t="inlineStr">
        <is>
          <t>DSCR</t>
        </is>
      </c>
      <c r="B26" s="27">
        <f>B24/B19</f>
        <v/>
      </c>
      <c r="C26" s="20">
        <f>C24/C19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1" t="inlineStr">
        <is>
          <t>BANKABILITY SUMMARY — FOR LENDER REVIEW</t>
        </is>
      </c>
    </row>
    <row r="2">
      <c r="A2" s="2" t="inlineStr">
        <is>
          <t>Spanercom / Anarita 10 MW PV + 30 MWh BESS Refinancing</t>
        </is>
      </c>
    </row>
    <row r="4">
      <c r="A4" s="3" t="inlineStr">
        <is>
          <t>ASSET VALUATION</t>
        </is>
      </c>
    </row>
    <row r="5">
      <c r="A5" s="4" t="inlineStr">
        <is>
          <t>PV Park (10 MW x EUR 1.4M/MW)</t>
        </is>
      </c>
      <c r="B5" s="19">
        <f>Inputs!B9</f>
        <v/>
      </c>
    </row>
    <row r="6">
      <c r="A6" s="4" t="inlineStr">
        <is>
          <t>BESS System (10 MW / 30 MWh EPC)</t>
        </is>
      </c>
      <c r="B6" s="19">
        <f>Inputs!B19</f>
        <v/>
      </c>
    </row>
    <row r="7">
      <c r="A7" s="4" t="inlineStr">
        <is>
          <t>Total Asset Value</t>
        </is>
      </c>
      <c r="B7" s="19">
        <f>B5+B6</f>
        <v/>
      </c>
    </row>
    <row r="8">
      <c r="A8" s="4" t="inlineStr">
        <is>
          <t>Total Loan Facility</t>
        </is>
      </c>
      <c r="B8" s="19">
        <f>Inputs!B33</f>
        <v/>
      </c>
    </row>
    <row r="9">
      <c r="A9" s="4" t="inlineStr">
        <is>
          <t>Cash Released to Client</t>
        </is>
      </c>
      <c r="B9" s="30">
        <f>Inputs!B37</f>
        <v/>
      </c>
    </row>
    <row r="10">
      <c r="A10" s="4" t="inlineStr">
        <is>
          <t>LTV (PV + BESS combined)</t>
        </is>
      </c>
      <c r="B10" s="28">
        <f>B8/B7</f>
        <v/>
      </c>
    </row>
    <row r="12">
      <c r="A12" s="3" t="inlineStr">
        <is>
          <t>BESS PERFORMANCE GUARANTEES</t>
        </is>
      </c>
    </row>
    <row r="13">
      <c r="A13" s="4" t="inlineStr">
        <is>
          <t>OEM</t>
        </is>
      </c>
      <c r="B13" s="29" t="inlineStr">
        <is>
          <t>Linyang Energy (Shanghai-listed, revenue &gt;US$3B)</t>
        </is>
      </c>
    </row>
    <row r="14">
      <c r="A14" s="4" t="inlineStr">
        <is>
          <t>Performance Bond</t>
        </is>
      </c>
      <c r="B14" s="29" t="inlineStr">
        <is>
          <t>5% corporate bank guarantee from Linyang Energy</t>
        </is>
      </c>
    </row>
    <row r="15">
      <c r="A15" s="4" t="inlineStr">
        <is>
          <t>Base Warranty</t>
        </is>
      </c>
      <c r="B15" s="29" t="inlineStr">
        <is>
          <t>5 years included in EPC price</t>
        </is>
      </c>
    </row>
    <row r="16">
      <c r="A16" s="4" t="inlineStr">
        <is>
          <t>Extended Warranty</t>
        </is>
      </c>
      <c r="B16" s="29" t="inlineStr">
        <is>
          <t>Available to 15 years at confirmed OEM rates</t>
        </is>
      </c>
    </row>
    <row r="17">
      <c r="A17" s="4" t="inlineStr">
        <is>
          <t>Availability Guarantee</t>
        </is>
      </c>
      <c r="B17" s="29" t="inlineStr">
        <is>
          <t>97% annual system availability with LDs for shortfall</t>
        </is>
      </c>
    </row>
    <row r="18">
      <c r="A18" s="4" t="inlineStr">
        <is>
          <t>SOH Guarantee</t>
        </is>
      </c>
      <c r="B18" s="29" t="inlineStr">
        <is>
          <t>Per Linyang degradation curve; shortfall = EUR 30/MWh/day LD</t>
        </is>
      </c>
    </row>
    <row r="19">
      <c r="A19" s="4" t="inlineStr">
        <is>
          <t>Delay LDs</t>
        </is>
      </c>
      <c r="B19" s="29" t="inlineStr">
        <is>
          <t>0.1-0.2% of contract value/day, capped at 10%</t>
        </is>
      </c>
    </row>
    <row r="20">
      <c r="A20" s="4" t="inlineStr">
        <is>
          <t>Grid Code Certification</t>
        </is>
      </c>
      <c r="B20" s="29" t="inlineStr">
        <is>
          <t>TUV EN 50549-2:2019/A1:2023 (cert D 115067 0077)</t>
        </is>
      </c>
    </row>
    <row r="21">
      <c r="A21" s="4" t="inlineStr">
        <is>
          <t>EPC Insurance</t>
        </is>
      </c>
      <c r="B21" s="29" t="inlineStr">
        <is>
          <t>CAR/EAR + Third Party Liability during construction</t>
        </is>
      </c>
    </row>
    <row r="22">
      <c r="A22" s="4" t="inlineStr">
        <is>
          <t>Marine Cargo</t>
        </is>
      </c>
      <c r="B22" s="29" t="inlineStr">
        <is>
          <t>Covered by OEM under CIF Limassol terms</t>
        </is>
      </c>
    </row>
    <row r="23">
      <c r="A23" s="4" t="inlineStr">
        <is>
          <t>Local O&amp;M</t>
        </is>
      </c>
      <c r="B23" s="29" t="inlineStr">
        <is>
          <t>Lighthief Cyprus — 6 field engineers, Limassol spare parts warehouse</t>
        </is>
      </c>
    </row>
    <row r="24">
      <c r="A24" s="4" t="inlineStr">
        <is>
          <t>Monitoring</t>
        </is>
      </c>
      <c r="B24" s="29" t="inlineStr">
        <is>
          <t>24/7/365 via Voltus SCADA + Linyang Cloud EMS</t>
        </is>
      </c>
    </row>
    <row r="25">
      <c r="A25" s="4" t="inlineStr">
        <is>
          <t>Response Time</t>
        </is>
      </c>
      <c r="B25" s="29" t="inlineStr">
        <is>
          <t>4 hours remote / 8 hours on-site (critical alarms)</t>
        </is>
      </c>
    </row>
    <row r="26">
      <c r="A26" s="4" t="inlineStr">
        <is>
          <t>PCS Technology</t>
        </is>
      </c>
      <c r="B26" s="29" t="inlineStr">
        <is>
          <t>Kehua BCS1250K-C-HUD (C-series, grid-following + grid-forming)</t>
        </is>
      </c>
    </row>
    <row r="27">
      <c r="A27" s="4" t="inlineStr">
        <is>
          <t>Battery Chemistry</t>
        </is>
      </c>
      <c r="B27" s="29" t="inlineStr">
        <is>
          <t>LFP (Lithium Iron Phosphate) — no cobalt, non-flammable</t>
        </is>
      </c>
    </row>
    <row r="28">
      <c r="A28" s="4" t="inlineStr">
        <is>
          <t>Fire Suppression</t>
        </is>
      </c>
      <c r="B28" s="29" t="inlineStr">
        <is>
          <t>Integrated aerosol + gas detection per container</t>
        </is>
      </c>
    </row>
    <row r="29">
      <c r="A29" s="4" t="inlineStr">
        <is>
          <t>End of Life</t>
        </is>
      </c>
      <c r="B29" s="29" t="inlineStr">
        <is>
          <t>Free collection and recycling/cashback by Lighthief at EOL</t>
        </is>
      </c>
    </row>
    <row r="31">
      <c r="A31" s="3" t="inlineStr">
        <is>
          <t>KEY FINANCIAL METRICS</t>
        </is>
      </c>
    </row>
    <row r="32">
      <c r="A32" s="4" t="inlineStr">
        <is>
          <t>Annual Debt Service</t>
        </is>
      </c>
      <c r="B32" s="30">
        <f>Inputs!B36</f>
        <v/>
      </c>
    </row>
    <row r="33">
      <c r="A33" s="4" t="inlineStr">
        <is>
          <t>Year 1 DSCR (at 50% curtailment)</t>
        </is>
      </c>
      <c r="B33" s="20">
        <f>'Combined Cashflow'!M5</f>
        <v/>
      </c>
    </row>
    <row r="34">
      <c r="A34" s="4" t="inlineStr">
        <is>
          <t>Average 15-Year DSCR</t>
        </is>
      </c>
      <c r="B34" s="20">
        <f>AVERAGE('Combined Cashflow'!M5:M19)</f>
        <v/>
      </c>
    </row>
    <row r="35">
      <c r="A35" s="4" t="inlineStr">
        <is>
          <t>Minimum DSCR (any year)</t>
        </is>
      </c>
      <c r="B35" s="20">
        <f>MIN('Combined Cashflow'!M5:M19)</f>
        <v/>
      </c>
    </row>
    <row r="36">
      <c r="A36" s="4" t="inlineStr">
        <is>
          <t>15-Year Total Net Free Cash</t>
        </is>
      </c>
      <c r="B36" s="30">
        <f>SUM('Combined Cashflow'!L5:L19)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DE80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15-YEAR COMPARISON: PV ONLY vs PV + BESS</t>
        </is>
      </c>
    </row>
    <row r="3">
      <c r="A3" s="5" t="inlineStr">
        <is>
          <t>Year</t>
        </is>
      </c>
      <c r="B3" s="5" t="inlineStr">
        <is>
          <t>PV Revenue</t>
        </is>
      </c>
      <c r="C3" s="5" t="inlineStr">
        <is>
          <t>Debt (PV only)</t>
        </is>
      </c>
      <c r="D3" s="5" t="inlineStr">
        <is>
          <t>Net (PV only)</t>
        </is>
      </c>
      <c r="E3" s="5" t="inlineStr">
        <is>
          <t>Debt (PV+BESS)</t>
        </is>
      </c>
      <c r="F3" s="5" t="inlineStr">
        <is>
          <t>BESS Revenue</t>
        </is>
      </c>
      <c r="G3" s="5" t="inlineStr">
        <is>
          <t>Net (PV+BESS)</t>
        </is>
      </c>
    </row>
    <row r="4">
      <c r="A4" t="n">
        <v>1</v>
      </c>
      <c r="B4" s="19">
        <f>Inputs!B10*(1-Inputs!B11)^(1-1)*Inputs!B12</f>
        <v/>
      </c>
      <c r="C4" s="19">
        <f>Inputs!B30*(Inputs!B34*(1+Inputs!B34)^Inputs!B35)/((1+Inputs!B34)^Inputs!B35-1)</f>
        <v/>
      </c>
      <c r="D4" s="19">
        <f>B4-Inputs!B13-C4</f>
        <v/>
      </c>
      <c r="E4" s="19">
        <f>Inputs!B36</f>
        <v/>
      </c>
      <c r="F4" s="19">
        <f>'Combined Cashflow'!F5</f>
        <v/>
      </c>
      <c r="G4" s="25">
        <f>B4+F4-Inputs!B13-Inputs!B27-E4</f>
        <v/>
      </c>
    </row>
    <row r="5">
      <c r="A5" t="n">
        <v>2</v>
      </c>
      <c r="B5" s="19">
        <f>Inputs!B10*(1-Inputs!B11)^(2-1)*Inputs!B12</f>
        <v/>
      </c>
      <c r="C5" s="19">
        <f>Inputs!B30*(Inputs!B34*(1+Inputs!B34)^Inputs!B35)/((1+Inputs!B34)^Inputs!B35-1)</f>
        <v/>
      </c>
      <c r="D5" s="19">
        <f>B5-Inputs!B13-C5</f>
        <v/>
      </c>
      <c r="E5" s="19">
        <f>Inputs!B36</f>
        <v/>
      </c>
      <c r="F5" s="19">
        <f>'Combined Cashflow'!F6</f>
        <v/>
      </c>
      <c r="G5" s="25">
        <f>B5+F5-Inputs!B13-Inputs!B27-E5</f>
        <v/>
      </c>
    </row>
    <row r="6">
      <c r="A6" t="n">
        <v>3</v>
      </c>
      <c r="B6" s="19">
        <f>Inputs!B10*(1-Inputs!B11)^(3-1)*Inputs!B12</f>
        <v/>
      </c>
      <c r="C6" s="19">
        <f>Inputs!B30*(Inputs!B34*(1+Inputs!B34)^Inputs!B35)/((1+Inputs!B34)^Inputs!B35-1)</f>
        <v/>
      </c>
      <c r="D6" s="19">
        <f>B6-Inputs!B13-C6</f>
        <v/>
      </c>
      <c r="E6" s="19">
        <f>Inputs!B36</f>
        <v/>
      </c>
      <c r="F6" s="19">
        <f>'Combined Cashflow'!F7</f>
        <v/>
      </c>
      <c r="G6" s="25">
        <f>B6+F6-Inputs!B13-Inputs!B27-E6</f>
        <v/>
      </c>
    </row>
    <row r="7">
      <c r="A7" t="n">
        <v>4</v>
      </c>
      <c r="B7" s="19">
        <f>Inputs!B10*(1-Inputs!B11)^(4-1)*Inputs!B12</f>
        <v/>
      </c>
      <c r="C7" s="19">
        <f>Inputs!B30*(Inputs!B34*(1+Inputs!B34)^Inputs!B35)/((1+Inputs!B34)^Inputs!B35-1)</f>
        <v/>
      </c>
      <c r="D7" s="19">
        <f>B7-Inputs!B13-C7</f>
        <v/>
      </c>
      <c r="E7" s="19">
        <f>Inputs!B36</f>
        <v/>
      </c>
      <c r="F7" s="19">
        <f>'Combined Cashflow'!F8</f>
        <v/>
      </c>
      <c r="G7" s="25">
        <f>B7+F7-Inputs!B13-Inputs!B27-E7</f>
        <v/>
      </c>
    </row>
    <row r="8">
      <c r="A8" t="n">
        <v>5</v>
      </c>
      <c r="B8" s="19">
        <f>Inputs!B10*(1-Inputs!B11)^(5-1)*Inputs!B12</f>
        <v/>
      </c>
      <c r="C8" s="19">
        <f>Inputs!B30*(Inputs!B34*(1+Inputs!B34)^Inputs!B35)/((1+Inputs!B34)^Inputs!B35-1)</f>
        <v/>
      </c>
      <c r="D8" s="19">
        <f>B8-Inputs!B13-C8</f>
        <v/>
      </c>
      <c r="E8" s="19">
        <f>Inputs!B36</f>
        <v/>
      </c>
      <c r="F8" s="19">
        <f>'Combined Cashflow'!F9</f>
        <v/>
      </c>
      <c r="G8" s="25">
        <f>B8+F8-Inputs!B13-Inputs!B27-E8</f>
        <v/>
      </c>
    </row>
    <row r="9">
      <c r="A9" t="n">
        <v>6</v>
      </c>
      <c r="B9" s="19">
        <f>Inputs!B10*(1-Inputs!B11)^(6-1)*Inputs!B12</f>
        <v/>
      </c>
      <c r="C9" s="19">
        <f>Inputs!B30*(Inputs!B34*(1+Inputs!B34)^Inputs!B35)/((1+Inputs!B34)^Inputs!B35-1)</f>
        <v/>
      </c>
      <c r="D9" s="19">
        <f>B9-Inputs!B13-C9</f>
        <v/>
      </c>
      <c r="E9" s="19">
        <f>Inputs!B36</f>
        <v/>
      </c>
      <c r="F9" s="19">
        <f>'Combined Cashflow'!F10</f>
        <v/>
      </c>
      <c r="G9" s="25">
        <f>B9+F9-Inputs!B13-Inputs!B27-E9</f>
        <v/>
      </c>
    </row>
    <row r="10">
      <c r="A10" t="n">
        <v>7</v>
      </c>
      <c r="B10" s="19">
        <f>Inputs!B10*(1-Inputs!B11)^(7-1)*Inputs!B12</f>
        <v/>
      </c>
      <c r="C10" s="19">
        <f>Inputs!B30*(Inputs!B34*(1+Inputs!B34)^Inputs!B35)/((1+Inputs!B34)^Inputs!B35-1)</f>
        <v/>
      </c>
      <c r="D10" s="19">
        <f>B10-Inputs!B13-C10</f>
        <v/>
      </c>
      <c r="E10" s="19">
        <f>Inputs!B36</f>
        <v/>
      </c>
      <c r="F10" s="19">
        <f>'Combined Cashflow'!F11</f>
        <v/>
      </c>
      <c r="G10" s="25">
        <f>B10+F10-Inputs!B13-Inputs!B27-E10</f>
        <v/>
      </c>
    </row>
    <row r="11">
      <c r="A11" t="n">
        <v>8</v>
      </c>
      <c r="B11" s="19">
        <f>Inputs!B10*(1-Inputs!B11)^(8-1)*Inputs!B12</f>
        <v/>
      </c>
      <c r="C11" s="19">
        <f>Inputs!B30*(Inputs!B34*(1+Inputs!B34)^Inputs!B35)/((1+Inputs!B34)^Inputs!B35-1)</f>
        <v/>
      </c>
      <c r="D11" s="19">
        <f>B11-Inputs!B13-C11</f>
        <v/>
      </c>
      <c r="E11" s="19">
        <f>Inputs!B36</f>
        <v/>
      </c>
      <c r="F11" s="19">
        <f>'Combined Cashflow'!F12</f>
        <v/>
      </c>
      <c r="G11" s="25">
        <f>B11+F11-Inputs!B13-Inputs!B27-E11</f>
        <v/>
      </c>
    </row>
    <row r="12">
      <c r="A12" t="n">
        <v>9</v>
      </c>
      <c r="B12" s="19">
        <f>Inputs!B10*(1-Inputs!B11)^(9-1)*Inputs!B12</f>
        <v/>
      </c>
      <c r="C12" s="19">
        <f>Inputs!B30*(Inputs!B34*(1+Inputs!B34)^Inputs!B35)/((1+Inputs!B34)^Inputs!B35-1)</f>
        <v/>
      </c>
      <c r="D12" s="19">
        <f>B12-Inputs!B13-C12</f>
        <v/>
      </c>
      <c r="E12" s="19">
        <f>Inputs!B36</f>
        <v/>
      </c>
      <c r="F12" s="19">
        <f>'Combined Cashflow'!F13</f>
        <v/>
      </c>
      <c r="G12" s="25">
        <f>B12+F12-Inputs!B13-Inputs!B27-E12</f>
        <v/>
      </c>
    </row>
    <row r="13">
      <c r="A13" t="n">
        <v>10</v>
      </c>
      <c r="B13" s="19">
        <f>Inputs!B10*(1-Inputs!B11)^(10-1)*Inputs!B12</f>
        <v/>
      </c>
      <c r="C13" s="19">
        <f>Inputs!B30*(Inputs!B34*(1+Inputs!B34)^Inputs!B35)/((1+Inputs!B34)^Inputs!B35-1)</f>
        <v/>
      </c>
      <c r="D13" s="19">
        <f>B13-Inputs!B13-C13</f>
        <v/>
      </c>
      <c r="E13" s="19">
        <f>Inputs!B36</f>
        <v/>
      </c>
      <c r="F13" s="19">
        <f>'Combined Cashflow'!F14</f>
        <v/>
      </c>
      <c r="G13" s="25">
        <f>B13+F13-Inputs!B13-Inputs!B27-E13</f>
        <v/>
      </c>
    </row>
    <row r="14">
      <c r="A14" t="n">
        <v>11</v>
      </c>
      <c r="B14" s="19">
        <f>Inputs!B10*(1-Inputs!B11)^(11-1)*Inputs!B12</f>
        <v/>
      </c>
      <c r="C14" s="19">
        <f>Inputs!B30*(Inputs!B34*(1+Inputs!B34)^Inputs!B35)/((1+Inputs!B34)^Inputs!B35-1)</f>
        <v/>
      </c>
      <c r="D14" s="19">
        <f>B14-Inputs!B13-C14</f>
        <v/>
      </c>
      <c r="E14" s="19">
        <f>Inputs!B36</f>
        <v/>
      </c>
      <c r="F14" s="19">
        <f>'Combined Cashflow'!F15</f>
        <v/>
      </c>
      <c r="G14" s="25">
        <f>B14+F14-Inputs!B13-Inputs!B27-E14</f>
        <v/>
      </c>
    </row>
    <row r="15">
      <c r="A15" t="n">
        <v>12</v>
      </c>
      <c r="B15" s="19">
        <f>Inputs!B10*(1-Inputs!B11)^(12-1)*Inputs!B12</f>
        <v/>
      </c>
      <c r="C15" s="19">
        <f>Inputs!B30*(Inputs!B34*(1+Inputs!B34)^Inputs!B35)/((1+Inputs!B34)^Inputs!B35-1)</f>
        <v/>
      </c>
      <c r="D15" s="19">
        <f>B15-Inputs!B13-C15</f>
        <v/>
      </c>
      <c r="E15" s="19">
        <f>Inputs!B36</f>
        <v/>
      </c>
      <c r="F15" s="19">
        <f>'Combined Cashflow'!F16</f>
        <v/>
      </c>
      <c r="G15" s="25">
        <f>B15+F15-Inputs!B13-Inputs!B27-E15</f>
        <v/>
      </c>
    </row>
    <row r="16">
      <c r="A16" t="n">
        <v>13</v>
      </c>
      <c r="B16" s="19">
        <f>Inputs!B10*(1-Inputs!B11)^(13-1)*Inputs!B12</f>
        <v/>
      </c>
      <c r="C16" s="19">
        <f>Inputs!B30*(Inputs!B34*(1+Inputs!B34)^Inputs!B35)/((1+Inputs!B34)^Inputs!B35-1)</f>
        <v/>
      </c>
      <c r="D16" s="19">
        <f>B16-Inputs!B13-C16</f>
        <v/>
      </c>
      <c r="E16" s="19">
        <f>Inputs!B36</f>
        <v/>
      </c>
      <c r="F16" s="19">
        <f>'Combined Cashflow'!F17</f>
        <v/>
      </c>
      <c r="G16" s="25">
        <f>B16+F16-Inputs!B13-Inputs!B27-E16</f>
        <v/>
      </c>
    </row>
    <row r="17">
      <c r="A17" t="n">
        <v>14</v>
      </c>
      <c r="B17" s="19">
        <f>Inputs!B10*(1-Inputs!B11)^(14-1)*Inputs!B12</f>
        <v/>
      </c>
      <c r="C17" s="19">
        <f>Inputs!B30*(Inputs!B34*(1+Inputs!B34)^Inputs!B35)/((1+Inputs!B34)^Inputs!B35-1)</f>
        <v/>
      </c>
      <c r="D17" s="19">
        <f>B17-Inputs!B13-C17</f>
        <v/>
      </c>
      <c r="E17" s="19">
        <f>Inputs!B36</f>
        <v/>
      </c>
      <c r="F17" s="19">
        <f>'Combined Cashflow'!F18</f>
        <v/>
      </c>
      <c r="G17" s="25">
        <f>B17+F17-Inputs!B13-Inputs!B27-E17</f>
        <v/>
      </c>
    </row>
    <row r="18">
      <c r="A18" t="n">
        <v>15</v>
      </c>
      <c r="B18" s="19">
        <f>Inputs!B10*(1-Inputs!B11)^(15-1)*Inputs!B12</f>
        <v/>
      </c>
      <c r="C18" s="19">
        <f>Inputs!B30*(Inputs!B34*(1+Inputs!B34)^Inputs!B35)/((1+Inputs!B34)^Inputs!B35-1)</f>
        <v/>
      </c>
      <c r="D18" s="19">
        <f>B18-Inputs!B13-C18</f>
        <v/>
      </c>
      <c r="E18" s="19">
        <f>Inputs!B36</f>
        <v/>
      </c>
      <c r="F18" s="19">
        <f>'Combined Cashflow'!F19</f>
        <v/>
      </c>
      <c r="G18" s="25">
        <f>B18+F18-Inputs!B13-Inputs!B27-E18</f>
        <v/>
      </c>
    </row>
    <row r="19">
      <c r="A19" s="4" t="inlineStr">
        <is>
          <t>TOTAL</t>
        </is>
      </c>
      <c r="B19" s="9">
        <f>SUM(B4:B18)</f>
        <v/>
      </c>
      <c r="C19" s="9">
        <f>SUM(C4:C18)</f>
        <v/>
      </c>
      <c r="D19" s="9">
        <f>SUM(D4:D18)</f>
        <v/>
      </c>
      <c r="E19" s="9">
        <f>SUM(E4:E18)</f>
        <v/>
      </c>
      <c r="F19" s="9">
        <f>SUM(F4:F18)</f>
        <v/>
      </c>
      <c r="G19" s="9">
        <f>SUM(G4:G18)</f>
        <v/>
      </c>
    </row>
    <row r="20">
      <c r="A20" s="31" t="inlineStr">
        <is>
          <t>DELTA</t>
        </is>
      </c>
      <c r="B20" s="4" t="inlineStr">
        <is>
          <t>Additional 15-year free cash from adding BESS:</t>
        </is>
      </c>
      <c r="G20" s="26">
        <f>G19-D19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2026-03-09T12:48:45Z</dcterms:created>
  <dcterms:modified xmlns:dcterms="http://purl.org/dc/terms/" xmlns:xsi="http://www.w3.org/2001/XMLSchema-instance" xsi:type="dcterms:W3CDTF">2026-03-09T14:44:53Z</dcterms:modified>
</cp:coreProperties>
</file>