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ources" sheetId="4" state="visible" r:id="rId4"/>
  </sheets>
  <definedNames>
    <definedName name="Yield_kWh_per_kWp">Assumptions!$B$5</definedName>
    <definedName name="DAM_Day_EUR_per_MWh">Assumptions!$B$6</definedName>
    <definedName name="DAM_Eve_EUR_per_MWh">Assumptions!$B$7</definedName>
    <definedName name="RTE_AC_AC">Assumptions!$B$8</definedName>
    <definedName name="Capture_Pct">Assumptions!$B$9</definedName>
    <definedName name="Full_Cycle_Days">Assumptions!$B$10</definedName>
    <definedName name="Aggregator_Fee_Pct">Assumptions!$B$11</definedName>
    <definedName name="CIT_Pct">Assumptions!$B$12</definedName>
    <definedName name="LTV_Pct">Assumptions!$B$13</definedName>
    <definedName name="Equity_Pct">Assumptions!$B$14</definedName>
    <definedName name="Loan_Rate">Assumptions!$B$15</definedName>
    <definedName name="Loan_Years">Assumptions!$B$16</definedName>
    <definedName name="DA_Years">Assumptions!$B$17</definedName>
    <definedName name="PV_OM_EUR_per_MW">Assumptions!$B$18</definedName>
    <definedName name="BESS_LTSA_EUR_per_MWh">Assumptions!$B$19</definedName>
    <definedName name="Land_EUR_per_MW">Assumptions!$B$20</definedName>
    <definedName name="Other_Fixed_EUR">Assumptions!$B$21</definedName>
    <definedName name="Other_Pct_of_Capex">Assumptions!$B$22</definedName>
    <definedName name="RTB_EUR_per_MW">Assumptions!$B$23</definedName>
    <definedName name="EAC_EUR_per_MW">Assumptions!$B$24</definedName>
    <definedName name="Tracker_Premium_EUR_per_MW">Assumptions!$B$25</definedName>
    <definedName name="Permitting_EUR">Assumptions!$B$26</definedName>
    <definedName name="MV_Cable_EUR">Assumptions!$B$27</definedName>
    <definedName name="Curtailment_Base_Pct">Assumptions!$B$28</definedName>
    <definedName name="Curtailment_Stress_Pct">Assumptions!$B$29</definedName>
    <definedName name="Annuity_Factor">Assumptions!$B$39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€#,##0.00"/>
    <numFmt numFmtId="165" formatCode="€#,##0"/>
    <numFmt numFmtId="166" formatCode="0.0000"/>
    <numFmt numFmtId="167" formatCode="0.0%"/>
    <numFmt numFmtId="168" formatCode="#,##0.0"/>
    <numFmt numFmtId="169" formatCode="0.00&quot;×&quot;"/>
    <numFmt numFmtId="170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C9A432"/>
      <sz val="14"/>
    </font>
    <font>
      <name val="Calibri"/>
      <i val="1"/>
      <color rgb="00A8B8CC"/>
      <sz val="9"/>
    </font>
    <font>
      <name val="Calibri"/>
      <b val="1"/>
      <color rgb="001A365D"/>
      <sz val="10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i val="1"/>
      <color rgb="006B7C8F"/>
      <sz val="9"/>
    </font>
    <font>
      <name val="Calibri"/>
      <b val="1"/>
      <color rgb="00C9A432"/>
      <sz val="11"/>
    </font>
    <font>
      <name val="Calibri"/>
      <b val="1"/>
      <color rgb="00FFFFFF"/>
      <sz val="11"/>
    </font>
    <font>
      <name val="Calibri"/>
      <color rgb="001A365D"/>
      <sz val="11"/>
    </font>
    <font>
      <name val="Calibri"/>
      <b val="1"/>
      <color rgb="001A365D"/>
    </font>
    <font>
      <name val="Calibri"/>
      <b val="1"/>
      <color rgb="00C9A432"/>
      <sz val="13"/>
    </font>
    <font>
      <name val="Calibri"/>
      <b val="1"/>
      <color rgb="001A365D"/>
      <sz val="11"/>
    </font>
    <font>
      <name val="Calibri"/>
      <b val="1"/>
      <color rgb="001E7D4A"/>
      <sz val="11"/>
    </font>
    <font>
      <name val="Calibri"/>
      <b val="1"/>
      <color rgb="009C7D22"/>
      <sz val="11"/>
    </font>
    <font>
      <name val="Calibri"/>
      <color rgb="00404040"/>
      <sz val="10"/>
    </font>
    <font>
      <name val="Calibri"/>
      <b val="1"/>
      <color rgb="00C9A432"/>
      <sz val="12"/>
    </font>
    <font>
      <name val="Calibri"/>
      <color rgb="00404040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EF3FB"/>
      </patternFill>
    </fill>
    <fill>
      <patternFill patternType="solid">
        <fgColor rgb="00FFF9E6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D0DDEF"/>
      </left>
      <right style="thin">
        <color rgb="00D0DDEF"/>
      </right>
      <top style="thin">
        <color rgb="00D0DDEF"/>
      </top>
      <bottom style="thin">
        <color rgb="00D0DDE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indent="1"/>
    </xf>
    <xf numFmtId="165" fontId="9" fillId="5" borderId="1" applyAlignment="1" pivotButton="0" quotePrefix="0" xfId="0">
      <alignment horizontal="right"/>
    </xf>
    <xf numFmtId="170" fontId="9" fillId="5" borderId="1" applyAlignment="1" pivotButton="0" quotePrefix="0" xfId="0">
      <alignment horizontal="right"/>
    </xf>
    <xf numFmtId="167" fontId="9" fillId="5" borderId="1" applyAlignment="1" pivotButton="0" quotePrefix="0" xfId="0">
      <alignment horizontal="right"/>
    </xf>
    <xf numFmtId="169" fontId="9" fillId="5" borderId="1" applyAlignment="1" pivotButton="0" quotePrefix="0" xfId="0">
      <alignment horizontal="right"/>
    </xf>
    <xf numFmtId="0" fontId="10" fillId="0" borderId="0" pivotButton="0" quotePrefix="0" xfId="0"/>
    <xf numFmtId="0" fontId="15" fillId="0" borderId="0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1" applyAlignment="1" pivotButton="0" quotePrefix="0" xfId="0">
      <alignment horizontal="left" indent="1"/>
    </xf>
    <xf numFmtId="1" fontId="5" fillId="4" borderId="1" applyAlignment="1" pivotButton="0" quotePrefix="0" xfId="0">
      <alignment horizontal="right"/>
    </xf>
    <xf numFmtId="0" fontId="6" fillId="0" borderId="0" pivotButton="0" quotePrefix="0" xfId="0"/>
    <xf numFmtId="164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0" fontId="0" fillId="4" borderId="0" pivotButton="0" quotePrefix="0" xfId="0"/>
    <xf numFmtId="0" fontId="0" fillId="5" borderId="0" pivotButton="0" quotePrefix="0" xfId="0"/>
    <xf numFmtId="0" fontId="11" fillId="2" borderId="0" pivotButton="0" quotePrefix="0" xfId="0"/>
    <xf numFmtId="2" fontId="9" fillId="5" borderId="1" applyAlignment="1" pivotButton="0" quotePrefix="0" xfId="0">
      <alignment horizontal="right"/>
    </xf>
    <xf numFmtId="165" fontId="12" fillId="3" borderId="1" applyAlignment="1" pivotButton="0" quotePrefix="0" xfId="0">
      <alignment horizontal="right"/>
    </xf>
    <xf numFmtId="168" fontId="9" fillId="5" borderId="1" applyAlignment="1" pivotButton="0" quotePrefix="0" xfId="0">
      <alignment horizontal="right"/>
    </xf>
    <xf numFmtId="165" fontId="13" fillId="5" borderId="1" applyAlignment="1" pivotButton="0" quotePrefix="0" xfId="0">
      <alignment horizontal="right"/>
    </xf>
    <xf numFmtId="170" fontId="14" fillId="4" borderId="1" applyAlignment="1" pivotButton="0" quotePrefix="0" xfId="0">
      <alignment horizontal="right"/>
    </xf>
    <xf numFmtId="0" fontId="16" fillId="2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INVESTOR SUMMARY — CYPRUS PV TRACKERS + 4h BESS</t>
        </is>
      </c>
    </row>
    <row r="2">
      <c r="A2" s="2" t="inlineStr">
        <is>
          <t>Values linked to Model sheet (50% curtailment base case). Edit Assumptions to refresh.</t>
        </is>
      </c>
      <c r="B2" s="3" t="n"/>
      <c r="C2" s="3" t="n"/>
      <c r="D2" s="3" t="n"/>
    </row>
    <row r="4">
      <c r="A4" s="4" t="inlineStr">
        <is>
          <t>KPI (50% curtailment)</t>
        </is>
      </c>
      <c r="B4" s="5" t="inlineStr">
        <is>
          <t>1 MWp + 4 MWh</t>
        </is>
      </c>
      <c r="C4" s="5" t="inlineStr">
        <is>
          <t>5 MWp + 20 MWh</t>
        </is>
      </c>
      <c r="D4" s="5" t="inlineStr">
        <is>
          <t>10 MWp + 40 MWh</t>
        </is>
      </c>
    </row>
    <row r="5">
      <c r="A5" s="6" t="inlineStr">
        <is>
          <t>Total CAPEX</t>
        </is>
      </c>
      <c r="B5" s="7">
        <f>Model!B15</f>
        <v/>
      </c>
      <c r="C5" s="7">
        <f>Model!C15</f>
        <v/>
      </c>
      <c r="D5" s="7">
        <f>Model!D15</f>
        <v/>
      </c>
    </row>
    <row r="6">
      <c r="A6" s="6" t="inlineStr">
        <is>
          <t>EBITDA Y1</t>
        </is>
      </c>
      <c r="B6" s="7">
        <f>Model!B34</f>
        <v/>
      </c>
      <c r="C6" s="7">
        <f>Model!C34</f>
        <v/>
      </c>
      <c r="D6" s="7">
        <f>Model!D34</f>
        <v/>
      </c>
    </row>
    <row r="7">
      <c r="A7" s="6" t="inlineStr">
        <is>
          <t>Net cash to equity Y1</t>
        </is>
      </c>
      <c r="B7" s="7">
        <f>Model!B43</f>
        <v/>
      </c>
      <c r="C7" s="7">
        <f>Model!C43</f>
        <v/>
      </c>
      <c r="D7" s="7">
        <f>Model!D43</f>
        <v/>
      </c>
    </row>
    <row r="8">
      <c r="A8" s="6" t="inlineStr">
        <is>
          <t>Unlevered payback (yr)</t>
        </is>
      </c>
      <c r="B8" s="8">
        <f>Model!B44</f>
        <v/>
      </c>
      <c r="C8" s="8">
        <f>Model!C44</f>
        <v/>
      </c>
      <c r="D8" s="8">
        <f>Model!D44</f>
        <v/>
      </c>
    </row>
    <row r="9">
      <c r="A9" s="6" t="inlineStr">
        <is>
          <t>Equity payback (yr)</t>
        </is>
      </c>
      <c r="B9" s="8">
        <f>Model!B45</f>
        <v/>
      </c>
      <c r="C9" s="8">
        <f>Model!C45</f>
        <v/>
      </c>
      <c r="D9" s="8">
        <f>Model!D45</f>
        <v/>
      </c>
    </row>
    <row r="10">
      <c r="A10" s="6" t="inlineStr">
        <is>
          <t>Equity cash yield</t>
        </is>
      </c>
      <c r="B10" s="9">
        <f>Model!B46</f>
        <v/>
      </c>
      <c r="C10" s="9">
        <f>Model!C46</f>
        <v/>
      </c>
      <c r="D10" s="9">
        <f>Model!D46</f>
        <v/>
      </c>
    </row>
    <row r="11">
      <c r="A11" s="6" t="inlineStr">
        <is>
          <t>DSCR</t>
        </is>
      </c>
      <c r="B11" s="10">
        <f>Model!B40</f>
        <v/>
      </c>
      <c r="C11" s="10">
        <f>Model!C40</f>
        <v/>
      </c>
      <c r="D11" s="10">
        <f>Model!D40</f>
        <v/>
      </c>
    </row>
    <row r="14">
      <c r="A14" s="4" t="inlineStr">
        <is>
          <t>KPI (65% curtailment stress)</t>
        </is>
      </c>
      <c r="B14" s="5" t="inlineStr">
        <is>
          <t>1 MWp + 4 MWh</t>
        </is>
      </c>
      <c r="C14" s="5" t="inlineStr">
        <is>
          <t>5 MWp + 20 MWh</t>
        </is>
      </c>
      <c r="D14" s="5" t="inlineStr">
        <is>
          <t>10 MWp + 40 MWh</t>
        </is>
      </c>
    </row>
    <row r="15">
      <c r="A15" s="6" t="inlineStr">
        <is>
          <t>Total CAPEX</t>
        </is>
      </c>
      <c r="B15" s="7">
        <f>Model!E15</f>
        <v/>
      </c>
      <c r="C15" s="7">
        <f>Model!F15</f>
        <v/>
      </c>
      <c r="D15" s="7">
        <f>Model!G15</f>
        <v/>
      </c>
    </row>
    <row r="16">
      <c r="A16" s="6" t="inlineStr">
        <is>
          <t>EBITDA Y1</t>
        </is>
      </c>
      <c r="B16" s="7">
        <f>Model!E34</f>
        <v/>
      </c>
      <c r="C16" s="7">
        <f>Model!F34</f>
        <v/>
      </c>
      <c r="D16" s="7">
        <f>Model!G34</f>
        <v/>
      </c>
    </row>
    <row r="17">
      <c r="A17" s="6" t="inlineStr">
        <is>
          <t>Net cash to equity Y1</t>
        </is>
      </c>
      <c r="B17" s="7">
        <f>Model!E43</f>
        <v/>
      </c>
      <c r="C17" s="7">
        <f>Model!F43</f>
        <v/>
      </c>
      <c r="D17" s="7">
        <f>Model!G43</f>
        <v/>
      </c>
    </row>
    <row r="18">
      <c r="A18" s="6" t="inlineStr">
        <is>
          <t>Unlevered payback (yr)</t>
        </is>
      </c>
      <c r="B18" s="8">
        <f>Model!E44</f>
        <v/>
      </c>
      <c r="C18" s="8">
        <f>Model!F44</f>
        <v/>
      </c>
      <c r="D18" s="8">
        <f>Model!G44</f>
        <v/>
      </c>
    </row>
    <row r="19">
      <c r="A19" s="6" t="inlineStr">
        <is>
          <t>Equity payback (yr)</t>
        </is>
      </c>
      <c r="B19" s="8">
        <f>Model!E45</f>
        <v/>
      </c>
      <c r="C19" s="8">
        <f>Model!F45</f>
        <v/>
      </c>
      <c r="D19" s="8">
        <f>Model!G45</f>
        <v/>
      </c>
    </row>
    <row r="20">
      <c r="A20" s="6" t="inlineStr">
        <is>
          <t>Equity cash yield</t>
        </is>
      </c>
      <c r="B20" s="9">
        <f>Model!E46</f>
        <v/>
      </c>
      <c r="C20" s="9">
        <f>Model!F46</f>
        <v/>
      </c>
      <c r="D20" s="9">
        <f>Model!G46</f>
        <v/>
      </c>
    </row>
    <row r="21">
      <c r="A21" s="6" t="inlineStr">
        <is>
          <t>DSCR</t>
        </is>
      </c>
      <c r="B21" s="10">
        <f>Model!E40</f>
        <v/>
      </c>
      <c r="C21" s="10">
        <f>Model!F40</f>
        <v/>
      </c>
      <c r="D21" s="10">
        <f>Model!G40</f>
        <v/>
      </c>
    </row>
    <row r="24">
      <c r="A24" s="11" t="inlineStr">
        <is>
          <t>Contact</t>
        </is>
      </c>
    </row>
    <row r="25">
      <c r="A25" s="12" t="inlineStr">
        <is>
          <t>Alexander Papacosta · Cyprus Director · +357 99 164 158 · office@lighthief.com</t>
        </is>
      </c>
    </row>
    <row r="26">
      <c r="A26" s="12" t="inlineStr">
        <is>
          <t>Lighthief Cyprus Ltd · HE 477423 · solarfarms.cy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42" customWidth="1" min="5" max="5"/>
  </cols>
  <sheetData>
    <row r="1" ht="28" customHeight="1">
      <c r="A1" s="1" t="inlineStr">
        <is>
          <t>LIGHTHIEF CYPRUS — PV TRACKERS + 4h BESS INVESTOR MODEL</t>
        </is>
      </c>
    </row>
    <row r="2">
      <c r="A2" s="2" t="inlineStr">
        <is>
          <t>Yellow cells = INPUTS (edit these). Green cells on Model sheets = FORMULAS. Ref: LH-CY-PVBESS-TRK-JUL2026 · July 2026 · Confidential</t>
        </is>
      </c>
    </row>
    <row r="4">
      <c r="A4" s="13" t="inlineStr">
        <is>
          <t>GLOBAL MARKET &amp; TECHNOLOGY INPUTS</t>
        </is>
      </c>
      <c r="B4" s="14" t="n"/>
      <c r="C4" s="14" t="n"/>
      <c r="D4" s="14" t="n"/>
      <c r="E4" s="14" t="n"/>
    </row>
    <row r="5">
      <c r="A5" s="15" t="inlineStr">
        <is>
          <t>Yield kWh per kWp</t>
        </is>
      </c>
      <c r="B5" s="16" t="n">
        <v>2400</v>
      </c>
      <c r="E5" s="17" t="inlineStr">
        <is>
          <t>Single-axis + 700 Wp bifacial + white albedo</t>
        </is>
      </c>
    </row>
    <row r="6">
      <c r="A6" s="15" t="inlineStr">
        <is>
          <t>DAM Day EUR per MWh</t>
        </is>
      </c>
      <c r="B6" s="18" t="n">
        <v>140.88</v>
      </c>
      <c r="E6" s="17" t="inlineStr">
        <is>
          <t>TSOC daytime 06–17h sample</t>
        </is>
      </c>
    </row>
    <row r="7">
      <c r="A7" s="15" t="inlineStr">
        <is>
          <t>DAM Eve EUR per MWh</t>
        </is>
      </c>
      <c r="B7" s="18" t="n">
        <v>182.99</v>
      </c>
      <c r="E7" s="17" t="inlineStr">
        <is>
          <t>TSOC evening peak sample</t>
        </is>
      </c>
    </row>
    <row r="8">
      <c r="A8" s="15" t="inlineStr">
        <is>
          <t>RTE AC AC</t>
        </is>
      </c>
      <c r="B8" s="19" t="n">
        <v>0.8632</v>
      </c>
      <c r="E8" s="17" t="inlineStr">
        <is>
          <t>Linyang full-system AC–AC</t>
        </is>
      </c>
    </row>
    <row r="9">
      <c r="A9" s="15" t="inlineStr">
        <is>
          <t>Capture Pct</t>
        </is>
      </c>
      <c r="B9" s="19" t="n">
        <v>0.874</v>
      </c>
      <c r="E9" s="17" t="inlineStr">
        <is>
          <t>Share of curtailed energy captured (pre capacity cap)</t>
        </is>
      </c>
    </row>
    <row r="10">
      <c r="A10" s="15" t="inlineStr">
        <is>
          <t>Full Cycle Days</t>
        </is>
      </c>
      <c r="B10" s="16" t="n">
        <v>280</v>
      </c>
      <c r="E10" s="17" t="inlineStr">
        <is>
          <t>Max BESS full cycles / year</t>
        </is>
      </c>
    </row>
    <row r="11">
      <c r="A11" s="15" t="inlineStr">
        <is>
          <t>Aggregator Fee Pct</t>
        </is>
      </c>
      <c r="B11" s="19" t="n">
        <v>0.1</v>
      </c>
      <c r="E11" s="17" t="inlineStr">
        <is>
          <t>Market access / aggregator</t>
        </is>
      </c>
    </row>
    <row r="12">
      <c r="A12" s="15" t="inlineStr">
        <is>
          <t>CIT Pct</t>
        </is>
      </c>
      <c r="B12" s="19" t="n">
        <v>0.15</v>
      </c>
      <c r="E12" s="17" t="inlineStr">
        <is>
          <t>Cyprus CIT from 1 Jan 2026</t>
        </is>
      </c>
    </row>
    <row r="13">
      <c r="A13" s="15" t="inlineStr">
        <is>
          <t>LTV Pct</t>
        </is>
      </c>
      <c r="B13" s="19" t="n">
        <v>0.65</v>
      </c>
      <c r="E13" s="17" t="inlineStr">
        <is>
          <t>Senior debt / total CapEx</t>
        </is>
      </c>
    </row>
    <row r="14">
      <c r="A14" s="15" t="inlineStr">
        <is>
          <t>Equity Pct</t>
        </is>
      </c>
      <c r="B14" s="19" t="n">
        <v>0.35</v>
      </c>
      <c r="E14" s="17" t="inlineStr">
        <is>
          <t>Must equal 1 − LTV</t>
        </is>
      </c>
    </row>
    <row r="15">
      <c r="A15" s="15" t="inlineStr">
        <is>
          <t>Loan Rate</t>
        </is>
      </c>
      <c r="B15" s="19" t="n">
        <v>0.055</v>
      </c>
      <c r="E15" s="17" t="inlineStr">
        <is>
          <t>Nominal p.a.</t>
        </is>
      </c>
    </row>
    <row r="16">
      <c r="A16" s="15" t="inlineStr">
        <is>
          <t>Loan Years</t>
        </is>
      </c>
      <c r="B16" s="16" t="n">
        <v>12</v>
      </c>
      <c r="E16" s="17" t="inlineStr">
        <is>
          <t>Annuity term</t>
        </is>
      </c>
    </row>
    <row r="17">
      <c r="A17" s="15" t="inlineStr">
        <is>
          <t>DA Years</t>
        </is>
      </c>
      <c r="B17" s="16" t="n">
        <v>20</v>
      </c>
      <c r="E17" s="17" t="inlineStr">
        <is>
          <t>Straight-line depreciation years</t>
        </is>
      </c>
    </row>
    <row r="18">
      <c r="A18" s="15" t="inlineStr">
        <is>
          <t>PV OM EUR per MW</t>
        </is>
      </c>
      <c r="B18" s="18" t="n">
        <v>15000</v>
      </c>
      <c r="E18" s="17" t="inlineStr">
        <is>
          <t>PV O&amp;M</t>
        </is>
      </c>
    </row>
    <row r="19">
      <c r="A19" s="15" t="inlineStr">
        <is>
          <t>BESS LTSA EUR per MWh</t>
        </is>
      </c>
      <c r="B19" s="18" t="n">
        <v>1740</v>
      </c>
      <c r="E19" s="17" t="inlineStr">
        <is>
          <t>LTSA Tier C</t>
        </is>
      </c>
    </row>
    <row r="20">
      <c r="A20" s="15" t="inlineStr">
        <is>
          <t>Land EUR per MW</t>
        </is>
      </c>
      <c r="B20" s="18" t="n">
        <v>5000</v>
      </c>
      <c r="E20" s="17" t="inlineStr">
        <is>
          <t>Indicative lease</t>
        </is>
      </c>
    </row>
    <row r="21">
      <c r="A21" s="15" t="inlineStr">
        <is>
          <t>Other Fixed EUR</t>
        </is>
      </c>
      <c r="B21" s="18" t="n">
        <v>15000</v>
      </c>
      <c r="E21" s="17" t="inlineStr">
        <is>
          <t>Admin / monitoring</t>
        </is>
      </c>
    </row>
    <row r="22">
      <c r="A22" s="15" t="inlineStr">
        <is>
          <t>Other Pct of Capex</t>
        </is>
      </c>
      <c r="B22" s="19" t="n">
        <v>0.005</v>
      </c>
      <c r="E22" s="17" t="inlineStr">
        <is>
          <t>Insurance proxy</t>
        </is>
      </c>
    </row>
    <row r="23">
      <c r="A23" s="15" t="inlineStr">
        <is>
          <t>RTB EUR per MW</t>
        </is>
      </c>
      <c r="B23" s="18" t="n">
        <v>550000</v>
      </c>
      <c r="E23" s="17" t="inlineStr">
        <is>
          <t>User-confirmed RTB ticket</t>
        </is>
      </c>
    </row>
    <row r="24">
      <c r="A24" s="15" t="inlineStr">
        <is>
          <t>EAC EUR per MW</t>
        </is>
      </c>
      <c r="B24" s="18" t="n">
        <v>80000</v>
      </c>
      <c r="E24" s="17" t="inlineStr">
        <is>
          <t>Connection terms (separate)</t>
        </is>
      </c>
    </row>
    <row r="25">
      <c r="A25" s="15" t="inlineStr">
        <is>
          <t>Tracker Premium EUR per MW</t>
        </is>
      </c>
      <c r="B25" s="18" t="n">
        <v>100000</v>
      </c>
      <c r="E25" s="17" t="inlineStr">
        <is>
          <t>Market mid €80–120k/MW</t>
        </is>
      </c>
    </row>
    <row r="26">
      <c r="A26" s="15" t="inlineStr">
        <is>
          <t>Permitting EUR</t>
        </is>
      </c>
      <c r="B26" s="18" t="n">
        <v>35000</v>
      </c>
      <c r="E26" s="17" t="inlineStr">
        <is>
          <t>Flat per park</t>
        </is>
      </c>
    </row>
    <row r="27">
      <c r="A27" s="15" t="inlineStr">
        <is>
          <t>MV Cable EUR</t>
        </is>
      </c>
      <c r="B27" s="18" t="n">
        <v>20000</v>
      </c>
      <c r="E27" s="17" t="inlineStr">
        <is>
          <t>Illustrative 1 km</t>
        </is>
      </c>
    </row>
    <row r="28">
      <c r="A28" s="15" t="inlineStr">
        <is>
          <t>Curtailment Base Pct</t>
        </is>
      </c>
      <c r="B28" s="19" t="n">
        <v>0.5</v>
      </c>
      <c r="E28" s="17" t="inlineStr">
        <is>
          <t>Case A</t>
        </is>
      </c>
    </row>
    <row r="29">
      <c r="A29" s="15" t="inlineStr">
        <is>
          <t>Curtailment Stress Pct</t>
        </is>
      </c>
      <c r="B29" s="19" t="n">
        <v>0.65</v>
      </c>
      <c r="E29" s="17" t="inlineStr">
        <is>
          <t>Case B</t>
        </is>
      </c>
    </row>
    <row r="32">
      <c r="A32" s="13" t="inlineStr">
        <is>
          <t>SCENARIO SIZING &amp; UNIT CAPEX (PER COLUMN)</t>
        </is>
      </c>
      <c r="B32" s="14" t="n"/>
      <c r="C32" s="14" t="n"/>
      <c r="D32" s="14" t="n"/>
      <c r="E32" s="14" t="n"/>
    </row>
    <row r="33">
      <c r="A33" s="4" t="inlineStr">
        <is>
          <t>Parameter</t>
        </is>
      </c>
      <c r="B33" s="5" t="inlineStr">
        <is>
          <t>1 MWp</t>
        </is>
      </c>
      <c r="C33" s="5" t="inlineStr">
        <is>
          <t>5 MWp</t>
        </is>
      </c>
      <c r="D33" s="5" t="inlineStr">
        <is>
          <t>10 MWp</t>
        </is>
      </c>
      <c r="E33" s="5" t="inlineStr">
        <is>
          <t>Note</t>
        </is>
      </c>
    </row>
    <row r="34">
      <c r="A34" s="6" t="inlineStr">
        <is>
          <t>PV capacity (MWp)</t>
        </is>
      </c>
      <c r="B34" s="20" t="n">
        <v>1</v>
      </c>
      <c r="C34" s="20" t="n">
        <v>5</v>
      </c>
      <c r="D34" s="20" t="n">
        <v>10</v>
      </c>
      <c r="E34" s="17" t="inlineStr">
        <is>
          <t>Edit to resize parks</t>
        </is>
      </c>
    </row>
    <row r="35">
      <c r="A35" s="6" t="inlineStr">
        <is>
          <t>BESS energy (MWh)</t>
        </is>
      </c>
      <c r="B35" s="20" t="n">
        <v>4</v>
      </c>
      <c r="C35" s="20" t="n">
        <v>20</v>
      </c>
      <c r="D35" s="20" t="n">
        <v>40</v>
      </c>
      <c r="E35" s="17" t="inlineStr">
        <is>
          <t>4h duration = 4 × MWp</t>
        </is>
      </c>
    </row>
    <row r="36">
      <c r="A36" s="6" t="inlineStr">
        <is>
          <t>PV base EPC € (fixed-tilt client)</t>
        </is>
      </c>
      <c r="B36" s="21" t="n">
        <v>730077</v>
      </c>
      <c r="C36" s="21" t="n">
        <v>3200385</v>
      </c>
      <c r="D36" s="21" t="n">
        <v>6100770</v>
      </c>
      <c r="E36" s="17" t="inlineStr">
        <is>
          <t>solarpark-epc client schedule</t>
        </is>
      </c>
    </row>
    <row r="37">
      <c r="A37" s="6" t="inlineStr">
        <is>
          <t>BESS client €/MWh</t>
        </is>
      </c>
      <c r="B37" s="21" t="n">
        <v>168584</v>
      </c>
      <c r="C37" s="21" t="n">
        <v>111900</v>
      </c>
      <c r="D37" s="21" t="n">
        <v>109797</v>
      </c>
      <c r="E37" s="17" t="inlineStr">
        <is>
          <t>4 MWh tier / confirmed 20 MWh / 40 MWh schedule</t>
        </is>
      </c>
    </row>
    <row r="39">
      <c r="A39" s="6" t="inlineStr">
        <is>
          <t>Annuity factor (loan)</t>
        </is>
      </c>
      <c r="B39" s="22">
        <f>$B$15*(1+$B$15)^$B$16/((1+$B$15)^$B$16-1)</f>
        <v/>
      </c>
    </row>
    <row r="41">
      <c r="A41" s="11" t="inlineStr">
        <is>
          <t>Legend</t>
        </is>
      </c>
    </row>
    <row r="42">
      <c r="A42" s="23" t="inlineStr">
        <is>
          <t>INPUT</t>
        </is>
      </c>
      <c r="B42" t="inlineStr">
        <is>
          <t>Editable assumption</t>
        </is>
      </c>
    </row>
    <row r="43">
      <c r="A43" s="24" t="inlineStr">
        <is>
          <t>FORMULA</t>
        </is>
      </c>
      <c r="B43" t="inlineStr">
        <is>
          <t>Calculated — do not overwrite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5" t="inlineStr">
        <is>
          <t>FULL PROJECT MODEL — FORMULA DRIVEN FROM Assumptions</t>
        </is>
      </c>
    </row>
    <row r="3">
      <c r="A3" s="4" t="inlineStr">
        <is>
          <t>Metric</t>
        </is>
      </c>
      <c r="B3" s="5" t="inlineStr">
        <is>
          <t>1 MWp · 50%</t>
        </is>
      </c>
      <c r="C3" s="5" t="inlineStr">
        <is>
          <t>5 MWp · 50%</t>
        </is>
      </c>
      <c r="D3" s="5" t="inlineStr">
        <is>
          <t>10 MWp · 50%</t>
        </is>
      </c>
      <c r="E3" s="5" t="inlineStr">
        <is>
          <t>1 MWp · 65%</t>
        </is>
      </c>
      <c r="F3" s="5" t="inlineStr">
        <is>
          <t>5 MWp · 65%</t>
        </is>
      </c>
      <c r="G3" s="5" t="inlineStr">
        <is>
          <t>10 MWp · 65%</t>
        </is>
      </c>
    </row>
    <row r="4">
      <c r="A4" s="13" t="inlineStr">
        <is>
          <t>CAPACITY</t>
        </is>
      </c>
      <c r="B4" s="14" t="n"/>
      <c r="C4" s="14" t="n"/>
      <c r="D4" s="14" t="n"/>
      <c r="E4" s="14" t="n"/>
      <c r="F4" s="14" t="n"/>
      <c r="G4" s="14" t="n"/>
    </row>
    <row r="5">
      <c r="A5" s="15" t="inlineStr">
        <is>
          <t>PV capacity (MWp)</t>
        </is>
      </c>
      <c r="B5" s="26">
        <f>Assumptions!B34</f>
        <v/>
      </c>
      <c r="C5" s="26">
        <f>Assumptions!C34</f>
        <v/>
      </c>
      <c r="D5" s="26">
        <f>Assumptions!D34</f>
        <v/>
      </c>
      <c r="E5" s="26">
        <f>Assumptions!B34</f>
        <v/>
      </c>
      <c r="F5" s="26">
        <f>Assumptions!C34</f>
        <v/>
      </c>
      <c r="G5" s="26">
        <f>Assumptions!D34</f>
        <v/>
      </c>
    </row>
    <row r="6">
      <c r="A6" s="15" t="inlineStr">
        <is>
          <t>BESS energy (MWh)</t>
        </is>
      </c>
      <c r="B6" s="26">
        <f>Assumptions!B35</f>
        <v/>
      </c>
      <c r="C6" s="26">
        <f>Assumptions!C35</f>
        <v/>
      </c>
      <c r="D6" s="26">
        <f>Assumptions!D35</f>
        <v/>
      </c>
      <c r="E6" s="26">
        <f>Assumptions!B35</f>
        <v/>
      </c>
      <c r="F6" s="26">
        <f>Assumptions!C35</f>
        <v/>
      </c>
      <c r="G6" s="26">
        <f>Assumptions!D35</f>
        <v/>
      </c>
    </row>
    <row r="7">
      <c r="A7" s="15" t="inlineStr">
        <is>
          <t>Curtailment %</t>
        </is>
      </c>
      <c r="B7" s="9">
        <f>Assumptions!$B$28</f>
        <v/>
      </c>
      <c r="C7" s="9">
        <f>Assumptions!$B$28</f>
        <v/>
      </c>
      <c r="D7" s="9">
        <f>Assumptions!$B$28</f>
        <v/>
      </c>
      <c r="E7" s="9">
        <f>Assumptions!$B$29</f>
        <v/>
      </c>
      <c r="F7" s="9">
        <f>Assumptions!$B$29</f>
        <v/>
      </c>
      <c r="G7" s="9">
        <f>Assumptions!$B$29</f>
        <v/>
      </c>
    </row>
    <row r="9">
      <c r="A9" s="13" t="inlineStr">
        <is>
          <t>CAPITAL EXPENDITURE</t>
        </is>
      </c>
      <c r="B9" s="14" t="n"/>
      <c r="C9" s="14" t="n"/>
      <c r="D9" s="14" t="n"/>
      <c r="E9" s="14" t="n"/>
      <c r="F9" s="14" t="n"/>
      <c r="G9" s="14" t="n"/>
    </row>
    <row r="10">
      <c r="A10" s="15" t="inlineStr">
        <is>
          <t>PV EPC (base + tracker premium)</t>
        </is>
      </c>
      <c r="B10" s="7">
        <f>Assumptions!B36+Assumptions!B34*Assumptions!$B$25</f>
        <v/>
      </c>
      <c r="C10" s="7">
        <f>Assumptions!C36+Assumptions!C34*Assumptions!$B$25</f>
        <v/>
      </c>
      <c r="D10" s="7">
        <f>Assumptions!D36+Assumptions!D34*Assumptions!$B$25</f>
        <v/>
      </c>
      <c r="E10" s="7">
        <f>Assumptions!B36+Assumptions!B34*Assumptions!$B$25</f>
        <v/>
      </c>
      <c r="F10" s="7">
        <f>Assumptions!C36+Assumptions!C34*Assumptions!$B$25</f>
        <v/>
      </c>
      <c r="G10" s="7">
        <f>Assumptions!D36+Assumptions!D34*Assumptions!$B$25</f>
        <v/>
      </c>
    </row>
    <row r="11">
      <c r="A11" s="15" t="inlineStr">
        <is>
          <t>BESS EPC</t>
        </is>
      </c>
      <c r="B11" s="7">
        <f>Assumptions!B35*Assumptions!B37</f>
        <v/>
      </c>
      <c r="C11" s="7">
        <f>Assumptions!C35*Assumptions!C37</f>
        <v/>
      </c>
      <c r="D11" s="7">
        <f>Assumptions!D35*Assumptions!D37</f>
        <v/>
      </c>
      <c r="E11" s="7">
        <f>Assumptions!B35*Assumptions!B37</f>
        <v/>
      </c>
      <c r="F11" s="7">
        <f>Assumptions!C35*Assumptions!C37</f>
        <v/>
      </c>
      <c r="G11" s="7">
        <f>Assumptions!D35*Assumptions!D37</f>
        <v/>
      </c>
    </row>
    <row r="12">
      <c r="A12" s="15" t="inlineStr">
        <is>
          <t>RTB acquisition</t>
        </is>
      </c>
      <c r="B12" s="7">
        <f>Assumptions!B34*Assumptions!$B$23</f>
        <v/>
      </c>
      <c r="C12" s="7">
        <f>Assumptions!C34*Assumptions!$B$23</f>
        <v/>
      </c>
      <c r="D12" s="7">
        <f>Assumptions!D34*Assumptions!$B$23</f>
        <v/>
      </c>
      <c r="E12" s="7">
        <f>Assumptions!B34*Assumptions!$B$23</f>
        <v/>
      </c>
      <c r="F12" s="7">
        <f>Assumptions!C34*Assumptions!$B$23</f>
        <v/>
      </c>
      <c r="G12" s="7">
        <f>Assumptions!D34*Assumptions!$B$23</f>
        <v/>
      </c>
    </row>
    <row r="13">
      <c r="A13" s="15" t="inlineStr">
        <is>
          <t>EAC connection terms</t>
        </is>
      </c>
      <c r="B13" s="7">
        <f>Assumptions!B34*Assumptions!$B$24</f>
        <v/>
      </c>
      <c r="C13" s="7">
        <f>Assumptions!C34*Assumptions!$B$24</f>
        <v/>
      </c>
      <c r="D13" s="7">
        <f>Assumptions!D34*Assumptions!$B$24</f>
        <v/>
      </c>
      <c r="E13" s="7">
        <f>Assumptions!B34*Assumptions!$B$24</f>
        <v/>
      </c>
      <c r="F13" s="7">
        <f>Assumptions!C34*Assumptions!$B$24</f>
        <v/>
      </c>
      <c r="G13" s="7">
        <f>Assumptions!D34*Assumptions!$B$24</f>
        <v/>
      </c>
    </row>
    <row r="14">
      <c r="A14" s="15" t="inlineStr">
        <is>
          <t>Permitting + MV cable</t>
        </is>
      </c>
      <c r="B14" s="7">
        <f>Assumptions!$B$26+Assumptions!$B$27</f>
        <v/>
      </c>
      <c r="C14" s="7">
        <f>Assumptions!$B$26+Assumptions!$B$27</f>
        <v/>
      </c>
      <c r="D14" s="7">
        <f>Assumptions!$B$26+Assumptions!$B$27</f>
        <v/>
      </c>
      <c r="E14" s="7">
        <f>Assumptions!$B$26+Assumptions!$B$27</f>
        <v/>
      </c>
      <c r="F14" s="7">
        <f>Assumptions!$B$26+Assumptions!$B$27</f>
        <v/>
      </c>
      <c r="G14" s="7">
        <f>Assumptions!$B$26+Assumptions!$B$27</f>
        <v/>
      </c>
    </row>
    <row r="15">
      <c r="A15" s="6" t="inlineStr">
        <is>
          <t>Total CAPEX</t>
        </is>
      </c>
      <c r="B15" s="27">
        <f>B10+B11+B12+B13+B14</f>
        <v/>
      </c>
      <c r="C15" s="27">
        <f>C10+C11+C12+C13+C14</f>
        <v/>
      </c>
      <c r="D15" s="27">
        <f>D10+D11+D12+D13+D14</f>
        <v/>
      </c>
      <c r="E15" s="27">
        <f>E10+E11+E12+E13+E14</f>
        <v/>
      </c>
      <c r="F15" s="27">
        <f>F10+F11+F12+F13+F14</f>
        <v/>
      </c>
      <c r="G15" s="27">
        <f>G10+G11+G12+G13+G14</f>
        <v/>
      </c>
    </row>
    <row r="17">
      <c r="A17" s="13" t="inlineStr">
        <is>
          <t>PRODUCTION &amp; REVENUE (YEAR 1)</t>
        </is>
      </c>
      <c r="B17" s="14" t="n"/>
      <c r="C17" s="14" t="n"/>
      <c r="D17" s="14" t="n"/>
      <c r="E17" s="14" t="n"/>
      <c r="F17" s="14" t="n"/>
      <c r="G17" s="14" t="n"/>
    </row>
    <row r="18">
      <c r="A18" s="15" t="inlineStr">
        <is>
          <t>Gross PV production (MWh)</t>
        </is>
      </c>
      <c r="B18" s="28">
        <f>B5*1000*Assumptions!$B$5/1000</f>
        <v/>
      </c>
      <c r="C18" s="28">
        <f>C5*1000*Assumptions!$B$5/1000</f>
        <v/>
      </c>
      <c r="D18" s="28">
        <f>D5*1000*Assumptions!$B$5/1000</f>
        <v/>
      </c>
      <c r="E18" s="28">
        <f>E5*1000*Assumptions!$B$5/1000</f>
        <v/>
      </c>
      <c r="F18" s="28">
        <f>F5*1000*Assumptions!$B$5/1000</f>
        <v/>
      </c>
      <c r="G18" s="28">
        <f>G5*1000*Assumptions!$B$5/1000</f>
        <v/>
      </c>
    </row>
    <row r="19">
      <c r="A19" s="15" t="inlineStr">
        <is>
          <t>Uncurtailed solar (MWh)</t>
        </is>
      </c>
      <c r="B19" s="28">
        <f>B18*(1-B7)</f>
        <v/>
      </c>
      <c r="C19" s="28">
        <f>C18*(1-C7)</f>
        <v/>
      </c>
      <c r="D19" s="28">
        <f>D18*(1-D7)</f>
        <v/>
      </c>
      <c r="E19" s="28">
        <f>E18*(1-E7)</f>
        <v/>
      </c>
      <c r="F19" s="28">
        <f>F18*(1-F7)</f>
        <v/>
      </c>
      <c r="G19" s="28">
        <f>G18*(1-G7)</f>
        <v/>
      </c>
    </row>
    <row r="20">
      <c r="A20" s="15" t="inlineStr">
        <is>
          <t>Curtailed energy (MWh)</t>
        </is>
      </c>
      <c r="B20" s="28">
        <f>B18*B7</f>
        <v/>
      </c>
      <c r="C20" s="28">
        <f>C18*C7</f>
        <v/>
      </c>
      <c r="D20" s="28">
        <f>D18*D7</f>
        <v/>
      </c>
      <c r="E20" s="28">
        <f>E18*E7</f>
        <v/>
      </c>
      <c r="F20" s="28">
        <f>F18*F7</f>
        <v/>
      </c>
      <c r="G20" s="28">
        <f>G18*G7</f>
        <v/>
      </c>
    </row>
    <row r="21">
      <c r="A21" s="15" t="inlineStr">
        <is>
          <t>BESS charged (MWh) — min(ideal, capacity)</t>
        </is>
      </c>
      <c r="B21" s="28">
        <f>MIN(B20*Assumptions!$B$9,B6*Assumptions!$B$10)</f>
        <v/>
      </c>
      <c r="C21" s="28">
        <f>MIN(C20*Assumptions!$B$9,C6*Assumptions!$B$10)</f>
        <v/>
      </c>
      <c r="D21" s="28">
        <f>MIN(D20*Assumptions!$B$9,D6*Assumptions!$B$10)</f>
        <v/>
      </c>
      <c r="E21" s="28">
        <f>MIN(E20*Assumptions!$B$9,E6*Assumptions!$B$10)</f>
        <v/>
      </c>
      <c r="F21" s="28">
        <f>MIN(F20*Assumptions!$B$9,F6*Assumptions!$B$10)</f>
        <v/>
      </c>
      <c r="G21" s="28">
        <f>MIN(G20*Assumptions!$B$9,G6*Assumptions!$B$10)</f>
        <v/>
      </c>
    </row>
    <row r="22">
      <c r="A22" s="15" t="inlineStr">
        <is>
          <t>BESS discharged (MWh)</t>
        </is>
      </c>
      <c r="B22" s="28">
        <f>B21*Assumptions!$B$8</f>
        <v/>
      </c>
      <c r="C22" s="28">
        <f>C21*Assumptions!$B$8</f>
        <v/>
      </c>
      <c r="D22" s="28">
        <f>D21*Assumptions!$B$8</f>
        <v/>
      </c>
      <c r="E22" s="28">
        <f>E21*Assumptions!$B$8</f>
        <v/>
      </c>
      <c r="F22" s="28">
        <f>F21*Assumptions!$B$8</f>
        <v/>
      </c>
      <c r="G22" s="28">
        <f>G21*Assumptions!$B$8</f>
        <v/>
      </c>
    </row>
    <row r="23">
      <c r="A23" s="15" t="inlineStr">
        <is>
          <t>Solar revenue (€)</t>
        </is>
      </c>
      <c r="B23" s="7">
        <f>B19*Assumptions!$B$6</f>
        <v/>
      </c>
      <c r="C23" s="7">
        <f>C19*Assumptions!$B$6</f>
        <v/>
      </c>
      <c r="D23" s="7">
        <f>D19*Assumptions!$B$6</f>
        <v/>
      </c>
      <c r="E23" s="7">
        <f>E19*Assumptions!$B$6</f>
        <v/>
      </c>
      <c r="F23" s="7">
        <f>F19*Assumptions!$B$6</f>
        <v/>
      </c>
      <c r="G23" s="7">
        <f>G19*Assumptions!$B$6</f>
        <v/>
      </c>
    </row>
    <row r="24">
      <c r="A24" s="15" t="inlineStr">
        <is>
          <t>BESS revenue (€)</t>
        </is>
      </c>
      <c r="B24" s="7">
        <f>B22*Assumptions!$B$7</f>
        <v/>
      </c>
      <c r="C24" s="7">
        <f>C22*Assumptions!$B$7</f>
        <v/>
      </c>
      <c r="D24" s="7">
        <f>D22*Assumptions!$B$7</f>
        <v/>
      </c>
      <c r="E24" s="7">
        <f>E22*Assumptions!$B$7</f>
        <v/>
      </c>
      <c r="F24" s="7">
        <f>F22*Assumptions!$B$7</f>
        <v/>
      </c>
      <c r="G24" s="7">
        <f>G22*Assumptions!$B$7</f>
        <v/>
      </c>
    </row>
    <row r="25">
      <c r="A25" s="6" t="inlineStr">
        <is>
          <t>Gross energy revenue</t>
        </is>
      </c>
      <c r="B25" s="7">
        <f>B23+B24</f>
        <v/>
      </c>
      <c r="C25" s="7">
        <f>C23+C24</f>
        <v/>
      </c>
      <c r="D25" s="7">
        <f>D23+D24</f>
        <v/>
      </c>
      <c r="E25" s="7">
        <f>E23+E24</f>
        <v/>
      </c>
      <c r="F25" s="7">
        <f>F23+F24</f>
        <v/>
      </c>
      <c r="G25" s="7">
        <f>G23+G24</f>
        <v/>
      </c>
    </row>
    <row r="26">
      <c r="A26" s="6" t="inlineStr">
        <is>
          <t>Net revenue (after aggregator)</t>
        </is>
      </c>
      <c r="B26" s="29">
        <f>B25*(1-Assumptions!$B$11)</f>
        <v/>
      </c>
      <c r="C26" s="29">
        <f>C25*(1-Assumptions!$B$11)</f>
        <v/>
      </c>
      <c r="D26" s="29">
        <f>D25*(1-Assumptions!$B$11)</f>
        <v/>
      </c>
      <c r="E26" s="29">
        <f>E25*(1-Assumptions!$B$11)</f>
        <v/>
      </c>
      <c r="F26" s="29">
        <f>F25*(1-Assumptions!$B$11)</f>
        <v/>
      </c>
      <c r="G26" s="29">
        <f>G25*(1-Assumptions!$B$11)</f>
        <v/>
      </c>
    </row>
    <row r="28">
      <c r="A28" s="13" t="inlineStr">
        <is>
          <t>OPEX &amp; EBITDA</t>
        </is>
      </c>
      <c r="B28" s="14" t="n"/>
      <c r="C28" s="14" t="n"/>
      <c r="D28" s="14" t="n"/>
      <c r="E28" s="14" t="n"/>
      <c r="F28" s="14" t="n"/>
      <c r="G28" s="14" t="n"/>
    </row>
    <row r="29">
      <c r="A29" s="15" t="inlineStr">
        <is>
          <t>PV O&amp;M</t>
        </is>
      </c>
      <c r="B29" s="7">
        <f>B5*Assumptions!$B$18</f>
        <v/>
      </c>
      <c r="C29" s="7">
        <f>C5*Assumptions!$B$18</f>
        <v/>
      </c>
      <c r="D29" s="7">
        <f>D5*Assumptions!$B$18</f>
        <v/>
      </c>
      <c r="E29" s="7">
        <f>E5*Assumptions!$B$18</f>
        <v/>
      </c>
      <c r="F29" s="7">
        <f>F5*Assumptions!$B$18</f>
        <v/>
      </c>
      <c r="G29" s="7">
        <f>G5*Assumptions!$B$18</f>
        <v/>
      </c>
    </row>
    <row r="30">
      <c r="A30" s="15" t="inlineStr">
        <is>
          <t>BESS LTSA</t>
        </is>
      </c>
      <c r="B30" s="7">
        <f>B6*Assumptions!$B$19</f>
        <v/>
      </c>
      <c r="C30" s="7">
        <f>C6*Assumptions!$B$19</f>
        <v/>
      </c>
      <c r="D30" s="7">
        <f>D6*Assumptions!$B$19</f>
        <v/>
      </c>
      <c r="E30" s="7">
        <f>E6*Assumptions!$B$19</f>
        <v/>
      </c>
      <c r="F30" s="7">
        <f>F6*Assumptions!$B$19</f>
        <v/>
      </c>
      <c r="G30" s="7">
        <f>G6*Assumptions!$B$19</f>
        <v/>
      </c>
    </row>
    <row r="31">
      <c r="A31" s="15" t="inlineStr">
        <is>
          <t>Land lease</t>
        </is>
      </c>
      <c r="B31" s="7">
        <f>B5*Assumptions!$B$20</f>
        <v/>
      </c>
      <c r="C31" s="7">
        <f>C5*Assumptions!$B$20</f>
        <v/>
      </c>
      <c r="D31" s="7">
        <f>D5*Assumptions!$B$20</f>
        <v/>
      </c>
      <c r="E31" s="7">
        <f>E5*Assumptions!$B$20</f>
        <v/>
      </c>
      <c r="F31" s="7">
        <f>F5*Assumptions!$B$20</f>
        <v/>
      </c>
      <c r="G31" s="7">
        <f>G5*Assumptions!$B$20</f>
        <v/>
      </c>
    </row>
    <row r="32">
      <c r="A32" s="15" t="inlineStr">
        <is>
          <t>Insurance + admin</t>
        </is>
      </c>
      <c r="B32" s="7">
        <f>Assumptions!$B$21+B15*Assumptions!$B$22</f>
        <v/>
      </c>
      <c r="C32" s="7">
        <f>Assumptions!$B$21+C15*Assumptions!$B$22</f>
        <v/>
      </c>
      <c r="D32" s="7">
        <f>Assumptions!$B$21+D15*Assumptions!$B$22</f>
        <v/>
      </c>
      <c r="E32" s="7">
        <f>Assumptions!$B$21+E15*Assumptions!$B$22</f>
        <v/>
      </c>
      <c r="F32" s="7">
        <f>Assumptions!$B$21+F15*Assumptions!$B$22</f>
        <v/>
      </c>
      <c r="G32" s="7">
        <f>Assumptions!$B$21+G15*Assumptions!$B$22</f>
        <v/>
      </c>
    </row>
    <row r="33">
      <c r="A33" s="6" t="inlineStr">
        <is>
          <t>Total OPEX</t>
        </is>
      </c>
      <c r="B33" s="7">
        <f>B29+B30+B31+B32</f>
        <v/>
      </c>
      <c r="C33" s="7">
        <f>C29+C30+C31+C32</f>
        <v/>
      </c>
      <c r="D33" s="7">
        <f>D29+D30+D31+D32</f>
        <v/>
      </c>
      <c r="E33" s="7">
        <f>E29+E30+E31+E32</f>
        <v/>
      </c>
      <c r="F33" s="7">
        <f>F29+F30+F31+F32</f>
        <v/>
      </c>
      <c r="G33" s="7">
        <f>G29+G30+G31+G32</f>
        <v/>
      </c>
    </row>
    <row r="34">
      <c r="A34" s="6" t="inlineStr">
        <is>
          <t>EBITDA</t>
        </is>
      </c>
      <c r="B34" s="29">
        <f>B26-B33</f>
        <v/>
      </c>
      <c r="C34" s="29">
        <f>C26-C33</f>
        <v/>
      </c>
      <c r="D34" s="29">
        <f>D26-D33</f>
        <v/>
      </c>
      <c r="E34" s="29">
        <f>E26-E33</f>
        <v/>
      </c>
      <c r="F34" s="29">
        <f>F26-F33</f>
        <v/>
      </c>
      <c r="G34" s="29">
        <f>G26-G33</f>
        <v/>
      </c>
    </row>
    <row r="36">
      <c r="A36" s="13" t="inlineStr">
        <is>
          <t>RETURNS (LEVERED)</t>
        </is>
      </c>
      <c r="B36" s="14" t="n"/>
      <c r="C36" s="14" t="n"/>
      <c r="D36" s="14" t="n"/>
      <c r="E36" s="14" t="n"/>
      <c r="F36" s="14" t="n"/>
      <c r="G36" s="14" t="n"/>
    </row>
    <row r="37">
      <c r="A37" s="15" t="inlineStr">
        <is>
          <t>Equity required</t>
        </is>
      </c>
      <c r="B37" s="7">
        <f>B15*Assumptions!$B$14</f>
        <v/>
      </c>
      <c r="C37" s="7">
        <f>C15*Assumptions!$B$14</f>
        <v/>
      </c>
      <c r="D37" s="7">
        <f>D15*Assumptions!$B$14</f>
        <v/>
      </c>
      <c r="E37" s="7">
        <f>E15*Assumptions!$B$14</f>
        <v/>
      </c>
      <c r="F37" s="7">
        <f>F15*Assumptions!$B$14</f>
        <v/>
      </c>
      <c r="G37" s="7">
        <f>G15*Assumptions!$B$14</f>
        <v/>
      </c>
    </row>
    <row r="38">
      <c r="A38" s="15" t="inlineStr">
        <is>
          <t>Senior debt</t>
        </is>
      </c>
      <c r="B38" s="7">
        <f>B15*Assumptions!$B$13</f>
        <v/>
      </c>
      <c r="C38" s="7">
        <f>C15*Assumptions!$B$13</f>
        <v/>
      </c>
      <c r="D38" s="7">
        <f>D15*Assumptions!$B$13</f>
        <v/>
      </c>
      <c r="E38" s="7">
        <f>E15*Assumptions!$B$13</f>
        <v/>
      </c>
      <c r="F38" s="7">
        <f>F15*Assumptions!$B$13</f>
        <v/>
      </c>
      <c r="G38" s="7">
        <f>G15*Assumptions!$B$13</f>
        <v/>
      </c>
    </row>
    <row r="39">
      <c r="A39" s="15" t="inlineStr">
        <is>
          <t>Annual debt service</t>
        </is>
      </c>
      <c r="B39" s="7">
        <f>B38*Annuity_Factor</f>
        <v/>
      </c>
      <c r="C39" s="7">
        <f>C38*Annuity_Factor</f>
        <v/>
      </c>
      <c r="D39" s="7">
        <f>D38*Annuity_Factor</f>
        <v/>
      </c>
      <c r="E39" s="7">
        <f>E38*Annuity_Factor</f>
        <v/>
      </c>
      <c r="F39" s="7">
        <f>F38*Annuity_Factor</f>
        <v/>
      </c>
      <c r="G39" s="7">
        <f>G38*Annuity_Factor</f>
        <v/>
      </c>
    </row>
    <row r="40">
      <c r="A40" s="6" t="inlineStr">
        <is>
          <t>DSCR</t>
        </is>
      </c>
      <c r="B40" s="10">
        <f>IF(B39=0,0,B34/B39)</f>
        <v/>
      </c>
      <c r="C40" s="10">
        <f>IF(C39=0,0,C34/C39)</f>
        <v/>
      </c>
      <c r="D40" s="10">
        <f>IF(D39=0,0,D34/D39)</f>
        <v/>
      </c>
      <c r="E40" s="10">
        <f>IF(E39=0,0,E34/E39)</f>
        <v/>
      </c>
      <c r="F40" s="10">
        <f>IF(F39=0,0,F34/F39)</f>
        <v/>
      </c>
      <c r="G40" s="10">
        <f>IF(G39=0,0,G34/G39)</f>
        <v/>
      </c>
    </row>
    <row r="41">
      <c r="A41" s="15" t="inlineStr">
        <is>
          <t>Depreciation</t>
        </is>
      </c>
      <c r="B41" s="7">
        <f>B15/Assumptions!$B$17</f>
        <v/>
      </c>
      <c r="C41" s="7">
        <f>C15/Assumptions!$B$17</f>
        <v/>
      </c>
      <c r="D41" s="7">
        <f>D15/Assumptions!$B$17</f>
        <v/>
      </c>
      <c r="E41" s="7">
        <f>E15/Assumptions!$B$17</f>
        <v/>
      </c>
      <c r="F41" s="7">
        <f>F15/Assumptions!$B$17</f>
        <v/>
      </c>
      <c r="G41" s="7">
        <f>G15/Assumptions!$B$17</f>
        <v/>
      </c>
    </row>
    <row r="42">
      <c r="A42" s="15" t="inlineStr">
        <is>
          <t>Tax (15% CIT on EBT)</t>
        </is>
      </c>
      <c r="B42" s="7">
        <f>MAX(0,(B34-B39-B41)*Assumptions!$B$12)</f>
        <v/>
      </c>
      <c r="C42" s="7">
        <f>MAX(0,(C34-C39-C41)*Assumptions!$B$12)</f>
        <v/>
      </c>
      <c r="D42" s="7">
        <f>MAX(0,(D34-D39-D41)*Assumptions!$B$12)</f>
        <v/>
      </c>
      <c r="E42" s="7">
        <f>MAX(0,(E34-E39-E41)*Assumptions!$B$12)</f>
        <v/>
      </c>
      <c r="F42" s="7">
        <f>MAX(0,(F34-F39-F41)*Assumptions!$B$12)</f>
        <v/>
      </c>
      <c r="G42" s="7">
        <f>MAX(0,(G34-G39-G41)*Assumptions!$B$12)</f>
        <v/>
      </c>
    </row>
    <row r="43">
      <c r="A43" s="6" t="inlineStr">
        <is>
          <t>Net cash to equity</t>
        </is>
      </c>
      <c r="B43" s="29">
        <f>B34-B39-B42</f>
        <v/>
      </c>
      <c r="C43" s="29">
        <f>C34-C39-C42</f>
        <v/>
      </c>
      <c r="D43" s="29">
        <f>D34-D39-D42</f>
        <v/>
      </c>
      <c r="E43" s="29">
        <f>E34-E39-E42</f>
        <v/>
      </c>
      <c r="F43" s="29">
        <f>F34-F39-F42</f>
        <v/>
      </c>
      <c r="G43" s="29">
        <f>G34-G39-G42</f>
        <v/>
      </c>
    </row>
    <row r="44">
      <c r="A44" s="6" t="inlineStr">
        <is>
          <t>Unlevered payback (years)</t>
        </is>
      </c>
      <c r="B44" s="8">
        <f>IF(B34&lt;=0,99,B15/B34)</f>
        <v/>
      </c>
      <c r="C44" s="8">
        <f>IF(C34&lt;=0,99,C15/C34)</f>
        <v/>
      </c>
      <c r="D44" s="8">
        <f>IF(D34&lt;=0,99,D15/D34)</f>
        <v/>
      </c>
      <c r="E44" s="8">
        <f>IF(E34&lt;=0,99,E15/E34)</f>
        <v/>
      </c>
      <c r="F44" s="8">
        <f>IF(F34&lt;=0,99,F15/F34)</f>
        <v/>
      </c>
      <c r="G44" s="8">
        <f>IF(G34&lt;=0,99,G15/G34)</f>
        <v/>
      </c>
    </row>
    <row r="45">
      <c r="A45" s="6" t="inlineStr">
        <is>
          <t>Equity payback (years)</t>
        </is>
      </c>
      <c r="B45" s="30">
        <f>IF(B43&lt;=0,99,B37/B43)</f>
        <v/>
      </c>
      <c r="C45" s="30">
        <f>IF(C43&lt;=0,99,C37/C43)</f>
        <v/>
      </c>
      <c r="D45" s="30">
        <f>IF(D43&lt;=0,99,D37/D43)</f>
        <v/>
      </c>
      <c r="E45" s="30">
        <f>IF(E43&lt;=0,99,E37/E43)</f>
        <v/>
      </c>
      <c r="F45" s="30">
        <f>IF(F43&lt;=0,99,F37/F43)</f>
        <v/>
      </c>
      <c r="G45" s="30">
        <f>IF(G43&lt;=0,99,G37/G43)</f>
        <v/>
      </c>
    </row>
    <row r="46">
      <c r="A46" s="6" t="inlineStr">
        <is>
          <t>Equity cash yield</t>
        </is>
      </c>
      <c r="B46" s="9">
        <f>IF(B37=0,0,B43/B37)</f>
        <v/>
      </c>
      <c r="C46" s="9">
        <f>IF(C37=0,0,C43/C37)</f>
        <v/>
      </c>
      <c r="D46" s="9">
        <f>IF(D37=0,0,D43/D37)</f>
        <v/>
      </c>
      <c r="E46" s="9">
        <f>IF(E37=0,0,E43/E37)</f>
        <v/>
      </c>
      <c r="F46" s="9">
        <f>IF(F37=0,0,F43/F37)</f>
        <v/>
      </c>
      <c r="G46" s="9">
        <f>IF(G37=0,0,G43/G37)</f>
        <v/>
      </c>
    </row>
    <row r="48">
      <c r="A48" s="11" t="inlineStr">
        <is>
          <t>Notes</t>
        </is>
      </c>
    </row>
    <row r="49">
      <c r="A49" s="17" t="inlineStr">
        <is>
          <t>BESS charged = MIN(curtailed × capture%, MWh × full-cycle days). At 2,400 kWh/kWp and 4h sizing, higher curtailment increases BESS share until the cycle-day cap binds. All figures ex-VAT. Not a binding offer.</t>
        </is>
      </c>
    </row>
  </sheetData>
  <mergeCells count="2">
    <mergeCell ref="A49:G4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1" t="inlineStr">
        <is>
          <t>Data sources (internal SSOT)</t>
        </is>
      </c>
      <c r="B1" s="3" t="n"/>
    </row>
    <row r="3">
      <c r="A3" s="11" t="inlineStr">
        <is>
          <t>PV / BESS client EPC</t>
        </is>
      </c>
      <c r="B3" s="32" t="inlineStr">
        <is>
          <t>docs/internal/solarpark-epc.md</t>
        </is>
      </c>
    </row>
    <row r="4">
      <c r="A4" s="11" t="inlineStr">
        <is>
          <t>Confirmed 5MW/20MWh BESS</t>
        </is>
      </c>
      <c r="B4" s="32" t="inlineStr">
        <is>
          <t>lib/portfolio-data.ts CLIENT_PRICING €111,900/MWh</t>
        </is>
      </c>
    </row>
    <row r="5">
      <c r="A5" s="11" t="inlineStr">
        <is>
          <t>RTE / LTSA</t>
        </is>
      </c>
      <c r="B5" s="32" t="inlineStr">
        <is>
          <t>lib/portfolio-data.ts — 86.32% RTE · LTSA Tier C €1,740/MWh</t>
        </is>
      </c>
    </row>
    <row r="6">
      <c r="A6" s="11" t="inlineStr">
        <is>
          <t>DAM prices</t>
        </is>
      </c>
      <c r="B6" s="32" t="inlineStr">
        <is>
          <t>lib/market/cyprus-tsoc-dam-sample.ts / rtb-deal-types DAM</t>
        </is>
      </c>
    </row>
    <row r="7">
      <c r="A7" s="11" t="inlineStr">
        <is>
          <t>Capture &amp; cycle days</t>
        </is>
      </c>
      <c r="B7" s="32" t="inlineStr">
        <is>
          <t>lib/deals/rtb-deal-types.ts BESS_DEFAULTS</t>
        </is>
      </c>
    </row>
    <row r="8">
      <c r="A8" s="11" t="inlineStr">
        <is>
          <t>Tracker premium</t>
        </is>
      </c>
      <c r="B8" s="32" t="inlineStr">
        <is>
          <t>solarpark-epc.md §7.3 — €80–120k/MW (model uses €100k)</t>
        </is>
      </c>
    </row>
    <row r="9">
      <c r="A9" s="11" t="inlineStr">
        <is>
          <t>Yield</t>
        </is>
      </c>
      <c r="B9" s="32" t="inlineStr">
        <is>
          <t>Investor assumption — 2,400 kWh/kWp trackers + white albedo</t>
        </is>
      </c>
    </row>
    <row r="10">
      <c r="A10" s="11" t="inlineStr">
        <is>
          <t>RTB + connection</t>
        </is>
      </c>
      <c r="B10" s="32" t="inlineStr">
        <is>
          <t>Investor assumption — €550k/MW RTB + €80k/MW EAC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2026-07-23T10:15:05Z</dcterms:created>
  <dcterms:modified xmlns:dcterms="http://purl.org/dc/terms/" xmlns:xsi="http://www.w3.org/2001/XMLSchema-instance" xsi:type="dcterms:W3CDTF">2026-07-23T10:15:05Z</dcterms:modified>
</cp:coreProperties>
</file>