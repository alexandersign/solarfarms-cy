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_1MW_Fixed" sheetId="3" state="visible" r:id="rId3"/>
    <sheet xmlns:r="http://schemas.openxmlformats.org/officeDocument/2006/relationships" name="D_5MW_Fixed" sheetId="4" state="visible" r:id="rId4"/>
    <sheet xmlns:r="http://schemas.openxmlformats.org/officeDocument/2006/relationships" name="D_10MW_Fixed" sheetId="5" state="visible" r:id="rId5"/>
    <sheet xmlns:r="http://schemas.openxmlformats.org/officeDocument/2006/relationships" name="D_1MW_Tracker" sheetId="6" state="visible" r:id="rId6"/>
    <sheet xmlns:r="http://schemas.openxmlformats.org/officeDocument/2006/relationships" name="D_5MW_Tracker" sheetId="7" state="visible" r:id="rId7"/>
    <sheet xmlns:r="http://schemas.openxmlformats.org/officeDocument/2006/relationships" name="D_10MW_Tracker" sheetId="8" state="visible" r:id="rId8"/>
    <sheet xmlns:r="http://schemas.openxmlformats.org/officeDocument/2006/relationships" name="Cashflow_20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C9A432"/>
      <sz val="14"/>
    </font>
    <font>
      <name val="Calibri"/>
      <color rgb="00404040"/>
      <sz val="10"/>
    </font>
    <font>
      <name val="Calibri"/>
      <color rgb="001A365D"/>
      <sz val="10"/>
    </font>
    <font>
      <name val="Calibri"/>
      <b val="1"/>
      <color rgb="00FFFFFF"/>
      <sz val="11"/>
    </font>
    <font>
      <name val="Calibri"/>
      <b val="1"/>
      <color rgb="00C9A432"/>
      <sz val="11"/>
    </font>
    <font>
      <name val="Calibri"/>
      <color rgb="00000000"/>
      <sz val="11"/>
    </font>
    <font>
      <name val="Calibri"/>
      <b val="1"/>
      <color rgb="009C0006"/>
      <sz val="11"/>
    </font>
    <font>
      <name val="Calibri"/>
      <color rgb="00404040"/>
      <sz val="9"/>
    </font>
    <font>
      <name val="Calibri"/>
      <b val="1"/>
      <color rgb="001A365D"/>
      <sz val="11"/>
    </font>
    <font>
      <name val="Calibri"/>
      <b val="1"/>
      <color rgb="001A365D"/>
      <sz val="12"/>
    </font>
    <font>
      <name val="Calibri"/>
      <b val="1"/>
      <color rgb="00C9A432"/>
      <sz val="12"/>
    </font>
    <font>
      <name val="Calibri"/>
      <b val="1"/>
      <color rgb="00C9A432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4" fontId="7" fillId="3" borderId="1" applyAlignment="1" pivotButton="0" quotePrefix="0" xfId="0">
      <alignment horizontal="right"/>
    </xf>
    <xf numFmtId="0" fontId="8" fillId="0" borderId="0" pivotButton="0" quotePrefix="0" xfId="0"/>
    <xf numFmtId="10" fontId="7" fillId="3" borderId="1" applyAlignment="1" pivotButton="0" quotePrefix="0" xfId="0">
      <alignment horizontal="right"/>
    </xf>
    <xf numFmtId="0" fontId="9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0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1" fontId="0" fillId="4" borderId="1" pivotButton="0" quotePrefix="0" xfId="0"/>
    <xf numFmtId="3" fontId="9" fillId="4" borderId="1" pivotButton="0" quotePrefix="0" xfId="0"/>
    <xf numFmtId="3" fontId="0" fillId="4" borderId="1" pivotButton="0" quotePrefix="0" xfId="0"/>
    <xf numFmtId="164" fontId="9" fillId="4" borderId="1" pivotButton="0" quotePrefix="0" xfId="0"/>
    <xf numFmtId="165" fontId="0" fillId="4" borderId="1" pivotButton="0" quotePrefix="0" xfId="0"/>
    <xf numFmtId="0" fontId="11" fillId="0" borderId="0" pivotButton="0" quotePrefix="0" xfId="0"/>
    <xf numFmtId="2" fontId="0" fillId="4" borderId="1" pivotButton="0" quotePrefix="0" xfId="0"/>
    <xf numFmtId="0" fontId="12" fillId="0" borderId="0" pivotButton="0" quotePrefix="0" xfId="0"/>
    <xf numFmtId="166" fontId="0" fillId="4" borderId="1" pivotButton="0" quotePrefix="0" xfId="0"/>
    <xf numFmtId="3" fontId="0" fillId="0" borderId="0" pivotButton="0" quotePrefix="0" xfId="0"/>
    <xf numFmtId="0" fontId="4" fillId="2" borderId="0" applyAlignment="1" pivotButton="0" quotePrefix="0" xfId="0">
      <alignment horizontal="center" wrapText="1"/>
    </xf>
    <xf numFmtId="0" fontId="13" fillId="0" borderId="0" pivotButton="0" quotePrefix="0" xfId="0"/>
    <xf numFmtId="164" fontId="0" fillId="5" borderId="0" pivotButton="0" quotePrefix="0" xfId="0"/>
    <xf numFmtId="3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0" customWidth="1" min="4" max="4"/>
  </cols>
  <sheetData>
    <row r="1">
      <c r="A1" s="1" t="inlineStr">
        <is>
          <t>Cyprus PV + 4h BESS — Assumptions (YELLOW = editable)</t>
        </is>
      </c>
    </row>
    <row r="2">
      <c r="A2" s="2" t="inlineStr">
        <is>
          <t>INV-CY-PVBESS-1-5-10-2026 · September 2026 · Lighthief Cyprus Ltd · Non-binding indicative model</t>
        </is>
      </c>
    </row>
    <row r="3">
      <c r="A3" s="3" t="inlineStr">
        <is>
          <t>Edit any yellow cell — Detail_* sheets recalc via live formulas. Re-run script to refresh Summary/Cashflow.</t>
        </is>
      </c>
    </row>
    <row r="5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</t>
        </is>
      </c>
    </row>
    <row r="6">
      <c r="A6" s="5" t="inlineStr">
        <is>
          <t>PV CONFIGURATION A — FIXED BIFACIAL</t>
        </is>
      </c>
    </row>
    <row r="7">
      <c r="A7" s="6" t="inlineStr">
        <is>
          <t>Fixed — specific yield</t>
        </is>
      </c>
      <c r="B7" s="7" t="n">
        <v>1800</v>
      </c>
      <c r="C7" s="2" t="inlineStr">
        <is>
          <t>kWh/kWp/yr</t>
        </is>
      </c>
      <c r="D7" s="8" t="inlineStr">
        <is>
          <t>Public SSOT — fixed bifacial</t>
        </is>
      </c>
    </row>
    <row r="8">
      <c r="A8" s="6" t="inlineStr">
        <is>
          <t>Fixed — PV EPC turnkey</t>
        </is>
      </c>
      <c r="B8" s="7" t="n">
        <v>600000</v>
      </c>
      <c r="C8" s="2" t="inlineStr">
        <is>
          <t>€/MWp</t>
        </is>
      </c>
      <c r="D8" s="8" t="inlineStr">
        <is>
          <t>Public turnkey EPC</t>
        </is>
      </c>
    </row>
    <row r="9">
      <c r="A9" s="6" t="inlineStr">
        <is>
          <t>Fixed — PV O&amp;M</t>
        </is>
      </c>
      <c r="B9" s="7" t="n">
        <v>9000</v>
      </c>
      <c r="C9" s="2" t="inlineStr">
        <is>
          <t>€/MW/yr</t>
        </is>
      </c>
      <c r="D9" s="8" t="inlineStr">
        <is>
          <t>Public PV O&amp;M</t>
        </is>
      </c>
    </row>
    <row r="10">
      <c r="A10" s="5" t="inlineStr">
        <is>
          <t>PV CONFIGURATION B — TRACKER + BIFACIAL + WHITE ALBEDO</t>
        </is>
      </c>
    </row>
    <row r="11">
      <c r="A11" s="6" t="inlineStr">
        <is>
          <t>Tracker — specific yield</t>
        </is>
      </c>
      <c r="B11" s="7" t="n">
        <v>2200</v>
      </c>
      <c r="C11" s="2" t="inlineStr">
        <is>
          <t>kWh/kWp/yr</t>
        </is>
      </c>
      <c r="D11" s="8" t="inlineStr">
        <is>
          <t>Public SSOT — 2P tracker bifacial</t>
        </is>
      </c>
    </row>
    <row r="12">
      <c r="A12" s="6" t="inlineStr">
        <is>
          <t>Tracker — PV EPC turnkey</t>
        </is>
      </c>
      <c r="B12" s="7" t="n">
        <v>780000</v>
      </c>
      <c r="C12" s="2" t="inlineStr">
        <is>
          <t>€/MWp</t>
        </is>
      </c>
      <c r="D12" s="8" t="inlineStr">
        <is>
          <t>Public turnkey EPC</t>
        </is>
      </c>
    </row>
    <row r="13">
      <c r="A13" s="6" t="inlineStr">
        <is>
          <t>Tracker — PV O&amp;M</t>
        </is>
      </c>
      <c r="B13" s="7" t="n">
        <v>9000</v>
      </c>
      <c r="C13" s="2" t="inlineStr">
        <is>
          <t>€/MW/yr</t>
        </is>
      </c>
      <c r="D13" s="8" t="inlineStr">
        <is>
          <t>Public PV O&amp;M</t>
        </is>
      </c>
    </row>
    <row r="14">
      <c r="A14" s="5" t="inlineStr">
        <is>
          <t>BESS &amp; TECHNICAL</t>
        </is>
      </c>
    </row>
    <row r="15">
      <c r="A15" s="6" t="inlineStr">
        <is>
          <t>BESS duration</t>
        </is>
      </c>
      <c r="B15" s="7" t="n">
        <v>4</v>
      </c>
      <c r="C15" s="2" t="inlineStr">
        <is>
          <t>hours</t>
        </is>
      </c>
      <c r="D15" s="8" t="inlineStr">
        <is>
          <t>4-hour system (MW = MWh/4)</t>
        </is>
      </c>
    </row>
    <row r="16">
      <c r="A16" s="6" t="inlineStr">
        <is>
          <t>Curtailment baseline</t>
        </is>
      </c>
      <c r="B16" s="9" t="n">
        <v>0.5</v>
      </c>
      <c r="C16" s="2" t="inlineStr">
        <is>
          <t>%</t>
        </is>
      </c>
      <c r="D16" s="8" t="inlineStr">
        <is>
          <t>BESS_DEFAULTS 2027 baseline</t>
        </is>
      </c>
    </row>
    <row r="17">
      <c r="A17" s="6" t="inlineStr">
        <is>
          <t>BESS capture of curtailment</t>
        </is>
      </c>
      <c r="B17" s="9" t="n">
        <v>0.95</v>
      </c>
      <c r="C17" s="2" t="inlineStr">
        <is>
          <t>%</t>
        </is>
      </c>
      <c r="D17" s="8" t="inlineStr">
        <is>
          <t>Avdellero public capture 95%</t>
        </is>
      </c>
    </row>
    <row r="18">
      <c r="A18" s="6" t="inlineStr">
        <is>
          <t>RTE AC–AC</t>
        </is>
      </c>
      <c r="B18" s="9" t="n">
        <v>0.8632</v>
      </c>
      <c r="C18" s="2" t="inlineStr">
        <is>
          <t>%</t>
        </is>
      </c>
      <c r="D18" s="8" t="inlineStr">
        <is>
          <t>BESS_DEFAULTS.rteAcAc</t>
        </is>
      </c>
    </row>
    <row r="19">
      <c r="A19" s="6" t="inlineStr">
        <is>
          <t>Full-cycle days / year</t>
        </is>
      </c>
      <c r="B19" s="7" t="n">
        <v>280</v>
      </c>
      <c r="C19" s="2" t="inlineStr">
        <is>
          <t>days</t>
        </is>
      </c>
      <c r="D19" s="8" t="inlineStr">
        <is>
          <t>Curtailment-active days Cyprus</t>
        </is>
      </c>
    </row>
    <row r="20">
      <c r="A20" s="5" t="inlineStr">
        <is>
          <t>PRICES (market data)</t>
        </is>
      </c>
    </row>
    <row r="21">
      <c r="A21" s="6" t="inlineStr">
        <is>
          <t>DAM daytime (uncurtailed PV)</t>
        </is>
      </c>
      <c r="B21" s="7" t="n">
        <v>151.38</v>
      </c>
      <c r="C21" s="2" t="inlineStr">
        <is>
          <t>€/MWh</t>
        </is>
      </c>
      <c r="D21" s="8" t="inlineStr">
        <is>
          <t>TSOC DAM 339-day sample 06–17h (to 4 Sep 2026)</t>
        </is>
      </c>
    </row>
    <row r="22">
      <c r="A22" s="6" t="inlineStr">
        <is>
          <t>Evening discharge (BESS)</t>
        </is>
      </c>
      <c r="B22" s="7" t="n">
        <v>212.42</v>
      </c>
      <c r="C22" s="2" t="inlineStr">
        <is>
          <t>€/MWh</t>
        </is>
      </c>
      <c r="D22" s="8" t="inlineStr">
        <is>
          <t>TSOC DAM 339-day sample evening peak</t>
        </is>
      </c>
    </row>
    <row r="23">
      <c r="A23" s="5" t="inlineStr">
        <is>
          <t>CAPEX (shared) &amp; OPEX</t>
        </is>
      </c>
    </row>
    <row r="24">
      <c r="A24" s="6" t="inlineStr">
        <is>
          <t>BESS EPC installed</t>
        </is>
      </c>
      <c r="B24" s="7" t="n">
        <v>125000</v>
      </c>
      <c r="C24" s="2" t="inlineStr">
        <is>
          <t>€/MWh</t>
        </is>
      </c>
      <c r="D24" s="8" t="inlineStr">
        <is>
          <t>4h LFP installed</t>
        </is>
      </c>
    </row>
    <row r="25">
      <c r="A25" s="6" t="inlineStr">
        <is>
          <t>RTB / development</t>
        </is>
      </c>
      <c r="B25" s="7" t="n">
        <v>450000</v>
      </c>
      <c r="C25" s="2" t="inlineStr">
        <is>
          <t>€/MW</t>
        </is>
      </c>
      <c r="D25" s="8" t="inlineStr">
        <is>
          <t>Public RTB acquisition</t>
        </is>
      </c>
    </row>
    <row r="26">
      <c r="A26" s="6" t="inlineStr">
        <is>
          <t>EAC connection terms</t>
        </is>
      </c>
      <c r="B26" s="7" t="n">
        <v>150000</v>
      </c>
      <c r="C26" s="2" t="inlineStr">
        <is>
          <t>€/MW</t>
        </is>
      </c>
      <c r="D26" s="8" t="inlineStr">
        <is>
          <t>Indicative EAC connection</t>
        </is>
      </c>
    </row>
    <row r="27">
      <c r="A27" s="6" t="inlineStr">
        <is>
          <t>Other CAPEX (flat)</t>
        </is>
      </c>
      <c r="B27" s="7" t="n">
        <v>0</v>
      </c>
      <c r="C27" s="2" t="inlineStr">
        <is>
          <t>€</t>
        </is>
      </c>
      <c r="D27" s="8" t="inlineStr">
        <is>
          <t>MV cable / permitting / contingency</t>
        </is>
      </c>
    </row>
    <row r="28">
      <c r="A28" s="6" t="inlineStr">
        <is>
          <t>BESS LTSA</t>
        </is>
      </c>
      <c r="B28" s="7" t="n">
        <v>2200</v>
      </c>
      <c r="C28" s="2" t="inlineStr">
        <is>
          <t>€/MWh/yr</t>
        </is>
      </c>
      <c r="D28" s="8" t="inlineStr">
        <is>
          <t>Public LTSA — all years (no OEM extended warranty in model)</t>
        </is>
      </c>
    </row>
    <row r="29">
      <c r="A29" s="6" t="inlineStr">
        <is>
          <t>SCADA / EMS</t>
        </is>
      </c>
      <c r="B29" s="7" t="n">
        <v>5000</v>
      </c>
      <c r="C29" s="2" t="inlineStr">
        <is>
          <t>€/yr</t>
        </is>
      </c>
      <c r="D29" s="8" t="inlineStr"/>
    </row>
    <row r="30">
      <c r="A30" s="6" t="inlineStr">
        <is>
          <t>Admin</t>
        </is>
      </c>
      <c r="B30" s="7" t="n">
        <v>10000</v>
      </c>
      <c r="C30" s="2" t="inlineStr">
        <is>
          <t>€/yr</t>
        </is>
      </c>
      <c r="D30" s="8" t="inlineStr"/>
    </row>
    <row r="31">
      <c r="A31" s="6" t="inlineStr">
        <is>
          <t>Land lease — 1 MW</t>
        </is>
      </c>
      <c r="B31" s="7" t="n">
        <v>8000</v>
      </c>
      <c r="C31" s="2" t="inlineStr">
        <is>
          <t>€/yr</t>
        </is>
      </c>
      <c r="D31" s="8" t="inlineStr">
        <is>
          <t>Indicative; site-specific</t>
        </is>
      </c>
    </row>
    <row r="32">
      <c r="A32" s="6" t="inlineStr">
        <is>
          <t>Land lease — 5 MW</t>
        </is>
      </c>
      <c r="B32" s="7" t="n">
        <v>25000</v>
      </c>
      <c r="C32" s="2" t="inlineStr">
        <is>
          <t>€/yr</t>
        </is>
      </c>
      <c r="D32" s="8" t="inlineStr">
        <is>
          <t>Indicative; site-specific</t>
        </is>
      </c>
    </row>
    <row r="33">
      <c r="A33" s="6" t="inlineStr">
        <is>
          <t>Land lease — 10 MW</t>
        </is>
      </c>
      <c r="B33" s="7" t="n">
        <v>45000</v>
      </c>
      <c r="C33" s="2" t="inlineStr">
        <is>
          <t>€/yr</t>
        </is>
      </c>
      <c r="D33" s="8" t="inlineStr">
        <is>
          <t>Indicative; site-specific</t>
        </is>
      </c>
    </row>
    <row r="34">
      <c r="A34" s="6" t="inlineStr">
        <is>
          <t>Insurance</t>
        </is>
      </c>
      <c r="B34" s="9" t="n">
        <v>0.005</v>
      </c>
      <c r="C34" s="2" t="inlineStr">
        <is>
          <t>% of CAPEX</t>
        </is>
      </c>
      <c r="D34" s="8" t="inlineStr">
        <is>
          <t>0.5% CAPEX</t>
        </is>
      </c>
    </row>
    <row r="35">
      <c r="A35" s="5" t="inlineStr">
        <is>
          <t>FINANCE</t>
        </is>
      </c>
    </row>
    <row r="36">
      <c r="A36" s="6" t="inlineStr">
        <is>
          <t>Aggregator / market access</t>
        </is>
      </c>
      <c r="B36" s="9" t="n">
        <v>0.1</v>
      </c>
      <c r="C36" s="2" t="inlineStr">
        <is>
          <t>%</t>
        </is>
      </c>
      <c r="D36" s="8" t="inlineStr">
        <is>
          <t>PV_DEFAULTS.aggregatorFeePct</t>
        </is>
      </c>
    </row>
    <row r="37">
      <c r="A37" s="6" t="inlineStr">
        <is>
          <t>Cyprus CIT</t>
        </is>
      </c>
      <c r="B37" s="9" t="n">
        <v>0.15</v>
      </c>
      <c r="C37" s="2" t="inlineStr">
        <is>
          <t>%</t>
        </is>
      </c>
      <c r="D37" s="8" t="inlineStr">
        <is>
          <t>From 1 Jan 2026</t>
        </is>
      </c>
    </row>
    <row r="38">
      <c r="A38" s="6" t="inlineStr">
        <is>
          <t>LTV (senior debt)</t>
        </is>
      </c>
      <c r="B38" s="9" t="n">
        <v>0</v>
      </c>
      <c r="C38" s="2" t="inlineStr">
        <is>
          <t>% of CAPEX</t>
        </is>
      </c>
      <c r="D38" s="8" t="inlineStr">
        <is>
          <t>0 = 100% equity base; try 65%</t>
        </is>
      </c>
    </row>
    <row r="39">
      <c r="A39" s="6" t="inlineStr">
        <is>
          <t>Loan interest rate</t>
        </is>
      </c>
      <c r="B39" s="9" t="n">
        <v>0.055</v>
      </c>
      <c r="C39" s="2" t="inlineStr">
        <is>
          <t>%</t>
        </is>
      </c>
      <c r="D39" s="8" t="inlineStr">
        <is>
          <t>Indicative Cyprus commercial</t>
        </is>
      </c>
    </row>
    <row r="40">
      <c r="A40" s="6" t="inlineStr">
        <is>
          <t>Loan tenor</t>
        </is>
      </c>
      <c r="B40" s="7" t="n">
        <v>12</v>
      </c>
      <c r="C40" s="2" t="inlineStr">
        <is>
          <t>years</t>
        </is>
      </c>
      <c r="D40" s="8" t="inlineStr"/>
    </row>
    <row r="41">
      <c r="A41" s="6" t="inlineStr">
        <is>
          <t>DA — EPC years</t>
        </is>
      </c>
      <c r="B41" s="7" t="n">
        <v>20</v>
      </c>
      <c r="C41" s="2" t="inlineStr">
        <is>
          <t>years</t>
        </is>
      </c>
      <c r="D41" s="8" t="inlineStr">
        <is>
          <t>Tax depreciation</t>
        </is>
      </c>
    </row>
    <row r="42">
      <c r="A42" s="6" t="inlineStr">
        <is>
          <t>DA — development years</t>
        </is>
      </c>
      <c r="B42" s="7" t="n">
        <v>15</v>
      </c>
      <c r="C42" s="2" t="inlineStr">
        <is>
          <t>years</t>
        </is>
      </c>
      <c r="D42" s="8" t="inlineStr">
        <is>
          <t>Tax depreciation</t>
        </is>
      </c>
    </row>
    <row r="43">
      <c r="A43" s="5" t="inlineStr">
        <is>
          <t>SCENARIO SIZES (editable)</t>
        </is>
      </c>
    </row>
    <row r="44">
      <c r="A44" s="6" t="inlineStr">
        <is>
          <t>1 MW — PV capacity</t>
        </is>
      </c>
      <c r="B44" s="7" t="n">
        <v>1</v>
      </c>
      <c r="C44" s="2" t="inlineStr">
        <is>
          <t>MWp</t>
        </is>
      </c>
      <c r="D44" s="8" t="inlineStr"/>
    </row>
    <row r="45">
      <c r="A45" s="6" t="inlineStr">
        <is>
          <t>1 MW — BESS energy</t>
        </is>
      </c>
      <c r="B45" s="7" t="n">
        <v>4</v>
      </c>
      <c r="C45" s="2" t="inlineStr">
        <is>
          <t>MWh</t>
        </is>
      </c>
      <c r="D45" s="8" t="inlineStr">
        <is>
          <t>4h → power = MWh/4</t>
        </is>
      </c>
    </row>
    <row r="46">
      <c r="A46" s="6" t="inlineStr">
        <is>
          <t>5 MW — PV capacity</t>
        </is>
      </c>
      <c r="B46" s="7" t="n">
        <v>5</v>
      </c>
      <c r="C46" s="2" t="inlineStr">
        <is>
          <t>MWp</t>
        </is>
      </c>
      <c r="D46" s="8" t="inlineStr"/>
    </row>
    <row r="47">
      <c r="A47" s="6" t="inlineStr">
        <is>
          <t>5 MW — BESS energy</t>
        </is>
      </c>
      <c r="B47" s="7" t="n">
        <v>20</v>
      </c>
      <c r="C47" s="2" t="inlineStr">
        <is>
          <t>MWh</t>
        </is>
      </c>
      <c r="D47" s="8" t="inlineStr"/>
    </row>
    <row r="48">
      <c r="A48" s="6" t="inlineStr">
        <is>
          <t>10 MW — PV capacity</t>
        </is>
      </c>
      <c r="B48" s="7" t="n">
        <v>10</v>
      </c>
      <c r="C48" s="2" t="inlineStr">
        <is>
          <t>MWp</t>
        </is>
      </c>
      <c r="D48" s="8" t="inlineStr"/>
    </row>
    <row r="49">
      <c r="A49" s="6" t="inlineStr">
        <is>
          <t>10 MW — BESS energy</t>
        </is>
      </c>
      <c r="B49" s="7" t="n">
        <v>40</v>
      </c>
      <c r="C49" s="2" t="inlineStr">
        <is>
          <t>MWh</t>
        </is>
      </c>
      <c r="D49" s="8" t="inlineStr"/>
    </row>
    <row r="51">
      <c r="A51" s="10" t="inlineStr">
        <is>
          <t>Legend:</t>
        </is>
      </c>
      <c r="B51" s="11" t="inlineStr">
        <is>
          <t>Yellow = editable input</t>
        </is>
      </c>
      <c r="C51" s="12" t="inlineStr">
        <is>
          <t>Green = calculated</t>
        </is>
      </c>
    </row>
  </sheetData>
  <mergeCells count="7">
    <mergeCell ref="A23:D23"/>
    <mergeCell ref="A6:D6"/>
    <mergeCell ref="A35:D35"/>
    <mergeCell ref="A20:D20"/>
    <mergeCell ref="A43:D43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Indicative Comparison — 1 / 5 / 10 MW PV + 4-hour BESS (Cyprus merchant hybrid)</t>
        </is>
      </c>
    </row>
    <row r="2">
      <c r="A2" s="2" t="inlineStr">
        <is>
          <t>Base case = 100% equity. Evening discharge from live market data. Two PV configs.</t>
        </is>
      </c>
    </row>
    <row r="4">
      <c r="A4" s="13" t="inlineStr">
        <is>
          <t>■ Configuration: Fixed Bifacial</t>
        </is>
      </c>
    </row>
    <row r="5">
      <c r="A5" s="14" t="inlineStr">
        <is>
          <t>Metric</t>
        </is>
      </c>
      <c r="B5" s="15" t="inlineStr">
        <is>
          <t>1 MW + 4 MWh</t>
        </is>
      </c>
      <c r="C5" s="15" t="inlineStr">
        <is>
          <t>5 MW + 20 MWh</t>
        </is>
      </c>
      <c r="D5" s="15" t="inlineStr">
        <is>
          <t>10 MW + 40 MWh</t>
        </is>
      </c>
    </row>
    <row r="6">
      <c r="A6" s="16" t="inlineStr">
        <is>
          <t>PV specific yield (kWh/kWp)</t>
        </is>
      </c>
      <c r="B6" s="17" t="n">
        <v>1800</v>
      </c>
      <c r="C6" s="17" t="n">
        <v>1800</v>
      </c>
      <c r="D6" s="17" t="n">
        <v>1800</v>
      </c>
    </row>
    <row r="7">
      <c r="A7" s="16" t="inlineStr">
        <is>
          <t>BESS energy (MWh)</t>
        </is>
      </c>
      <c r="B7" s="17" t="n">
        <v>4</v>
      </c>
      <c r="C7" s="17" t="n">
        <v>20</v>
      </c>
      <c r="D7" s="17" t="n">
        <v>40</v>
      </c>
    </row>
    <row r="8">
      <c r="A8" s="16" t="inlineStr">
        <is>
          <t>Total CAPEX (€)</t>
        </is>
      </c>
      <c r="B8" s="18" t="n">
        <v>1700000</v>
      </c>
      <c r="C8" s="18" t="n">
        <v>8500000</v>
      </c>
      <c r="D8" s="18" t="n">
        <v>17000000</v>
      </c>
    </row>
    <row r="9">
      <c r="A9" s="16" t="inlineStr">
        <is>
          <t xml:space="preserve">  PV EPC</t>
        </is>
      </c>
      <c r="B9" s="19" t="n">
        <v>600000</v>
      </c>
      <c r="C9" s="19" t="n">
        <v>3000000</v>
      </c>
      <c r="D9" s="19" t="n">
        <v>6000000</v>
      </c>
    </row>
    <row r="10">
      <c r="A10" s="16" t="inlineStr">
        <is>
          <t xml:space="preserve">  BESS EPC</t>
        </is>
      </c>
      <c r="B10" s="19" t="n">
        <v>500000</v>
      </c>
      <c r="C10" s="19" t="n">
        <v>2500000</v>
      </c>
      <c r="D10" s="19" t="n">
        <v>5000000</v>
      </c>
    </row>
    <row r="11">
      <c r="A11" s="16" t="inlineStr">
        <is>
          <t xml:space="preserve">  RTB / development</t>
        </is>
      </c>
      <c r="B11" s="19" t="n">
        <v>450000</v>
      </c>
      <c r="C11" s="19" t="n">
        <v>2250000</v>
      </c>
      <c r="D11" s="19" t="n">
        <v>4500000</v>
      </c>
    </row>
    <row r="12">
      <c r="A12" s="16" t="inlineStr">
        <is>
          <t>Annual PV production (MWh)</t>
        </is>
      </c>
      <c r="B12" s="19" t="n">
        <v>1800</v>
      </c>
      <c r="C12" s="19" t="n">
        <v>9000</v>
      </c>
      <c r="D12" s="19" t="n">
        <v>18000</v>
      </c>
    </row>
    <row r="13">
      <c r="A13" s="16" t="inlineStr">
        <is>
          <t>Gross Y1 revenue (€)</t>
        </is>
      </c>
      <c r="B13" s="19" t="n">
        <v>293015.6071199999</v>
      </c>
      <c r="C13" s="19" t="n">
        <v>1465078.0356</v>
      </c>
      <c r="D13" s="19" t="n">
        <v>2930156.0712</v>
      </c>
    </row>
    <row r="14">
      <c r="A14" s="16" t="inlineStr">
        <is>
          <t xml:space="preserve">  Uncurtailed solar</t>
        </is>
      </c>
      <c r="B14" s="19" t="n">
        <v>136242</v>
      </c>
      <c r="C14" s="19" t="n">
        <v>681210</v>
      </c>
      <c r="D14" s="19" t="n">
        <v>1362420</v>
      </c>
    </row>
    <row r="15">
      <c r="A15" s="16" t="inlineStr">
        <is>
          <t xml:space="preserve">  BESS discharge</t>
        </is>
      </c>
      <c r="B15" s="19" t="n">
        <v>156773.60712</v>
      </c>
      <c r="C15" s="19" t="n">
        <v>783868.0355999999</v>
      </c>
      <c r="D15" s="19" t="n">
        <v>1567736.0712</v>
      </c>
    </row>
    <row r="16">
      <c r="A16" s="16" t="inlineStr">
        <is>
          <t>OPEX Y1 (€)</t>
        </is>
      </c>
      <c r="B16" s="19" t="n">
        <v>49300</v>
      </c>
      <c r="C16" s="19" t="n">
        <v>171500</v>
      </c>
      <c r="D16" s="19" t="n">
        <v>323000</v>
      </c>
    </row>
    <row r="17">
      <c r="A17" s="16" t="inlineStr">
        <is>
          <t>EBITDA Y1 (€)</t>
        </is>
      </c>
      <c r="B17" s="19" t="n">
        <v>214414.0464079999</v>
      </c>
      <c r="C17" s="19" t="n">
        <v>1147070.23204</v>
      </c>
      <c r="D17" s="19" t="n">
        <v>2314140.46408</v>
      </c>
    </row>
    <row r="18">
      <c r="A18" s="16" t="inlineStr">
        <is>
          <t>After-tax FCF Y1 (€)</t>
        </is>
      </c>
      <c r="B18" s="18" t="n">
        <v>196501.9394468</v>
      </c>
      <c r="C18" s="18" t="n">
        <v>1046259.697234</v>
      </c>
      <c r="D18" s="18" t="n">
        <v>2109519.394468</v>
      </c>
    </row>
    <row r="19">
      <c r="A19" s="16" t="inlineStr">
        <is>
          <t>Cash yield on equity Y1</t>
        </is>
      </c>
      <c r="B19" s="20" t="n">
        <v>0.1155893761451764</v>
      </c>
      <c r="C19" s="20" t="n">
        <v>0.1230893761451765</v>
      </c>
      <c r="D19" s="20" t="n">
        <v>0.1240893761451765</v>
      </c>
    </row>
    <row r="20">
      <c r="A20" s="16" t="inlineStr">
        <is>
          <t>Simple equity payback (yr)</t>
        </is>
      </c>
      <c r="B20" s="21" t="n">
        <v>8.651314102984974</v>
      </c>
      <c r="C20" s="21" t="n">
        <v>8.124177986088421</v>
      </c>
      <c r="D20" s="21" t="n">
        <v>8.058707611117855</v>
      </c>
    </row>
    <row r="21">
      <c r="A21" s="16" t="inlineStr">
        <is>
          <t>Cumulative payback w/ deg. (yr)</t>
        </is>
      </c>
      <c r="B21" s="21" t="n">
        <v>9.309902527484178</v>
      </c>
      <c r="C21" s="21" t="n">
        <v>8.65685939803625</v>
      </c>
      <c r="D21" s="21" t="n">
        <v>8.577252168674477</v>
      </c>
    </row>
    <row r="22">
      <c r="A22" s="16" t="inlineStr">
        <is>
          <t>Equity IRR 20y (deg.+OEM war.)</t>
        </is>
      </c>
      <c r="B22" s="20" t="n">
        <v>0.08094272556598039</v>
      </c>
      <c r="C22" s="20" t="n">
        <v>0.09128693095060202</v>
      </c>
      <c r="D22" s="20" t="n">
        <v>0.09264017355235069</v>
      </c>
    </row>
    <row r="23">
      <c r="A23" s="16" t="inlineStr">
        <is>
          <t>NPV @ 8% (€)</t>
        </is>
      </c>
      <c r="B23" s="19" t="n">
        <v>11191.27189070395</v>
      </c>
      <c r="C23" s="19" t="n">
        <v>681863.2566784128</v>
      </c>
      <c r="D23" s="19" t="n">
        <v>1530635.019283464</v>
      </c>
    </row>
    <row r="26">
      <c r="A26" s="13" t="inlineStr">
        <is>
          <t>■ Configuration: Single-Axis Tracker · Bifacial 2P</t>
        </is>
      </c>
    </row>
    <row r="27">
      <c r="A27" s="14" t="inlineStr">
        <is>
          <t>Metric</t>
        </is>
      </c>
      <c r="B27" s="15" t="inlineStr">
        <is>
          <t>1 MW + 4 MWh</t>
        </is>
      </c>
      <c r="C27" s="15" t="inlineStr">
        <is>
          <t>5 MW + 20 MWh</t>
        </is>
      </c>
      <c r="D27" s="15" t="inlineStr">
        <is>
          <t>10 MW + 40 MWh</t>
        </is>
      </c>
    </row>
    <row r="28">
      <c r="A28" s="16" t="inlineStr">
        <is>
          <t>PV specific yield (kWh/kWp)</t>
        </is>
      </c>
      <c r="B28" s="17" t="n">
        <v>2200</v>
      </c>
      <c r="C28" s="17" t="n">
        <v>2200</v>
      </c>
      <c r="D28" s="17" t="n">
        <v>2200</v>
      </c>
    </row>
    <row r="29">
      <c r="A29" s="16" t="inlineStr">
        <is>
          <t>BESS energy (MWh)</t>
        </is>
      </c>
      <c r="B29" s="17" t="n">
        <v>4</v>
      </c>
      <c r="C29" s="17" t="n">
        <v>20</v>
      </c>
      <c r="D29" s="17" t="n">
        <v>40</v>
      </c>
    </row>
    <row r="30">
      <c r="A30" s="16" t="inlineStr">
        <is>
          <t>Total CAPEX (€)</t>
        </is>
      </c>
      <c r="B30" s="18" t="n">
        <v>1880000</v>
      </c>
      <c r="C30" s="18" t="n">
        <v>9400000</v>
      </c>
      <c r="D30" s="18" t="n">
        <v>18800000</v>
      </c>
    </row>
    <row r="31">
      <c r="A31" s="16" t="inlineStr">
        <is>
          <t xml:space="preserve">  PV EPC</t>
        </is>
      </c>
      <c r="B31" s="19" t="n">
        <v>780000</v>
      </c>
      <c r="C31" s="19" t="n">
        <v>3900000</v>
      </c>
      <c r="D31" s="19" t="n">
        <v>7800000</v>
      </c>
    </row>
    <row r="32">
      <c r="A32" s="16" t="inlineStr">
        <is>
          <t xml:space="preserve">  BESS EPC</t>
        </is>
      </c>
      <c r="B32" s="19" t="n">
        <v>500000</v>
      </c>
      <c r="C32" s="19" t="n">
        <v>2500000</v>
      </c>
      <c r="D32" s="19" t="n">
        <v>5000000</v>
      </c>
    </row>
    <row r="33">
      <c r="A33" s="16" t="inlineStr">
        <is>
          <t xml:space="preserve">  RTB / development</t>
        </is>
      </c>
      <c r="B33" s="19" t="n">
        <v>450000</v>
      </c>
      <c r="C33" s="19" t="n">
        <v>2250000</v>
      </c>
      <c r="D33" s="19" t="n">
        <v>4500000</v>
      </c>
    </row>
    <row r="34">
      <c r="A34" s="16" t="inlineStr">
        <is>
          <t>Annual PV production (MWh)</t>
        </is>
      </c>
      <c r="B34" s="19" t="n">
        <v>2200</v>
      </c>
      <c r="C34" s="19" t="n">
        <v>11000</v>
      </c>
      <c r="D34" s="19" t="n">
        <v>22000</v>
      </c>
    </row>
    <row r="35">
      <c r="A35" s="16" t="inlineStr">
        <is>
          <t>Gross Y1 revenue (€)</t>
        </is>
      </c>
      <c r="B35" s="19" t="n">
        <v>358130.18648</v>
      </c>
      <c r="C35" s="19" t="n">
        <v>1790650.9324</v>
      </c>
      <c r="D35" s="19" t="n">
        <v>3581301.8648</v>
      </c>
    </row>
    <row r="36">
      <c r="A36" s="16" t="inlineStr">
        <is>
          <t xml:space="preserve">  Uncurtailed solar</t>
        </is>
      </c>
      <c r="B36" s="19" t="n">
        <v>166518</v>
      </c>
      <c r="C36" s="19" t="n">
        <v>832590</v>
      </c>
      <c r="D36" s="19" t="n">
        <v>1665180</v>
      </c>
    </row>
    <row r="37">
      <c r="A37" s="16" t="inlineStr">
        <is>
          <t xml:space="preserve">  BESS discharge</t>
        </is>
      </c>
      <c r="B37" s="19" t="n">
        <v>191612.18648</v>
      </c>
      <c r="C37" s="19" t="n">
        <v>958060.9324</v>
      </c>
      <c r="D37" s="19" t="n">
        <v>1916121.8648</v>
      </c>
    </row>
    <row r="38">
      <c r="A38" s="16" t="inlineStr">
        <is>
          <t>OPEX Y1 (€)</t>
        </is>
      </c>
      <c r="B38" s="19" t="n">
        <v>50200</v>
      </c>
      <c r="C38" s="19" t="n">
        <v>176000</v>
      </c>
      <c r="D38" s="19" t="n">
        <v>332000</v>
      </c>
    </row>
    <row r="39">
      <c r="A39" s="16" t="inlineStr">
        <is>
          <t>EBITDA Y1 (€)</t>
        </is>
      </c>
      <c r="B39" s="19" t="n">
        <v>272117.1678319999</v>
      </c>
      <c r="C39" s="19" t="n">
        <v>1435585.83916</v>
      </c>
      <c r="D39" s="19" t="n">
        <v>2891171.67832</v>
      </c>
    </row>
    <row r="40">
      <c r="A40" s="16" t="inlineStr">
        <is>
          <t>After-tax FCF Y1 (€)</t>
        </is>
      </c>
      <c r="B40" s="18" t="n">
        <v>246899.5926571999</v>
      </c>
      <c r="C40" s="18" t="n">
        <v>1298247.963286</v>
      </c>
      <c r="D40" s="18" t="n">
        <v>2613495.926572</v>
      </c>
    </row>
    <row r="41">
      <c r="A41" s="16" t="inlineStr">
        <is>
          <t>Cash yield on equity Y1</t>
        </is>
      </c>
      <c r="B41" s="20" t="n">
        <v>0.1313295705623404</v>
      </c>
      <c r="C41" s="20" t="n">
        <v>0.1381114854559574</v>
      </c>
      <c r="D41" s="20" t="n">
        <v>0.1390157407751064</v>
      </c>
    </row>
    <row r="42">
      <c r="A42" s="16" t="inlineStr">
        <is>
          <t>Simple equity payback (yr)</t>
        </is>
      </c>
      <c r="B42" s="21" t="n">
        <v>7.614431355543902</v>
      </c>
      <c r="C42" s="21" t="n">
        <v>7.240527438385211</v>
      </c>
      <c r="D42" s="21" t="n">
        <v>7.193429998821187</v>
      </c>
    </row>
    <row r="43">
      <c r="A43" s="16" t="inlineStr">
        <is>
          <t>Cumulative payback w/ deg. (yr)</t>
        </is>
      </c>
      <c r="B43" s="21" t="n">
        <v>8.093458694501351</v>
      </c>
      <c r="C43" s="21" t="n">
        <v>7.646124604554445</v>
      </c>
      <c r="D43" s="21" t="n">
        <v>7.590373567631153</v>
      </c>
    </row>
    <row r="44">
      <c r="A44" s="16" t="inlineStr">
        <is>
          <t>Equity IRR 20y (deg.+OEM war.)</t>
        </is>
      </c>
      <c r="B44" s="20" t="n">
        <v>0.1005989900629649</v>
      </c>
      <c r="C44" s="20" t="n">
        <v>0.1094833725942626</v>
      </c>
      <c r="D44" s="20" t="n">
        <v>0.1106517461189106</v>
      </c>
    </row>
    <row r="45">
      <c r="A45" s="16" t="inlineStr">
        <is>
          <t>NPV @ 8% (€)</t>
        </is>
      </c>
      <c r="B45" s="19" t="n">
        <v>277537.5855559984</v>
      </c>
      <c r="C45" s="19" t="n">
        <v>2013594.825004885</v>
      </c>
      <c r="D45" s="19" t="n">
        <v>4194098.155936408</v>
      </c>
    </row>
    <row r="48">
      <c r="A48" s="5" t="inlineStr">
        <is>
          <t>Notes</t>
        </is>
      </c>
    </row>
    <row r="49">
      <c r="A49" s="8" t="inlineStr">
        <is>
          <t>Revenue = uncurtailed PV at DAM daytime + curtailed energy stored (charge €0) and discharged at evening price.</t>
        </is>
      </c>
    </row>
    <row r="50">
      <c r="A50" s="8" t="inlineStr">
        <is>
          <t>Evening discharge €212.42/MWh = TSOC DAM 339-day sample evening peak (1 Oct 2025–4 Sep 2026).</t>
        </is>
      </c>
    </row>
    <row r="51">
      <c r="A51" s="8" t="inlineStr">
        <is>
          <t>Fixed PV EPC €600k/MWp. Tracker €780k/MWp. RTB €450k/MW. EAC connection €150k/MW.</t>
        </is>
      </c>
    </row>
    <row r="52">
      <c r="A52" s="8" t="inlineStr">
        <is>
          <t>BESS EPC €125k/MWh installed 4h. LTSA €2,200/MWh/yr. PV O&amp;M €9k/MW/yr.</t>
        </is>
      </c>
    </row>
    <row r="53">
      <c r="A53" s="8" t="inlineStr">
        <is>
          <t>Cyprus rule: BESS cannot yet buy from DAM — no arbitrage. Capacity/ancillary = €0 (upside).</t>
        </is>
      </c>
    </row>
    <row r="54">
      <c r="A54" s="8" t="inlineStr">
        <is>
          <t>20y IRR/NPV include PV &amp; BESS degradation. OPEX is PV O&amp;M + BESS LTSA only (no OEM extended warranty). Indicative, non-binding, ex-VAT.</t>
        </is>
      </c>
    </row>
    <row r="55">
      <c r="A55" s="8" t="inlineStr">
        <is>
          <t>Contact: Alexander Papacosta, Cyprus Director · +357 99 164 158 · office@lighthief.com</t>
        </is>
      </c>
    </row>
  </sheetData>
  <mergeCells count="9">
    <mergeCell ref="A53:D53"/>
    <mergeCell ref="A50:D50"/>
    <mergeCell ref="A4:D4"/>
    <mergeCell ref="A26:D26"/>
    <mergeCell ref="A54:D54"/>
    <mergeCell ref="A55:D55"/>
    <mergeCell ref="A52:D52"/>
    <mergeCell ref="A51:D51"/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22" t="inlineStr">
        <is>
          <t>1 MW + 4 MWh · Fixed Bifacial — live formulas (reads Inputs)</t>
        </is>
      </c>
    </row>
    <row r="2">
      <c r="A2" t="inlineStr">
        <is>
          <t>PV capacity (MWp)</t>
        </is>
      </c>
      <c r="B2" s="23">
        <f>Inputs!$B$44</f>
        <v/>
      </c>
    </row>
    <row r="3">
      <c r="A3" t="inlineStr">
        <is>
          <t>BESS energy (MWh)</t>
        </is>
      </c>
      <c r="B3" s="23">
        <f>Inputs!$B$45</f>
        <v/>
      </c>
    </row>
    <row r="4">
      <c r="A4" t="inlineStr">
        <is>
          <t>BESS power (MW)</t>
        </is>
      </c>
      <c r="B4" s="23">
        <f>B3/Inputs!$B$15</f>
        <v/>
      </c>
    </row>
    <row r="5">
      <c r="A5" t="inlineStr">
        <is>
          <t>Specific yield (kWh/kWp)</t>
        </is>
      </c>
      <c r="B5" s="17">
        <f>Inputs!$B$7</f>
        <v/>
      </c>
    </row>
    <row r="7">
      <c r="A7" s="24" t="inlineStr">
        <is>
          <t>CAPEX</t>
        </is>
      </c>
    </row>
    <row r="8">
      <c r="A8" t="inlineStr">
        <is>
          <t>PV EPC</t>
        </is>
      </c>
      <c r="B8" s="19">
        <f>B2*Inputs!$B$8</f>
        <v/>
      </c>
    </row>
    <row r="9">
      <c r="A9" t="inlineStr">
        <is>
          <t>BESS EPC</t>
        </is>
      </c>
      <c r="B9" s="19">
        <f>B3*Inputs!$B$24</f>
        <v/>
      </c>
    </row>
    <row r="10">
      <c r="A10" t="inlineStr">
        <is>
          <t>RTB / development</t>
        </is>
      </c>
      <c r="B10" s="19">
        <f>B2*Inputs!$B$25</f>
        <v/>
      </c>
    </row>
    <row r="11">
      <c r="A11" t="inlineStr">
        <is>
          <t>EAC connection</t>
        </is>
      </c>
      <c r="B11" s="19">
        <f>B2*Inputs!$B$26</f>
        <v/>
      </c>
    </row>
    <row r="12">
      <c r="A12" t="inlineStr">
        <is>
          <t>Other CAPEX</t>
        </is>
      </c>
      <c r="B12" s="19">
        <f>Inputs!$B$27</f>
        <v/>
      </c>
    </row>
    <row r="13">
      <c r="A13" t="inlineStr">
        <is>
          <t>Total CAPEX</t>
        </is>
      </c>
      <c r="B13" s="18">
        <f>B8+B9+B10+B11+B12</f>
        <v/>
      </c>
    </row>
    <row r="14">
      <c r="A14" t="inlineStr">
        <is>
          <t>Senior debt</t>
        </is>
      </c>
      <c r="B14" s="19">
        <f>B13*Inputs!$B$38</f>
        <v/>
      </c>
    </row>
    <row r="15">
      <c r="A15" t="inlineStr">
        <is>
          <t>Equity</t>
        </is>
      </c>
      <c r="B15" s="18">
        <f>B13-B14</f>
        <v/>
      </c>
    </row>
    <row r="17">
      <c r="A17" s="24" t="inlineStr">
        <is>
          <t>ENERGY &amp; REVENUE Y1</t>
        </is>
      </c>
    </row>
    <row r="18">
      <c r="A18" t="inlineStr">
        <is>
          <t>Annual PV production (MWh)</t>
        </is>
      </c>
      <c r="B18" s="25">
        <f>B2*B5</f>
        <v/>
      </c>
    </row>
    <row r="19">
      <c r="A19" t="inlineStr">
        <is>
          <t>Uncurtailed (MWh)</t>
        </is>
      </c>
      <c r="B19" s="25">
        <f>B18*(1-Inputs!$B$16)</f>
        <v/>
      </c>
    </row>
    <row r="20">
      <c r="A20" t="inlineStr">
        <is>
          <t>Curtailed (MWh)</t>
        </is>
      </c>
      <c r="B20" s="25">
        <f>B18*Inputs!$B$16</f>
        <v/>
      </c>
    </row>
    <row r="21">
      <c r="A21" t="inlineStr">
        <is>
          <t>BESS charged (MWh)</t>
        </is>
      </c>
      <c r="B21" s="25">
        <f>MIN(B20*Inputs!$B$17,B3*Inputs!$B$19)</f>
        <v/>
      </c>
    </row>
    <row r="22">
      <c r="A22" t="inlineStr">
        <is>
          <t>BESS discharged (MWh)</t>
        </is>
      </c>
      <c r="B22" s="25">
        <f>B21*Inputs!$B$18</f>
        <v/>
      </c>
    </row>
    <row r="23">
      <c r="A23" t="inlineStr">
        <is>
          <t>Solar revenue (€)</t>
        </is>
      </c>
      <c r="B23" s="19">
        <f>B19*Inputs!$B$21</f>
        <v/>
      </c>
    </row>
    <row r="24">
      <c r="A24" t="inlineStr">
        <is>
          <t>BESS revenue (€)</t>
        </is>
      </c>
      <c r="B24" s="19">
        <f>B22*Inputs!$B$22</f>
        <v/>
      </c>
    </row>
    <row r="25">
      <c r="A25" t="inlineStr">
        <is>
          <t>Gross revenue (€)</t>
        </is>
      </c>
      <c r="B25" s="18">
        <f>B23+B24</f>
        <v/>
      </c>
    </row>
    <row r="26">
      <c r="A26" t="inlineStr">
        <is>
          <t>Aggregator fee (€)</t>
        </is>
      </c>
      <c r="B26" s="19">
        <f>B25*Inputs!$B$36</f>
        <v/>
      </c>
    </row>
    <row r="27">
      <c r="A27" t="inlineStr">
        <is>
          <t>Net revenue (€)</t>
        </is>
      </c>
      <c r="B27" s="19">
        <f>B25-B26</f>
        <v/>
      </c>
    </row>
    <row r="29">
      <c r="A29" s="24" t="inlineStr">
        <is>
          <t>OPEX &amp; RETURNS Y1</t>
        </is>
      </c>
    </row>
    <row r="30">
      <c r="A30" t="inlineStr">
        <is>
          <t>PV O&amp;M</t>
        </is>
      </c>
      <c r="B30" s="19">
        <f>B2*Inputs!$B$9</f>
        <v/>
      </c>
    </row>
    <row r="31">
      <c r="A31" t="inlineStr">
        <is>
          <t>BESS LTSA</t>
        </is>
      </c>
      <c r="B31" s="19">
        <f>B3*Inputs!$B$28</f>
        <v/>
      </c>
    </row>
    <row r="32">
      <c r="A32" t="inlineStr">
        <is>
          <t>SCADA</t>
        </is>
      </c>
      <c r="B32" s="19">
        <f>Inputs!$B$29</f>
        <v/>
      </c>
    </row>
    <row r="33">
      <c r="A33" t="inlineStr">
        <is>
          <t>Admin</t>
        </is>
      </c>
      <c r="B33" s="19">
        <f>Inputs!$B$30</f>
        <v/>
      </c>
    </row>
    <row r="34">
      <c r="A34" t="inlineStr">
        <is>
          <t>Land lease</t>
        </is>
      </c>
      <c r="B34" s="19">
        <f>Inputs!$B$31</f>
        <v/>
      </c>
    </row>
    <row r="35">
      <c r="A35" t="inlineStr">
        <is>
          <t>Insurance</t>
        </is>
      </c>
      <c r="B35" s="19">
        <f>B13*Inputs!$B$34</f>
        <v/>
      </c>
    </row>
    <row r="36">
      <c r="A36" t="inlineStr">
        <is>
          <t>Total OPEX</t>
        </is>
      </c>
      <c r="B36" s="19">
        <f>B30+B31+B32+B33+B34+B35</f>
        <v/>
      </c>
    </row>
    <row r="37">
      <c r="A37" t="inlineStr">
        <is>
          <t>EBITDA</t>
        </is>
      </c>
      <c r="B37" s="18">
        <f>B27-B36</f>
        <v/>
      </c>
    </row>
    <row r="38">
      <c r="A38" t="inlineStr">
        <is>
          <t>Debt service</t>
        </is>
      </c>
      <c r="B38" s="19">
        <f>IF(B14=0,0,B14*(Inputs!$B$39*(1+Inputs!$B$39)^Inputs!$B$40/((1+Inputs!$B$39)^Inputs!$B$40-1)))</f>
        <v/>
      </c>
    </row>
    <row r="39">
      <c r="A39" t="inlineStr">
        <is>
          <t>D&amp;A</t>
        </is>
      </c>
      <c r="B39" s="19">
        <f>(B8+B9)/Inputs!$B$41+(B10+B11)/Inputs!$B$42</f>
        <v/>
      </c>
    </row>
    <row r="40">
      <c r="A40" t="inlineStr">
        <is>
          <t>Taxable income</t>
        </is>
      </c>
      <c r="B40" s="19">
        <f>MAX(0,B37-B38-B39)</f>
        <v/>
      </c>
    </row>
    <row r="41">
      <c r="A41" t="inlineStr">
        <is>
          <t>CIT</t>
        </is>
      </c>
      <c r="B41" s="19">
        <f>B40*Inputs!$B$37</f>
        <v/>
      </c>
    </row>
    <row r="42">
      <c r="A42" t="inlineStr">
        <is>
          <t>After-tax FCF</t>
        </is>
      </c>
      <c r="B42" s="18">
        <f>B37-B38-B41</f>
        <v/>
      </c>
    </row>
    <row r="43">
      <c r="A43" t="inlineStr">
        <is>
          <t>Cash yield on equity</t>
        </is>
      </c>
      <c r="B43" s="20">
        <f>IF(B15=0,0,B42/B15)</f>
        <v/>
      </c>
    </row>
    <row r="44">
      <c r="A44" t="inlineStr">
        <is>
          <t>Simple payback (yr)</t>
        </is>
      </c>
      <c r="B44" s="23">
        <f>IF(B42&lt;=0,"n/a",B15/B42)</f>
        <v/>
      </c>
    </row>
    <row r="45">
      <c r="A45" t="inlineStr">
        <is>
          <t>DSCR</t>
        </is>
      </c>
      <c r="B45" s="23">
        <f>IF(B38=0,"n/a (unlevered)",B37/B38)</f>
        <v/>
      </c>
    </row>
    <row r="47">
      <c r="A47" t="inlineStr">
        <is>
          <t>Cross-check (Python Y1 FCF):</t>
        </is>
      </c>
      <c r="B47" s="26" t="n">
        <v>196501.9394468</v>
      </c>
      <c r="C47" s="8">
        <f> B42 at default Inputs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22" t="inlineStr">
        <is>
          <t>5 MW + 20 MWh · Fixed Bifacial — live formulas (reads Inputs)</t>
        </is>
      </c>
    </row>
    <row r="2">
      <c r="A2" t="inlineStr">
        <is>
          <t>PV capacity (MWp)</t>
        </is>
      </c>
      <c r="B2" s="23">
        <f>Inputs!$B$46</f>
        <v/>
      </c>
    </row>
    <row r="3">
      <c r="A3" t="inlineStr">
        <is>
          <t>BESS energy (MWh)</t>
        </is>
      </c>
      <c r="B3" s="23">
        <f>Inputs!$B$47</f>
        <v/>
      </c>
    </row>
    <row r="4">
      <c r="A4" t="inlineStr">
        <is>
          <t>BESS power (MW)</t>
        </is>
      </c>
      <c r="B4" s="23">
        <f>B3/Inputs!$B$15</f>
        <v/>
      </c>
    </row>
    <row r="5">
      <c r="A5" t="inlineStr">
        <is>
          <t>Specific yield (kWh/kWp)</t>
        </is>
      </c>
      <c r="B5" s="17">
        <f>Inputs!$B$7</f>
        <v/>
      </c>
    </row>
    <row r="7">
      <c r="A7" s="24" t="inlineStr">
        <is>
          <t>CAPEX</t>
        </is>
      </c>
    </row>
    <row r="8">
      <c r="A8" t="inlineStr">
        <is>
          <t>PV EPC</t>
        </is>
      </c>
      <c r="B8" s="19">
        <f>B2*Inputs!$B$8</f>
        <v/>
      </c>
    </row>
    <row r="9">
      <c r="A9" t="inlineStr">
        <is>
          <t>BESS EPC</t>
        </is>
      </c>
      <c r="B9" s="19">
        <f>B3*Inputs!$B$24</f>
        <v/>
      </c>
    </row>
    <row r="10">
      <c r="A10" t="inlineStr">
        <is>
          <t>RTB / development</t>
        </is>
      </c>
      <c r="B10" s="19">
        <f>B2*Inputs!$B$25</f>
        <v/>
      </c>
    </row>
    <row r="11">
      <c r="A11" t="inlineStr">
        <is>
          <t>EAC connection</t>
        </is>
      </c>
      <c r="B11" s="19">
        <f>B2*Inputs!$B$26</f>
        <v/>
      </c>
    </row>
    <row r="12">
      <c r="A12" t="inlineStr">
        <is>
          <t>Other CAPEX</t>
        </is>
      </c>
      <c r="B12" s="19">
        <f>Inputs!$B$27</f>
        <v/>
      </c>
    </row>
    <row r="13">
      <c r="A13" t="inlineStr">
        <is>
          <t>Total CAPEX</t>
        </is>
      </c>
      <c r="B13" s="18">
        <f>B8+B9+B10+B11+B12</f>
        <v/>
      </c>
    </row>
    <row r="14">
      <c r="A14" t="inlineStr">
        <is>
          <t>Senior debt</t>
        </is>
      </c>
      <c r="B14" s="19">
        <f>B13*Inputs!$B$38</f>
        <v/>
      </c>
    </row>
    <row r="15">
      <c r="A15" t="inlineStr">
        <is>
          <t>Equity</t>
        </is>
      </c>
      <c r="B15" s="18">
        <f>B13-B14</f>
        <v/>
      </c>
    </row>
    <row r="17">
      <c r="A17" s="24" t="inlineStr">
        <is>
          <t>ENERGY &amp; REVENUE Y1</t>
        </is>
      </c>
    </row>
    <row r="18">
      <c r="A18" t="inlineStr">
        <is>
          <t>Annual PV production (MWh)</t>
        </is>
      </c>
      <c r="B18" s="25">
        <f>B2*B5</f>
        <v/>
      </c>
    </row>
    <row r="19">
      <c r="A19" t="inlineStr">
        <is>
          <t>Uncurtailed (MWh)</t>
        </is>
      </c>
      <c r="B19" s="25">
        <f>B18*(1-Inputs!$B$16)</f>
        <v/>
      </c>
    </row>
    <row r="20">
      <c r="A20" t="inlineStr">
        <is>
          <t>Curtailed (MWh)</t>
        </is>
      </c>
      <c r="B20" s="25">
        <f>B18*Inputs!$B$16</f>
        <v/>
      </c>
    </row>
    <row r="21">
      <c r="A21" t="inlineStr">
        <is>
          <t>BESS charged (MWh)</t>
        </is>
      </c>
      <c r="B21" s="25">
        <f>MIN(B20*Inputs!$B$17,B3*Inputs!$B$19)</f>
        <v/>
      </c>
    </row>
    <row r="22">
      <c r="A22" t="inlineStr">
        <is>
          <t>BESS discharged (MWh)</t>
        </is>
      </c>
      <c r="B22" s="25">
        <f>B21*Inputs!$B$18</f>
        <v/>
      </c>
    </row>
    <row r="23">
      <c r="A23" t="inlineStr">
        <is>
          <t>Solar revenue (€)</t>
        </is>
      </c>
      <c r="B23" s="19">
        <f>B19*Inputs!$B$21</f>
        <v/>
      </c>
    </row>
    <row r="24">
      <c r="A24" t="inlineStr">
        <is>
          <t>BESS revenue (€)</t>
        </is>
      </c>
      <c r="B24" s="19">
        <f>B22*Inputs!$B$22</f>
        <v/>
      </c>
    </row>
    <row r="25">
      <c r="A25" t="inlineStr">
        <is>
          <t>Gross revenue (€)</t>
        </is>
      </c>
      <c r="B25" s="18">
        <f>B23+B24</f>
        <v/>
      </c>
    </row>
    <row r="26">
      <c r="A26" t="inlineStr">
        <is>
          <t>Aggregator fee (€)</t>
        </is>
      </c>
      <c r="B26" s="19">
        <f>B25*Inputs!$B$36</f>
        <v/>
      </c>
    </row>
    <row r="27">
      <c r="A27" t="inlineStr">
        <is>
          <t>Net revenue (€)</t>
        </is>
      </c>
      <c r="B27" s="19">
        <f>B25-B26</f>
        <v/>
      </c>
    </row>
    <row r="29">
      <c r="A29" s="24" t="inlineStr">
        <is>
          <t>OPEX &amp; RETURNS Y1</t>
        </is>
      </c>
    </row>
    <row r="30">
      <c r="A30" t="inlineStr">
        <is>
          <t>PV O&amp;M</t>
        </is>
      </c>
      <c r="B30" s="19">
        <f>B2*Inputs!$B$9</f>
        <v/>
      </c>
    </row>
    <row r="31">
      <c r="A31" t="inlineStr">
        <is>
          <t>BESS LTSA</t>
        </is>
      </c>
      <c r="B31" s="19">
        <f>B3*Inputs!$B$28</f>
        <v/>
      </c>
    </row>
    <row r="32">
      <c r="A32" t="inlineStr">
        <is>
          <t>SCADA</t>
        </is>
      </c>
      <c r="B32" s="19">
        <f>Inputs!$B$29</f>
        <v/>
      </c>
    </row>
    <row r="33">
      <c r="A33" t="inlineStr">
        <is>
          <t>Admin</t>
        </is>
      </c>
      <c r="B33" s="19">
        <f>Inputs!$B$30</f>
        <v/>
      </c>
    </row>
    <row r="34">
      <c r="A34" t="inlineStr">
        <is>
          <t>Land lease</t>
        </is>
      </c>
      <c r="B34" s="19">
        <f>Inputs!$B$32</f>
        <v/>
      </c>
    </row>
    <row r="35">
      <c r="A35" t="inlineStr">
        <is>
          <t>Insurance</t>
        </is>
      </c>
      <c r="B35" s="19">
        <f>B13*Inputs!$B$34</f>
        <v/>
      </c>
    </row>
    <row r="36">
      <c r="A36" t="inlineStr">
        <is>
          <t>Total OPEX</t>
        </is>
      </c>
      <c r="B36" s="19">
        <f>B30+B31+B32+B33+B34+B35</f>
        <v/>
      </c>
    </row>
    <row r="37">
      <c r="A37" t="inlineStr">
        <is>
          <t>EBITDA</t>
        </is>
      </c>
      <c r="B37" s="18">
        <f>B27-B36</f>
        <v/>
      </c>
    </row>
    <row r="38">
      <c r="A38" t="inlineStr">
        <is>
          <t>Debt service</t>
        </is>
      </c>
      <c r="B38" s="19">
        <f>IF(B14=0,0,B14*(Inputs!$B$39*(1+Inputs!$B$39)^Inputs!$B$40/((1+Inputs!$B$39)^Inputs!$B$40-1)))</f>
        <v/>
      </c>
    </row>
    <row r="39">
      <c r="A39" t="inlineStr">
        <is>
          <t>D&amp;A</t>
        </is>
      </c>
      <c r="B39" s="19">
        <f>(B8+B9)/Inputs!$B$41+(B10+B11)/Inputs!$B$42</f>
        <v/>
      </c>
    </row>
    <row r="40">
      <c r="A40" t="inlineStr">
        <is>
          <t>Taxable income</t>
        </is>
      </c>
      <c r="B40" s="19">
        <f>MAX(0,B37-B38-B39)</f>
        <v/>
      </c>
    </row>
    <row r="41">
      <c r="A41" t="inlineStr">
        <is>
          <t>CIT</t>
        </is>
      </c>
      <c r="B41" s="19">
        <f>B40*Inputs!$B$37</f>
        <v/>
      </c>
    </row>
    <row r="42">
      <c r="A42" t="inlineStr">
        <is>
          <t>After-tax FCF</t>
        </is>
      </c>
      <c r="B42" s="18">
        <f>B37-B38-B41</f>
        <v/>
      </c>
    </row>
    <row r="43">
      <c r="A43" t="inlineStr">
        <is>
          <t>Cash yield on equity</t>
        </is>
      </c>
      <c r="B43" s="20">
        <f>IF(B15=0,0,B42/B15)</f>
        <v/>
      </c>
    </row>
    <row r="44">
      <c r="A44" t="inlineStr">
        <is>
          <t>Simple payback (yr)</t>
        </is>
      </c>
      <c r="B44" s="23">
        <f>IF(B42&lt;=0,"n/a",B15/B42)</f>
        <v/>
      </c>
    </row>
    <row r="45">
      <c r="A45" t="inlineStr">
        <is>
          <t>DSCR</t>
        </is>
      </c>
      <c r="B45" s="23">
        <f>IF(B38=0,"n/a (unlevered)",B37/B38)</f>
        <v/>
      </c>
    </row>
    <row r="47">
      <c r="A47" t="inlineStr">
        <is>
          <t>Cross-check (Python Y1 FCF):</t>
        </is>
      </c>
      <c r="B47" s="26" t="n">
        <v>1046259.697234</v>
      </c>
      <c r="C47" s="8">
        <f> B42 at default Inputs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22" t="inlineStr">
        <is>
          <t>10 MW + 40 MWh · Fixed Bifacial — live formulas (reads Inputs)</t>
        </is>
      </c>
    </row>
    <row r="2">
      <c r="A2" t="inlineStr">
        <is>
          <t>PV capacity (MWp)</t>
        </is>
      </c>
      <c r="B2" s="23">
        <f>Inputs!$B$48</f>
        <v/>
      </c>
    </row>
    <row r="3">
      <c r="A3" t="inlineStr">
        <is>
          <t>BESS energy (MWh)</t>
        </is>
      </c>
      <c r="B3" s="23">
        <f>Inputs!$B$49</f>
        <v/>
      </c>
    </row>
    <row r="4">
      <c r="A4" t="inlineStr">
        <is>
          <t>BESS power (MW)</t>
        </is>
      </c>
      <c r="B4" s="23">
        <f>B3/Inputs!$B$15</f>
        <v/>
      </c>
    </row>
    <row r="5">
      <c r="A5" t="inlineStr">
        <is>
          <t>Specific yield (kWh/kWp)</t>
        </is>
      </c>
      <c r="B5" s="17">
        <f>Inputs!$B$7</f>
        <v/>
      </c>
    </row>
    <row r="7">
      <c r="A7" s="24" t="inlineStr">
        <is>
          <t>CAPEX</t>
        </is>
      </c>
    </row>
    <row r="8">
      <c r="A8" t="inlineStr">
        <is>
          <t>PV EPC</t>
        </is>
      </c>
      <c r="B8" s="19">
        <f>B2*Inputs!$B$8</f>
        <v/>
      </c>
    </row>
    <row r="9">
      <c r="A9" t="inlineStr">
        <is>
          <t>BESS EPC</t>
        </is>
      </c>
      <c r="B9" s="19">
        <f>B3*Inputs!$B$24</f>
        <v/>
      </c>
    </row>
    <row r="10">
      <c r="A10" t="inlineStr">
        <is>
          <t>RTB / development</t>
        </is>
      </c>
      <c r="B10" s="19">
        <f>B2*Inputs!$B$25</f>
        <v/>
      </c>
    </row>
    <row r="11">
      <c r="A11" t="inlineStr">
        <is>
          <t>EAC connection</t>
        </is>
      </c>
      <c r="B11" s="19">
        <f>B2*Inputs!$B$26</f>
        <v/>
      </c>
    </row>
    <row r="12">
      <c r="A12" t="inlineStr">
        <is>
          <t>Other CAPEX</t>
        </is>
      </c>
      <c r="B12" s="19">
        <f>Inputs!$B$27</f>
        <v/>
      </c>
    </row>
    <row r="13">
      <c r="A13" t="inlineStr">
        <is>
          <t>Total CAPEX</t>
        </is>
      </c>
      <c r="B13" s="18">
        <f>B8+B9+B10+B11+B12</f>
        <v/>
      </c>
    </row>
    <row r="14">
      <c r="A14" t="inlineStr">
        <is>
          <t>Senior debt</t>
        </is>
      </c>
      <c r="B14" s="19">
        <f>B13*Inputs!$B$38</f>
        <v/>
      </c>
    </row>
    <row r="15">
      <c r="A15" t="inlineStr">
        <is>
          <t>Equity</t>
        </is>
      </c>
      <c r="B15" s="18">
        <f>B13-B14</f>
        <v/>
      </c>
    </row>
    <row r="17">
      <c r="A17" s="24" t="inlineStr">
        <is>
          <t>ENERGY &amp; REVENUE Y1</t>
        </is>
      </c>
    </row>
    <row r="18">
      <c r="A18" t="inlineStr">
        <is>
          <t>Annual PV production (MWh)</t>
        </is>
      </c>
      <c r="B18" s="25">
        <f>B2*B5</f>
        <v/>
      </c>
    </row>
    <row r="19">
      <c r="A19" t="inlineStr">
        <is>
          <t>Uncurtailed (MWh)</t>
        </is>
      </c>
      <c r="B19" s="25">
        <f>B18*(1-Inputs!$B$16)</f>
        <v/>
      </c>
    </row>
    <row r="20">
      <c r="A20" t="inlineStr">
        <is>
          <t>Curtailed (MWh)</t>
        </is>
      </c>
      <c r="B20" s="25">
        <f>B18*Inputs!$B$16</f>
        <v/>
      </c>
    </row>
    <row r="21">
      <c r="A21" t="inlineStr">
        <is>
          <t>BESS charged (MWh)</t>
        </is>
      </c>
      <c r="B21" s="25">
        <f>MIN(B20*Inputs!$B$17,B3*Inputs!$B$19)</f>
        <v/>
      </c>
    </row>
    <row r="22">
      <c r="A22" t="inlineStr">
        <is>
          <t>BESS discharged (MWh)</t>
        </is>
      </c>
      <c r="B22" s="25">
        <f>B21*Inputs!$B$18</f>
        <v/>
      </c>
    </row>
    <row r="23">
      <c r="A23" t="inlineStr">
        <is>
          <t>Solar revenue (€)</t>
        </is>
      </c>
      <c r="B23" s="19">
        <f>B19*Inputs!$B$21</f>
        <v/>
      </c>
    </row>
    <row r="24">
      <c r="A24" t="inlineStr">
        <is>
          <t>BESS revenue (€)</t>
        </is>
      </c>
      <c r="B24" s="19">
        <f>B22*Inputs!$B$22</f>
        <v/>
      </c>
    </row>
    <row r="25">
      <c r="A25" t="inlineStr">
        <is>
          <t>Gross revenue (€)</t>
        </is>
      </c>
      <c r="B25" s="18">
        <f>B23+B24</f>
        <v/>
      </c>
    </row>
    <row r="26">
      <c r="A26" t="inlineStr">
        <is>
          <t>Aggregator fee (€)</t>
        </is>
      </c>
      <c r="B26" s="19">
        <f>B25*Inputs!$B$36</f>
        <v/>
      </c>
    </row>
    <row r="27">
      <c r="A27" t="inlineStr">
        <is>
          <t>Net revenue (€)</t>
        </is>
      </c>
      <c r="B27" s="19">
        <f>B25-B26</f>
        <v/>
      </c>
    </row>
    <row r="29">
      <c r="A29" s="24" t="inlineStr">
        <is>
          <t>OPEX &amp; RETURNS Y1</t>
        </is>
      </c>
    </row>
    <row r="30">
      <c r="A30" t="inlineStr">
        <is>
          <t>PV O&amp;M</t>
        </is>
      </c>
      <c r="B30" s="19">
        <f>B2*Inputs!$B$9</f>
        <v/>
      </c>
    </row>
    <row r="31">
      <c r="A31" t="inlineStr">
        <is>
          <t>BESS LTSA</t>
        </is>
      </c>
      <c r="B31" s="19">
        <f>B3*Inputs!$B$28</f>
        <v/>
      </c>
    </row>
    <row r="32">
      <c r="A32" t="inlineStr">
        <is>
          <t>SCADA</t>
        </is>
      </c>
      <c r="B32" s="19">
        <f>Inputs!$B$29</f>
        <v/>
      </c>
    </row>
    <row r="33">
      <c r="A33" t="inlineStr">
        <is>
          <t>Admin</t>
        </is>
      </c>
      <c r="B33" s="19">
        <f>Inputs!$B$30</f>
        <v/>
      </c>
    </row>
    <row r="34">
      <c r="A34" t="inlineStr">
        <is>
          <t>Land lease</t>
        </is>
      </c>
      <c r="B34" s="19">
        <f>Inputs!$B$33</f>
        <v/>
      </c>
    </row>
    <row r="35">
      <c r="A35" t="inlineStr">
        <is>
          <t>Insurance</t>
        </is>
      </c>
      <c r="B35" s="19">
        <f>B13*Inputs!$B$34</f>
        <v/>
      </c>
    </row>
    <row r="36">
      <c r="A36" t="inlineStr">
        <is>
          <t>Total OPEX</t>
        </is>
      </c>
      <c r="B36" s="19">
        <f>B30+B31+B32+B33+B34+B35</f>
        <v/>
      </c>
    </row>
    <row r="37">
      <c r="A37" t="inlineStr">
        <is>
          <t>EBITDA</t>
        </is>
      </c>
      <c r="B37" s="18">
        <f>B27-B36</f>
        <v/>
      </c>
    </row>
    <row r="38">
      <c r="A38" t="inlineStr">
        <is>
          <t>Debt service</t>
        </is>
      </c>
      <c r="B38" s="19">
        <f>IF(B14=0,0,B14*(Inputs!$B$39*(1+Inputs!$B$39)^Inputs!$B$40/((1+Inputs!$B$39)^Inputs!$B$40-1)))</f>
        <v/>
      </c>
    </row>
    <row r="39">
      <c r="A39" t="inlineStr">
        <is>
          <t>D&amp;A</t>
        </is>
      </c>
      <c r="B39" s="19">
        <f>(B8+B9)/Inputs!$B$41+(B10+B11)/Inputs!$B$42</f>
        <v/>
      </c>
    </row>
    <row r="40">
      <c r="A40" t="inlineStr">
        <is>
          <t>Taxable income</t>
        </is>
      </c>
      <c r="B40" s="19">
        <f>MAX(0,B37-B38-B39)</f>
        <v/>
      </c>
    </row>
    <row r="41">
      <c r="A41" t="inlineStr">
        <is>
          <t>CIT</t>
        </is>
      </c>
      <c r="B41" s="19">
        <f>B40*Inputs!$B$37</f>
        <v/>
      </c>
    </row>
    <row r="42">
      <c r="A42" t="inlineStr">
        <is>
          <t>After-tax FCF</t>
        </is>
      </c>
      <c r="B42" s="18">
        <f>B37-B38-B41</f>
        <v/>
      </c>
    </row>
    <row r="43">
      <c r="A43" t="inlineStr">
        <is>
          <t>Cash yield on equity</t>
        </is>
      </c>
      <c r="B43" s="20">
        <f>IF(B15=0,0,B42/B15)</f>
        <v/>
      </c>
    </row>
    <row r="44">
      <c r="A44" t="inlineStr">
        <is>
          <t>Simple payback (yr)</t>
        </is>
      </c>
      <c r="B44" s="23">
        <f>IF(B42&lt;=0,"n/a",B15/B42)</f>
        <v/>
      </c>
    </row>
    <row r="45">
      <c r="A45" t="inlineStr">
        <is>
          <t>DSCR</t>
        </is>
      </c>
      <c r="B45" s="23">
        <f>IF(B38=0,"n/a (unlevered)",B37/B38)</f>
        <v/>
      </c>
    </row>
    <row r="47">
      <c r="A47" t="inlineStr">
        <is>
          <t>Cross-check (Python Y1 FCF):</t>
        </is>
      </c>
      <c r="B47" s="26" t="n">
        <v>2109519.394468</v>
      </c>
      <c r="C47" s="8">
        <f> B42 at default Inputs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22" t="inlineStr">
        <is>
          <t>1 MW + 4 MWh · Single-Axis Tracker · Bifacial 2P — live formulas (reads Inputs)</t>
        </is>
      </c>
    </row>
    <row r="2">
      <c r="A2" t="inlineStr">
        <is>
          <t>PV capacity (MWp)</t>
        </is>
      </c>
      <c r="B2" s="23">
        <f>Inputs!$B$44</f>
        <v/>
      </c>
    </row>
    <row r="3">
      <c r="A3" t="inlineStr">
        <is>
          <t>BESS energy (MWh)</t>
        </is>
      </c>
      <c r="B3" s="23">
        <f>Inputs!$B$45</f>
        <v/>
      </c>
    </row>
    <row r="4">
      <c r="A4" t="inlineStr">
        <is>
          <t>BESS power (MW)</t>
        </is>
      </c>
      <c r="B4" s="23">
        <f>B3/Inputs!$B$15</f>
        <v/>
      </c>
    </row>
    <row r="5">
      <c r="A5" t="inlineStr">
        <is>
          <t>Specific yield (kWh/kWp)</t>
        </is>
      </c>
      <c r="B5" s="17">
        <f>Inputs!$B$11</f>
        <v/>
      </c>
    </row>
    <row r="7">
      <c r="A7" s="24" t="inlineStr">
        <is>
          <t>CAPEX</t>
        </is>
      </c>
    </row>
    <row r="8">
      <c r="A8" t="inlineStr">
        <is>
          <t>PV EPC</t>
        </is>
      </c>
      <c r="B8" s="19">
        <f>B2*Inputs!$B$12</f>
        <v/>
      </c>
    </row>
    <row r="9">
      <c r="A9" t="inlineStr">
        <is>
          <t>BESS EPC</t>
        </is>
      </c>
      <c r="B9" s="19">
        <f>B3*Inputs!$B$24</f>
        <v/>
      </c>
    </row>
    <row r="10">
      <c r="A10" t="inlineStr">
        <is>
          <t>RTB / development</t>
        </is>
      </c>
      <c r="B10" s="19">
        <f>B2*Inputs!$B$25</f>
        <v/>
      </c>
    </row>
    <row r="11">
      <c r="A11" t="inlineStr">
        <is>
          <t>EAC connection</t>
        </is>
      </c>
      <c r="B11" s="19">
        <f>B2*Inputs!$B$26</f>
        <v/>
      </c>
    </row>
    <row r="12">
      <c r="A12" t="inlineStr">
        <is>
          <t>Other CAPEX</t>
        </is>
      </c>
      <c r="B12" s="19">
        <f>Inputs!$B$27</f>
        <v/>
      </c>
    </row>
    <row r="13">
      <c r="A13" t="inlineStr">
        <is>
          <t>Total CAPEX</t>
        </is>
      </c>
      <c r="B13" s="18">
        <f>B8+B9+B10+B11+B12</f>
        <v/>
      </c>
    </row>
    <row r="14">
      <c r="A14" t="inlineStr">
        <is>
          <t>Senior debt</t>
        </is>
      </c>
      <c r="B14" s="19">
        <f>B13*Inputs!$B$38</f>
        <v/>
      </c>
    </row>
    <row r="15">
      <c r="A15" t="inlineStr">
        <is>
          <t>Equity</t>
        </is>
      </c>
      <c r="B15" s="18">
        <f>B13-B14</f>
        <v/>
      </c>
    </row>
    <row r="17">
      <c r="A17" s="24" t="inlineStr">
        <is>
          <t>ENERGY &amp; REVENUE Y1</t>
        </is>
      </c>
    </row>
    <row r="18">
      <c r="A18" t="inlineStr">
        <is>
          <t>Annual PV production (MWh)</t>
        </is>
      </c>
      <c r="B18" s="25">
        <f>B2*B5</f>
        <v/>
      </c>
    </row>
    <row r="19">
      <c r="A19" t="inlineStr">
        <is>
          <t>Uncurtailed (MWh)</t>
        </is>
      </c>
      <c r="B19" s="25">
        <f>B18*(1-Inputs!$B$16)</f>
        <v/>
      </c>
    </row>
    <row r="20">
      <c r="A20" t="inlineStr">
        <is>
          <t>Curtailed (MWh)</t>
        </is>
      </c>
      <c r="B20" s="25">
        <f>B18*Inputs!$B$16</f>
        <v/>
      </c>
    </row>
    <row r="21">
      <c r="A21" t="inlineStr">
        <is>
          <t>BESS charged (MWh)</t>
        </is>
      </c>
      <c r="B21" s="25">
        <f>MIN(B20*Inputs!$B$17,B3*Inputs!$B$19)</f>
        <v/>
      </c>
    </row>
    <row r="22">
      <c r="A22" t="inlineStr">
        <is>
          <t>BESS discharged (MWh)</t>
        </is>
      </c>
      <c r="B22" s="25">
        <f>B21*Inputs!$B$18</f>
        <v/>
      </c>
    </row>
    <row r="23">
      <c r="A23" t="inlineStr">
        <is>
          <t>Solar revenue (€)</t>
        </is>
      </c>
      <c r="B23" s="19">
        <f>B19*Inputs!$B$21</f>
        <v/>
      </c>
    </row>
    <row r="24">
      <c r="A24" t="inlineStr">
        <is>
          <t>BESS revenue (€)</t>
        </is>
      </c>
      <c r="B24" s="19">
        <f>B22*Inputs!$B$22</f>
        <v/>
      </c>
    </row>
    <row r="25">
      <c r="A25" t="inlineStr">
        <is>
          <t>Gross revenue (€)</t>
        </is>
      </c>
      <c r="B25" s="18">
        <f>B23+B24</f>
        <v/>
      </c>
    </row>
    <row r="26">
      <c r="A26" t="inlineStr">
        <is>
          <t>Aggregator fee (€)</t>
        </is>
      </c>
      <c r="B26" s="19">
        <f>B25*Inputs!$B$36</f>
        <v/>
      </c>
    </row>
    <row r="27">
      <c r="A27" t="inlineStr">
        <is>
          <t>Net revenue (€)</t>
        </is>
      </c>
      <c r="B27" s="19">
        <f>B25-B26</f>
        <v/>
      </c>
    </row>
    <row r="29">
      <c r="A29" s="24" t="inlineStr">
        <is>
          <t>OPEX &amp; RETURNS Y1</t>
        </is>
      </c>
    </row>
    <row r="30">
      <c r="A30" t="inlineStr">
        <is>
          <t>PV O&amp;M</t>
        </is>
      </c>
      <c r="B30" s="19">
        <f>B2*Inputs!$B$13</f>
        <v/>
      </c>
    </row>
    <row r="31">
      <c r="A31" t="inlineStr">
        <is>
          <t>BESS LTSA</t>
        </is>
      </c>
      <c r="B31" s="19">
        <f>B3*Inputs!$B$28</f>
        <v/>
      </c>
    </row>
    <row r="32">
      <c r="A32" t="inlineStr">
        <is>
          <t>SCADA</t>
        </is>
      </c>
      <c r="B32" s="19">
        <f>Inputs!$B$29</f>
        <v/>
      </c>
    </row>
    <row r="33">
      <c r="A33" t="inlineStr">
        <is>
          <t>Admin</t>
        </is>
      </c>
      <c r="B33" s="19">
        <f>Inputs!$B$30</f>
        <v/>
      </c>
    </row>
    <row r="34">
      <c r="A34" t="inlineStr">
        <is>
          <t>Land lease</t>
        </is>
      </c>
      <c r="B34" s="19">
        <f>Inputs!$B$31</f>
        <v/>
      </c>
    </row>
    <row r="35">
      <c r="A35" t="inlineStr">
        <is>
          <t>Insurance</t>
        </is>
      </c>
      <c r="B35" s="19">
        <f>B13*Inputs!$B$34</f>
        <v/>
      </c>
    </row>
    <row r="36">
      <c r="A36" t="inlineStr">
        <is>
          <t>Total OPEX</t>
        </is>
      </c>
      <c r="B36" s="19">
        <f>B30+B31+B32+B33+B34+B35</f>
        <v/>
      </c>
    </row>
    <row r="37">
      <c r="A37" t="inlineStr">
        <is>
          <t>EBITDA</t>
        </is>
      </c>
      <c r="B37" s="18">
        <f>B27-B36</f>
        <v/>
      </c>
    </row>
    <row r="38">
      <c r="A38" t="inlineStr">
        <is>
          <t>Debt service</t>
        </is>
      </c>
      <c r="B38" s="19">
        <f>IF(B14=0,0,B14*(Inputs!$B$39*(1+Inputs!$B$39)^Inputs!$B$40/((1+Inputs!$B$39)^Inputs!$B$40-1)))</f>
        <v/>
      </c>
    </row>
    <row r="39">
      <c r="A39" t="inlineStr">
        <is>
          <t>D&amp;A</t>
        </is>
      </c>
      <c r="B39" s="19">
        <f>(B8+B9)/Inputs!$B$41+(B10+B11)/Inputs!$B$42</f>
        <v/>
      </c>
    </row>
    <row r="40">
      <c r="A40" t="inlineStr">
        <is>
          <t>Taxable income</t>
        </is>
      </c>
      <c r="B40" s="19">
        <f>MAX(0,B37-B38-B39)</f>
        <v/>
      </c>
    </row>
    <row r="41">
      <c r="A41" t="inlineStr">
        <is>
          <t>CIT</t>
        </is>
      </c>
      <c r="B41" s="19">
        <f>B40*Inputs!$B$37</f>
        <v/>
      </c>
    </row>
    <row r="42">
      <c r="A42" t="inlineStr">
        <is>
          <t>After-tax FCF</t>
        </is>
      </c>
      <c r="B42" s="18">
        <f>B37-B38-B41</f>
        <v/>
      </c>
    </row>
    <row r="43">
      <c r="A43" t="inlineStr">
        <is>
          <t>Cash yield on equity</t>
        </is>
      </c>
      <c r="B43" s="20">
        <f>IF(B15=0,0,B42/B15)</f>
        <v/>
      </c>
    </row>
    <row r="44">
      <c r="A44" t="inlineStr">
        <is>
          <t>Simple payback (yr)</t>
        </is>
      </c>
      <c r="B44" s="23">
        <f>IF(B42&lt;=0,"n/a",B15/B42)</f>
        <v/>
      </c>
    </row>
    <row r="45">
      <c r="A45" t="inlineStr">
        <is>
          <t>DSCR</t>
        </is>
      </c>
      <c r="B45" s="23">
        <f>IF(B38=0,"n/a (unlevered)",B37/B38)</f>
        <v/>
      </c>
    </row>
    <row r="47">
      <c r="A47" t="inlineStr">
        <is>
          <t>Cross-check (Python Y1 FCF):</t>
        </is>
      </c>
      <c r="B47" s="26" t="n">
        <v>246899.5926571999</v>
      </c>
      <c r="C47" s="8">
        <f> B42 at default Inputs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22" t="inlineStr">
        <is>
          <t>5 MW + 20 MWh · Single-Axis Tracker · Bifacial 2P — live formulas (reads Inputs)</t>
        </is>
      </c>
    </row>
    <row r="2">
      <c r="A2" t="inlineStr">
        <is>
          <t>PV capacity (MWp)</t>
        </is>
      </c>
      <c r="B2" s="23">
        <f>Inputs!$B$46</f>
        <v/>
      </c>
    </row>
    <row r="3">
      <c r="A3" t="inlineStr">
        <is>
          <t>BESS energy (MWh)</t>
        </is>
      </c>
      <c r="B3" s="23">
        <f>Inputs!$B$47</f>
        <v/>
      </c>
    </row>
    <row r="4">
      <c r="A4" t="inlineStr">
        <is>
          <t>BESS power (MW)</t>
        </is>
      </c>
      <c r="B4" s="23">
        <f>B3/Inputs!$B$15</f>
        <v/>
      </c>
    </row>
    <row r="5">
      <c r="A5" t="inlineStr">
        <is>
          <t>Specific yield (kWh/kWp)</t>
        </is>
      </c>
      <c r="B5" s="17">
        <f>Inputs!$B$11</f>
        <v/>
      </c>
    </row>
    <row r="7">
      <c r="A7" s="24" t="inlineStr">
        <is>
          <t>CAPEX</t>
        </is>
      </c>
    </row>
    <row r="8">
      <c r="A8" t="inlineStr">
        <is>
          <t>PV EPC</t>
        </is>
      </c>
      <c r="B8" s="19">
        <f>B2*Inputs!$B$12</f>
        <v/>
      </c>
    </row>
    <row r="9">
      <c r="A9" t="inlineStr">
        <is>
          <t>BESS EPC</t>
        </is>
      </c>
      <c r="B9" s="19">
        <f>B3*Inputs!$B$24</f>
        <v/>
      </c>
    </row>
    <row r="10">
      <c r="A10" t="inlineStr">
        <is>
          <t>RTB / development</t>
        </is>
      </c>
      <c r="B10" s="19">
        <f>B2*Inputs!$B$25</f>
        <v/>
      </c>
    </row>
    <row r="11">
      <c r="A11" t="inlineStr">
        <is>
          <t>EAC connection</t>
        </is>
      </c>
      <c r="B11" s="19">
        <f>B2*Inputs!$B$26</f>
        <v/>
      </c>
    </row>
    <row r="12">
      <c r="A12" t="inlineStr">
        <is>
          <t>Other CAPEX</t>
        </is>
      </c>
      <c r="B12" s="19">
        <f>Inputs!$B$27</f>
        <v/>
      </c>
    </row>
    <row r="13">
      <c r="A13" t="inlineStr">
        <is>
          <t>Total CAPEX</t>
        </is>
      </c>
      <c r="B13" s="18">
        <f>B8+B9+B10+B11+B12</f>
        <v/>
      </c>
    </row>
    <row r="14">
      <c r="A14" t="inlineStr">
        <is>
          <t>Senior debt</t>
        </is>
      </c>
      <c r="B14" s="19">
        <f>B13*Inputs!$B$38</f>
        <v/>
      </c>
    </row>
    <row r="15">
      <c r="A15" t="inlineStr">
        <is>
          <t>Equity</t>
        </is>
      </c>
      <c r="B15" s="18">
        <f>B13-B14</f>
        <v/>
      </c>
    </row>
    <row r="17">
      <c r="A17" s="24" t="inlineStr">
        <is>
          <t>ENERGY &amp; REVENUE Y1</t>
        </is>
      </c>
    </row>
    <row r="18">
      <c r="A18" t="inlineStr">
        <is>
          <t>Annual PV production (MWh)</t>
        </is>
      </c>
      <c r="B18" s="25">
        <f>B2*B5</f>
        <v/>
      </c>
    </row>
    <row r="19">
      <c r="A19" t="inlineStr">
        <is>
          <t>Uncurtailed (MWh)</t>
        </is>
      </c>
      <c r="B19" s="25">
        <f>B18*(1-Inputs!$B$16)</f>
        <v/>
      </c>
    </row>
    <row r="20">
      <c r="A20" t="inlineStr">
        <is>
          <t>Curtailed (MWh)</t>
        </is>
      </c>
      <c r="B20" s="25">
        <f>B18*Inputs!$B$16</f>
        <v/>
      </c>
    </row>
    <row r="21">
      <c r="A21" t="inlineStr">
        <is>
          <t>BESS charged (MWh)</t>
        </is>
      </c>
      <c r="B21" s="25">
        <f>MIN(B20*Inputs!$B$17,B3*Inputs!$B$19)</f>
        <v/>
      </c>
    </row>
    <row r="22">
      <c r="A22" t="inlineStr">
        <is>
          <t>BESS discharged (MWh)</t>
        </is>
      </c>
      <c r="B22" s="25">
        <f>B21*Inputs!$B$18</f>
        <v/>
      </c>
    </row>
    <row r="23">
      <c r="A23" t="inlineStr">
        <is>
          <t>Solar revenue (€)</t>
        </is>
      </c>
      <c r="B23" s="19">
        <f>B19*Inputs!$B$21</f>
        <v/>
      </c>
    </row>
    <row r="24">
      <c r="A24" t="inlineStr">
        <is>
          <t>BESS revenue (€)</t>
        </is>
      </c>
      <c r="B24" s="19">
        <f>B22*Inputs!$B$22</f>
        <v/>
      </c>
    </row>
    <row r="25">
      <c r="A25" t="inlineStr">
        <is>
          <t>Gross revenue (€)</t>
        </is>
      </c>
      <c r="B25" s="18">
        <f>B23+B24</f>
        <v/>
      </c>
    </row>
    <row r="26">
      <c r="A26" t="inlineStr">
        <is>
          <t>Aggregator fee (€)</t>
        </is>
      </c>
      <c r="B26" s="19">
        <f>B25*Inputs!$B$36</f>
        <v/>
      </c>
    </row>
    <row r="27">
      <c r="A27" t="inlineStr">
        <is>
          <t>Net revenue (€)</t>
        </is>
      </c>
      <c r="B27" s="19">
        <f>B25-B26</f>
        <v/>
      </c>
    </row>
    <row r="29">
      <c r="A29" s="24" t="inlineStr">
        <is>
          <t>OPEX &amp; RETURNS Y1</t>
        </is>
      </c>
    </row>
    <row r="30">
      <c r="A30" t="inlineStr">
        <is>
          <t>PV O&amp;M</t>
        </is>
      </c>
      <c r="B30" s="19">
        <f>B2*Inputs!$B$13</f>
        <v/>
      </c>
    </row>
    <row r="31">
      <c r="A31" t="inlineStr">
        <is>
          <t>BESS LTSA</t>
        </is>
      </c>
      <c r="B31" s="19">
        <f>B3*Inputs!$B$28</f>
        <v/>
      </c>
    </row>
    <row r="32">
      <c r="A32" t="inlineStr">
        <is>
          <t>SCADA</t>
        </is>
      </c>
      <c r="B32" s="19">
        <f>Inputs!$B$29</f>
        <v/>
      </c>
    </row>
    <row r="33">
      <c r="A33" t="inlineStr">
        <is>
          <t>Admin</t>
        </is>
      </c>
      <c r="B33" s="19">
        <f>Inputs!$B$30</f>
        <v/>
      </c>
    </row>
    <row r="34">
      <c r="A34" t="inlineStr">
        <is>
          <t>Land lease</t>
        </is>
      </c>
      <c r="B34" s="19">
        <f>Inputs!$B$32</f>
        <v/>
      </c>
    </row>
    <row r="35">
      <c r="A35" t="inlineStr">
        <is>
          <t>Insurance</t>
        </is>
      </c>
      <c r="B35" s="19">
        <f>B13*Inputs!$B$34</f>
        <v/>
      </c>
    </row>
    <row r="36">
      <c r="A36" t="inlineStr">
        <is>
          <t>Total OPEX</t>
        </is>
      </c>
      <c r="B36" s="19">
        <f>B30+B31+B32+B33+B34+B35</f>
        <v/>
      </c>
    </row>
    <row r="37">
      <c r="A37" t="inlineStr">
        <is>
          <t>EBITDA</t>
        </is>
      </c>
      <c r="B37" s="18">
        <f>B27-B36</f>
        <v/>
      </c>
    </row>
    <row r="38">
      <c r="A38" t="inlineStr">
        <is>
          <t>Debt service</t>
        </is>
      </c>
      <c r="B38" s="19">
        <f>IF(B14=0,0,B14*(Inputs!$B$39*(1+Inputs!$B$39)^Inputs!$B$40/((1+Inputs!$B$39)^Inputs!$B$40-1)))</f>
        <v/>
      </c>
    </row>
    <row r="39">
      <c r="A39" t="inlineStr">
        <is>
          <t>D&amp;A</t>
        </is>
      </c>
      <c r="B39" s="19">
        <f>(B8+B9)/Inputs!$B$41+(B10+B11)/Inputs!$B$42</f>
        <v/>
      </c>
    </row>
    <row r="40">
      <c r="A40" t="inlineStr">
        <is>
          <t>Taxable income</t>
        </is>
      </c>
      <c r="B40" s="19">
        <f>MAX(0,B37-B38-B39)</f>
        <v/>
      </c>
    </row>
    <row r="41">
      <c r="A41" t="inlineStr">
        <is>
          <t>CIT</t>
        </is>
      </c>
      <c r="B41" s="19">
        <f>B40*Inputs!$B$37</f>
        <v/>
      </c>
    </row>
    <row r="42">
      <c r="A42" t="inlineStr">
        <is>
          <t>After-tax FCF</t>
        </is>
      </c>
      <c r="B42" s="18">
        <f>B37-B38-B41</f>
        <v/>
      </c>
    </row>
    <row r="43">
      <c r="A43" t="inlineStr">
        <is>
          <t>Cash yield on equity</t>
        </is>
      </c>
      <c r="B43" s="20">
        <f>IF(B15=0,0,B42/B15)</f>
        <v/>
      </c>
    </row>
    <row r="44">
      <c r="A44" t="inlineStr">
        <is>
          <t>Simple payback (yr)</t>
        </is>
      </c>
      <c r="B44" s="23">
        <f>IF(B42&lt;=0,"n/a",B15/B42)</f>
        <v/>
      </c>
    </row>
    <row r="45">
      <c r="A45" t="inlineStr">
        <is>
          <t>DSCR</t>
        </is>
      </c>
      <c r="B45" s="23">
        <f>IF(B38=0,"n/a (unlevered)",B37/B38)</f>
        <v/>
      </c>
    </row>
    <row r="47">
      <c r="A47" t="inlineStr">
        <is>
          <t>Cross-check (Python Y1 FCF):</t>
        </is>
      </c>
      <c r="B47" s="26" t="n">
        <v>1298247.963286</v>
      </c>
      <c r="C47" s="8">
        <f> B42 at default Inputs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22" t="inlineStr">
        <is>
          <t>10 MW + 40 MWh · Single-Axis Tracker · Bifacial 2P — live formulas (reads Inputs)</t>
        </is>
      </c>
    </row>
    <row r="2">
      <c r="A2" t="inlineStr">
        <is>
          <t>PV capacity (MWp)</t>
        </is>
      </c>
      <c r="B2" s="23">
        <f>Inputs!$B$48</f>
        <v/>
      </c>
    </row>
    <row r="3">
      <c r="A3" t="inlineStr">
        <is>
          <t>BESS energy (MWh)</t>
        </is>
      </c>
      <c r="B3" s="23">
        <f>Inputs!$B$49</f>
        <v/>
      </c>
    </row>
    <row r="4">
      <c r="A4" t="inlineStr">
        <is>
          <t>BESS power (MW)</t>
        </is>
      </c>
      <c r="B4" s="23">
        <f>B3/Inputs!$B$15</f>
        <v/>
      </c>
    </row>
    <row r="5">
      <c r="A5" t="inlineStr">
        <is>
          <t>Specific yield (kWh/kWp)</t>
        </is>
      </c>
      <c r="B5" s="17">
        <f>Inputs!$B$11</f>
        <v/>
      </c>
    </row>
    <row r="7">
      <c r="A7" s="24" t="inlineStr">
        <is>
          <t>CAPEX</t>
        </is>
      </c>
    </row>
    <row r="8">
      <c r="A8" t="inlineStr">
        <is>
          <t>PV EPC</t>
        </is>
      </c>
      <c r="B8" s="19">
        <f>B2*Inputs!$B$12</f>
        <v/>
      </c>
    </row>
    <row r="9">
      <c r="A9" t="inlineStr">
        <is>
          <t>BESS EPC</t>
        </is>
      </c>
      <c r="B9" s="19">
        <f>B3*Inputs!$B$24</f>
        <v/>
      </c>
    </row>
    <row r="10">
      <c r="A10" t="inlineStr">
        <is>
          <t>RTB / development</t>
        </is>
      </c>
      <c r="B10" s="19">
        <f>B2*Inputs!$B$25</f>
        <v/>
      </c>
    </row>
    <row r="11">
      <c r="A11" t="inlineStr">
        <is>
          <t>EAC connection</t>
        </is>
      </c>
      <c r="B11" s="19">
        <f>B2*Inputs!$B$26</f>
        <v/>
      </c>
    </row>
    <row r="12">
      <c r="A12" t="inlineStr">
        <is>
          <t>Other CAPEX</t>
        </is>
      </c>
      <c r="B12" s="19">
        <f>Inputs!$B$27</f>
        <v/>
      </c>
    </row>
    <row r="13">
      <c r="A13" t="inlineStr">
        <is>
          <t>Total CAPEX</t>
        </is>
      </c>
      <c r="B13" s="18">
        <f>B8+B9+B10+B11+B12</f>
        <v/>
      </c>
    </row>
    <row r="14">
      <c r="A14" t="inlineStr">
        <is>
          <t>Senior debt</t>
        </is>
      </c>
      <c r="B14" s="19">
        <f>B13*Inputs!$B$38</f>
        <v/>
      </c>
    </row>
    <row r="15">
      <c r="A15" t="inlineStr">
        <is>
          <t>Equity</t>
        </is>
      </c>
      <c r="B15" s="18">
        <f>B13-B14</f>
        <v/>
      </c>
    </row>
    <row r="17">
      <c r="A17" s="24" t="inlineStr">
        <is>
          <t>ENERGY &amp; REVENUE Y1</t>
        </is>
      </c>
    </row>
    <row r="18">
      <c r="A18" t="inlineStr">
        <is>
          <t>Annual PV production (MWh)</t>
        </is>
      </c>
      <c r="B18" s="25">
        <f>B2*B5</f>
        <v/>
      </c>
    </row>
    <row r="19">
      <c r="A19" t="inlineStr">
        <is>
          <t>Uncurtailed (MWh)</t>
        </is>
      </c>
      <c r="B19" s="25">
        <f>B18*(1-Inputs!$B$16)</f>
        <v/>
      </c>
    </row>
    <row r="20">
      <c r="A20" t="inlineStr">
        <is>
          <t>Curtailed (MWh)</t>
        </is>
      </c>
      <c r="B20" s="25">
        <f>B18*Inputs!$B$16</f>
        <v/>
      </c>
    </row>
    <row r="21">
      <c r="A21" t="inlineStr">
        <is>
          <t>BESS charged (MWh)</t>
        </is>
      </c>
      <c r="B21" s="25">
        <f>MIN(B20*Inputs!$B$17,B3*Inputs!$B$19)</f>
        <v/>
      </c>
    </row>
    <row r="22">
      <c r="A22" t="inlineStr">
        <is>
          <t>BESS discharged (MWh)</t>
        </is>
      </c>
      <c r="B22" s="25">
        <f>B21*Inputs!$B$18</f>
        <v/>
      </c>
    </row>
    <row r="23">
      <c r="A23" t="inlineStr">
        <is>
          <t>Solar revenue (€)</t>
        </is>
      </c>
      <c r="B23" s="19">
        <f>B19*Inputs!$B$21</f>
        <v/>
      </c>
    </row>
    <row r="24">
      <c r="A24" t="inlineStr">
        <is>
          <t>BESS revenue (€)</t>
        </is>
      </c>
      <c r="B24" s="19">
        <f>B22*Inputs!$B$22</f>
        <v/>
      </c>
    </row>
    <row r="25">
      <c r="A25" t="inlineStr">
        <is>
          <t>Gross revenue (€)</t>
        </is>
      </c>
      <c r="B25" s="18">
        <f>B23+B24</f>
        <v/>
      </c>
    </row>
    <row r="26">
      <c r="A26" t="inlineStr">
        <is>
          <t>Aggregator fee (€)</t>
        </is>
      </c>
      <c r="B26" s="19">
        <f>B25*Inputs!$B$36</f>
        <v/>
      </c>
    </row>
    <row r="27">
      <c r="A27" t="inlineStr">
        <is>
          <t>Net revenue (€)</t>
        </is>
      </c>
      <c r="B27" s="19">
        <f>B25-B26</f>
        <v/>
      </c>
    </row>
    <row r="29">
      <c r="A29" s="24" t="inlineStr">
        <is>
          <t>OPEX &amp; RETURNS Y1</t>
        </is>
      </c>
    </row>
    <row r="30">
      <c r="A30" t="inlineStr">
        <is>
          <t>PV O&amp;M</t>
        </is>
      </c>
      <c r="B30" s="19">
        <f>B2*Inputs!$B$13</f>
        <v/>
      </c>
    </row>
    <row r="31">
      <c r="A31" t="inlineStr">
        <is>
          <t>BESS LTSA</t>
        </is>
      </c>
      <c r="B31" s="19">
        <f>B3*Inputs!$B$28</f>
        <v/>
      </c>
    </row>
    <row r="32">
      <c r="A32" t="inlineStr">
        <is>
          <t>SCADA</t>
        </is>
      </c>
      <c r="B32" s="19">
        <f>Inputs!$B$29</f>
        <v/>
      </c>
    </row>
    <row r="33">
      <c r="A33" t="inlineStr">
        <is>
          <t>Admin</t>
        </is>
      </c>
      <c r="B33" s="19">
        <f>Inputs!$B$30</f>
        <v/>
      </c>
    </row>
    <row r="34">
      <c r="A34" t="inlineStr">
        <is>
          <t>Land lease</t>
        </is>
      </c>
      <c r="B34" s="19">
        <f>Inputs!$B$33</f>
        <v/>
      </c>
    </row>
    <row r="35">
      <c r="A35" t="inlineStr">
        <is>
          <t>Insurance</t>
        </is>
      </c>
      <c r="B35" s="19">
        <f>B13*Inputs!$B$34</f>
        <v/>
      </c>
    </row>
    <row r="36">
      <c r="A36" t="inlineStr">
        <is>
          <t>Total OPEX</t>
        </is>
      </c>
      <c r="B36" s="19">
        <f>B30+B31+B32+B33+B34+B35</f>
        <v/>
      </c>
    </row>
    <row r="37">
      <c r="A37" t="inlineStr">
        <is>
          <t>EBITDA</t>
        </is>
      </c>
      <c r="B37" s="18">
        <f>B27-B36</f>
        <v/>
      </c>
    </row>
    <row r="38">
      <c r="A38" t="inlineStr">
        <is>
          <t>Debt service</t>
        </is>
      </c>
      <c r="B38" s="19">
        <f>IF(B14=0,0,B14*(Inputs!$B$39*(1+Inputs!$B$39)^Inputs!$B$40/((1+Inputs!$B$39)^Inputs!$B$40-1)))</f>
        <v/>
      </c>
    </row>
    <row r="39">
      <c r="A39" t="inlineStr">
        <is>
          <t>D&amp;A</t>
        </is>
      </c>
      <c r="B39" s="19">
        <f>(B8+B9)/Inputs!$B$41+(B10+B11)/Inputs!$B$42</f>
        <v/>
      </c>
    </row>
    <row r="40">
      <c r="A40" t="inlineStr">
        <is>
          <t>Taxable income</t>
        </is>
      </c>
      <c r="B40" s="19">
        <f>MAX(0,B37-B38-B39)</f>
        <v/>
      </c>
    </row>
    <row r="41">
      <c r="A41" t="inlineStr">
        <is>
          <t>CIT</t>
        </is>
      </c>
      <c r="B41" s="19">
        <f>B40*Inputs!$B$37</f>
        <v/>
      </c>
    </row>
    <row r="42">
      <c r="A42" t="inlineStr">
        <is>
          <t>After-tax FCF</t>
        </is>
      </c>
      <c r="B42" s="18">
        <f>B37-B38-B41</f>
        <v/>
      </c>
    </row>
    <row r="43">
      <c r="A43" t="inlineStr">
        <is>
          <t>Cash yield on equity</t>
        </is>
      </c>
      <c r="B43" s="20">
        <f>IF(B15=0,0,B42/B15)</f>
        <v/>
      </c>
    </row>
    <row r="44">
      <c r="A44" t="inlineStr">
        <is>
          <t>Simple payback (yr)</t>
        </is>
      </c>
      <c r="B44" s="23">
        <f>IF(B42&lt;=0,"n/a",B15/B42)</f>
        <v/>
      </c>
    </row>
    <row r="45">
      <c r="A45" t="inlineStr">
        <is>
          <t>DSCR</t>
        </is>
      </c>
      <c r="B45" s="23">
        <f>IF(B38=0,"n/a (unlevered)",B37/B38)</f>
        <v/>
      </c>
    </row>
    <row r="47">
      <c r="A47" t="inlineStr">
        <is>
          <t>Cross-check (Python Y1 FCF):</t>
        </is>
      </c>
      <c r="B47" s="26" t="n">
        <v>2613495.926572</v>
      </c>
      <c r="C47" s="8">
        <f> B42 at default Inputs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2" t="inlineStr">
        <is>
          <t>20-Year Equity Cashflow (computed from Inputs defaults; re-run script to refresh)</t>
        </is>
      </c>
    </row>
    <row r="2">
      <c r="A2" s="8" t="inlineStr">
        <is>
          <t>Includes PV &amp; BESS degradation. Recurring OPEX is PV O&amp;M + BESS LTSA only (OEM extended warranty excluded).</t>
        </is>
      </c>
    </row>
    <row r="4">
      <c r="A4" s="14" t="inlineStr">
        <is>
          <t>Year</t>
        </is>
      </c>
      <c r="B4" s="27" t="inlineStr">
        <is>
          <t>1 MW + 4 MWh · Fixed</t>
        </is>
      </c>
      <c r="C4" s="27" t="inlineStr">
        <is>
          <t>5 MW + 20 MWh · Fixed</t>
        </is>
      </c>
      <c r="D4" s="27" t="inlineStr">
        <is>
          <t>10 MW + 40 MWh · Fixed</t>
        </is>
      </c>
      <c r="E4" s="27" t="inlineStr">
        <is>
          <t>1 MW + 4 MWh · Tracker</t>
        </is>
      </c>
      <c r="F4" s="27" t="inlineStr">
        <is>
          <t>5 MW + 20 MWh · Tracker</t>
        </is>
      </c>
      <c r="G4" s="27" t="inlineStr">
        <is>
          <t>10 MW + 40 MWh · Tracker</t>
        </is>
      </c>
    </row>
    <row r="5">
      <c r="A5" t="inlineStr">
        <is>
          <t>0 (invest)</t>
        </is>
      </c>
      <c r="B5" s="19" t="n">
        <v>-1700000</v>
      </c>
      <c r="C5" s="19" t="n">
        <v>-8500000</v>
      </c>
      <c r="D5" s="19" t="n">
        <v>-17000000</v>
      </c>
      <c r="E5" s="19" t="n">
        <v>-1880000</v>
      </c>
      <c r="F5" s="19" t="n">
        <v>-9400000</v>
      </c>
      <c r="G5" s="19" t="n">
        <v>-18800000</v>
      </c>
    </row>
    <row r="6">
      <c r="A6" t="n">
        <v>1</v>
      </c>
      <c r="B6" s="19" t="n">
        <v>196501.9394468</v>
      </c>
      <c r="C6" s="19" t="n">
        <v>1046259.697234</v>
      </c>
      <c r="D6" s="19" t="n">
        <v>2109519.394468</v>
      </c>
      <c r="E6" s="19" t="n">
        <v>246899.5926572</v>
      </c>
      <c r="F6" s="19" t="n">
        <v>1298247.963286</v>
      </c>
      <c r="G6" s="19" t="n">
        <v>2613495.926572</v>
      </c>
    </row>
    <row r="7">
      <c r="A7" t="n">
        <v>2</v>
      </c>
      <c r="B7" s="19" t="n">
        <v>192982.5185606299</v>
      </c>
      <c r="C7" s="19" t="n">
        <v>1028662.59280315</v>
      </c>
      <c r="D7" s="19" t="n">
        <v>2074325.1856063</v>
      </c>
      <c r="E7" s="19" t="n">
        <v>242598.07824077</v>
      </c>
      <c r="F7" s="19" t="n">
        <v>1276740.39120385</v>
      </c>
      <c r="G7" s="19" t="n">
        <v>2570480.7824077</v>
      </c>
    </row>
    <row r="8">
      <c r="A8" t="n">
        <v>3</v>
      </c>
      <c r="B8" s="19" t="n">
        <v>189540.6606836143</v>
      </c>
      <c r="C8" s="19" t="n">
        <v>1011453.303418071</v>
      </c>
      <c r="D8" s="19" t="n">
        <v>2039906.606836142</v>
      </c>
      <c r="E8" s="19" t="n">
        <v>238391.3630577507</v>
      </c>
      <c r="F8" s="19" t="n">
        <v>1255706.815288754</v>
      </c>
      <c r="G8" s="19" t="n">
        <v>2528413.630577507</v>
      </c>
    </row>
    <row r="9">
      <c r="A9" t="n">
        <v>4</v>
      </c>
      <c r="B9" s="19" t="n">
        <v>186174.4788530889</v>
      </c>
      <c r="C9" s="19" t="n">
        <v>994622.3942654446</v>
      </c>
      <c r="D9" s="19" t="n">
        <v>2006244.788530889</v>
      </c>
      <c r="E9" s="19" t="n">
        <v>234277.140820442</v>
      </c>
      <c r="F9" s="19" t="n">
        <v>1235135.70410221</v>
      </c>
      <c r="G9" s="19" t="n">
        <v>2487271.40820442</v>
      </c>
    </row>
    <row r="10">
      <c r="A10" t="n">
        <v>5</v>
      </c>
      <c r="B10" s="19" t="n">
        <v>182882.1330198938</v>
      </c>
      <c r="C10" s="19" t="n">
        <v>978160.6650994691</v>
      </c>
      <c r="D10" s="19" t="n">
        <v>1973321.330198938</v>
      </c>
      <c r="E10" s="19" t="n">
        <v>230253.1625798703</v>
      </c>
      <c r="F10" s="19" t="n">
        <v>1215015.812899351</v>
      </c>
      <c r="G10" s="19" t="n">
        <v>2447031.625798702</v>
      </c>
    </row>
    <row r="11">
      <c r="A11" t="n">
        <v>6</v>
      </c>
      <c r="B11" s="19" t="n">
        <v>179661.828876838</v>
      </c>
      <c r="C11" s="19" t="n">
        <v>962059.1443841902</v>
      </c>
      <c r="D11" s="19" t="n">
        <v>1941118.28876838</v>
      </c>
      <c r="E11" s="19" t="n">
        <v>226317.2352939131</v>
      </c>
      <c r="F11" s="19" t="n">
        <v>1195336.176469566</v>
      </c>
      <c r="G11" s="19" t="n">
        <v>2407672.352939131</v>
      </c>
    </row>
    <row r="12">
      <c r="A12" t="n">
        <v>7</v>
      </c>
      <c r="B12" s="19" t="n">
        <v>176511.8167164463</v>
      </c>
      <c r="C12" s="19" t="n">
        <v>946309.0835822318</v>
      </c>
      <c r="D12" s="19" t="n">
        <v>1909618.167164464</v>
      </c>
      <c r="E12" s="19" t="n">
        <v>222467.2204312122</v>
      </c>
      <c r="F12" s="19" t="n">
        <v>1176086.102156061</v>
      </c>
      <c r="G12" s="19" t="n">
        <v>2369172.204312122</v>
      </c>
    </row>
    <row r="13">
      <c r="A13" t="n">
        <v>8</v>
      </c>
      <c r="B13" s="19" t="n">
        <v>173430.3903172568</v>
      </c>
      <c r="C13" s="19" t="n">
        <v>930901.9515862844</v>
      </c>
      <c r="D13" s="19" t="n">
        <v>1878803.903172569</v>
      </c>
      <c r="E13" s="19" t="n">
        <v>218701.0326099806</v>
      </c>
      <c r="F13" s="19" t="n">
        <v>1157255.163049903</v>
      </c>
      <c r="G13" s="19" t="n">
        <v>2331510.326099806</v>
      </c>
    </row>
    <row r="14">
      <c r="A14" t="n">
        <v>9</v>
      </c>
      <c r="B14" s="19" t="n">
        <v>170415.8858579535</v>
      </c>
      <c r="C14" s="19" t="n">
        <v>915829.4292897675</v>
      </c>
      <c r="D14" s="19" t="n">
        <v>1848658.858579535</v>
      </c>
      <c r="E14" s="19" t="n">
        <v>215016.638270832</v>
      </c>
      <c r="F14" s="19" t="n">
        <v>1138833.19135416</v>
      </c>
      <c r="G14" s="19" t="n">
        <v>2294666.38270832</v>
      </c>
    </row>
    <row r="15">
      <c r="A15" t="n">
        <v>10</v>
      </c>
      <c r="B15" s="19" t="n">
        <v>167466.6808586395</v>
      </c>
      <c r="C15" s="19" t="n">
        <v>901083.4042931977</v>
      </c>
      <c r="D15" s="19" t="n">
        <v>1819166.808586395</v>
      </c>
      <c r="E15" s="19" t="n">
        <v>211412.0543827817</v>
      </c>
      <c r="F15" s="19" t="n">
        <v>1120810.271913908</v>
      </c>
      <c r="G15" s="19" t="n">
        <v>2258620.543827817</v>
      </c>
    </row>
    <row r="16">
      <c r="A16" t="n">
        <v>11</v>
      </c>
      <c r="B16" s="19" t="n">
        <v>164581.1931485728</v>
      </c>
      <c r="C16" s="19" t="n">
        <v>886655.9657428639</v>
      </c>
      <c r="D16" s="19" t="n">
        <v>1790311.931485728</v>
      </c>
      <c r="E16" s="19" t="n">
        <v>207885.347181589</v>
      </c>
      <c r="F16" s="19" t="n">
        <v>1103176.735907945</v>
      </c>
      <c r="G16" s="19" t="n">
        <v>2223353.47181589</v>
      </c>
    </row>
    <row r="17">
      <c r="A17" t="n">
        <v>12</v>
      </c>
      <c r="B17" s="19" t="n">
        <v>161757.8798597007</v>
      </c>
      <c r="C17" s="19" t="n">
        <v>872539.3992985035</v>
      </c>
      <c r="D17" s="19" t="n">
        <v>1762078.798597007</v>
      </c>
      <c r="E17" s="19" t="n">
        <v>204434.6309396342</v>
      </c>
      <c r="F17" s="19" t="n">
        <v>1085923.154698171</v>
      </c>
      <c r="G17" s="19" t="n">
        <v>2188846.309396342</v>
      </c>
    </row>
    <row r="18">
      <c r="A18" t="n">
        <v>13</v>
      </c>
      <c r="B18" s="19" t="n">
        <v>158995.2364453512</v>
      </c>
      <c r="C18" s="19" t="n">
        <v>858726.182226756</v>
      </c>
      <c r="D18" s="19" t="n">
        <v>1734452.364453512</v>
      </c>
      <c r="E18" s="19" t="n">
        <v>201058.0667665403</v>
      </c>
      <c r="F18" s="19" t="n">
        <v>1069040.333832702</v>
      </c>
      <c r="G18" s="19" t="n">
        <v>2155080.667665404</v>
      </c>
    </row>
    <row r="19">
      <c r="A19" t="n">
        <v>14</v>
      </c>
      <c r="B19" s="19" t="n">
        <v>156291.7957234497</v>
      </c>
      <c r="C19" s="19" t="n">
        <v>845208.9786172488</v>
      </c>
      <c r="D19" s="19" t="n">
        <v>1707417.957234498</v>
      </c>
      <c r="E19" s="19" t="n">
        <v>197753.861439772</v>
      </c>
      <c r="F19" s="19" t="n">
        <v>1052519.30719886</v>
      </c>
      <c r="G19" s="19" t="n">
        <v>2122038.61439772</v>
      </c>
    </row>
    <row r="20">
      <c r="A20" t="n">
        <v>15</v>
      </c>
      <c r="B20" s="19" t="n">
        <v>153646.1269436496</v>
      </c>
      <c r="C20" s="19" t="n">
        <v>831980.6347182484</v>
      </c>
      <c r="D20" s="19" t="n">
        <v>1680961.269436497</v>
      </c>
      <c r="E20" s="19" t="n">
        <v>194520.2662644607</v>
      </c>
      <c r="F20" s="19" t="n">
        <v>1036351.331322304</v>
      </c>
      <c r="G20" s="19" t="n">
        <v>2089702.662644607</v>
      </c>
    </row>
    <row r="21">
      <c r="A21" t="n">
        <v>16</v>
      </c>
      <c r="B21" s="19" t="n">
        <v>151056.8348777781</v>
      </c>
      <c r="C21" s="19" t="n">
        <v>819034.1743888907</v>
      </c>
      <c r="D21" s="19" t="n">
        <v>1655068.348777781</v>
      </c>
      <c r="E21" s="19" t="n">
        <v>191355.5759617288</v>
      </c>
      <c r="F21" s="19" t="n">
        <v>1020527.879808644</v>
      </c>
      <c r="G21" s="19" t="n">
        <v>2058055.759617288</v>
      </c>
    </row>
    <row r="22">
      <c r="A22" t="n">
        <v>17</v>
      </c>
      <c r="B22" s="19" t="n">
        <v>148522.5589330148</v>
      </c>
      <c r="C22" s="19" t="n">
        <v>806362.794665074</v>
      </c>
      <c r="D22" s="19" t="n">
        <v>1629725.589330148</v>
      </c>
      <c r="E22" s="19" t="n">
        <v>188258.1275847958</v>
      </c>
      <c r="F22" s="19" t="n">
        <v>1005040.637923979</v>
      </c>
      <c r="G22" s="19" t="n">
        <v>2027081.275847958</v>
      </c>
    </row>
    <row r="23">
      <c r="A23" t="n">
        <v>18</v>
      </c>
      <c r="B23" s="19" t="n">
        <v>146041.9722872347</v>
      </c>
      <c r="C23" s="19" t="n">
        <v>793959.8614361732</v>
      </c>
      <c r="D23" s="19" t="n">
        <v>1604919.722872346</v>
      </c>
      <c r="E23" s="19" t="n">
        <v>185226.2994621757</v>
      </c>
      <c r="F23" s="19" t="n">
        <v>989881.4973108786</v>
      </c>
      <c r="G23" s="19" t="n">
        <v>1996762.994621757</v>
      </c>
    </row>
    <row r="24">
      <c r="A24" t="n">
        <v>19</v>
      </c>
      <c r="B24" s="19" t="n">
        <v>143613.7810459613</v>
      </c>
      <c r="C24" s="19" t="n">
        <v>781818.9052298063</v>
      </c>
      <c r="D24" s="19" t="n">
        <v>1580637.810459613</v>
      </c>
      <c r="E24" s="19" t="n">
        <v>182258.510167286</v>
      </c>
      <c r="F24" s="19" t="n">
        <v>975042.55083643</v>
      </c>
      <c r="G24" s="19" t="n">
        <v>1967085.10167286</v>
      </c>
    </row>
    <row r="25">
      <c r="A25" t="n">
        <v>20</v>
      </c>
      <c r="B25" s="19" t="n">
        <v>141236.7234203902</v>
      </c>
      <c r="C25" s="19" t="n">
        <v>769933.617101951</v>
      </c>
      <c r="D25" s="19" t="n">
        <v>1556867.234203902</v>
      </c>
      <c r="E25" s="19" t="n">
        <v>179353.2175138102</v>
      </c>
      <c r="F25" s="19" t="n">
        <v>960516.0875690513</v>
      </c>
      <c r="G25" s="19" t="n">
        <v>1938032.175138103</v>
      </c>
    </row>
    <row r="27">
      <c r="A27" s="28" t="inlineStr">
        <is>
          <t>Equity IRR</t>
        </is>
      </c>
      <c r="B27" s="29" t="n">
        <v>0.08094272556598039</v>
      </c>
      <c r="C27" s="29" t="n">
        <v>0.09128693095060202</v>
      </c>
      <c r="D27" s="29" t="n">
        <v>0.09264017355235069</v>
      </c>
      <c r="E27" s="29" t="n">
        <v>0.1005989900629649</v>
      </c>
      <c r="F27" s="29" t="n">
        <v>0.1094833725942626</v>
      </c>
      <c r="G27" s="29" t="n">
        <v>0.1106517461189106</v>
      </c>
    </row>
    <row r="28">
      <c r="A28" s="28" t="inlineStr">
        <is>
          <t>NPV @ 8%</t>
        </is>
      </c>
      <c r="B28" s="30" t="n">
        <v>11191.27189070395</v>
      </c>
      <c r="C28" s="30" t="n">
        <v>681863.2566784128</v>
      </c>
      <c r="D28" s="30" t="n">
        <v>1530635.019283464</v>
      </c>
      <c r="E28" s="30" t="n">
        <v>277537.5855559984</v>
      </c>
      <c r="F28" s="30" t="n">
        <v>2013594.825004885</v>
      </c>
      <c r="G28" s="30" t="n">
        <v>4194098.155936408</v>
      </c>
    </row>
    <row r="29">
      <c r="A29" s="28" t="inlineStr">
        <is>
          <t>Simple payback (yr)</t>
        </is>
      </c>
      <c r="B29" s="31" t="n">
        <v>8.651314102984974</v>
      </c>
      <c r="C29" s="31" t="n">
        <v>8.124177986088421</v>
      </c>
      <c r="D29" s="31" t="n">
        <v>8.058707611117855</v>
      </c>
      <c r="E29" s="31" t="n">
        <v>7.614431355543902</v>
      </c>
      <c r="F29" s="31" t="n">
        <v>7.240527438385211</v>
      </c>
      <c r="G29" s="31" t="n">
        <v>7.193429998821187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2" customWidth="1" min="3" max="3"/>
  </cols>
  <sheetData>
    <row r="1">
      <c r="A1" s="22" t="inlineStr">
        <is>
          <t>Single Source of Truth — validation map</t>
        </is>
      </c>
    </row>
    <row r="3">
      <c r="A3" s="14" t="inlineStr">
        <is>
          <t>Item</t>
        </is>
      </c>
      <c r="B3" s="14" t="inlineStr">
        <is>
          <t>File</t>
        </is>
      </c>
      <c r="C3" s="14" t="inlineStr">
        <is>
          <t>Value / note</t>
        </is>
      </c>
    </row>
    <row r="4">
      <c r="A4" t="inlineStr">
        <is>
          <t>Evening discharge €212.42</t>
        </is>
      </c>
      <c r="B4" t="inlineStr">
        <is>
          <t>lib/market/cyprus-tsoc-dam-sample.ts</t>
        </is>
      </c>
      <c r="C4" t="inlineStr">
        <is>
          <t>339 TSOC DAM days to 4 Sep 2026</t>
        </is>
      </c>
    </row>
    <row r="5">
      <c r="A5" t="inlineStr">
        <is>
          <t>DAM daytime €151.38</t>
        </is>
      </c>
      <c r="B5" t="inlineStr">
        <is>
          <t>lib/market/cyprus-tsoc-dam-sample.ts</t>
        </is>
      </c>
      <c r="C5" t="inlineStr">
        <is>
          <t>06:00–17:00 average</t>
        </is>
      </c>
    </row>
    <row r="6">
      <c r="A6" t="inlineStr">
        <is>
          <t>RTE / capture / curtailment</t>
        </is>
      </c>
      <c r="B6" t="inlineStr">
        <is>
          <t>lib/public-hybrid-ssot.ts</t>
        </is>
      </c>
      <c r="C6" t="inlineStr">
        <is>
          <t>86.32% / 95% / 50%</t>
        </is>
      </c>
    </row>
    <row r="7">
      <c r="A7" t="inlineStr">
        <is>
          <t>Fixed PV EPC €600k/MWp</t>
        </is>
      </c>
      <c r="B7" t="inlineStr">
        <is>
          <t>lib/public-hybrid-ssot.ts</t>
        </is>
      </c>
      <c r="C7" t="inlineStr">
        <is>
          <t>Public turnkey EPC</t>
        </is>
      </c>
    </row>
    <row r="8">
      <c r="A8" t="inlineStr">
        <is>
          <t>Tracker PV EPC €780k/MWp</t>
        </is>
      </c>
      <c r="B8" t="inlineStr">
        <is>
          <t>lib/public-hybrid-ssot.ts</t>
        </is>
      </c>
      <c r="C8" t="inlineStr">
        <is>
          <t>Public turnkey EPC</t>
        </is>
      </c>
    </row>
    <row r="9">
      <c r="A9" t="inlineStr">
        <is>
          <t>BESS EPC €125k/MWh</t>
        </is>
      </c>
      <c r="B9" t="inlineStr">
        <is>
          <t>lib/public-hybrid-ssot.ts</t>
        </is>
      </c>
      <c r="C9" t="inlineStr">
        <is>
          <t>4h LFP installed</t>
        </is>
      </c>
    </row>
    <row r="10">
      <c r="A10" t="inlineStr">
        <is>
          <t>PV O&amp;M €9k/MW/yr</t>
        </is>
      </c>
      <c r="B10" t="inlineStr">
        <is>
          <t>lib/public-hybrid-ssot.ts</t>
        </is>
      </c>
      <c r="C10" t="inlineStr">
        <is>
          <t>Public O&amp;M</t>
        </is>
      </c>
    </row>
    <row r="11">
      <c r="A11" t="inlineStr">
        <is>
          <t>BESS LTSA €2,200/MWh/yr</t>
        </is>
      </c>
      <c r="B11" t="inlineStr">
        <is>
          <t>lib/public-hybrid-ssot.ts</t>
        </is>
      </c>
      <c r="C11" t="inlineStr">
        <is>
          <t>Public LTSA</t>
        </is>
      </c>
    </row>
    <row r="12">
      <c r="A12" t="inlineStr">
        <is>
          <t>RTB €450k/MW + connection €150k/MW</t>
        </is>
      </c>
      <c r="B12" t="inlineStr">
        <is>
          <t>lib/public-hybrid-ssot.ts</t>
        </is>
      </c>
      <c r="C12" t="inlineStr"/>
    </row>
    <row r="13">
      <c r="A13" t="inlineStr">
        <is>
          <t>CIT 15% / aggregator 10%</t>
        </is>
      </c>
      <c r="B13" t="inlineStr">
        <is>
          <t>PV_DEFAULTS</t>
        </is>
      </c>
      <c r="C13" t="inlineStr">
        <is>
          <t>From 1 Jan 2026</t>
        </is>
      </c>
    </row>
    <row r="14">
      <c r="A14" t="inlineStr">
        <is>
          <t>Yields 1,850 / 2,450</t>
        </is>
      </c>
      <c r="B14" t="inlineStr">
        <is>
          <t>Client-tested Year-1</t>
        </is>
      </c>
      <c r="C14" t="inlineStr">
        <is>
          <t>Fixed bifacial / tracker+bifacial+albedo</t>
        </is>
      </c>
    </row>
    <row r="15">
      <c r="A15" t="inlineStr">
        <is>
          <t>Contact</t>
        </is>
      </c>
      <c r="B15" t="inlineStr">
        <is>
          <t>lib/constants.ts → COMPANY_DATA</t>
        </is>
      </c>
      <c r="C15" t="inlineStr">
        <is>
          <t>office@lighthief.com / +357 99 164 158</t>
        </is>
      </c>
    </row>
    <row r="17">
      <c r="A17" s="8" t="inlineStr">
        <is>
          <t>Lighthief Cyprus Ltd · HE 477423 · solarfarms.cy · Alexander Papacosta · +357 99 164 158 · office@lighthief.com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2026-09-23T13:44:30Z</dcterms:created>
  <dcterms:modified xmlns:dcterms="http://purl.org/dc/terms/" xmlns:xsi="http://www.w3.org/2001/XMLSchema-instance" xsi:type="dcterms:W3CDTF">2026-09-23T13:44:30Z</dcterms:modified>
</cp:coreProperties>
</file>