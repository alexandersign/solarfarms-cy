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_1MW_Fixed" sheetId="3" state="visible" r:id="rId3"/>
    <sheet xmlns:r="http://schemas.openxmlformats.org/officeDocument/2006/relationships" name="D_5MW_Fixed" sheetId="4" state="visible" r:id="rId4"/>
    <sheet xmlns:r="http://schemas.openxmlformats.org/officeDocument/2006/relationships" name="D_10MW_Fixed" sheetId="5" state="visible" r:id="rId5"/>
    <sheet xmlns:r="http://schemas.openxmlformats.org/officeDocument/2006/relationships" name="D_1MW_Tracker" sheetId="6" state="visible" r:id="rId6"/>
    <sheet xmlns:r="http://schemas.openxmlformats.org/officeDocument/2006/relationships" name="D_5MW_Tracker" sheetId="7" state="visible" r:id="rId7"/>
    <sheet xmlns:r="http://schemas.openxmlformats.org/officeDocument/2006/relationships" name="D_10MW_Tracker" sheetId="8" state="visible" r:id="rId8"/>
    <sheet xmlns:r="http://schemas.openxmlformats.org/officeDocument/2006/relationships" name="Cashflow_20y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4">
    <font>
      <name val="Calibri"/>
      <family val="2"/>
      <color theme="1"/>
      <sz val="11"/>
      <scheme val="minor"/>
    </font>
    <font>
      <name val="Calibri"/>
      <b val="1"/>
      <color rgb="00C9A432"/>
      <sz val="14"/>
    </font>
    <font>
      <name val="Calibri"/>
      <color rgb="00404040"/>
      <sz val="10"/>
    </font>
    <font>
      <name val="Calibri"/>
      <color rgb="001A365D"/>
      <sz val="10"/>
    </font>
    <font>
      <name val="Calibri"/>
      <b val="1"/>
      <color rgb="00FFFFFF"/>
      <sz val="11"/>
    </font>
    <font>
      <name val="Calibri"/>
      <b val="1"/>
      <color rgb="00C9A432"/>
      <sz val="11"/>
    </font>
    <font>
      <name val="Calibri"/>
      <color rgb="00000000"/>
      <sz val="11"/>
    </font>
    <font>
      <name val="Calibri"/>
      <b val="1"/>
      <color rgb="009C0006"/>
      <sz val="11"/>
    </font>
    <font>
      <name val="Calibri"/>
      <color rgb="00404040"/>
      <sz val="9"/>
    </font>
    <font>
      <name val="Calibri"/>
      <b val="1"/>
      <color rgb="001A365D"/>
      <sz val="11"/>
    </font>
    <font>
      <name val="Calibri"/>
      <b val="1"/>
      <color rgb="001A365D"/>
      <sz val="12"/>
    </font>
    <font>
      <name val="Calibri"/>
      <b val="1"/>
      <color rgb="00C9A432"/>
      <sz val="12"/>
    </font>
    <font>
      <name val="Calibri"/>
      <b val="1"/>
      <color rgb="00C9A432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4" fontId="7" fillId="3" borderId="1" applyAlignment="1" pivotButton="0" quotePrefix="0" xfId="0">
      <alignment horizontal="right"/>
    </xf>
    <xf numFmtId="0" fontId="8" fillId="0" borderId="0" pivotButton="0" quotePrefix="0" xfId="0"/>
    <xf numFmtId="10" fontId="7" fillId="3" borderId="1" applyAlignment="1" pivotButton="0" quotePrefix="0" xfId="0">
      <alignment horizontal="right"/>
    </xf>
    <xf numFmtId="0" fontId="9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1" fontId="0" fillId="4" borderId="1" pivotButton="0" quotePrefix="0" xfId="0"/>
    <xf numFmtId="3" fontId="9" fillId="4" borderId="1" pivotButton="0" quotePrefix="0" xfId="0"/>
    <xf numFmtId="3" fontId="0" fillId="4" borderId="1" pivotButton="0" quotePrefix="0" xfId="0"/>
    <xf numFmtId="164" fontId="9" fillId="4" borderId="1" pivotButton="0" quotePrefix="0" xfId="0"/>
    <xf numFmtId="165" fontId="0" fillId="4" borderId="1" pivotButton="0" quotePrefix="0" xfId="0"/>
    <xf numFmtId="0" fontId="11" fillId="0" borderId="0" pivotButton="0" quotePrefix="0" xfId="0"/>
    <xf numFmtId="2" fontId="0" fillId="4" borderId="1" pivotButton="0" quotePrefix="0" xfId="0"/>
    <xf numFmtId="0" fontId="12" fillId="0" borderId="0" pivotButton="0" quotePrefix="0" xfId="0"/>
    <xf numFmtId="166" fontId="0" fillId="4" borderId="1" pivotButton="0" quotePrefix="0" xfId="0"/>
    <xf numFmtId="3" fontId="0" fillId="0" borderId="0" pivotButton="0" quotePrefix="0" xfId="0"/>
    <xf numFmtId="0" fontId="4" fillId="2" borderId="0" applyAlignment="1" pivotButton="0" quotePrefix="0" xfId="0">
      <alignment horizontal="center" wrapText="1"/>
    </xf>
    <xf numFmtId="0" fontId="13" fillId="0" borderId="0" pivotButton="0" quotePrefix="0" xfId="0"/>
    <xf numFmtId="164" fontId="0" fillId="5" borderId="0" pivotButton="0" quotePrefix="0" xfId="0"/>
    <xf numFmtId="3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0" customWidth="1" min="4" max="4"/>
  </cols>
  <sheetData>
    <row r="1">
      <c r="A1" s="1" t="inlineStr">
        <is>
          <t>Cyprus PV + 4h BESS — Assumptions (YELLOW = editable)</t>
        </is>
      </c>
    </row>
    <row r="2">
      <c r="A2" s="2" t="inlineStr">
        <is>
          <t>INV-CY-PVBESS-1-5-10-2026 · July 2026 · Lighthief Cyprus Ltd · Non-binding indicative model</t>
        </is>
      </c>
    </row>
    <row r="3">
      <c r="A3" s="3" t="inlineStr">
        <is>
          <t>Edit any yellow cell — Detail_* sheets recalc via live formulas. Re-run script to refresh Summary/Cashflow.</t>
        </is>
      </c>
    </row>
    <row r="5">
      <c r="A5" s="4" t="inlineStr">
        <is>
          <t>Parameter</t>
        </is>
      </c>
      <c r="B5" s="4" t="inlineStr">
        <is>
          <t>Value</t>
        </is>
      </c>
      <c r="C5" s="4" t="inlineStr">
        <is>
          <t>Unit</t>
        </is>
      </c>
      <c r="D5" s="4" t="inlineStr">
        <is>
          <t>Source / Note</t>
        </is>
      </c>
    </row>
    <row r="6">
      <c r="A6" s="5" t="inlineStr">
        <is>
          <t>PV CONFIGURATION A — FIXED BIFACIAL</t>
        </is>
      </c>
    </row>
    <row r="7">
      <c r="A7" s="6" t="inlineStr">
        <is>
          <t>Fixed — specific yield</t>
        </is>
      </c>
      <c r="B7" s="7" t="n">
        <v>1850</v>
      </c>
      <c r="C7" s="2" t="inlineStr">
        <is>
          <t>kWh/kWp/yr</t>
        </is>
      </c>
      <c r="D7" s="8" t="inlineStr">
        <is>
          <t>Client-tested Year-1</t>
        </is>
      </c>
    </row>
    <row r="8">
      <c r="A8" s="6" t="inlineStr">
        <is>
          <t>Fixed — PV EPC turnkey</t>
        </is>
      </c>
      <c r="B8" s="7" t="n">
        <v>720000</v>
      </c>
      <c r="C8" s="2" t="inlineStr">
        <is>
          <t>€/MWp</t>
        </is>
      </c>
      <c r="D8" s="8" t="inlineStr">
        <is>
          <t>LH_EPC.pvPerMWp</t>
        </is>
      </c>
    </row>
    <row r="9">
      <c r="A9" s="6" t="inlineStr">
        <is>
          <t>Fixed — PV O&amp;M</t>
        </is>
      </c>
      <c r="B9" s="7" t="n">
        <v>15000</v>
      </c>
      <c r="C9" s="2" t="inlineStr">
        <is>
          <t>€/MW/yr</t>
        </is>
      </c>
      <c r="D9" s="8" t="inlineStr">
        <is>
          <t>PV_DEFAULTS.omPerMWPerYear</t>
        </is>
      </c>
    </row>
    <row r="10">
      <c r="A10" s="5" t="inlineStr">
        <is>
          <t>PV CONFIGURATION B — TRACKER + BIFACIAL + WHITE ALBEDO</t>
        </is>
      </c>
    </row>
    <row r="11">
      <c r="A11" s="6" t="inlineStr">
        <is>
          <t>Tracker — specific yield</t>
        </is>
      </c>
      <c r="B11" s="7" t="n">
        <v>2450</v>
      </c>
      <c r="C11" s="2" t="inlineStr">
        <is>
          <t>kWh/kWp/yr</t>
        </is>
      </c>
      <c r="D11" s="8" t="inlineStr">
        <is>
          <t>Client-tested Year-1</t>
        </is>
      </c>
    </row>
    <row r="12">
      <c r="A12" s="6" t="inlineStr">
        <is>
          <t>Tracker — PV EPC turnkey</t>
        </is>
      </c>
      <c r="B12" s="7" t="n">
        <v>810000</v>
      </c>
      <c r="C12" s="2" t="inlineStr">
        <is>
          <t>€/MWp</t>
        </is>
      </c>
      <c r="D12" s="8" t="inlineStr">
        <is>
          <t>€720k + €90k/MW tracker adder (konia-epc-cost-model)</t>
        </is>
      </c>
    </row>
    <row r="13">
      <c r="A13" s="6" t="inlineStr">
        <is>
          <t>Tracker — PV O&amp;M</t>
        </is>
      </c>
      <c r="B13" s="7" t="n">
        <v>20000</v>
      </c>
      <c r="C13" s="2" t="inlineStr">
        <is>
          <t>€/MW/yr</t>
        </is>
      </c>
      <c r="D13" s="8" t="inlineStr">
        <is>
          <t>€15k × Konia tracker/fixed O&amp;M ratio</t>
        </is>
      </c>
    </row>
    <row r="14">
      <c r="A14" s="5" t="inlineStr">
        <is>
          <t>BESS &amp; TECHNICAL</t>
        </is>
      </c>
    </row>
    <row r="15">
      <c r="A15" s="6" t="inlineStr">
        <is>
          <t>BESS duration</t>
        </is>
      </c>
      <c r="B15" s="7" t="n">
        <v>4</v>
      </c>
      <c r="C15" s="2" t="inlineStr">
        <is>
          <t>hours</t>
        </is>
      </c>
      <c r="D15" s="8" t="inlineStr">
        <is>
          <t>4-hour system (MW = MWh/4)</t>
        </is>
      </c>
    </row>
    <row r="16">
      <c r="A16" s="6" t="inlineStr">
        <is>
          <t>Curtailment baseline</t>
        </is>
      </c>
      <c r="B16" s="9" t="n">
        <v>0.5</v>
      </c>
      <c r="C16" s="2" t="inlineStr">
        <is>
          <t>%</t>
        </is>
      </c>
      <c r="D16" s="8" t="inlineStr">
        <is>
          <t>BESS_DEFAULTS 2027 baseline</t>
        </is>
      </c>
    </row>
    <row r="17">
      <c r="A17" s="6" t="inlineStr">
        <is>
          <t>BESS capture of curtailment</t>
        </is>
      </c>
      <c r="B17" s="9" t="n">
        <v>0.874</v>
      </c>
      <c r="C17" s="2" t="inlineStr">
        <is>
          <t>%</t>
        </is>
      </c>
      <c r="D17" s="8" t="inlineStr">
        <is>
          <t>Galascope 365-day 87.4%</t>
        </is>
      </c>
    </row>
    <row r="18">
      <c r="A18" s="6" t="inlineStr">
        <is>
          <t>RTE AC–AC</t>
        </is>
      </c>
      <c r="B18" s="9" t="n">
        <v>0.8632</v>
      </c>
      <c r="C18" s="2" t="inlineStr">
        <is>
          <t>%</t>
        </is>
      </c>
      <c r="D18" s="8" t="inlineStr">
        <is>
          <t>BESS_DEFAULTS.rteAcAc</t>
        </is>
      </c>
    </row>
    <row r="19">
      <c r="A19" s="6" t="inlineStr">
        <is>
          <t>Full-cycle days / year</t>
        </is>
      </c>
      <c r="B19" s="7" t="n">
        <v>280</v>
      </c>
      <c r="C19" s="2" t="inlineStr">
        <is>
          <t>days</t>
        </is>
      </c>
      <c r="D19" s="8" t="inlineStr">
        <is>
          <t>Curtailment-active days Cyprus</t>
        </is>
      </c>
    </row>
    <row r="20">
      <c r="A20" s="5" t="inlineStr">
        <is>
          <t>PRICES (market data)</t>
        </is>
      </c>
    </row>
    <row r="21">
      <c r="A21" s="6" t="inlineStr">
        <is>
          <t>DAM daytime (uncurtailed PV)</t>
        </is>
      </c>
      <c r="B21" s="7" t="n">
        <v>140.88</v>
      </c>
      <c r="C21" s="2" t="inlineStr">
        <is>
          <t>€/MWh</t>
        </is>
      </c>
      <c r="D21" s="8" t="inlineStr">
        <is>
          <t>DAM.daytimeEURPerMWh 06–17h; full dataset €123.37</t>
        </is>
      </c>
    </row>
    <row r="22">
      <c r="A22" s="6" t="inlineStr">
        <is>
          <t>Evening discharge (BESS)</t>
        </is>
      </c>
      <c r="B22" s="7" t="n">
        <v>210</v>
      </c>
      <c r="C22" s="2" t="inlineStr">
        <is>
          <t>€/MWh</t>
        </is>
      </c>
      <c r="D22" s="8" t="inlineStr">
        <is>
          <t>market-data.json 18–21h avg Oct'25–Jul'26; winter €184</t>
        </is>
      </c>
    </row>
    <row r="23">
      <c r="A23" s="5" t="inlineStr">
        <is>
          <t>CAPEX (shared) &amp; OPEX</t>
        </is>
      </c>
    </row>
    <row r="24">
      <c r="A24" s="6" t="inlineStr">
        <is>
          <t>BESS EPC installed</t>
        </is>
      </c>
      <c r="B24" s="7" t="n">
        <v>127000</v>
      </c>
      <c r="C24" s="2" t="inlineStr">
        <is>
          <t>€/MWh</t>
        </is>
      </c>
      <c r="D24" s="8" t="inlineStr">
        <is>
          <t>LH_EPC.bessPerMWh</t>
        </is>
      </c>
    </row>
    <row r="25">
      <c r="A25" s="6" t="inlineStr">
        <is>
          <t>RTB / development</t>
        </is>
      </c>
      <c r="B25" s="7" t="n">
        <v>350000</v>
      </c>
      <c r="C25" s="2" t="inlineStr">
        <is>
          <t>€/MW</t>
        </is>
      </c>
      <c r="D25" s="8" t="inlineStr">
        <is>
          <t>constants INVESTMENT_SIZES</t>
        </is>
      </c>
    </row>
    <row r="26">
      <c r="A26" s="6" t="inlineStr">
        <is>
          <t>EAC connection terms</t>
        </is>
      </c>
      <c r="B26" s="7" t="n">
        <v>0</v>
      </c>
      <c r="C26" s="2" t="inlineStr">
        <is>
          <t>€/MW</t>
        </is>
      </c>
      <c r="D26" s="8" t="inlineStr">
        <is>
          <t>Site-specific; flexible teaser €80k/MW</t>
        </is>
      </c>
    </row>
    <row r="27">
      <c r="A27" s="6" t="inlineStr">
        <is>
          <t>Other CAPEX (flat)</t>
        </is>
      </c>
      <c r="B27" s="7" t="n">
        <v>0</v>
      </c>
      <c r="C27" s="2" t="inlineStr">
        <is>
          <t>€</t>
        </is>
      </c>
      <c r="D27" s="8" t="inlineStr">
        <is>
          <t>MV cable / permitting / contingency</t>
        </is>
      </c>
    </row>
    <row r="28">
      <c r="A28" s="6" t="inlineStr">
        <is>
          <t>BESS LTSA Tier C (Yr 1–5)</t>
        </is>
      </c>
      <c r="B28" s="7" t="n">
        <v>1740</v>
      </c>
      <c r="C28" s="2" t="inlineStr">
        <is>
          <t>€/MWh/yr</t>
        </is>
      </c>
      <c r="D28" s="8" t="inlineStr">
        <is>
          <t>LTSA.tierC.ratePerMWh</t>
        </is>
      </c>
    </row>
    <row r="29">
      <c r="A29" s="6" t="inlineStr">
        <is>
          <t>SCADA / EMS</t>
        </is>
      </c>
      <c r="B29" s="7" t="n">
        <v>5000</v>
      </c>
      <c r="C29" s="2" t="inlineStr">
        <is>
          <t>€/yr</t>
        </is>
      </c>
      <c r="D29" s="8" t="inlineStr"/>
    </row>
    <row r="30">
      <c r="A30" s="6" t="inlineStr">
        <is>
          <t>Admin</t>
        </is>
      </c>
      <c r="B30" s="7" t="n">
        <v>10000</v>
      </c>
      <c r="C30" s="2" t="inlineStr">
        <is>
          <t>€/yr</t>
        </is>
      </c>
      <c r="D30" s="8" t="inlineStr"/>
    </row>
    <row r="31">
      <c r="A31" s="6" t="inlineStr">
        <is>
          <t>Land lease — 1 MW</t>
        </is>
      </c>
      <c r="B31" s="7" t="n">
        <v>8000</v>
      </c>
      <c r="C31" s="2" t="inlineStr">
        <is>
          <t>€/yr</t>
        </is>
      </c>
      <c r="D31" s="8" t="inlineStr">
        <is>
          <t>Indicative; site-specific</t>
        </is>
      </c>
    </row>
    <row r="32">
      <c r="A32" s="6" t="inlineStr">
        <is>
          <t>Land lease — 5 MW</t>
        </is>
      </c>
      <c r="B32" s="7" t="n">
        <v>25000</v>
      </c>
      <c r="C32" s="2" t="inlineStr">
        <is>
          <t>€/yr</t>
        </is>
      </c>
      <c r="D32" s="8" t="inlineStr">
        <is>
          <t>Indicative; site-specific</t>
        </is>
      </c>
    </row>
    <row r="33">
      <c r="A33" s="6" t="inlineStr">
        <is>
          <t>Land lease — 10 MW</t>
        </is>
      </c>
      <c r="B33" s="7" t="n">
        <v>45000</v>
      </c>
      <c r="C33" s="2" t="inlineStr">
        <is>
          <t>€/yr</t>
        </is>
      </c>
      <c r="D33" s="8" t="inlineStr">
        <is>
          <t>Indicative; site-specific</t>
        </is>
      </c>
    </row>
    <row r="34">
      <c r="A34" s="6" t="inlineStr">
        <is>
          <t>Insurance</t>
        </is>
      </c>
      <c r="B34" s="9" t="n">
        <v>0.005</v>
      </c>
      <c r="C34" s="2" t="inlineStr">
        <is>
          <t>% of CAPEX</t>
        </is>
      </c>
      <c r="D34" s="8" t="inlineStr">
        <is>
          <t>0.5% CAPEX</t>
        </is>
      </c>
    </row>
    <row r="35">
      <c r="A35" s="5" t="inlineStr">
        <is>
          <t>FINANCE</t>
        </is>
      </c>
    </row>
    <row r="36">
      <c r="A36" s="6" t="inlineStr">
        <is>
          <t>Aggregator / market access</t>
        </is>
      </c>
      <c r="B36" s="9" t="n">
        <v>0.1</v>
      </c>
      <c r="C36" s="2" t="inlineStr">
        <is>
          <t>%</t>
        </is>
      </c>
      <c r="D36" s="8" t="inlineStr">
        <is>
          <t>PV_DEFAULTS.aggregatorFeePct</t>
        </is>
      </c>
    </row>
    <row r="37">
      <c r="A37" s="6" t="inlineStr">
        <is>
          <t>Cyprus CIT</t>
        </is>
      </c>
      <c r="B37" s="9" t="n">
        <v>0.15</v>
      </c>
      <c r="C37" s="2" t="inlineStr">
        <is>
          <t>%</t>
        </is>
      </c>
      <c r="D37" s="8" t="inlineStr">
        <is>
          <t>From 1 Jan 2026</t>
        </is>
      </c>
    </row>
    <row r="38">
      <c r="A38" s="6" t="inlineStr">
        <is>
          <t>LTV (senior debt)</t>
        </is>
      </c>
      <c r="B38" s="9" t="n">
        <v>0</v>
      </c>
      <c r="C38" s="2" t="inlineStr">
        <is>
          <t>% of CAPEX</t>
        </is>
      </c>
      <c r="D38" s="8" t="inlineStr">
        <is>
          <t>0 = 100% equity base; try 65%</t>
        </is>
      </c>
    </row>
    <row r="39">
      <c r="A39" s="6" t="inlineStr">
        <is>
          <t>Loan interest rate</t>
        </is>
      </c>
      <c r="B39" s="9" t="n">
        <v>0.055</v>
      </c>
      <c r="C39" s="2" t="inlineStr">
        <is>
          <t>%</t>
        </is>
      </c>
      <c r="D39" s="8" t="inlineStr">
        <is>
          <t>Indicative Cyprus commercial</t>
        </is>
      </c>
    </row>
    <row r="40">
      <c r="A40" s="6" t="inlineStr">
        <is>
          <t>Loan tenor</t>
        </is>
      </c>
      <c r="B40" s="7" t="n">
        <v>12</v>
      </c>
      <c r="C40" s="2" t="inlineStr">
        <is>
          <t>years</t>
        </is>
      </c>
      <c r="D40" s="8" t="inlineStr"/>
    </row>
    <row r="41">
      <c r="A41" s="6" t="inlineStr">
        <is>
          <t>DA — EPC years</t>
        </is>
      </c>
      <c r="B41" s="7" t="n">
        <v>20</v>
      </c>
      <c r="C41" s="2" t="inlineStr">
        <is>
          <t>years</t>
        </is>
      </c>
      <c r="D41" s="8" t="inlineStr">
        <is>
          <t>Tax depreciation</t>
        </is>
      </c>
    </row>
    <row r="42">
      <c r="A42" s="6" t="inlineStr">
        <is>
          <t>DA — development years</t>
        </is>
      </c>
      <c r="B42" s="7" t="n">
        <v>15</v>
      </c>
      <c r="C42" s="2" t="inlineStr">
        <is>
          <t>years</t>
        </is>
      </c>
      <c r="D42" s="8" t="inlineStr">
        <is>
          <t>Tax depreciation</t>
        </is>
      </c>
    </row>
    <row r="43">
      <c r="A43" s="5" t="inlineStr">
        <is>
          <t>SCENARIO SIZES (editable)</t>
        </is>
      </c>
    </row>
    <row r="44">
      <c r="A44" s="6" t="inlineStr">
        <is>
          <t>1 MW — PV capacity</t>
        </is>
      </c>
      <c r="B44" s="7" t="n">
        <v>1</v>
      </c>
      <c r="C44" s="2" t="inlineStr">
        <is>
          <t>MWp</t>
        </is>
      </c>
      <c r="D44" s="8" t="inlineStr"/>
    </row>
    <row r="45">
      <c r="A45" s="6" t="inlineStr">
        <is>
          <t>1 MW — BESS energy</t>
        </is>
      </c>
      <c r="B45" s="7" t="n">
        <v>4</v>
      </c>
      <c r="C45" s="2" t="inlineStr">
        <is>
          <t>MWh</t>
        </is>
      </c>
      <c r="D45" s="8" t="inlineStr">
        <is>
          <t>4h → power = MWh/4</t>
        </is>
      </c>
    </row>
    <row r="46">
      <c r="A46" s="6" t="inlineStr">
        <is>
          <t>5 MW — PV capacity</t>
        </is>
      </c>
      <c r="B46" s="7" t="n">
        <v>5</v>
      </c>
      <c r="C46" s="2" t="inlineStr">
        <is>
          <t>MWp</t>
        </is>
      </c>
      <c r="D46" s="8" t="inlineStr"/>
    </row>
    <row r="47">
      <c r="A47" s="6" t="inlineStr">
        <is>
          <t>5 MW — BESS energy</t>
        </is>
      </c>
      <c r="B47" s="7" t="n">
        <v>20</v>
      </c>
      <c r="C47" s="2" t="inlineStr">
        <is>
          <t>MWh</t>
        </is>
      </c>
      <c r="D47" s="8" t="inlineStr"/>
    </row>
    <row r="48">
      <c r="A48" s="6" t="inlineStr">
        <is>
          <t>10 MW — PV capacity</t>
        </is>
      </c>
      <c r="B48" s="7" t="n">
        <v>10</v>
      </c>
      <c r="C48" s="2" t="inlineStr">
        <is>
          <t>MWp</t>
        </is>
      </c>
      <c r="D48" s="8" t="inlineStr"/>
    </row>
    <row r="49">
      <c r="A49" s="6" t="inlineStr">
        <is>
          <t>10 MW — BESS energy</t>
        </is>
      </c>
      <c r="B49" s="7" t="n">
        <v>40</v>
      </c>
      <c r="C49" s="2" t="inlineStr">
        <is>
          <t>MWh</t>
        </is>
      </c>
      <c r="D49" s="8" t="inlineStr"/>
    </row>
    <row r="51">
      <c r="A51" s="10" t="inlineStr">
        <is>
          <t>Legend:</t>
        </is>
      </c>
      <c r="B51" s="11" t="inlineStr">
        <is>
          <t>Yellow = editable input</t>
        </is>
      </c>
      <c r="C51" s="12" t="inlineStr">
        <is>
          <t>Green = calculated</t>
        </is>
      </c>
    </row>
  </sheetData>
  <mergeCells count="7">
    <mergeCell ref="A23:D23"/>
    <mergeCell ref="A6:D6"/>
    <mergeCell ref="A35:D35"/>
    <mergeCell ref="A20:D20"/>
    <mergeCell ref="A43:D43"/>
    <mergeCell ref="A10:D10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Indicative Comparison — 1 / 5 / 10 MW PV + 4-hour BESS (Cyprus merchant hybrid)</t>
        </is>
      </c>
    </row>
    <row r="2">
      <c r="A2" s="2" t="inlineStr">
        <is>
          <t>Base case = 100% equity. Evening discharge from live market data. Two PV configs.</t>
        </is>
      </c>
    </row>
    <row r="4">
      <c r="A4" s="13" t="inlineStr">
        <is>
          <t>■ Configuration: Fixed Bifacial</t>
        </is>
      </c>
    </row>
    <row r="5">
      <c r="A5" s="14" t="inlineStr">
        <is>
          <t>Metric</t>
        </is>
      </c>
      <c r="B5" s="15" t="inlineStr">
        <is>
          <t>1 MW + 4 MWh</t>
        </is>
      </c>
      <c r="C5" s="15" t="inlineStr">
        <is>
          <t>5 MW + 20 MWh</t>
        </is>
      </c>
      <c r="D5" s="15" t="inlineStr">
        <is>
          <t>10 MW + 40 MWh</t>
        </is>
      </c>
    </row>
    <row r="6">
      <c r="A6" s="16" t="inlineStr">
        <is>
          <t>PV specific yield (kWh/kWp)</t>
        </is>
      </c>
      <c r="B6" s="17" t="n">
        <v>1850</v>
      </c>
      <c r="C6" s="17" t="n">
        <v>1850</v>
      </c>
      <c r="D6" s="17" t="n">
        <v>1850</v>
      </c>
    </row>
    <row r="7">
      <c r="A7" s="16" t="inlineStr">
        <is>
          <t>BESS energy (MWh)</t>
        </is>
      </c>
      <c r="B7" s="17" t="n">
        <v>4</v>
      </c>
      <c r="C7" s="17" t="n">
        <v>20</v>
      </c>
      <c r="D7" s="17" t="n">
        <v>40</v>
      </c>
    </row>
    <row r="8">
      <c r="A8" s="16" t="inlineStr">
        <is>
          <t>Total CAPEX (€)</t>
        </is>
      </c>
      <c r="B8" s="18" t="n">
        <v>1578000</v>
      </c>
      <c r="C8" s="18" t="n">
        <v>7890000</v>
      </c>
      <c r="D8" s="18" t="n">
        <v>15780000</v>
      </c>
    </row>
    <row r="9">
      <c r="A9" s="16" t="inlineStr">
        <is>
          <t xml:space="preserve">  PV EPC</t>
        </is>
      </c>
      <c r="B9" s="19" t="n">
        <v>720000</v>
      </c>
      <c r="C9" s="19" t="n">
        <v>3600000</v>
      </c>
      <c r="D9" s="19" t="n">
        <v>7200000</v>
      </c>
    </row>
    <row r="10">
      <c r="A10" s="16" t="inlineStr">
        <is>
          <t xml:space="preserve">  BESS EPC</t>
        </is>
      </c>
      <c r="B10" s="19" t="n">
        <v>508000</v>
      </c>
      <c r="C10" s="19" t="n">
        <v>2540000</v>
      </c>
      <c r="D10" s="19" t="n">
        <v>5080000</v>
      </c>
    </row>
    <row r="11">
      <c r="A11" s="16" t="inlineStr">
        <is>
          <t xml:space="preserve">  RTB / development</t>
        </is>
      </c>
      <c r="B11" s="19" t="n">
        <v>350000</v>
      </c>
      <c r="C11" s="19" t="n">
        <v>1750000</v>
      </c>
      <c r="D11" s="19" t="n">
        <v>3500000</v>
      </c>
    </row>
    <row r="12">
      <c r="A12" s="16" t="inlineStr">
        <is>
          <t>Annual PV production (MWh)</t>
        </is>
      </c>
      <c r="B12" s="19" t="n">
        <v>1850</v>
      </c>
      <c r="C12" s="19" t="n">
        <v>9250</v>
      </c>
      <c r="D12" s="19" t="n">
        <v>18500</v>
      </c>
    </row>
    <row r="13">
      <c r="A13" s="16" t="inlineStr">
        <is>
          <t>Gross Y1 revenue (€)</t>
        </is>
      </c>
      <c r="B13" s="19" t="n">
        <v>276863.3484</v>
      </c>
      <c r="C13" s="19" t="n">
        <v>1384316.742</v>
      </c>
      <c r="D13" s="19" t="n">
        <v>2768633.484</v>
      </c>
    </row>
    <row r="14">
      <c r="A14" s="16" t="inlineStr">
        <is>
          <t xml:space="preserve">  Uncurtailed solar</t>
        </is>
      </c>
      <c r="B14" s="19" t="n">
        <v>130314</v>
      </c>
      <c r="C14" s="19" t="n">
        <v>651570</v>
      </c>
      <c r="D14" s="19" t="n">
        <v>1303140</v>
      </c>
    </row>
    <row r="15">
      <c r="A15" s="16" t="inlineStr">
        <is>
          <t xml:space="preserve">  BESS discharge</t>
        </is>
      </c>
      <c r="B15" s="19" t="n">
        <v>146549.3484</v>
      </c>
      <c r="C15" s="19" t="n">
        <v>732746.742</v>
      </c>
      <c r="D15" s="19" t="n">
        <v>1465493.484</v>
      </c>
    </row>
    <row r="16">
      <c r="A16" s="16" t="inlineStr">
        <is>
          <t>OPEX Y1 (€)</t>
        </is>
      </c>
      <c r="B16" s="19" t="n">
        <v>52850</v>
      </c>
      <c r="C16" s="19" t="n">
        <v>189250</v>
      </c>
      <c r="D16" s="19" t="n">
        <v>358500</v>
      </c>
    </row>
    <row r="17">
      <c r="A17" s="16" t="inlineStr">
        <is>
          <t>EBITDA Y1 (€)</t>
        </is>
      </c>
      <c r="B17" s="19" t="n">
        <v>196327.01356</v>
      </c>
      <c r="C17" s="19" t="n">
        <v>1056635.0678</v>
      </c>
      <c r="D17" s="19" t="n">
        <v>2133270.1356</v>
      </c>
    </row>
    <row r="18">
      <c r="A18" s="16" t="inlineStr">
        <is>
          <t>After-tax FCF Y1 (€)</t>
        </is>
      </c>
      <c r="B18" s="18" t="n">
        <v>179587.961526</v>
      </c>
      <c r="C18" s="18" t="n">
        <v>961689.8076300001</v>
      </c>
      <c r="D18" s="18" t="n">
        <v>1940379.61526</v>
      </c>
    </row>
    <row r="19">
      <c r="A19" s="16" t="inlineStr">
        <is>
          <t>Cash yield on equity Y1</t>
        </is>
      </c>
      <c r="B19" s="20" t="n">
        <v>0.1138073266958175</v>
      </c>
      <c r="C19" s="20" t="n">
        <v>0.1218871746045627</v>
      </c>
      <c r="D19" s="20" t="n">
        <v>0.1229644876590621</v>
      </c>
    </row>
    <row r="20">
      <c r="A20" s="16" t="inlineStr">
        <is>
          <t>Simple equity payback (yr)</t>
        </is>
      </c>
      <c r="B20" s="21" t="n">
        <v>8.786780509068496</v>
      </c>
      <c r="C20" s="21" t="n">
        <v>8.204308642351332</v>
      </c>
      <c r="D20" s="21" t="n">
        <v>8.13242928131131</v>
      </c>
    </row>
    <row r="21">
      <c r="A21" s="16" t="inlineStr">
        <is>
          <t>Cumulative payback w/ deg. (yr)</t>
        </is>
      </c>
      <c r="B21" s="21" t="n">
        <v>9.663084565267889</v>
      </c>
      <c r="C21" s="21" t="n">
        <v>8.892256088001579</v>
      </c>
      <c r="D21" s="21" t="n">
        <v>8.800032192892999</v>
      </c>
    </row>
    <row r="22">
      <c r="A22" s="16" t="inlineStr">
        <is>
          <t>Equity IRR 20y (deg.+OEM war.)</t>
        </is>
      </c>
      <c r="B22" s="20" t="n">
        <v>0.07471869798819072</v>
      </c>
      <c r="C22" s="20" t="n">
        <v>0.08623128769760166</v>
      </c>
      <c r="D22" s="20" t="n">
        <v>0.08773177082434364</v>
      </c>
    </row>
    <row r="23">
      <c r="A23" s="16" t="inlineStr">
        <is>
          <t>NPV @ 8% (€)</t>
        </is>
      </c>
      <c r="B23" s="19" t="n">
        <v>-56783.08520823169</v>
      </c>
      <c r="C23" s="19" t="n">
        <v>341991.471183733</v>
      </c>
      <c r="D23" s="19" t="n">
        <v>850891.4482941036</v>
      </c>
    </row>
    <row r="26">
      <c r="A26" s="13" t="inlineStr">
        <is>
          <t>■ Configuration: Single-Axis Tracker · Bifacial · White Albedo</t>
        </is>
      </c>
    </row>
    <row r="27">
      <c r="A27" s="14" t="inlineStr">
        <is>
          <t>Metric</t>
        </is>
      </c>
      <c r="B27" s="15" t="inlineStr">
        <is>
          <t>1 MW + 4 MWh</t>
        </is>
      </c>
      <c r="C27" s="15" t="inlineStr">
        <is>
          <t>5 MW + 20 MWh</t>
        </is>
      </c>
      <c r="D27" s="15" t="inlineStr">
        <is>
          <t>10 MW + 40 MWh</t>
        </is>
      </c>
    </row>
    <row r="28">
      <c r="A28" s="16" t="inlineStr">
        <is>
          <t>PV specific yield (kWh/kWp)</t>
        </is>
      </c>
      <c r="B28" s="17" t="n">
        <v>2450</v>
      </c>
      <c r="C28" s="17" t="n">
        <v>2450</v>
      </c>
      <c r="D28" s="17" t="n">
        <v>2450</v>
      </c>
    </row>
    <row r="29">
      <c r="A29" s="16" t="inlineStr">
        <is>
          <t>BESS energy (MWh)</t>
        </is>
      </c>
      <c r="B29" s="17" t="n">
        <v>4</v>
      </c>
      <c r="C29" s="17" t="n">
        <v>20</v>
      </c>
      <c r="D29" s="17" t="n">
        <v>40</v>
      </c>
    </row>
    <row r="30">
      <c r="A30" s="16" t="inlineStr">
        <is>
          <t>Total CAPEX (€)</t>
        </is>
      </c>
      <c r="B30" s="18" t="n">
        <v>1668000</v>
      </c>
      <c r="C30" s="18" t="n">
        <v>8340000</v>
      </c>
      <c r="D30" s="18" t="n">
        <v>16680000</v>
      </c>
    </row>
    <row r="31">
      <c r="A31" s="16" t="inlineStr">
        <is>
          <t xml:space="preserve">  PV EPC</t>
        </is>
      </c>
      <c r="B31" s="19" t="n">
        <v>810000</v>
      </c>
      <c r="C31" s="19" t="n">
        <v>4050000</v>
      </c>
      <c r="D31" s="19" t="n">
        <v>8100000</v>
      </c>
    </row>
    <row r="32">
      <c r="A32" s="16" t="inlineStr">
        <is>
          <t xml:space="preserve">  BESS EPC</t>
        </is>
      </c>
      <c r="B32" s="19" t="n">
        <v>508000</v>
      </c>
      <c r="C32" s="19" t="n">
        <v>2540000</v>
      </c>
      <c r="D32" s="19" t="n">
        <v>5080000</v>
      </c>
    </row>
    <row r="33">
      <c r="A33" s="16" t="inlineStr">
        <is>
          <t xml:space="preserve">  RTB / development</t>
        </is>
      </c>
      <c r="B33" s="19" t="n">
        <v>350000</v>
      </c>
      <c r="C33" s="19" t="n">
        <v>1750000</v>
      </c>
      <c r="D33" s="19" t="n">
        <v>3500000</v>
      </c>
    </row>
    <row r="34">
      <c r="A34" s="16" t="inlineStr">
        <is>
          <t>Annual PV production (MWh)</t>
        </is>
      </c>
      <c r="B34" s="19" t="n">
        <v>2450</v>
      </c>
      <c r="C34" s="19" t="n">
        <v>12250</v>
      </c>
      <c r="D34" s="19" t="n">
        <v>24500</v>
      </c>
    </row>
    <row r="35">
      <c r="A35" s="16" t="inlineStr">
        <is>
          <t>Gross Y1 revenue (€)</t>
        </is>
      </c>
      <c r="B35" s="19" t="n">
        <v>366656.8668</v>
      </c>
      <c r="C35" s="19" t="n">
        <v>1833284.334</v>
      </c>
      <c r="D35" s="19" t="n">
        <v>3666568.668</v>
      </c>
    </row>
    <row r="36">
      <c r="A36" s="16" t="inlineStr">
        <is>
          <t xml:space="preserve">  Uncurtailed solar</t>
        </is>
      </c>
      <c r="B36" s="19" t="n">
        <v>172578</v>
      </c>
      <c r="C36" s="19" t="n">
        <v>862890</v>
      </c>
      <c r="D36" s="19" t="n">
        <v>1725780</v>
      </c>
    </row>
    <row r="37">
      <c r="A37" s="16" t="inlineStr">
        <is>
          <t xml:space="preserve">  BESS discharge</t>
        </is>
      </c>
      <c r="B37" s="19" t="n">
        <v>194078.8668</v>
      </c>
      <c r="C37" s="19" t="n">
        <v>970394.334</v>
      </c>
      <c r="D37" s="19" t="n">
        <v>1940788.668</v>
      </c>
    </row>
    <row r="38">
      <c r="A38" s="16" t="inlineStr">
        <is>
          <t>OPEX Y1 (€)</t>
        </is>
      </c>
      <c r="B38" s="19" t="n">
        <v>58300</v>
      </c>
      <c r="C38" s="19" t="n">
        <v>216500</v>
      </c>
      <c r="D38" s="19" t="n">
        <v>413000</v>
      </c>
    </row>
    <row r="39">
      <c r="A39" s="16" t="inlineStr">
        <is>
          <t>EBITDA Y1 (€)</t>
        </is>
      </c>
      <c r="B39" s="19" t="n">
        <v>271691.18012</v>
      </c>
      <c r="C39" s="19" t="n">
        <v>1433455.9006</v>
      </c>
      <c r="D39" s="19" t="n">
        <v>2886911.8012</v>
      </c>
    </row>
    <row r="40">
      <c r="A40" s="16" t="inlineStr">
        <is>
          <t>After-tax FCF Y1 (€)</t>
        </is>
      </c>
      <c r="B40" s="18" t="n">
        <v>244322.503102</v>
      </c>
      <c r="C40" s="18" t="n">
        <v>1285362.51551</v>
      </c>
      <c r="D40" s="18" t="n">
        <v>2587725.03102</v>
      </c>
    </row>
    <row r="41">
      <c r="A41" s="16" t="inlineStr">
        <is>
          <t>Cash yield on equity Y1</t>
        </is>
      </c>
      <c r="B41" s="20" t="n">
        <v>0.1464763208045564</v>
      </c>
      <c r="C41" s="20" t="n">
        <v>0.1541202056966427</v>
      </c>
      <c r="D41" s="20" t="n">
        <v>0.1551393903489209</v>
      </c>
    </row>
    <row r="42">
      <c r="A42" s="16" t="inlineStr">
        <is>
          <t>Simple equity payback (yr)</t>
        </is>
      </c>
      <c r="B42" s="21" t="n">
        <v>6.827042040018891</v>
      </c>
      <c r="C42" s="21" t="n">
        <v>6.488441898191573</v>
      </c>
      <c r="D42" s="21" t="n">
        <v>6.445816228560137</v>
      </c>
    </row>
    <row r="43">
      <c r="A43" s="16" t="inlineStr">
        <is>
          <t>Cumulative payback w/ deg. (yr)</t>
        </is>
      </c>
      <c r="B43" s="21" t="n">
        <v>7.274124944152986</v>
      </c>
      <c r="C43" s="21" t="n">
        <v>6.860179215566277</v>
      </c>
      <c r="D43" s="21" t="n">
        <v>6.809093091231898</v>
      </c>
    </row>
    <row r="44">
      <c r="A44" s="16" t="inlineStr">
        <is>
          <t>Equity IRR 20y (deg.+OEM war.)</t>
        </is>
      </c>
      <c r="B44" s="20" t="n">
        <v>0.11528349859385</v>
      </c>
      <c r="C44" s="20" t="n">
        <v>0.1250874187080207</v>
      </c>
      <c r="D44" s="20" t="n">
        <v>0.1263769702354048</v>
      </c>
    </row>
    <row r="45">
      <c r="A45" s="16" t="inlineStr">
        <is>
          <t>NPV @ 8% (€)</t>
        </is>
      </c>
      <c r="B45" s="19" t="n">
        <v>422422.9717922517</v>
      </c>
      <c r="C45" s="19" t="n">
        <v>2738021.75618615</v>
      </c>
      <c r="D45" s="19" t="n">
        <v>5642952.018298938</v>
      </c>
    </row>
    <row r="48">
      <c r="A48" s="5" t="inlineStr">
        <is>
          <t>Notes</t>
        </is>
      </c>
    </row>
    <row r="49">
      <c r="A49" s="8" t="inlineStr">
        <is>
          <t>Revenue = uncurtailed PV at DAM daytime + curtailed energy stored (charge €0) and discharged at evening price.</t>
        </is>
      </c>
    </row>
    <row r="50">
      <c r="A50" s="8" t="inlineStr">
        <is>
          <t>Evening discharge €210/MWh = 18:00–21:00 average from market/data/market-data.json (Oct 2025–Jul 2026, deduped).</t>
        </is>
      </c>
    </row>
    <row r="51">
      <c r="A51" s="8" t="inlineStr">
        <is>
          <t xml:space="preserve">  Seasonality: winter (Oct–Feb) €179–194, spring (Mar–May) €240–260. Winter-only ≈ €184 as conservative sensitivity.</t>
        </is>
      </c>
    </row>
    <row r="52">
      <c r="A52" s="8" t="inlineStr">
        <is>
          <t>Fixed PV EPC €720k/MWp (LH_EPC). Tracker €810k/MWp = €720k + €90k/MW adder (konia-epc-cost-model).</t>
        </is>
      </c>
    </row>
    <row r="53">
      <c r="A53" s="8" t="inlineStr">
        <is>
          <t>BESS EPC €127k/MWh (LH_EPC). LTSA €1,740/MWh/yr (portfolio-data). PV O&amp;M €15k fixed / €20k tracker per MW/yr.</t>
        </is>
      </c>
    </row>
    <row r="54">
      <c r="A54" s="8" t="inlineStr">
        <is>
          <t>Cyprus rule: BESS cannot yet buy from DAM — no arbitrage. Capacity/ancillary = €0 (upside).</t>
        </is>
      </c>
    </row>
    <row r="55">
      <c r="A55" s="8" t="inlineStr">
        <is>
          <t>20y IRR/NPV include PV &amp; BESS degradation and OEM extended warranty from Year 6. Indicative, non-binding, ex-VAT.</t>
        </is>
      </c>
    </row>
    <row r="56">
      <c r="A56" s="8" t="inlineStr">
        <is>
          <t>Contact: Alexander Papacosta, Cyprus Director · +357 99 164 158 · office@lighthief.com</t>
        </is>
      </c>
    </row>
  </sheetData>
  <mergeCells count="10">
    <mergeCell ref="A56:D56"/>
    <mergeCell ref="A53:D53"/>
    <mergeCell ref="A50:D50"/>
    <mergeCell ref="A4:D4"/>
    <mergeCell ref="A26:D26"/>
    <mergeCell ref="A54:D54"/>
    <mergeCell ref="A55:D55"/>
    <mergeCell ref="A52:D52"/>
    <mergeCell ref="A51:D51"/>
    <mergeCell ref="A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1 MW + 4 MWh · Fixed Bifacial — live formulas (reads Inputs)</t>
        </is>
      </c>
    </row>
    <row r="2">
      <c r="A2" t="inlineStr">
        <is>
          <t>PV capacity (MWp)</t>
        </is>
      </c>
      <c r="B2" s="23">
        <f>Inputs!$B$44</f>
        <v/>
      </c>
    </row>
    <row r="3">
      <c r="A3" t="inlineStr">
        <is>
          <t>BESS energy (MWh)</t>
        </is>
      </c>
      <c r="B3" s="23">
        <f>Inputs!$B$45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Inputs!$B$7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B2*Inputs!$B$8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B2*Inputs!$B$9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Inputs!$B$31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179587.961526</v>
      </c>
      <c r="C47" s="8">
        <f> B42 at default Inputs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5 MW + 20 MWh · Fixed Bifacial — live formulas (reads Inputs)</t>
        </is>
      </c>
    </row>
    <row r="2">
      <c r="A2" t="inlineStr">
        <is>
          <t>PV capacity (MWp)</t>
        </is>
      </c>
      <c r="B2" s="23">
        <f>Inputs!$B$46</f>
        <v/>
      </c>
    </row>
    <row r="3">
      <c r="A3" t="inlineStr">
        <is>
          <t>BESS energy (MWh)</t>
        </is>
      </c>
      <c r="B3" s="23">
        <f>Inputs!$B$47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Inputs!$B$7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B2*Inputs!$B$8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B2*Inputs!$B$9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Inputs!$B$32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961689.8076300001</v>
      </c>
      <c r="C47" s="8">
        <f> B42 at default Inputs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10 MW + 40 MWh · Fixed Bifacial — live formulas (reads Inputs)</t>
        </is>
      </c>
    </row>
    <row r="2">
      <c r="A2" t="inlineStr">
        <is>
          <t>PV capacity (MWp)</t>
        </is>
      </c>
      <c r="B2" s="23">
        <f>Inputs!$B$48</f>
        <v/>
      </c>
    </row>
    <row r="3">
      <c r="A3" t="inlineStr">
        <is>
          <t>BESS energy (MWh)</t>
        </is>
      </c>
      <c r="B3" s="23">
        <f>Inputs!$B$49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Inputs!$B$7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B2*Inputs!$B$8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B2*Inputs!$B$9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Inputs!$B$33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1940379.61526</v>
      </c>
      <c r="C47" s="8">
        <f> B42 at default Inputs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1 MW + 4 MWh · Single-Axis Tracker · Bifacial · White Albedo — live formulas (reads Inputs)</t>
        </is>
      </c>
    </row>
    <row r="2">
      <c r="A2" t="inlineStr">
        <is>
          <t>PV capacity (MWp)</t>
        </is>
      </c>
      <c r="B2" s="23">
        <f>Inputs!$B$44</f>
        <v/>
      </c>
    </row>
    <row r="3">
      <c r="A3" t="inlineStr">
        <is>
          <t>BESS energy (MWh)</t>
        </is>
      </c>
      <c r="B3" s="23">
        <f>Inputs!$B$45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Inputs!$B$11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B2*Inputs!$B$12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B2*Inputs!$B$13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Inputs!$B$31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244322.503102</v>
      </c>
      <c r="C47" s="8">
        <f> B42 at default Inputs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5 MW + 20 MWh · Single-Axis Tracker · Bifacial · White Albedo — live formulas (reads Inputs)</t>
        </is>
      </c>
    </row>
    <row r="2">
      <c r="A2" t="inlineStr">
        <is>
          <t>PV capacity (MWp)</t>
        </is>
      </c>
      <c r="B2" s="23">
        <f>Inputs!$B$46</f>
        <v/>
      </c>
    </row>
    <row r="3">
      <c r="A3" t="inlineStr">
        <is>
          <t>BESS energy (MWh)</t>
        </is>
      </c>
      <c r="B3" s="23">
        <f>Inputs!$B$47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Inputs!$B$11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B2*Inputs!$B$12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B2*Inputs!$B$13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Inputs!$B$32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1285362.51551</v>
      </c>
      <c r="C47" s="8">
        <f> B42 at default Inputs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</cols>
  <sheetData>
    <row r="1">
      <c r="A1" s="22" t="inlineStr">
        <is>
          <t>10 MW + 40 MWh · Single-Axis Tracker · Bifacial · White Albedo — live formulas (reads Inputs)</t>
        </is>
      </c>
    </row>
    <row r="2">
      <c r="A2" t="inlineStr">
        <is>
          <t>PV capacity (MWp)</t>
        </is>
      </c>
      <c r="B2" s="23">
        <f>Inputs!$B$48</f>
        <v/>
      </c>
    </row>
    <row r="3">
      <c r="A3" t="inlineStr">
        <is>
          <t>BESS energy (MWh)</t>
        </is>
      </c>
      <c r="B3" s="23">
        <f>Inputs!$B$49</f>
        <v/>
      </c>
    </row>
    <row r="4">
      <c r="A4" t="inlineStr">
        <is>
          <t>BESS power (MW)</t>
        </is>
      </c>
      <c r="B4" s="23">
        <f>B3/Inputs!$B$15</f>
        <v/>
      </c>
    </row>
    <row r="5">
      <c r="A5" t="inlineStr">
        <is>
          <t>Specific yield (kWh/kWp)</t>
        </is>
      </c>
      <c r="B5" s="17">
        <f>Inputs!$B$11</f>
        <v/>
      </c>
    </row>
    <row r="7">
      <c r="A7" s="24" t="inlineStr">
        <is>
          <t>CAPEX</t>
        </is>
      </c>
    </row>
    <row r="8">
      <c r="A8" t="inlineStr">
        <is>
          <t>PV EPC</t>
        </is>
      </c>
      <c r="B8" s="19">
        <f>B2*Inputs!$B$12</f>
        <v/>
      </c>
    </row>
    <row r="9">
      <c r="A9" t="inlineStr">
        <is>
          <t>BESS EPC</t>
        </is>
      </c>
      <c r="B9" s="19">
        <f>B3*Inputs!$B$24</f>
        <v/>
      </c>
    </row>
    <row r="10">
      <c r="A10" t="inlineStr">
        <is>
          <t>RTB / development</t>
        </is>
      </c>
      <c r="B10" s="19">
        <f>B2*Inputs!$B$25</f>
        <v/>
      </c>
    </row>
    <row r="11">
      <c r="A11" t="inlineStr">
        <is>
          <t>EAC connection</t>
        </is>
      </c>
      <c r="B11" s="19">
        <f>B2*Inputs!$B$26</f>
        <v/>
      </c>
    </row>
    <row r="12">
      <c r="A12" t="inlineStr">
        <is>
          <t>Other CAPEX</t>
        </is>
      </c>
      <c r="B12" s="19">
        <f>Inputs!$B$27</f>
        <v/>
      </c>
    </row>
    <row r="13">
      <c r="A13" t="inlineStr">
        <is>
          <t>Total CAPEX</t>
        </is>
      </c>
      <c r="B13" s="18">
        <f>B8+B9+B10+B11+B12</f>
        <v/>
      </c>
    </row>
    <row r="14">
      <c r="A14" t="inlineStr">
        <is>
          <t>Senior debt</t>
        </is>
      </c>
      <c r="B14" s="19">
        <f>B13*Inputs!$B$38</f>
        <v/>
      </c>
    </row>
    <row r="15">
      <c r="A15" t="inlineStr">
        <is>
          <t>Equity</t>
        </is>
      </c>
      <c r="B15" s="18">
        <f>B13-B14</f>
        <v/>
      </c>
    </row>
    <row r="17">
      <c r="A17" s="24" t="inlineStr">
        <is>
          <t>ENERGY &amp; REVENUE Y1</t>
        </is>
      </c>
    </row>
    <row r="18">
      <c r="A18" t="inlineStr">
        <is>
          <t>Annual PV production (MWh)</t>
        </is>
      </c>
      <c r="B18" s="25">
        <f>B2*B5</f>
        <v/>
      </c>
    </row>
    <row r="19">
      <c r="A19" t="inlineStr">
        <is>
          <t>Uncurtailed (MWh)</t>
        </is>
      </c>
      <c r="B19" s="25">
        <f>B18*(1-Inputs!$B$16)</f>
        <v/>
      </c>
    </row>
    <row r="20">
      <c r="A20" t="inlineStr">
        <is>
          <t>Curtailed (MWh)</t>
        </is>
      </c>
      <c r="B20" s="25">
        <f>B18*Inputs!$B$16</f>
        <v/>
      </c>
    </row>
    <row r="21">
      <c r="A21" t="inlineStr">
        <is>
          <t>BESS charged (MWh)</t>
        </is>
      </c>
      <c r="B21" s="25">
        <f>MIN(B20*Inputs!$B$17,B3*Inputs!$B$19)</f>
        <v/>
      </c>
    </row>
    <row r="22">
      <c r="A22" t="inlineStr">
        <is>
          <t>BESS discharged (MWh)</t>
        </is>
      </c>
      <c r="B22" s="25">
        <f>B21*Inputs!$B$18</f>
        <v/>
      </c>
    </row>
    <row r="23">
      <c r="A23" t="inlineStr">
        <is>
          <t>Solar revenue (€)</t>
        </is>
      </c>
      <c r="B23" s="19">
        <f>B19*Inputs!$B$21</f>
        <v/>
      </c>
    </row>
    <row r="24">
      <c r="A24" t="inlineStr">
        <is>
          <t>BESS revenue (€)</t>
        </is>
      </c>
      <c r="B24" s="19">
        <f>B22*Inputs!$B$22</f>
        <v/>
      </c>
    </row>
    <row r="25">
      <c r="A25" t="inlineStr">
        <is>
          <t>Gross revenue (€)</t>
        </is>
      </c>
      <c r="B25" s="18">
        <f>B23+B24</f>
        <v/>
      </c>
    </row>
    <row r="26">
      <c r="A26" t="inlineStr">
        <is>
          <t>Aggregator fee (€)</t>
        </is>
      </c>
      <c r="B26" s="19">
        <f>B25*Inputs!$B$36</f>
        <v/>
      </c>
    </row>
    <row r="27">
      <c r="A27" t="inlineStr">
        <is>
          <t>Net revenue (€)</t>
        </is>
      </c>
      <c r="B27" s="19">
        <f>B25-B26</f>
        <v/>
      </c>
    </row>
    <row r="29">
      <c r="A29" s="24" t="inlineStr">
        <is>
          <t>OPEX &amp; RETURNS Y1</t>
        </is>
      </c>
    </row>
    <row r="30">
      <c r="A30" t="inlineStr">
        <is>
          <t>PV O&amp;M</t>
        </is>
      </c>
      <c r="B30" s="19">
        <f>B2*Inputs!$B$13</f>
        <v/>
      </c>
    </row>
    <row r="31">
      <c r="A31" t="inlineStr">
        <is>
          <t>BESS LTSA</t>
        </is>
      </c>
      <c r="B31" s="19">
        <f>B3*Inputs!$B$28</f>
        <v/>
      </c>
    </row>
    <row r="32">
      <c r="A32" t="inlineStr">
        <is>
          <t>SCADA</t>
        </is>
      </c>
      <c r="B32" s="19">
        <f>Inputs!$B$29</f>
        <v/>
      </c>
    </row>
    <row r="33">
      <c r="A33" t="inlineStr">
        <is>
          <t>Admin</t>
        </is>
      </c>
      <c r="B33" s="19">
        <f>Inputs!$B$30</f>
        <v/>
      </c>
    </row>
    <row r="34">
      <c r="A34" t="inlineStr">
        <is>
          <t>Land lease</t>
        </is>
      </c>
      <c r="B34" s="19">
        <f>Inputs!$B$33</f>
        <v/>
      </c>
    </row>
    <row r="35">
      <c r="A35" t="inlineStr">
        <is>
          <t>Insurance</t>
        </is>
      </c>
      <c r="B35" s="19">
        <f>B13*Inputs!$B$34</f>
        <v/>
      </c>
    </row>
    <row r="36">
      <c r="A36" t="inlineStr">
        <is>
          <t>Total OPEX</t>
        </is>
      </c>
      <c r="B36" s="19">
        <f>B30+B31+B32+B33+B34+B35</f>
        <v/>
      </c>
    </row>
    <row r="37">
      <c r="A37" t="inlineStr">
        <is>
          <t>EBITDA</t>
        </is>
      </c>
      <c r="B37" s="18">
        <f>B27-B36</f>
        <v/>
      </c>
    </row>
    <row r="38">
      <c r="A38" t="inlineStr">
        <is>
          <t>Debt service</t>
        </is>
      </c>
      <c r="B38" s="19">
        <f>IF(B14=0,0,B14*(Inputs!$B$39*(1+Inputs!$B$39)^Inputs!$B$40/((1+Inputs!$B$39)^Inputs!$B$40-1)))</f>
        <v/>
      </c>
    </row>
    <row r="39">
      <c r="A39" t="inlineStr">
        <is>
          <t>D&amp;A</t>
        </is>
      </c>
      <c r="B39" s="19">
        <f>(B8+B9)/Inputs!$B$41+(B10+B11)/Inputs!$B$42</f>
        <v/>
      </c>
    </row>
    <row r="40">
      <c r="A40" t="inlineStr">
        <is>
          <t>Taxable income</t>
        </is>
      </c>
      <c r="B40" s="19">
        <f>MAX(0,B37-B38-B39)</f>
        <v/>
      </c>
    </row>
    <row r="41">
      <c r="A41" t="inlineStr">
        <is>
          <t>CIT</t>
        </is>
      </c>
      <c r="B41" s="19">
        <f>B40*Inputs!$B$37</f>
        <v/>
      </c>
    </row>
    <row r="42">
      <c r="A42" t="inlineStr">
        <is>
          <t>After-tax FCF</t>
        </is>
      </c>
      <c r="B42" s="18">
        <f>B37-B38-B41</f>
        <v/>
      </c>
    </row>
    <row r="43">
      <c r="A43" t="inlineStr">
        <is>
          <t>Cash yield on equity</t>
        </is>
      </c>
      <c r="B43" s="20">
        <f>IF(B15=0,0,B42/B15)</f>
        <v/>
      </c>
    </row>
    <row r="44">
      <c r="A44" t="inlineStr">
        <is>
          <t>Simple payback (yr)</t>
        </is>
      </c>
      <c r="B44" s="23">
        <f>IF(B42&lt;=0,"n/a",B15/B42)</f>
        <v/>
      </c>
    </row>
    <row r="45">
      <c r="A45" t="inlineStr">
        <is>
          <t>DSCR</t>
        </is>
      </c>
      <c r="B45" s="23">
        <f>IF(B38=0,"n/a (unlevered)",B37/B38)</f>
        <v/>
      </c>
    </row>
    <row r="47">
      <c r="A47" t="inlineStr">
        <is>
          <t>Cross-check (Python Y1 FCF):</t>
        </is>
      </c>
      <c r="B47" s="26" t="n">
        <v>2587725.03102</v>
      </c>
      <c r="C47" s="8">
        <f> B42 at default Inputs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2" t="inlineStr">
        <is>
          <t>20-Year Equity Cashflow (computed from Inputs defaults; re-run script to refresh)</t>
        </is>
      </c>
    </row>
    <row r="2">
      <c r="A2" s="8" t="inlineStr">
        <is>
          <t>Includes PV &amp; BESS degradation and OEM extended warranty from Year 6.</t>
        </is>
      </c>
    </row>
    <row r="4">
      <c r="A4" s="14" t="inlineStr">
        <is>
          <t>Year</t>
        </is>
      </c>
      <c r="B4" s="27" t="inlineStr">
        <is>
          <t>1 MW + 4 MWh · Fixed</t>
        </is>
      </c>
      <c r="C4" s="27" t="inlineStr">
        <is>
          <t>5 MW + 20 MWh · Fixed</t>
        </is>
      </c>
      <c r="D4" s="27" t="inlineStr">
        <is>
          <t>10 MW + 40 MWh · Fixed</t>
        </is>
      </c>
      <c r="E4" s="27" t="inlineStr">
        <is>
          <t>1 MW + 4 MWh · Tracker</t>
        </is>
      </c>
      <c r="F4" s="27" t="inlineStr">
        <is>
          <t>5 MW + 20 MWh · Tracker</t>
        </is>
      </c>
      <c r="G4" s="27" t="inlineStr">
        <is>
          <t>10 MW + 40 MWh · Tracker</t>
        </is>
      </c>
    </row>
    <row r="5">
      <c r="A5" t="inlineStr">
        <is>
          <t>0 (invest)</t>
        </is>
      </c>
      <c r="B5" s="19" t="n">
        <v>-1578000</v>
      </c>
      <c r="C5" s="19" t="n">
        <v>-7890000</v>
      </c>
      <c r="D5" s="19" t="n">
        <v>-15780000</v>
      </c>
      <c r="E5" s="19" t="n">
        <v>-1668000</v>
      </c>
      <c r="F5" s="19" t="n">
        <v>-8340000</v>
      </c>
      <c r="G5" s="19" t="n">
        <v>-16680000</v>
      </c>
    </row>
    <row r="6">
      <c r="A6" t="n">
        <v>1</v>
      </c>
      <c r="B6" s="19" t="n">
        <v>179587.961526</v>
      </c>
      <c r="C6" s="19" t="n">
        <v>961689.8076300001</v>
      </c>
      <c r="D6" s="19" t="n">
        <v>1940379.61526</v>
      </c>
      <c r="E6" s="19" t="n">
        <v>244322.503102</v>
      </c>
      <c r="F6" s="19" t="n">
        <v>1285362.51551</v>
      </c>
      <c r="G6" s="19" t="n">
        <v>2587725.03102</v>
      </c>
    </row>
    <row r="7">
      <c r="A7" t="n">
        <v>2</v>
      </c>
      <c r="B7" s="19" t="n">
        <v>176286.75418785</v>
      </c>
      <c r="C7" s="19" t="n">
        <v>945183.77093925</v>
      </c>
      <c r="D7" s="19" t="n">
        <v>1907367.5418785</v>
      </c>
      <c r="E7" s="19" t="n">
        <v>239950.63392445</v>
      </c>
      <c r="F7" s="19" t="n">
        <v>1263503.16962225</v>
      </c>
      <c r="G7" s="19" t="n">
        <v>2544006.3392445</v>
      </c>
    </row>
    <row r="8">
      <c r="A8" t="n">
        <v>3</v>
      </c>
      <c r="B8" s="19" t="n">
        <v>173058.1080121538</v>
      </c>
      <c r="C8" s="19" t="n">
        <v>929040.5400607688</v>
      </c>
      <c r="D8" s="19" t="n">
        <v>1875081.080121538</v>
      </c>
      <c r="E8" s="19" t="n">
        <v>235674.8592593388</v>
      </c>
      <c r="F8" s="19" t="n">
        <v>1242124.296296694</v>
      </c>
      <c r="G8" s="19" t="n">
        <v>2501248.592593388</v>
      </c>
    </row>
    <row r="9">
      <c r="A9" t="n">
        <v>4</v>
      </c>
      <c r="B9" s="19" t="n">
        <v>169900.2588149549</v>
      </c>
      <c r="C9" s="19" t="n">
        <v>913251.2940747746</v>
      </c>
      <c r="D9" s="19" t="n">
        <v>1843502.588149549</v>
      </c>
      <c r="E9" s="19" t="n">
        <v>231492.8427549403</v>
      </c>
      <c r="F9" s="19" t="n">
        <v>1221214.213774701</v>
      </c>
      <c r="G9" s="19" t="n">
        <v>2459428.427549403</v>
      </c>
    </row>
    <row r="10">
      <c r="A10" t="n">
        <v>5</v>
      </c>
      <c r="B10" s="19" t="n">
        <v>166811.4862676705</v>
      </c>
      <c r="C10" s="19" t="n">
        <v>897807.4313383525</v>
      </c>
      <c r="D10" s="19" t="n">
        <v>1812614.862676705</v>
      </c>
      <c r="E10" s="19" t="n">
        <v>227402.3061382664</v>
      </c>
      <c r="F10" s="19" t="n">
        <v>1200761.530691332</v>
      </c>
      <c r="G10" s="19" t="n">
        <v>2418523.061382663</v>
      </c>
    </row>
    <row r="11">
      <c r="A11" t="n">
        <v>6</v>
      </c>
      <c r="B11" s="19" t="n">
        <v>158140.4008019528</v>
      </c>
      <c r="C11" s="19" t="n">
        <v>854452.0040097638</v>
      </c>
      <c r="D11" s="19" t="n">
        <v>1725904.008019528</v>
      </c>
      <c r="E11" s="19" t="n">
        <v>217751.3157647482</v>
      </c>
      <c r="F11" s="19" t="n">
        <v>1152506.578823741</v>
      </c>
      <c r="G11" s="19" t="n">
        <v>2322013.157647482</v>
      </c>
    </row>
    <row r="12">
      <c r="A12" t="n">
        <v>7</v>
      </c>
      <c r="B12" s="19" t="n">
        <v>155184.7905419231</v>
      </c>
      <c r="C12" s="19" t="n">
        <v>839673.9527096155</v>
      </c>
      <c r="D12" s="19" t="n">
        <v>1696347.905419231</v>
      </c>
      <c r="E12" s="19" t="n">
        <v>213837.1292041685</v>
      </c>
      <c r="F12" s="19" t="n">
        <v>1132935.646020842</v>
      </c>
      <c r="G12" s="19" t="n">
        <v>2282871.292041685</v>
      </c>
    </row>
    <row r="13">
      <c r="A13" t="n">
        <v>8</v>
      </c>
      <c r="B13" s="19" t="n">
        <v>152293.3482630941</v>
      </c>
      <c r="C13" s="19" t="n">
        <v>825216.7413154707</v>
      </c>
      <c r="D13" s="19" t="n">
        <v>1667433.482630941</v>
      </c>
      <c r="E13" s="19" t="n">
        <v>210007.9218619354</v>
      </c>
      <c r="F13" s="19" t="n">
        <v>1113789.609309677</v>
      </c>
      <c r="G13" s="19" t="n">
        <v>2244579.218619354</v>
      </c>
    </row>
    <row r="14">
      <c r="A14" t="n">
        <v>9</v>
      </c>
      <c r="B14" s="19" t="n">
        <v>149464.5183773122</v>
      </c>
      <c r="C14" s="19" t="n">
        <v>811072.591886561</v>
      </c>
      <c r="D14" s="19" t="n">
        <v>1639145.183773122</v>
      </c>
      <c r="E14" s="19" t="n">
        <v>206261.6336348188</v>
      </c>
      <c r="F14" s="19" t="n">
        <v>1095058.168174094</v>
      </c>
      <c r="G14" s="19" t="n">
        <v>2207116.336348189</v>
      </c>
    </row>
    <row r="15">
      <c r="A15" t="n">
        <v>10</v>
      </c>
      <c r="B15" s="19" t="n">
        <v>146696.7839430709</v>
      </c>
      <c r="C15" s="19" t="n">
        <v>797233.9197153543</v>
      </c>
      <c r="D15" s="19" t="n">
        <v>1611467.839430709</v>
      </c>
      <c r="E15" s="19" t="n">
        <v>202596.2556002831</v>
      </c>
      <c r="F15" s="19" t="n">
        <v>1076731.278001415</v>
      </c>
      <c r="G15" s="19" t="n">
        <v>2170462.556002831</v>
      </c>
    </row>
    <row r="16">
      <c r="A16" t="n">
        <v>11</v>
      </c>
      <c r="B16" s="19" t="n">
        <v>142553.7297005597</v>
      </c>
      <c r="C16" s="19" t="n">
        <v>776518.6485027982</v>
      </c>
      <c r="D16" s="19" t="n">
        <v>1570037.297005596</v>
      </c>
      <c r="E16" s="19" t="n">
        <v>197574.892738579</v>
      </c>
      <c r="F16" s="19" t="n">
        <v>1051624.463692895</v>
      </c>
      <c r="G16" s="19" t="n">
        <v>2120248.92738579</v>
      </c>
    </row>
    <row r="17">
      <c r="A17" t="n">
        <v>12</v>
      </c>
      <c r="B17" s="19" t="n">
        <v>139903.7851308308</v>
      </c>
      <c r="C17" s="19" t="n">
        <v>763268.9256541542</v>
      </c>
      <c r="D17" s="19" t="n">
        <v>1543537.851308308</v>
      </c>
      <c r="E17" s="19" t="n">
        <v>194065.506686776</v>
      </c>
      <c r="F17" s="19" t="n">
        <v>1034077.53343388</v>
      </c>
      <c r="G17" s="19" t="n">
        <v>2085155.06686776</v>
      </c>
    </row>
    <row r="18">
      <c r="A18" t="n">
        <v>13</v>
      </c>
      <c r="B18" s="19" t="n">
        <v>137310.6075384814</v>
      </c>
      <c r="C18" s="19" t="n">
        <v>750303.0376924067</v>
      </c>
      <c r="D18" s="19" t="n">
        <v>1517606.075384813</v>
      </c>
      <c r="E18" s="19" t="n">
        <v>190631.2985239347</v>
      </c>
      <c r="F18" s="19" t="n">
        <v>1016906.492619674</v>
      </c>
      <c r="G18" s="19" t="n">
        <v>2050812.985239348</v>
      </c>
    </row>
    <row r="19">
      <c r="A19" t="n">
        <v>14</v>
      </c>
      <c r="B19" s="19" t="n">
        <v>134772.825157261</v>
      </c>
      <c r="C19" s="19" t="n">
        <v>737614.1257863048</v>
      </c>
      <c r="D19" s="19" t="n">
        <v>1492228.25157261</v>
      </c>
      <c r="E19" s="19" t="n">
        <v>187270.4515866429</v>
      </c>
      <c r="F19" s="19" t="n">
        <v>1000102.257933215</v>
      </c>
      <c r="G19" s="19" t="n">
        <v>2017204.51586643</v>
      </c>
    </row>
    <row r="20">
      <c r="A20" t="n">
        <v>15</v>
      </c>
      <c r="B20" s="19" t="n">
        <v>132289.1002780349</v>
      </c>
      <c r="C20" s="19" t="n">
        <v>725195.5013901745</v>
      </c>
      <c r="D20" s="19" t="n">
        <v>1467391.002780349</v>
      </c>
      <c r="E20" s="19" t="n">
        <v>183981.1943141544</v>
      </c>
      <c r="F20" s="19" t="n">
        <v>983655.971570772</v>
      </c>
      <c r="G20" s="19" t="n">
        <v>1984311.943141544</v>
      </c>
    </row>
    <row r="21">
      <c r="A21" t="n">
        <v>16</v>
      </c>
      <c r="B21" s="19" t="n">
        <v>129858.128398541</v>
      </c>
      <c r="C21" s="19" t="n">
        <v>713040.6419927048</v>
      </c>
      <c r="D21" s="19" t="n">
        <v>1443081.28398541</v>
      </c>
      <c r="E21" s="19" t="n">
        <v>180761.7991223921</v>
      </c>
      <c r="F21" s="19" t="n">
        <v>967558.9956119605</v>
      </c>
      <c r="G21" s="19" t="n">
        <v>1952117.991223921</v>
      </c>
    </row>
    <row r="22">
      <c r="A22" t="n">
        <v>17</v>
      </c>
      <c r="B22" s="19" t="n">
        <v>127478.6373943971</v>
      </c>
      <c r="C22" s="19" t="n">
        <v>701143.1869719854</v>
      </c>
      <c r="D22" s="19" t="n">
        <v>1419286.373943971</v>
      </c>
      <c r="E22" s="19" t="n">
        <v>177610.5813060934</v>
      </c>
      <c r="F22" s="19" t="n">
        <v>951802.9065304672</v>
      </c>
      <c r="G22" s="19" t="n">
        <v>1920605.813060935</v>
      </c>
    </row>
    <row r="23">
      <c r="A23" t="n">
        <v>18</v>
      </c>
      <c r="B23" s="19" t="n">
        <v>125149.3867108277</v>
      </c>
      <c r="C23" s="19" t="n">
        <v>689496.9335541385</v>
      </c>
      <c r="D23" s="19" t="n">
        <v>1395993.867108277</v>
      </c>
      <c r="E23" s="19" t="n">
        <v>174525.8979683935</v>
      </c>
      <c r="F23" s="19" t="n">
        <v>936379.4898419672</v>
      </c>
      <c r="G23" s="19" t="n">
        <v>1889758.979683934</v>
      </c>
    </row>
    <row r="24">
      <c r="A24" t="n">
        <v>19</v>
      </c>
      <c r="B24" s="19" t="n">
        <v>122869.1665745911</v>
      </c>
      <c r="C24" s="19" t="n">
        <v>678095.8328729557</v>
      </c>
      <c r="D24" s="19" t="n">
        <v>1373191.665745911</v>
      </c>
      <c r="E24" s="19" t="n">
        <v>171506.1469771612</v>
      </c>
      <c r="F24" s="19" t="n">
        <v>921280.7348858061</v>
      </c>
      <c r="G24" s="19" t="n">
        <v>1859561.469771612</v>
      </c>
    </row>
    <row r="25">
      <c r="A25" t="n">
        <v>20</v>
      </c>
      <c r="B25" s="19" t="n">
        <v>120636.7972256028</v>
      </c>
      <c r="C25" s="19" t="n">
        <v>666933.9861280138</v>
      </c>
      <c r="D25" s="19" t="n">
        <v>1350867.972256028</v>
      </c>
      <c r="E25" s="19" t="n">
        <v>168549.7659474199</v>
      </c>
      <c r="F25" s="19" t="n">
        <v>906498.8297370994</v>
      </c>
      <c r="G25" s="19" t="n">
        <v>1829997.659474199</v>
      </c>
    </row>
    <row r="27">
      <c r="A27" s="28" t="inlineStr">
        <is>
          <t>Equity IRR</t>
        </is>
      </c>
      <c r="B27" s="29" t="n">
        <v>0.07471869798819072</v>
      </c>
      <c r="C27" s="29" t="n">
        <v>0.08623128769760166</v>
      </c>
      <c r="D27" s="29" t="n">
        <v>0.08773177082434364</v>
      </c>
      <c r="E27" s="29" t="n">
        <v>0.11528349859385</v>
      </c>
      <c r="F27" s="29" t="n">
        <v>0.1250874187080207</v>
      </c>
      <c r="G27" s="29" t="n">
        <v>0.1263769702354048</v>
      </c>
    </row>
    <row r="28">
      <c r="A28" s="28" t="inlineStr">
        <is>
          <t>NPV @ 8%</t>
        </is>
      </c>
      <c r="B28" s="30" t="n">
        <v>-56783.08520823169</v>
      </c>
      <c r="C28" s="30" t="n">
        <v>341991.471183733</v>
      </c>
      <c r="D28" s="30" t="n">
        <v>850891.4482941036</v>
      </c>
      <c r="E28" s="30" t="n">
        <v>422422.9717922517</v>
      </c>
      <c r="F28" s="30" t="n">
        <v>2738021.75618615</v>
      </c>
      <c r="G28" s="30" t="n">
        <v>5642952.018298938</v>
      </c>
    </row>
    <row r="29">
      <c r="A29" s="28" t="inlineStr">
        <is>
          <t>Simple payback (yr)</t>
        </is>
      </c>
      <c r="B29" s="31" t="n">
        <v>8.786780509068496</v>
      </c>
      <c r="C29" s="31" t="n">
        <v>8.204308642351332</v>
      </c>
      <c r="D29" s="31" t="n">
        <v>8.13242928131131</v>
      </c>
      <c r="E29" s="31" t="n">
        <v>6.827042040018891</v>
      </c>
      <c r="F29" s="31" t="n">
        <v>6.488441898191573</v>
      </c>
      <c r="G29" s="31" t="n">
        <v>6.445816228560137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44" customWidth="1" min="2" max="2"/>
    <col width="52" customWidth="1" min="3" max="3"/>
  </cols>
  <sheetData>
    <row r="1">
      <c r="A1" s="22" t="inlineStr">
        <is>
          <t>Single Source of Truth — validation map</t>
        </is>
      </c>
    </row>
    <row r="3">
      <c r="A3" s="14" t="inlineStr">
        <is>
          <t>Item</t>
        </is>
      </c>
      <c r="B3" s="14" t="inlineStr">
        <is>
          <t>File</t>
        </is>
      </c>
      <c r="C3" s="14" t="inlineStr">
        <is>
          <t>Value / note</t>
        </is>
      </c>
    </row>
    <row r="4">
      <c r="A4" t="inlineStr">
        <is>
          <t>Evening discharge €210</t>
        </is>
      </c>
      <c r="B4" t="inlineStr">
        <is>
          <t>market/data/market-data.json</t>
        </is>
      </c>
      <c r="C4" t="inlineStr">
        <is>
          <t>18–21h avg Oct'25–Jul'26 (13,582 deduped prints)</t>
        </is>
      </c>
    </row>
    <row r="5">
      <c r="A5" t="inlineStr">
        <is>
          <t>DAM daytime €140.88</t>
        </is>
      </c>
      <c r="B5" t="inlineStr">
        <is>
          <t>lib/deals/rtb-deal-types.ts → DAM</t>
        </is>
      </c>
      <c r="C5" t="inlineStr">
        <is>
          <t>06–17h; full dataset 06–17h = €123.37</t>
        </is>
      </c>
    </row>
    <row r="6">
      <c r="A6" t="inlineStr">
        <is>
          <t>RTE / capture / curtailment</t>
        </is>
      </c>
      <c r="B6" t="inlineStr">
        <is>
          <t>rtb-deal-types.ts → BESS_DEFAULTS</t>
        </is>
      </c>
      <c r="C6" t="inlineStr">
        <is>
          <t>86.32% / 87.4% / 50%</t>
        </is>
      </c>
    </row>
    <row r="7">
      <c r="A7" t="inlineStr">
        <is>
          <t>Fixed PV EPC €720k/MWp</t>
        </is>
      </c>
      <c r="B7" t="inlineStr">
        <is>
          <t>rtb-deal-types.ts → LH_EPC.pvPerMWp</t>
        </is>
      </c>
      <c r="C7" t="inlineStr">
        <is>
          <t>Bifacial fixed, ~5MWp scale</t>
        </is>
      </c>
    </row>
    <row r="8">
      <c r="A8" t="inlineStr">
        <is>
          <t>Tracker PV EPC €810k/MWp</t>
        </is>
      </c>
      <c r="B8" t="inlineStr">
        <is>
          <t>docs/internal/konia-epc-cost-model.md</t>
        </is>
      </c>
      <c r="C8" t="inlineStr">
        <is>
          <t>€720k + €90k/MW tracker adder</t>
        </is>
      </c>
    </row>
    <row r="9">
      <c r="A9" t="inlineStr">
        <is>
          <t>BESS EPC €127k/MWh</t>
        </is>
      </c>
      <c r="B9" t="inlineStr">
        <is>
          <t>rtb-deal-types.ts → LH_EPC.bessPerMWh</t>
        </is>
      </c>
      <c r="C9" t="inlineStr">
        <is>
          <t>Tier-1 LFP installed</t>
        </is>
      </c>
    </row>
    <row r="10">
      <c r="A10" t="inlineStr">
        <is>
          <t>PV O&amp;M €15k / €20k</t>
        </is>
      </c>
      <c r="B10" t="inlineStr">
        <is>
          <t>PV_DEFAULTS + konia O&amp;M ratio</t>
        </is>
      </c>
      <c r="C10" t="inlineStr">
        <is>
          <t>Fixed €15k; tracker +~35%</t>
        </is>
      </c>
    </row>
    <row r="11">
      <c r="A11" t="inlineStr">
        <is>
          <t>BESS LTSA €1,740/MWh/yr</t>
        </is>
      </c>
      <c r="B11" t="inlineStr">
        <is>
          <t>lib/portfolio-data.ts → LTSA.tierC</t>
        </is>
      </c>
      <c r="C11" t="inlineStr">
        <is>
          <t>Tier C, Yr 1–5</t>
        </is>
      </c>
    </row>
    <row r="12">
      <c r="A12" t="inlineStr">
        <is>
          <t>RTB €350k/MW</t>
        </is>
      </c>
      <c r="B12" t="inlineStr">
        <is>
          <t>lib/constants.ts → INVESTMENT_SIZES</t>
        </is>
      </c>
      <c r="C12" t="inlineStr"/>
    </row>
    <row r="13">
      <c r="A13" t="inlineStr">
        <is>
          <t>CIT 15% / aggregator 10%</t>
        </is>
      </c>
      <c r="B13" t="inlineStr">
        <is>
          <t>PV_DEFAULTS</t>
        </is>
      </c>
      <c r="C13" t="inlineStr">
        <is>
          <t>From 1 Jan 2026</t>
        </is>
      </c>
    </row>
    <row r="14">
      <c r="A14" t="inlineStr">
        <is>
          <t>Yields 1,850 / 2,450</t>
        </is>
      </c>
      <c r="B14" t="inlineStr">
        <is>
          <t>Client-tested Year-1</t>
        </is>
      </c>
      <c r="C14" t="inlineStr">
        <is>
          <t>Fixed bifacial / tracker+bifacial+albedo</t>
        </is>
      </c>
    </row>
    <row r="15">
      <c r="A15" t="inlineStr">
        <is>
          <t>Contact</t>
        </is>
      </c>
      <c r="B15" t="inlineStr">
        <is>
          <t>lib/constants.ts → COMPANY_DATA</t>
        </is>
      </c>
      <c r="C15" t="inlineStr">
        <is>
          <t>office@lighthief.com / +357 99 164 158</t>
        </is>
      </c>
    </row>
    <row r="17">
      <c r="A17" s="8" t="inlineStr">
        <is>
          <t>Lighthief Cyprus Ltd · HE 477423 · solarfarms.cy · Alexander Papacosta · +357 99 164 158 · office@lighthief.com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2026-07-23T06:13:26Z</dcterms:created>
  <dcterms:modified xmlns:dcterms="http://purl.org/dc/terms/" xmlns:xsi="http://www.w3.org/2001/XMLSchema-instance" xsi:type="dcterms:W3CDTF">2026-07-23T06:13:26Z</dcterms:modified>
</cp:coreProperties>
</file>