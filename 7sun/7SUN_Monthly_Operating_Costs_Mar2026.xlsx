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osts" sheetId="1" state="visible" r:id="rId1"/>
    <sheet xmlns:r="http://schemas.openxmlformats.org/officeDocument/2006/relationships" name="Social Insu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2E6F8E"/>
      <sz val="10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B3A4B"/>
        <bgColor rgb="001B3A4B"/>
      </patternFill>
    </fill>
    <fill>
      <patternFill patternType="solid">
        <fgColor rgb="00E8F5E9"/>
        <bgColor rgb="00E8F5E9"/>
      </patternFill>
    </fill>
    <fill>
      <patternFill patternType="solid">
        <fgColor rgb="002E6F8E"/>
        <bgColor rgb="002E6F8E"/>
      </patternFill>
    </fill>
    <fill>
      <patternFill patternType="solid">
        <fgColor rgb="00FFF8E1"/>
        <bgColor rgb="00FFF8E1"/>
      </patternFill>
    </fill>
    <fill>
      <patternFill patternType="solid">
        <fgColor rgb="00F2F7FA"/>
        <bgColor rgb="00F2F7FA"/>
      </patternFill>
    </fill>
    <fill>
      <patternFill patternType="solid">
        <fgColor rgb="00D6E8F0"/>
        <bgColor rgb="00D6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0" fillId="4" borderId="1" pivotButton="0" quotePrefix="0" xfId="0"/>
    <xf numFmtId="0" fontId="5" fillId="0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0" fontId="0" fillId="5" borderId="1" pivotButton="0" quotePrefix="0" xfId="0"/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3" fontId="5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3" fontId="7" fillId="7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right" vertical="center"/>
    </xf>
    <xf numFmtId="0" fontId="8" fillId="2" borderId="1" pivotButton="0" quotePrefix="0" xfId="0"/>
    <xf numFmtId="3" fontId="8" fillId="2" borderId="1" pivotButton="0" quotePrefix="0" xfId="0"/>
    <xf numFmtId="164" fontId="5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3" fontId="7" fillId="0" borderId="1" applyAlignment="1" pivotButton="0" quotePrefix="0" xfId="0">
      <alignment vertical="center" wrapText="1"/>
    </xf>
    <xf numFmtId="0" fontId="0" fillId="3" borderId="1" pivotButton="0" quotePrefix="0" xfId="0"/>
    <xf numFmtId="0" fontId="6" fillId="3" borderId="1" applyAlignment="1" pivotButton="0" quotePrefix="0" xfId="0">
      <alignment wrapText="1"/>
    </xf>
    <xf numFmtId="0" fontId="0" fillId="0" borderId="1" pivotButton="0" quotePrefix="0" xfId="0"/>
    <xf numFmtId="0" fontId="3" fillId="0" borderId="1" applyAlignment="1" pivotButton="0" quotePrefix="0" xfId="0">
      <alignment horizontal="right"/>
    </xf>
    <xf numFmtId="164" fontId="9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7" borderId="1" pivotButton="0" quotePrefix="0" xfId="0"/>
    <xf numFmtId="3" fontId="7" fillId="7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 ht="36" customHeight="1">
      <c r="A1" s="1" t="inlineStr">
        <is>
          <t>7SUN CYPRUS — Monthly Operating Costs</t>
        </is>
      </c>
    </row>
    <row r="2" ht="22" customHeight="1">
      <c r="A2" s="2" t="inlineStr">
        <is>
          <t>Prepared: March 2026  |  JV: 7sun.eu (50%) + Lighthief International Ltd (50%)  |  Ypsonas, Limassol</t>
        </is>
      </c>
    </row>
    <row r="3">
      <c r="A3" s="3" t="inlineStr">
        <is>
          <t>Employer Social Contributions Rate:</t>
        </is>
      </c>
      <c r="C3" s="4" t="n">
        <v>0.154</v>
      </c>
    </row>
    <row r="5" ht="32" customHeight="1">
      <c r="A5" s="5" t="inlineStr">
        <is>
          <t>#</t>
        </is>
      </c>
      <c r="B5" s="5" t="inlineStr">
        <is>
          <t>Item</t>
        </is>
      </c>
      <c r="C5" s="5" t="inlineStr">
        <is>
          <t>Gross / Rate</t>
        </is>
      </c>
      <c r="D5" s="5" t="inlineStr">
        <is>
          <t>Employer Cost
(Gross × (1+C3))</t>
        </is>
      </c>
      <c r="E5" s="5" t="inlineStr">
        <is>
          <t>Monthly</t>
        </is>
      </c>
      <c r="F5" s="5" t="inlineStr">
        <is>
          <t>Annual
(Monthly × 12)</t>
        </is>
      </c>
    </row>
    <row r="6" ht="24" customHeight="1">
      <c r="A6" s="6" t="inlineStr">
        <is>
          <t>1. PERSONNEL</t>
        </is>
      </c>
      <c r="B6" s="7" t="n"/>
      <c r="C6" s="7" t="n"/>
      <c r="D6" s="7" t="n"/>
      <c r="E6" s="7" t="n"/>
      <c r="F6" s="7" t="n"/>
    </row>
    <row r="7">
      <c r="A7" s="8" t="inlineStr">
        <is>
          <t>1.1</t>
        </is>
      </c>
      <c r="B7" s="8" t="inlineStr">
        <is>
          <t>Director Fee — Alexander Papacosta (€2,000 net → ~€2,260 gross)</t>
        </is>
      </c>
      <c r="C7" s="9" t="n">
        <v>2260</v>
      </c>
      <c r="D7" s="10">
        <f>ROUND(C7*(1+$C$3),0)</f>
        <v/>
      </c>
      <c r="E7" s="10">
        <f>D7</f>
        <v/>
      </c>
      <c r="F7" s="10">
        <f>E7*12</f>
        <v/>
      </c>
    </row>
    <row r="8" ht="30" customHeight="1">
      <c r="A8" s="11" t="n"/>
      <c r="B8" s="12" t="inlineStr">
        <is>
          <t>€2,000 net → gross ~€2,260 after employee SI 8.8% + GESY 2.65%. Green cell = editable input.</t>
        </is>
      </c>
      <c r="C8" s="11" t="n"/>
      <c r="D8" s="11" t="n"/>
      <c r="E8" s="11" t="n"/>
      <c r="F8" s="11" t="n"/>
    </row>
    <row r="9">
      <c r="A9" s="8" t="inlineStr">
        <is>
          <t>1.2</t>
        </is>
      </c>
      <c r="B9" s="8" t="inlineStr">
        <is>
          <t>KAM — Andreas Christoforou (€2,500 gross)</t>
        </is>
      </c>
      <c r="C9" s="9" t="n">
        <v>2500</v>
      </c>
      <c r="D9" s="10">
        <f>ROUND(C9*(1+$C$3),0)</f>
        <v/>
      </c>
      <c r="E9" s="10">
        <f>D9</f>
        <v/>
      </c>
      <c r="F9" s="10">
        <f>E9*12</f>
        <v/>
      </c>
    </row>
    <row r="10">
      <c r="A10" s="13" t="inlineStr">
        <is>
          <t>1.3</t>
        </is>
      </c>
      <c r="B10" s="13" t="inlineStr">
        <is>
          <t>Warehouse Employee</t>
        </is>
      </c>
      <c r="C10" s="9" t="n">
        <v>2000</v>
      </c>
      <c r="D10" s="14">
        <f>ROUND(C10*(1+$C$3),0)</f>
        <v/>
      </c>
      <c r="E10" s="14">
        <f>D10</f>
        <v/>
      </c>
      <c r="F10" s="14">
        <f>E10*12</f>
        <v/>
      </c>
    </row>
    <row r="11">
      <c r="A11" s="8" t="inlineStr">
        <is>
          <t>1.4</t>
        </is>
      </c>
      <c r="B11" s="8" t="inlineStr">
        <is>
          <t>Delivery Driver</t>
        </is>
      </c>
      <c r="C11" s="9" t="n">
        <v>1400</v>
      </c>
      <c r="D11" s="10">
        <f>ROUND(C11*(1+$C$3),0)</f>
        <v/>
      </c>
      <c r="E11" s="10">
        <f>D11</f>
        <v/>
      </c>
      <c r="F11" s="10">
        <f>E11*12</f>
        <v/>
      </c>
    </row>
    <row r="12" ht="30" customHeight="1">
      <c r="A12" s="11" t="n"/>
      <c r="B12" s="12" t="inlineStr">
        <is>
          <t>If warehouse employee doubles as driver, set 1.4 gross to 0 and increase 1.3 to ~€2,300.</t>
        </is>
      </c>
      <c r="C12" s="11" t="n"/>
      <c r="D12" s="11" t="n"/>
      <c r="E12" s="11" t="n"/>
      <c r="F12" s="11" t="n"/>
    </row>
    <row r="13" ht="22" customHeight="1">
      <c r="A13" s="15" t="n"/>
      <c r="B13" s="15" t="inlineStr">
        <is>
          <t>SUBTOTAL PERSONNEL</t>
        </is>
      </c>
      <c r="C13" s="15" t="n"/>
      <c r="D13" s="15" t="n"/>
      <c r="E13" s="16">
        <f>SUM(E7:E12)</f>
        <v/>
      </c>
      <c r="F13" s="16">
        <f>E13*12</f>
        <v/>
      </c>
    </row>
    <row r="14" ht="8" customHeight="1"/>
    <row r="15" ht="24" customHeight="1">
      <c r="A15" s="6" t="inlineStr">
        <is>
          <t>2. PREMISES</t>
        </is>
      </c>
      <c r="B15" s="7" t="n"/>
      <c r="C15" s="7" t="n"/>
      <c r="D15" s="7" t="n"/>
      <c r="E15" s="7" t="n"/>
      <c r="F15" s="7" t="n"/>
    </row>
    <row r="16">
      <c r="A16" s="13" t="inlineStr">
        <is>
          <t>2.1</t>
        </is>
      </c>
      <c r="B16" s="13" t="inlineStr">
        <is>
          <t>Warehouse Rent (700 sqm, Ypsonas, Limassol)</t>
        </is>
      </c>
      <c r="C16" s="14" t="n"/>
      <c r="D16" s="14" t="n"/>
      <c r="E16" s="9" t="n">
        <v>8000</v>
      </c>
      <c r="F16" s="14">
        <f>E16*12</f>
        <v/>
      </c>
    </row>
    <row r="17">
      <c r="A17" s="8" t="inlineStr">
        <is>
          <t>2.2</t>
        </is>
      </c>
      <c r="B17" s="8" t="inlineStr">
        <is>
          <t>Utilities &amp; Office</t>
        </is>
      </c>
      <c r="C17" s="10" t="n"/>
      <c r="D17" s="10" t="n"/>
      <c r="E17" s="9" t="n">
        <v>800</v>
      </c>
      <c r="F17" s="10">
        <f>E17*12</f>
        <v/>
      </c>
    </row>
    <row r="18">
      <c r="A18" s="13" t="inlineStr">
        <is>
          <t>2.3</t>
        </is>
      </c>
      <c r="B18" s="13" t="inlineStr">
        <is>
          <t>Insurance &amp; Legal</t>
        </is>
      </c>
      <c r="C18" s="14" t="n"/>
      <c r="D18" s="14" t="n"/>
      <c r="E18" s="9" t="n">
        <v>500</v>
      </c>
      <c r="F18" s="14">
        <f>E18*12</f>
        <v/>
      </c>
    </row>
    <row r="19" ht="22" customHeight="1">
      <c r="A19" s="15" t="n"/>
      <c r="B19" s="15" t="inlineStr">
        <is>
          <t>SUBTOTAL PREMISES</t>
        </is>
      </c>
      <c r="C19" s="15" t="n"/>
      <c r="D19" s="15" t="n"/>
      <c r="E19" s="16">
        <f>SUM(E16:E18)</f>
        <v/>
      </c>
      <c r="F19" s="16">
        <f>E19*12</f>
        <v/>
      </c>
    </row>
    <row r="20" ht="8" customHeight="1"/>
    <row r="21" ht="24" customHeight="1">
      <c r="A21" s="6" t="inlineStr">
        <is>
          <t>3. DELIVERY &amp; LOGISTICS</t>
        </is>
      </c>
      <c r="B21" s="7" t="n"/>
      <c r="C21" s="7" t="n"/>
      <c r="D21" s="7" t="n"/>
      <c r="E21" s="7" t="n"/>
      <c r="F21" s="7" t="n"/>
    </row>
    <row r="22">
      <c r="A22" s="13" t="inlineStr">
        <is>
          <t>3.1</t>
        </is>
      </c>
      <c r="B22" s="13" t="inlineStr">
        <is>
          <t>Sprinter Van — Long-term Lease</t>
        </is>
      </c>
      <c r="C22" s="14" t="n"/>
      <c r="D22" s="14" t="n"/>
      <c r="E22" s="9" t="n">
        <v>1200</v>
      </c>
      <c r="F22" s="14">
        <f>E22*12</f>
        <v/>
      </c>
    </row>
    <row r="23" ht="30" customHeight="1">
      <c r="A23" s="11" t="n"/>
      <c r="B23" s="12" t="inlineStr">
        <is>
          <t>Competitors (Trikkis) offer free delivery island-wide — must match.</t>
        </is>
      </c>
      <c r="C23" s="11" t="n"/>
      <c r="D23" s="11" t="n"/>
      <c r="E23" s="11" t="n"/>
      <c r="F23" s="11" t="n"/>
    </row>
    <row r="24">
      <c r="A24" s="13" t="inlineStr">
        <is>
          <t>3.2</t>
        </is>
      </c>
      <c r="B24" s="13" t="inlineStr">
        <is>
          <t>Fuel (~1,500 km/mo island-wide deliveries)</t>
        </is>
      </c>
      <c r="C24" s="14" t="n"/>
      <c r="D24" s="14" t="n"/>
      <c r="E24" s="9" t="n">
        <v>350</v>
      </c>
      <c r="F24" s="14">
        <f>E24*12</f>
        <v/>
      </c>
    </row>
    <row r="25">
      <c r="A25" s="8" t="inlineStr">
        <is>
          <t>3.3</t>
        </is>
      </c>
      <c r="B25" s="8" t="inlineStr">
        <is>
          <t>Van Insurance + Maintenance</t>
        </is>
      </c>
      <c r="C25" s="10" t="n"/>
      <c r="D25" s="10" t="n"/>
      <c r="E25" s="9" t="n">
        <v>150</v>
      </c>
      <c r="F25" s="10">
        <f>E25*12</f>
        <v/>
      </c>
    </row>
    <row r="26" ht="22" customHeight="1">
      <c r="A26" s="15" t="n"/>
      <c r="B26" s="15" t="inlineStr">
        <is>
          <t>SUBTOTAL DELIVERY</t>
        </is>
      </c>
      <c r="C26" s="15" t="n"/>
      <c r="D26" s="15" t="n"/>
      <c r="E26" s="16">
        <f>SUM(E22:E25)</f>
        <v/>
      </c>
      <c r="F26" s="16">
        <f>E26*12</f>
        <v/>
      </c>
    </row>
    <row r="27" ht="30" customHeight="1">
      <c r="A27" s="11" t="n"/>
      <c r="B27" s="12" t="inlineStr">
        <is>
          <t>Driver salary included in Personnel (line 1.4).</t>
        </is>
      </c>
      <c r="C27" s="11" t="n"/>
      <c r="D27" s="11" t="n"/>
      <c r="E27" s="11" t="n"/>
      <c r="F27" s="11" t="n"/>
    </row>
    <row r="28" ht="8" customHeight="1"/>
    <row r="29" ht="24" customHeight="1">
      <c r="A29" s="6" t="inlineStr">
        <is>
          <t>4. MARKETING (per 7SUN Marketing Plan)</t>
        </is>
      </c>
      <c r="B29" s="7" t="n"/>
      <c r="C29" s="7" t="n"/>
      <c r="D29" s="7" t="n"/>
      <c r="E29" s="7" t="n"/>
      <c r="F29" s="7" t="n"/>
    </row>
    <row r="30">
      <c r="A30" s="13" t="inlineStr">
        <is>
          <t>4.1</t>
        </is>
      </c>
      <c r="B30" s="13" t="inlineStr">
        <is>
          <t>Meta Ads (Facebook + Instagram) — 9 campaigns</t>
        </is>
      </c>
      <c r="C30" s="14" t="n"/>
      <c r="D30" s="14" t="n"/>
      <c r="E30" s="9" t="n">
        <v>1700</v>
      </c>
      <c r="F30" s="14">
        <f>E30*12</f>
        <v/>
      </c>
    </row>
    <row r="31">
      <c r="A31" s="8" t="inlineStr">
        <is>
          <t>4.2</t>
        </is>
      </c>
      <c r="B31" s="8" t="inlineStr">
        <is>
          <t>Google Ads (Search + PMax + Display + YouTube) — 8 campaigns</t>
        </is>
      </c>
      <c r="C31" s="10" t="n"/>
      <c r="D31" s="10" t="n"/>
      <c r="E31" s="9" t="n">
        <v>1350</v>
      </c>
      <c r="F31" s="10">
        <f>E31*12</f>
        <v/>
      </c>
    </row>
    <row r="32">
      <c r="A32" s="13" t="inlineStr">
        <is>
          <t>4.3</t>
        </is>
      </c>
      <c r="B32" s="13" t="inlineStr">
        <is>
          <t>Google Display / YouTube</t>
        </is>
      </c>
      <c r="C32" s="14" t="n"/>
      <c r="D32" s="14" t="n"/>
      <c r="E32" s="9" t="n">
        <v>250</v>
      </c>
      <c r="F32" s="14">
        <f>E32*12</f>
        <v/>
      </c>
    </row>
    <row r="33">
      <c r="A33" s="8" t="inlineStr">
        <is>
          <t>4.4</t>
        </is>
      </c>
      <c r="B33" s="8" t="inlineStr">
        <is>
          <t>LinkedIn Ads</t>
        </is>
      </c>
      <c r="C33" s="10" t="n"/>
      <c r="D33" s="10" t="n"/>
      <c r="E33" s="9" t="n">
        <v>150</v>
      </c>
      <c r="F33" s="10">
        <f>E33*12</f>
        <v/>
      </c>
    </row>
    <row r="34">
      <c r="A34" s="13" t="inlineStr">
        <is>
          <t>4.5</t>
        </is>
      </c>
      <c r="B34" s="13" t="inlineStr">
        <is>
          <t>Buffer / Ad Testing</t>
        </is>
      </c>
      <c r="C34" s="14" t="n"/>
      <c r="D34" s="14" t="n"/>
      <c r="E34" s="9" t="n">
        <v>100</v>
      </c>
      <c r="F34" s="14">
        <f>E34*12</f>
        <v/>
      </c>
    </row>
    <row r="35">
      <c r="A35" s="8" t="inlineStr">
        <is>
          <t>4.6</t>
        </is>
      </c>
      <c r="B35" s="8" t="inlineStr">
        <is>
          <t>Non-Digital (content, events, training, samples)</t>
        </is>
      </c>
      <c r="C35" s="10" t="n"/>
      <c r="D35" s="10" t="n"/>
      <c r="E35" s="9" t="n">
        <v>750</v>
      </c>
      <c r="F35" s="10">
        <f>E35*12</f>
        <v/>
      </c>
    </row>
    <row r="36" ht="22" customHeight="1">
      <c r="A36" s="15" t="n"/>
      <c r="B36" s="15" t="inlineStr">
        <is>
          <t>SUBTOTAL MARKETING</t>
        </is>
      </c>
      <c r="C36" s="15" t="n"/>
      <c r="D36" s="15" t="n"/>
      <c r="E36" s="16">
        <f>SUM(E30:E35)</f>
        <v/>
      </c>
      <c r="F36" s="16">
        <f>E36*12</f>
        <v/>
      </c>
    </row>
    <row r="37" ht="30" customHeight="1">
      <c r="A37" s="11" t="n"/>
      <c r="B37" s="12" t="inlineStr">
        <is>
          <t>Phased: Pre-launch €4K/mo, Launch €6K/mo, Growth €4K/mo. €4,300 is the blended average.</t>
        </is>
      </c>
      <c r="C37" s="11" t="n"/>
      <c r="D37" s="11" t="n"/>
      <c r="E37" s="11" t="n"/>
      <c r="F37" s="11" t="n"/>
    </row>
    <row r="38" ht="8" customHeight="1"/>
    <row r="39" ht="24" customHeight="1">
      <c r="A39" s="6" t="inlineStr">
        <is>
          <t>5. WEBSITE &amp; TECHNOLOGY</t>
        </is>
      </c>
      <c r="B39" s="7" t="n"/>
      <c r="C39" s="7" t="n"/>
      <c r="D39" s="7" t="n"/>
      <c r="E39" s="7" t="n"/>
      <c r="F39" s="7" t="n"/>
    </row>
    <row r="40">
      <c r="A40" s="13" t="inlineStr">
        <is>
          <t>5.1</t>
        </is>
      </c>
      <c r="B40" s="13" t="inlineStr">
        <is>
          <t>Infrastructure (Vercel, Railway, Supabase, Cloudflare, Meilisearch)</t>
        </is>
      </c>
      <c r="C40" s="14" t="n"/>
      <c r="D40" s="14" t="n"/>
      <c r="E40" s="9" t="n">
        <v>147</v>
      </c>
      <c r="F40" s="14">
        <f>E40*12</f>
        <v/>
      </c>
    </row>
    <row r="41">
      <c r="A41" s="8" t="inlineStr">
        <is>
          <t>5.2</t>
        </is>
      </c>
      <c r="B41" s="8" t="inlineStr">
        <is>
          <t>AI Services (OpenAI chatbot, ElevenLabs voice, Twilio phone)</t>
        </is>
      </c>
      <c r="C41" s="10" t="n"/>
      <c r="D41" s="10" t="n"/>
      <c r="E41" s="9" t="n">
        <v>269</v>
      </c>
      <c r="F41" s="10">
        <f>E41*12</f>
        <v/>
      </c>
    </row>
    <row r="42">
      <c r="A42" s="13" t="inlineStr">
        <is>
          <t>5.3</t>
        </is>
      </c>
      <c r="B42" s="13" t="inlineStr">
        <is>
          <t>Email / Newsletter (Klaviyo)</t>
        </is>
      </c>
      <c r="C42" s="14" t="n"/>
      <c r="D42" s="14" t="n"/>
      <c r="E42" s="9" t="n">
        <v>65</v>
      </c>
      <c r="F42" s="14">
        <f>E42*12</f>
        <v/>
      </c>
    </row>
    <row r="43">
      <c r="A43" s="8" t="inlineStr">
        <is>
          <t>5.4</t>
        </is>
      </c>
      <c r="B43" s="8" t="inlineStr">
        <is>
          <t>Website Management &amp; AI Oversight</t>
        </is>
      </c>
      <c r="C43" s="10" t="n"/>
      <c r="D43" s="10" t="n"/>
      <c r="E43" s="9" t="n">
        <v>500</v>
      </c>
      <c r="F43" s="10">
        <f>E43*12</f>
        <v/>
      </c>
    </row>
    <row r="44" ht="22" customHeight="1">
      <c r="A44" s="15" t="n"/>
      <c r="B44" s="15" t="inlineStr">
        <is>
          <t>SUBTOTAL WEBSITE</t>
        </is>
      </c>
      <c r="C44" s="15" t="n"/>
      <c r="D44" s="15" t="n"/>
      <c r="E44" s="16">
        <f>SUM(E40:E43)</f>
        <v/>
      </c>
      <c r="F44" s="16">
        <f>E44*12</f>
        <v/>
      </c>
    </row>
    <row r="45" ht="8" customHeight="1"/>
    <row r="46" ht="24" customHeight="1">
      <c r="A46" s="6" t="inlineStr">
        <is>
          <t>6. PROFESSIONAL SERVICES</t>
        </is>
      </c>
      <c r="B46" s="7" t="n"/>
      <c r="C46" s="7" t="n"/>
      <c r="D46" s="7" t="n"/>
      <c r="E46" s="7" t="n"/>
      <c r="F46" s="7" t="n"/>
    </row>
    <row r="47">
      <c r="A47" s="8" t="inlineStr">
        <is>
          <t>6.1</t>
        </is>
      </c>
      <c r="B47" s="8" t="inlineStr">
        <is>
          <t>Accountants / Admin</t>
        </is>
      </c>
      <c r="C47" s="10" t="n"/>
      <c r="D47" s="10" t="n"/>
      <c r="E47" s="9" t="n">
        <v>600</v>
      </c>
      <c r="F47" s="10">
        <f>E47*12</f>
        <v/>
      </c>
    </row>
    <row r="48" ht="22" customHeight="1">
      <c r="A48" s="15" t="n"/>
      <c r="B48" s="15" t="inlineStr">
        <is>
          <t>SUBTOTAL PROFESSIONAL SERVICES</t>
        </is>
      </c>
      <c r="C48" s="15" t="n"/>
      <c r="D48" s="15" t="n"/>
      <c r="E48" s="16">
        <f>SUM(E47:E47)</f>
        <v/>
      </c>
      <c r="F48" s="16">
        <f>E48*12</f>
        <v/>
      </c>
    </row>
    <row r="49" ht="8" customHeight="1"/>
    <row r="50" ht="8" customHeight="1"/>
    <row r="51" ht="30" customHeight="1">
      <c r="A51" s="17" t="inlineStr">
        <is>
          <t>TOTAL MONTHLY OPERATING COSTS</t>
        </is>
      </c>
      <c r="B51" s="18" t="n"/>
      <c r="C51" s="18" t="n"/>
      <c r="D51" s="18" t="n"/>
      <c r="E51" s="19">
        <f>E13+E19+E26+E36+E44+E48</f>
        <v/>
      </c>
      <c r="F51" s="19">
        <f>E51*12</f>
        <v/>
      </c>
    </row>
    <row r="52" ht="8" customHeight="1"/>
    <row r="53" ht="8" customHeight="1"/>
    <row r="54" ht="24" customHeight="1">
      <c r="A54" s="6" t="inlineStr">
        <is>
          <t>BREAK-EVEN ANALYSIS</t>
        </is>
      </c>
      <c r="B54" s="7" t="n"/>
      <c r="C54" s="7" t="n"/>
      <c r="D54" s="7" t="n"/>
      <c r="E54" s="7" t="n"/>
      <c r="F54" s="7" t="n"/>
    </row>
    <row r="55">
      <c r="A55" s="8" t="n"/>
      <c r="B55" s="8" t="inlineStr">
        <is>
          <t>Gross Margin on External Sales</t>
        </is>
      </c>
      <c r="C55" s="8" t="n"/>
      <c r="D55" s="8" t="n"/>
      <c r="E55" s="20" t="n">
        <v>0.373</v>
      </c>
      <c r="F55" s="8" t="n"/>
    </row>
    <row r="56">
      <c r="A56" s="8" t="n"/>
      <c r="B56" s="8" t="inlineStr">
        <is>
          <t>Monthly OPEX (from above)</t>
        </is>
      </c>
      <c r="C56" s="8" t="n"/>
      <c r="D56" s="8" t="n"/>
      <c r="E56" s="10">
        <f>E51</f>
        <v/>
      </c>
      <c r="F56" s="8" t="n"/>
    </row>
    <row r="57">
      <c r="A57" s="15" t="n"/>
      <c r="B57" s="15" t="inlineStr">
        <is>
          <t>Break-even External Revenue (monthly)</t>
        </is>
      </c>
      <c r="C57" s="15" t="n"/>
      <c r="D57" s="15" t="n"/>
      <c r="E57" s="16">
        <f>ROUND(E51/E55,0)</f>
        <v/>
      </c>
      <c r="F57" s="15" t="n"/>
    </row>
    <row r="58">
      <c r="A58" s="8" t="n"/>
      <c r="B58" s="8" t="inlineStr">
        <is>
          <t>Business Plan Target Revenue (monthly)</t>
        </is>
      </c>
      <c r="C58" s="8" t="n"/>
      <c r="D58" s="8" t="n"/>
      <c r="E58" s="9" t="n">
        <v>74000</v>
      </c>
      <c r="F58" s="8" t="n"/>
    </row>
    <row r="59">
      <c r="A59" s="21" t="n"/>
      <c r="B59" s="21" t="inlineStr">
        <is>
          <t>Headroom / (Shortfall) vs Target</t>
        </is>
      </c>
      <c r="C59" s="21" t="n"/>
      <c r="D59" s="21" t="n"/>
      <c r="E59" s="22">
        <f>E58-E57</f>
        <v/>
      </c>
      <c r="F59" s="21" t="n"/>
    </row>
    <row r="60">
      <c r="A60" s="15" t="n"/>
      <c r="B60" s="15" t="inlineStr">
        <is>
          <t>Projected EBITDA at Target Revenue</t>
        </is>
      </c>
      <c r="C60" s="15" t="n"/>
      <c r="D60" s="15" t="n"/>
      <c r="E60" s="16">
        <f>ROUND(E58*E55-E51,0)</f>
        <v/>
      </c>
      <c r="F60" s="16">
        <f>E60*12</f>
        <v/>
      </c>
    </row>
    <row r="62" ht="24" customHeight="1">
      <c r="A62" s="6" t="inlineStr">
        <is>
          <t>50/50 JV COST SPLIT</t>
        </is>
      </c>
      <c r="B62" s="7" t="n"/>
      <c r="C62" s="7" t="n"/>
      <c r="D62" s="7" t="n"/>
      <c r="E62" s="7" t="n"/>
      <c r="F62" s="7" t="n"/>
    </row>
    <row r="63">
      <c r="A63" s="21" t="n"/>
      <c r="B63" s="21" t="inlineStr">
        <is>
          <t>Total Monthly OPEX</t>
        </is>
      </c>
      <c r="C63" s="21" t="n"/>
      <c r="D63" s="21" t="n"/>
      <c r="E63" s="22">
        <f>E51</f>
        <v/>
      </c>
      <c r="F63" s="22">
        <f>E63*12</f>
        <v/>
      </c>
    </row>
    <row r="64">
      <c r="A64" s="8" t="n"/>
      <c r="B64" s="8" t="inlineStr">
        <is>
          <t>7sun.eu Share (50%)</t>
        </is>
      </c>
      <c r="C64" s="8" t="n"/>
      <c r="D64" s="8" t="n"/>
      <c r="E64" s="10">
        <f>ROUND(E63/2,0)</f>
        <v/>
      </c>
      <c r="F64" s="10">
        <f>E64*12</f>
        <v/>
      </c>
    </row>
    <row r="65">
      <c r="A65" s="8" t="n"/>
      <c r="B65" s="8" t="inlineStr">
        <is>
          <t>Lighthief International Ltd Share (50%)</t>
        </is>
      </c>
      <c r="C65" s="8" t="n"/>
      <c r="D65" s="8" t="n"/>
      <c r="E65" s="10">
        <f>ROUND(E63/2,0)</f>
        <v/>
      </c>
      <c r="F65" s="10">
        <f>E65*12</f>
        <v/>
      </c>
    </row>
    <row r="67" ht="24" customHeight="1">
      <c r="A67" s="6" t="inlineStr">
        <is>
          <t>VARIANCE vs ORIGINAL BUSINESS PLAN P&amp;L</t>
        </is>
      </c>
      <c r="B67" s="7" t="n"/>
      <c r="C67" s="7" t="n"/>
      <c r="D67" s="7" t="n"/>
      <c r="E67" s="7" t="n"/>
      <c r="F67" s="7" t="n"/>
    </row>
    <row r="68">
      <c r="A68" s="8" t="n"/>
      <c r="B68" s="8" t="inlineStr">
        <is>
          <t>Original P&amp;L OPEX (Business Plan)</t>
        </is>
      </c>
      <c r="C68" s="8" t="n"/>
      <c r="D68" s="8" t="n"/>
      <c r="E68" s="9" t="n">
        <v>18764</v>
      </c>
      <c r="F68" s="10">
        <f>E68*12</f>
        <v/>
      </c>
    </row>
    <row r="69">
      <c r="A69" s="8" t="n"/>
      <c r="B69" s="8" t="inlineStr">
        <is>
          <t>Revised OPEX (this sheet)</t>
        </is>
      </c>
      <c r="C69" s="8" t="n"/>
      <c r="D69" s="8" t="n"/>
      <c r="E69" s="10">
        <f>E51</f>
        <v/>
      </c>
      <c r="F69" s="10">
        <f>E69*12</f>
        <v/>
      </c>
    </row>
    <row r="70">
      <c r="A70" s="15" t="n"/>
      <c r="B70" s="15" t="inlineStr">
        <is>
          <t>Increase / (Decrease)</t>
        </is>
      </c>
      <c r="C70" s="15" t="n"/>
      <c r="D70" s="15" t="n"/>
      <c r="E70" s="16">
        <f>E69-E68</f>
        <v/>
      </c>
      <c r="F70" s="16">
        <f>E70*12</f>
        <v/>
      </c>
    </row>
    <row r="72" ht="30" customHeight="1">
      <c r="A72" s="23" t="n"/>
      <c r="B72" s="24" t="inlineStr">
        <is>
          <t>GREEN CELLS = editable inputs. All subtotals, grand total, break-even, JV split, and annual columns update automatically via formulas.</t>
        </is>
      </c>
      <c r="C72" s="25" t="n"/>
      <c r="D72" s="25" t="n"/>
      <c r="E72" s="25" t="n"/>
      <c r="F72" s="25" t="n"/>
    </row>
  </sheetData>
  <mergeCells count="19">
    <mergeCell ref="A54:F54"/>
    <mergeCell ref="A46:F46"/>
    <mergeCell ref="B72:F72"/>
    <mergeCell ref="A21:F21"/>
    <mergeCell ref="B27:F27"/>
    <mergeCell ref="A2:F2"/>
    <mergeCell ref="B12:F12"/>
    <mergeCell ref="B23:F23"/>
    <mergeCell ref="A62:F62"/>
    <mergeCell ref="A51:D51"/>
    <mergeCell ref="B8:F8"/>
    <mergeCell ref="A3:B3"/>
    <mergeCell ref="A29:F29"/>
    <mergeCell ref="A67:F67"/>
    <mergeCell ref="B37:F37"/>
    <mergeCell ref="A39:F39"/>
    <mergeCell ref="A15:F15"/>
    <mergeCell ref="A1:F1"/>
    <mergeCell ref="A6:F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36" customHeight="1">
      <c r="A1" s="1" t="inlineStr">
        <is>
          <t>7SUN CYPRUS — Social Insurance &amp; Employer Cost Breakdown</t>
        </is>
      </c>
    </row>
    <row r="3">
      <c r="A3" s="25" t="n"/>
      <c r="B3" s="26" t="inlineStr">
        <is>
          <t>Rate →</t>
        </is>
      </c>
      <c r="C3" s="25" t="n"/>
      <c r="D3" s="27" t="n">
        <v>0.08799999999999999</v>
      </c>
      <c r="E3" s="27" t="n">
        <v>0.012</v>
      </c>
      <c r="F3" s="27" t="n">
        <v>0.005</v>
      </c>
      <c r="G3" s="27" t="n">
        <v>0.02</v>
      </c>
      <c r="H3" s="27" t="n">
        <v>0.029</v>
      </c>
      <c r="I3" s="25" t="n"/>
    </row>
    <row r="4" ht="40" customHeight="1">
      <c r="A4" s="5" t="inlineStr">
        <is>
          <t>#</t>
        </is>
      </c>
      <c r="B4" s="5" t="inlineStr">
        <is>
          <t>Employee</t>
        </is>
      </c>
      <c r="C4" s="5" t="inlineStr">
        <is>
          <t>Gross</t>
        </is>
      </c>
      <c r="D4" s="5" t="inlineStr">
        <is>
          <t>SI 8.8%</t>
        </is>
      </c>
      <c r="E4" s="5" t="inlineStr">
        <is>
          <t>Redundancy
1.2%</t>
        </is>
      </c>
      <c r="F4" s="5" t="inlineStr">
        <is>
          <t>Training
0.5%</t>
        </is>
      </c>
      <c r="G4" s="5" t="inlineStr">
        <is>
          <t>Social Coh.
2.0%</t>
        </is>
      </c>
      <c r="H4" s="5" t="inlineStr">
        <is>
          <t>GHS 2.9%</t>
        </is>
      </c>
      <c r="I4" s="5" t="inlineStr">
        <is>
          <t>Total
Employer Cost</t>
        </is>
      </c>
    </row>
    <row r="5">
      <c r="A5" s="8" t="inlineStr">
        <is>
          <t>1</t>
        </is>
      </c>
      <c r="B5" s="8" t="inlineStr">
        <is>
          <t>Director — Alex (€2K net → ~€2,260 gross)</t>
        </is>
      </c>
      <c r="C5" s="28" t="n">
        <v>2260</v>
      </c>
      <c r="D5" s="10">
        <f>ROUND(C5*D$3,0)</f>
        <v/>
      </c>
      <c r="E5" s="10">
        <f>ROUND(C5*E$3,0)</f>
        <v/>
      </c>
      <c r="F5" s="10">
        <f>ROUND(C5*F$3,0)</f>
        <v/>
      </c>
      <c r="G5" s="10">
        <f>ROUND(C5*G$3,0)</f>
        <v/>
      </c>
      <c r="H5" s="10">
        <f>ROUND(C5*H$3,0)</f>
        <v/>
      </c>
      <c r="I5" s="10">
        <f>C5+SUM(D5:H5)</f>
        <v/>
      </c>
    </row>
    <row r="6">
      <c r="A6" s="13" t="inlineStr">
        <is>
          <t>2</t>
        </is>
      </c>
      <c r="B6" s="13" t="inlineStr">
        <is>
          <t>KAM — Andreas (€2,500 gross)</t>
        </is>
      </c>
      <c r="C6" s="28" t="n">
        <v>2500</v>
      </c>
      <c r="D6" s="14">
        <f>ROUND(C6*D$3,0)</f>
        <v/>
      </c>
      <c r="E6" s="14">
        <f>ROUND(C6*E$3,0)</f>
        <v/>
      </c>
      <c r="F6" s="14">
        <f>ROUND(C6*F$3,0)</f>
        <v/>
      </c>
      <c r="G6" s="14">
        <f>ROUND(C6*G$3,0)</f>
        <v/>
      </c>
      <c r="H6" s="14">
        <f>ROUND(C6*H$3,0)</f>
        <v/>
      </c>
      <c r="I6" s="14">
        <f>C6+SUM(D6:H6)</f>
        <v/>
      </c>
    </row>
    <row r="7">
      <c r="A7" s="8" t="inlineStr">
        <is>
          <t>3</t>
        </is>
      </c>
      <c r="B7" s="8" t="inlineStr">
        <is>
          <t>Warehouse Employee (€2,000 gross)</t>
        </is>
      </c>
      <c r="C7" s="28" t="n">
        <v>2000</v>
      </c>
      <c r="D7" s="10">
        <f>ROUND(C7*D$3,0)</f>
        <v/>
      </c>
      <c r="E7" s="10">
        <f>ROUND(C7*E$3,0)</f>
        <v/>
      </c>
      <c r="F7" s="10">
        <f>ROUND(C7*F$3,0)</f>
        <v/>
      </c>
      <c r="G7" s="10">
        <f>ROUND(C7*G$3,0)</f>
        <v/>
      </c>
      <c r="H7" s="10">
        <f>ROUND(C7*H$3,0)</f>
        <v/>
      </c>
      <c r="I7" s="10">
        <f>C7+SUM(D7:H7)</f>
        <v/>
      </c>
    </row>
    <row r="8">
      <c r="A8" s="13" t="inlineStr">
        <is>
          <t>4</t>
        </is>
      </c>
      <c r="B8" s="13" t="inlineStr">
        <is>
          <t>Delivery Driver (€1,400 gross)</t>
        </is>
      </c>
      <c r="C8" s="28" t="n">
        <v>1400</v>
      </c>
      <c r="D8" s="14">
        <f>ROUND(C8*D$3,0)</f>
        <v/>
      </c>
      <c r="E8" s="14">
        <f>ROUND(C8*E$3,0)</f>
        <v/>
      </c>
      <c r="F8" s="14">
        <f>ROUND(C8*F$3,0)</f>
        <v/>
      </c>
      <c r="G8" s="14">
        <f>ROUND(C8*G$3,0)</f>
        <v/>
      </c>
      <c r="H8" s="14">
        <f>ROUND(C8*H$3,0)</f>
        <v/>
      </c>
      <c r="I8" s="14">
        <f>C8+SUM(D8:H8)</f>
        <v/>
      </c>
    </row>
    <row r="9">
      <c r="A9" s="29" t="n"/>
      <c r="B9" s="29" t="inlineStr">
        <is>
          <t>TOTAL</t>
        </is>
      </c>
      <c r="C9" s="30">
        <f>SUM(C5:C8)</f>
        <v/>
      </c>
      <c r="D9" s="30">
        <f>SUM(D5:D8)</f>
        <v/>
      </c>
      <c r="E9" s="30">
        <f>SUM(E5:E8)</f>
        <v/>
      </c>
      <c r="F9" s="30">
        <f>SUM(F5:F8)</f>
        <v/>
      </c>
      <c r="G9" s="30">
        <f>SUM(G5:G8)</f>
        <v/>
      </c>
      <c r="H9" s="30">
        <f>SUM(H5:H8)</f>
        <v/>
      </c>
      <c r="I9" s="30">
        <f>SUM(I5:I8)</f>
        <v/>
      </c>
    </row>
    <row r="11" ht="28" customHeight="1">
      <c r="B11" s="31" t="inlineStr">
        <is>
          <t>Cyprus employer contributions: SI 8.8% + Redundancy 1.2% + Training 0.5% + Social Cohesion 2.0% + GHS/GESY 2.9% = 15.4% total.</t>
        </is>
      </c>
    </row>
    <row r="12" ht="28" customHeight="1">
      <c r="B12" s="31" t="inlineStr">
        <is>
          <t>Employee deductions (not company cost): SI 8.8% + GESY 2.65% + PAYE income tax.</t>
        </is>
      </c>
    </row>
    <row r="13" ht="28" customHeight="1">
      <c r="B13" s="31" t="inlineStr">
        <is>
          <t>Accountant: Timkas (gabriel@timkas.net) — handles SI, GESY, PAYE, monthly TD7 declarations.</t>
        </is>
      </c>
    </row>
    <row r="14" ht="28" customHeight="1">
      <c r="B14" s="31" t="inlineStr">
        <is>
          <t>GREEN CELLS = editable inputs. Change gross salaries or rates and totals update automatically.</t>
        </is>
      </c>
    </row>
  </sheetData>
  <mergeCells count="5">
    <mergeCell ref="B12:I12"/>
    <mergeCell ref="B13:I13"/>
    <mergeCell ref="B11:I11"/>
    <mergeCell ref="A1:I1"/>
    <mergeCell ref="B14:I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2026-03-23T14:10:01Z</dcterms:created>
  <dcterms:modified xmlns:dcterms="http://purl.org/dc/terms/" xmlns:xsi="http://www.w3.org/2001/XMLSchema-instance" xsi:type="dcterms:W3CDTF">2026-03-23T14:10:01Z</dcterms:modified>
</cp:coreProperties>
</file>