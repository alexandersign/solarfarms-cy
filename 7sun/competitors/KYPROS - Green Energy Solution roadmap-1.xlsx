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rter price analysis BayWa" sheetId="1" r:id="rId4"/>
    <sheet state="visible" name="Inverter price analysis Krannic" sheetId="2" r:id="rId5"/>
    <sheet state="hidden" name="Inverter price analysis Energy3" sheetId="3" r:id="rId6"/>
    <sheet state="visible" name="Panels GM calculation for CY" sheetId="4" r:id="rId7"/>
    <sheet state="visible" name="Shipping Costs" sheetId="5" r:id="rId8"/>
    <sheet state="visible" name="ALL DATA &amp; IT4PROFIT" sheetId="6" r:id="rId9"/>
    <sheet state="visible" name="PV companies&amp;installers CY" sheetId="7" r:id="rId10"/>
    <sheet state="visible" name="Products" sheetId="8" r:id="rId11"/>
    <sheet state="visible" name="Forecast" sheetId="9" r:id="rId12"/>
    <sheet state="hidden" name="CY Targets based on IT4profit" sheetId="10" r:id="rId13"/>
    <sheet state="visible" name="Tier1 Panels &amp; Inverters" sheetId="11" r:id="rId14"/>
  </sheets>
  <externalReferences>
    <externalReference r:id="rId15"/>
  </externalReferences>
  <definedNames>
    <definedName name="CANYON">#REF!</definedName>
    <definedName name="TP_LINK">#REF!</definedName>
    <definedName name="DELL">#REF!</definedName>
    <definedName name="GENERIC">#REF!</definedName>
    <definedName name="SEAGATE">#REF!</definedName>
    <definedName name="DELL_EMC">#REF!</definedName>
    <definedName name="MANTA_MULTIMEDIA">#REF!</definedName>
    <definedName name="PRESTIGIO">#REF!</definedName>
    <definedName name="PERENIO">#REF!</definedName>
    <definedName name="LOGITECH">#REF!</definedName>
    <definedName name="APPLE">#REF!</definedName>
  </definedNames>
  <calcPr/>
  <extLst>
    <ext uri="GoogleSheetsCustomDataVersion2">
      <go:sheetsCustomData xmlns:go="http://customooxmlschemas.google.com/" r:id="rId16" roundtripDataChecksum="ao9YrSbJoEUR6nBPeEF+37AW6zlOsQWcGCAXckX6Vi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">
      <text>
        <t xml:space="preserve">======
ID#AAABvY0iqqY
PLSM Green Energy Solutions Costas Hadjikyriacou    (2026-02-12 08:39:00)
*distr.price+freight</t>
      </text>
    </comment>
    <comment authorId="0" ref="F106">
      <text>
        <t xml:space="preserve">======
ID#AAABvY0iqpw
    (2026-02-12 08:39:00)
price to forwarder warehouse in Lim</t>
      </text>
    </comment>
    <comment authorId="0" ref="F105">
      <text>
        <t xml:space="preserve">======
ID#AAABvY0iqps
    (2026-02-12 08:39:00)
price to forwarder warehouse in Lim</t>
      </text>
    </comment>
  </commentList>
  <extLst>
    <ext uri="GoogleSheetsCustomDataVersion2">
      <go:sheetsCustomData xmlns:go="http://customooxmlschemas.google.com/" r:id="rId1" roundtripDataSignature="AMtx7miCaAkXmWbPC80KwNoriG0U8tZhq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">
      <text>
        <t xml:space="preserve">======
ID#AAABvY0iqqw
    (2026-02-12 08:39:00)
+ POSR</t>
      </text>
    </comment>
    <comment authorId="0" ref="G3">
      <text>
        <t xml:space="preserve">======
ID#AAABvY0iqrA
    (2026-02-12 08:39:00)
*distr.price+freight</t>
      </text>
    </comment>
  </commentList>
  <extLst>
    <ext uri="GoogleSheetsCustomDataVersion2">
      <go:sheetsCustomData xmlns:go="http://customooxmlschemas.google.com/" r:id="rId1" roundtripDataSignature="AMtx7mhBWOtFmh626hEN3k/S77i+2hfJz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">
      <text>
        <t xml:space="preserve">======
ID#AAABvY0iqpE
PLSM Green Energy Solutions Costas Hadjikyriacou    (2026-02-12 08:39:00)
*distr.price+freight</t>
      </text>
    </comment>
  </commentList>
  <extLst>
    <ext uri="GoogleSheetsCustomDataVersion2">
      <go:sheetsCustomData xmlns:go="http://customooxmlschemas.google.com/" r:id="rId1" roundtripDataSignature="AMtx7mgKsDdcEVIeR5jrvVswwSwAvW+gy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4">
      <text>
        <t xml:space="preserve">======
ID#AAABvY0iqrg
    (2026-02-12 08:39:00)
incl. shipping</t>
      </text>
    </comment>
    <comment authorId="0" ref="B35">
      <text>
        <t xml:space="preserve">======
ID#AAABvY0iqrk
Virág Szilárd    (2026-02-12 08:39:00)
All Black</t>
      </text>
    </comment>
    <comment authorId="0" ref="B11">
      <text>
        <t xml:space="preserve">======
ID#AAABvY0iqrc
Virág Szilárd    (2026-02-12 08:39:00)
Black Frame, Front white</t>
      </text>
    </comment>
    <comment authorId="0" ref="B48">
      <text>
        <t xml:space="preserve">======
ID#AAABvY0iqrQ
Virág Szilárd    (2026-02-12 08:39:00)
Black Frame, Front white</t>
      </text>
    </comment>
    <comment authorId="0" ref="B33">
      <text>
        <t xml:space="preserve">======
ID#AAABvY0iqrU
Virág Szilárd    (2026-02-12 08:39:00)
Black Frame, Front white</t>
      </text>
    </comment>
    <comment authorId="0" ref="K24">
      <text>
        <t xml:space="preserve">======
ID#AAABvY0iqq0
    (2026-02-12 08:39:00)
incl. POSR + shipp.</t>
      </text>
    </comment>
    <comment authorId="0" ref="B13">
      <text>
        <t xml:space="preserve">======
ID#AAABvY0iqqo
Virág Szilárd    (2026-02-12 08:39:00)
All Black</t>
      </text>
    </comment>
    <comment authorId="0" ref="B38">
      <text>
        <t xml:space="preserve">======
ID#AAABvY0iqq4
Virág Szilárd    (2026-02-12 08:39:00)
Black Frame / Transparent</t>
      </text>
    </comment>
    <comment authorId="0" ref="B37">
      <text>
        <t xml:space="preserve">======
ID#AAABvY0iqqs
Virág Szilárd    (2026-02-12 08:39:00)
All Black</t>
      </text>
    </comment>
    <comment authorId="0" ref="B36">
      <text>
        <t xml:space="preserve">======
ID#AAABvY0iqrM
Virág Szilárd    (2026-02-12 08:39:00)
All Black</t>
      </text>
    </comment>
    <comment authorId="0" ref="B6">
      <text>
        <t xml:space="preserve">======
ID#AAABvY0iqrE
Virág Szilárd    (2026-02-12 08:39:00)
All Black</t>
      </text>
    </comment>
    <comment authorId="0" ref="B29">
      <text>
        <t xml:space="preserve">======
ID#AAABvY0iqqM
Virág Szilárd    (2026-02-12 08:39:00)
Silver / White</t>
      </text>
    </comment>
    <comment authorId="0" ref="B27">
      <text>
        <t xml:space="preserve">======
ID#AAABvY0iqqQ
Virág Szilárd    (2026-02-12 08:39:00)
All Black</t>
      </text>
    </comment>
    <comment authorId="0" ref="B34">
      <text>
        <t xml:space="preserve">======
ID#AAABvY0iqqE
Virág Szilárd    (2026-02-12 08:39:00)
Silver Frame / White</t>
      </text>
    </comment>
    <comment authorId="0" ref="B31">
      <text>
        <t xml:space="preserve">======
ID#AAABvY0iqqg
Virág Szilárd    (2026-02-12 08:39:00)
All Black</t>
      </text>
    </comment>
    <comment authorId="0" ref="B14">
      <text>
        <t xml:space="preserve">======
ID#AAABvY0iqqc
Virág Szilárd    (2026-02-12 08:39:00)
All Black</t>
      </text>
    </comment>
    <comment authorId="0" ref="B12">
      <text>
        <t xml:space="preserve">======
ID#AAABvY0iqp4
Virág Szilárd    (2026-02-12 08:39:00)
Silver Frame / White</t>
      </text>
    </comment>
    <comment authorId="0" ref="B9">
      <text>
        <t xml:space="preserve">======
ID#AAABvY0iqp8
Virág Szilárd    (2026-02-12 08:39:00)
All Black</t>
      </text>
    </comment>
    <comment authorId="0" ref="B28">
      <text>
        <t xml:space="preserve">======
ID#AAABvY0iqp0
Virág Szilárd    (2026-02-12 08:39:00)
All Black</t>
      </text>
    </comment>
    <comment authorId="0" ref="B8">
      <text>
        <t xml:space="preserve">======
ID#AAABvY0iqpg
Virág Szilárd    (2026-02-12 08:39:00)
Silver / White</t>
      </text>
    </comment>
    <comment authorId="0" ref="B30">
      <text>
        <t xml:space="preserve">======
ID#AAABvY0iqqA
Virág Szilárd    (2026-02-12 08:39:00)
All Black</t>
      </text>
    </comment>
    <comment authorId="0" ref="B5">
      <text>
        <t xml:space="preserve">======
ID#AAABvY0iqpc
Virág Szilárd    (2026-02-12 08:39:00)
Black Frame / White</t>
      </text>
    </comment>
    <comment authorId="0" ref="B15">
      <text>
        <t xml:space="preserve">======
ID#AAABvY0iqpU
Virág Szilárd    (2026-02-12 08:39:00)
Black Frame / Transparent</t>
      </text>
    </comment>
    <comment authorId="0" ref="B26">
      <text>
        <t xml:space="preserve">======
ID#AAABvY0iqo8
Virág Szilárd    (2026-02-12 08:39:00)
Black Frame / White</t>
      </text>
    </comment>
    <comment authorId="0" ref="B32">
      <text>
        <t xml:space="preserve">======
ID#AAABvY0iqpM
Virág Szilárd    (2026-02-12 08:39:00)
All Black</t>
      </text>
    </comment>
    <comment authorId="0" ref="B10">
      <text>
        <t xml:space="preserve">======
ID#AAABvY0iqpQ
Virág Szilárd    (2026-02-12 08:39:00)
All Black</t>
      </text>
    </comment>
    <comment authorId="0" ref="B7">
      <text>
        <t xml:space="preserve">======
ID#AAABvY0iqpI
Virág Szilárd    (2026-02-12 08:39:00)
All Black</t>
      </text>
    </comment>
    <comment authorId="0" ref="B44">
      <text>
        <t xml:space="preserve">======
ID#AAABvY0iqpA
Virág Szilárd    (2026-02-12 08:39:00)
Black Frame, Front white</t>
      </text>
    </comment>
  </commentList>
  <extLst>
    <ext uri="GoogleSheetsCustomDataVersion2">
      <go:sheetsCustomData xmlns:go="http://customooxmlschemas.google.com/" r:id="rId1" roundtripDataSignature="AMtx7mjqdaEM408zewBxLSAaNcAGN88g/g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I2">
      <text>
        <t xml:space="preserve">======
ID#AAABvY0iqrw
    (2026-02-12 08:39:00)
Width x Height x Depth</t>
      </text>
    </comment>
    <comment authorId="0" ref="AN2">
      <text>
        <t xml:space="preserve">======
ID#AAABvY0iqro
    (2026-02-12 08:39:00)
Width x Height x Depth</t>
      </text>
    </comment>
    <comment authorId="0" ref="AA2">
      <text>
        <t xml:space="preserve">======
ID#AAABvY0iqrs
    (2026-02-12 08:39:00)
Manufacturer and link to Manufacturer site</t>
      </text>
    </comment>
    <comment authorId="0" ref="AB2">
      <text>
        <t xml:space="preserve">======
ID#AAABvY0iqrY
    (2026-02-12 08:39:00)
Product type for this product</t>
      </text>
    </comment>
    <comment authorId="0" ref="AE2">
      <text>
        <t xml:space="preserve">======
ID#AAABvY0iqq8
    (2026-02-12 08:39:00)
may be empty</t>
      </text>
    </comment>
    <comment authorId="0" ref="AK2">
      <text>
        <t xml:space="preserve">======
ID#AAABvY0iqrI
    (2026-02-12 08:39:00)
Width x Height x Depth</t>
      </text>
    </comment>
    <comment authorId="0" ref="AF2">
      <text>
        <t xml:space="preserve">======
ID#AAABvY0iqqU
    (2026-02-12 08:39:00)
Warranty on this product (month)</t>
      </text>
    </comment>
    <comment authorId="0" ref="F7">
      <text>
        <t xml:space="preserve">======
ID#AAABvY0iqqI
    (2026-02-12 08:39:00)
-150euro special discount til 31 Dec 24</t>
      </text>
    </comment>
    <comment authorId="0" ref="AD2">
      <text>
        <t xml:space="preserve">======
ID#AAABvY0iqqk
    (2026-02-12 08:39:00)
Package Type: Retail, OEM, Bulk, White Box</t>
      </text>
    </comment>
    <comment authorId="0" ref="AH2">
      <text>
        <t xml:space="preserve">======
ID#AAABvY0iqpo
    (2026-02-12 08:39:00)
Pieces in pack</t>
      </text>
    </comment>
    <comment authorId="0" ref="AC2">
      <text>
        <t xml:space="preserve">======
ID#AAABvY0iqpk
    (2026-02-12 08:39:00)
Short Product Description</t>
      </text>
    </comment>
    <comment authorId="0" ref="Z2">
      <text>
        <t xml:space="preserve">======
ID#AAABvY0iqpY
    (2026-02-12 08:39:00)
Article for this product</t>
      </text>
    </comment>
    <comment authorId="0" ref="AG2">
      <text>
        <t xml:space="preserve">======
ID#AAABvY0iqo4
    (2026-02-12 08:39:00)
Link to detailed product decription on the site of manufacturer</t>
      </text>
    </comment>
  </commentList>
  <extLst>
    <ext uri="GoogleSheetsCustomDataVersion2">
      <go:sheetsCustomData xmlns:go="http://customooxmlschemas.google.com/" r:id="rId1" roundtripDataSignature="AMtx7mjyISiGKZKWRnQmFlCK/NkLOnYPVA=="/>
    </ext>
  </extLst>
</comments>
</file>

<file path=xl/sharedStrings.xml><?xml version="1.0" encoding="utf-8"?>
<sst xmlns="http://schemas.openxmlformats.org/spreadsheetml/2006/main" count="3814" uniqueCount="2067">
  <si>
    <t>BEU:</t>
  </si>
  <si>
    <t>Partner:</t>
  </si>
  <si>
    <t>Location:</t>
  </si>
  <si>
    <t xml:space="preserve"> </t>
  </si>
  <si>
    <t>COMPETITION PRICES</t>
  </si>
  <si>
    <t>*distr.price+freight</t>
  </si>
  <si>
    <t>*devide (LCP CY)/(1-GM)</t>
  </si>
  <si>
    <t>Brand</t>
  </si>
  <si>
    <t>Description</t>
  </si>
  <si>
    <t>Type</t>
  </si>
  <si>
    <t xml:space="preserve">QTY </t>
  </si>
  <si>
    <t>Distributor
BayWa r.e.
Price</t>
  </si>
  <si>
    <t>LCP CY (€)</t>
  </si>
  <si>
    <t xml:space="preserve">Final LCP CY
</t>
  </si>
  <si>
    <t xml:space="preserve">ASKY GM %
</t>
  </si>
  <si>
    <t xml:space="preserve"> Final Price to Customer </t>
  </si>
  <si>
    <t xml:space="preserve">Revenue </t>
  </si>
  <si>
    <t xml:space="preserve">LCP CY
Revenue </t>
  </si>
  <si>
    <t xml:space="preserve">Desired GM
</t>
  </si>
  <si>
    <t>LANITIS
ENERGY</t>
  </si>
  <si>
    <t>BIG
SOLAR</t>
  </si>
  <si>
    <t>DR.
ENERGY</t>
  </si>
  <si>
    <t>TRIKKIS
ENERGY</t>
  </si>
  <si>
    <t>KAFKAS</t>
  </si>
  <si>
    <t>MERXU</t>
  </si>
  <si>
    <t>PV PANEL</t>
  </si>
  <si>
    <t xml:space="preserve">Rate </t>
  </si>
  <si>
    <t xml:space="preserve">Total </t>
  </si>
  <si>
    <t xml:space="preserve">Offer Revenue </t>
  </si>
  <si>
    <t xml:space="preserve">LCP Revenue </t>
  </si>
  <si>
    <t>GM %</t>
  </si>
  <si>
    <t>GP €</t>
  </si>
  <si>
    <t>jinko</t>
  </si>
  <si>
    <t xml:space="preserve">Tiger neo 440Wp </t>
  </si>
  <si>
    <t>Monofacial</t>
  </si>
  <si>
    <t>BayWa</t>
  </si>
  <si>
    <t>https://www.mg-solar-shop.com/media/pdf/43/30/25/datasheet_jkm425-450n-54hl4r-v.pdf</t>
  </si>
  <si>
    <t>1762*1134*30mm</t>
  </si>
  <si>
    <t>LONGI</t>
  </si>
  <si>
    <t xml:space="preserve">Scientist 585Wp </t>
  </si>
  <si>
    <t>https://5qrorwxhmlijjij.leadongcdn.com/LONGI+Hi-MO+6+Scientist+LR5-72HTH+585-600M-aidjrBpjKokRijSmmkrnplmk.pdf?dp=</t>
  </si>
  <si>
    <t>2278*1134*35mm</t>
  </si>
  <si>
    <t>POSR</t>
  </si>
  <si>
    <t xml:space="preserve"> Estimated economy  Freight Cost </t>
  </si>
  <si>
    <t>pv panels</t>
  </si>
  <si>
    <t>pv panels per box</t>
  </si>
  <si>
    <t>inverters</t>
  </si>
  <si>
    <t>inverters per pcs</t>
  </si>
  <si>
    <t>batteries</t>
  </si>
  <si>
    <t>OPTIMIZER</t>
  </si>
  <si>
    <t>ev chargers</t>
  </si>
  <si>
    <t>accessories</t>
  </si>
  <si>
    <t>Distributor
Krannich
Price</t>
  </si>
  <si>
    <t>SE 2 200H HD-WAVE SETAPP</t>
  </si>
  <si>
    <t>SE 4 .000 H HD-WAVE SETAPP (WITHOUT DISPLAY)</t>
  </si>
  <si>
    <t>SE 5 .000 H HD-WAVE SETAPP (WITHOUT DISPLAY)</t>
  </si>
  <si>
    <t>SE 4 k SETAPP (WITHOUT DISPLAY)</t>
  </si>
  <si>
    <t>SE5k SETAPP (WITHOUT DISPLAY)</t>
  </si>
  <si>
    <t>SE6k SETAPP (WITHOUT DISPLAY)</t>
  </si>
  <si>
    <t>SE7k SETAPP (WITHOUT DISPLAY)</t>
  </si>
  <si>
    <t>SE8k SETAPP (WITHOUT DISPLAY)</t>
  </si>
  <si>
    <t>SE9k SETAPP (WITHOUT DISPLAY)</t>
  </si>
  <si>
    <t>SE10k SETAPP (WITHOUT DISPLAY)</t>
  </si>
  <si>
    <t>SUNGROW</t>
  </si>
  <si>
    <t>SB SUNG SBR_V114 BATTERY PREMIUM ACCESSORIES</t>
  </si>
  <si>
    <t>SB SUNG SMR032 V114 BATTERY MODULE PREMIUM 3,2 KWH (MIN 3 MODULES)</t>
  </si>
  <si>
    <t>HUAWEI</t>
  </si>
  <si>
    <t>LUNA2000-5KW-C0 POWER MODULE</t>
  </si>
  <si>
    <t>LUNA2000-5-E0 (5 kWh) BATTERY MODULE</t>
  </si>
  <si>
    <t>LUNA2000 WALL MOUNTING BRACKET</t>
  </si>
  <si>
    <t>DC HU HUAWEI SMART POWER SE</t>
  </si>
  <si>
    <t>DC HU Backup Box-B0 1-phase</t>
  </si>
  <si>
    <t>DC HU Backup Box-B1 3-phase</t>
  </si>
  <si>
    <t>battery</t>
  </si>
  <si>
    <t>Distributor
Energy3000
Price</t>
  </si>
  <si>
    <t>CONERCON
ENERGY</t>
  </si>
  <si>
    <r>
      <rPr>
        <rFont val="Calibri"/>
        <color theme="1"/>
        <sz val="11.0"/>
      </rPr>
      <t>Freight to CY (</t>
    </r>
    <r>
      <rPr>
        <rFont val="Calibri"/>
        <color theme="1"/>
        <sz val="11.0"/>
      </rPr>
      <t>€/container)</t>
    </r>
  </si>
  <si>
    <t>POSR (%)</t>
  </si>
  <si>
    <t>PV Modules - container</t>
  </si>
  <si>
    <t>*has to be decided</t>
  </si>
  <si>
    <t>Model</t>
  </si>
  <si>
    <t>Distributor</t>
  </si>
  <si>
    <t>Price
in EU</t>
  </si>
  <si>
    <t>Wp/panel</t>
  </si>
  <si>
    <t>panels /container</t>
  </si>
  <si>
    <t>Freight to CY</t>
  </si>
  <si>
    <t>LCP CY</t>
  </si>
  <si>
    <t>FINAL LCP CY</t>
  </si>
  <si>
    <t>Desired
GM(%)</t>
  </si>
  <si>
    <t>GM (%)</t>
  </si>
  <si>
    <t>Final Price to Customer</t>
  </si>
  <si>
    <t>Customer Price (c/Wp)</t>
  </si>
  <si>
    <t>GP per container</t>
  </si>
  <si>
    <t>Axitec</t>
  </si>
  <si>
    <t>BLK AC-400MH/108VAU</t>
  </si>
  <si>
    <t>FXXL AC-420TFM/108BB</t>
  </si>
  <si>
    <t>GL AC-430TGB/108BB</t>
  </si>
  <si>
    <t>Bifacial</t>
  </si>
  <si>
    <t>HC AC-540MH/144V</t>
  </si>
  <si>
    <t>JA Solar</t>
  </si>
  <si>
    <t>JAM54S31-410W</t>
  </si>
  <si>
    <t>JAM54D41-435/LB</t>
  </si>
  <si>
    <t>JAM54D40-440/LB</t>
  </si>
  <si>
    <t>JAM72S30-555/GR</t>
  </si>
  <si>
    <t>Trina Solar</t>
  </si>
  <si>
    <t>TSM-410DE09R.05</t>
  </si>
  <si>
    <t>TSM-420DE09R.05</t>
  </si>
  <si>
    <t>TSM-430NEG9RC.27</t>
  </si>
  <si>
    <t>JINKO</t>
  </si>
  <si>
    <t>ENERGY EXPERTS</t>
  </si>
  <si>
    <r>
      <rPr>
        <rFont val="Calibri"/>
        <b/>
        <color theme="1"/>
        <sz val="11.0"/>
      </rPr>
      <t>* the landing price of a panel in Europe must be less that 0.13</t>
    </r>
    <r>
      <rPr>
        <rFont val="Aptos Narrow"/>
        <b/>
        <color theme="1"/>
        <sz val="11.0"/>
      </rPr>
      <t>€</t>
    </r>
    <r>
      <rPr>
        <rFont val="Calibri"/>
        <b/>
        <color theme="1"/>
        <sz val="11.0"/>
      </rPr>
      <t>/Wp in order the final Customer Price to be able to compare with  other Competitor suppliers</t>
    </r>
    <r>
      <rPr>
        <rFont val="Calibri"/>
        <b/>
        <color theme="1"/>
        <sz val="11.0"/>
      </rPr>
      <t xml:space="preserve"> and give a bigger profit</t>
    </r>
  </si>
  <si>
    <t>test</t>
  </si>
  <si>
    <r>
      <rPr>
        <rFont val="Calibri"/>
        <color theme="1"/>
        <sz val="11.0"/>
      </rPr>
      <t>Freight to CY (</t>
    </r>
    <r>
      <rPr>
        <rFont val="Calibri"/>
        <color theme="1"/>
        <sz val="11.0"/>
      </rPr>
      <t>€/pallet</t>
    </r>
    <r>
      <rPr>
        <rFont val="Calibri"/>
        <color theme="1"/>
        <sz val="11.0"/>
      </rPr>
      <t>)</t>
    </r>
  </si>
  <si>
    <t>PV Modules - pallet</t>
  </si>
  <si>
    <t>panels /pallet</t>
  </si>
  <si>
    <t>Disired
GM(%)</t>
  </si>
  <si>
    <t>GP per pallet</t>
  </si>
  <si>
    <t>solarity</t>
  </si>
  <si>
    <t>TSM-415DE09R.05</t>
  </si>
  <si>
    <t>Energy3000</t>
  </si>
  <si>
    <t xml:space="preserve">Tiger neo 435Wp </t>
  </si>
  <si>
    <t>sunpower</t>
  </si>
  <si>
    <t>p6 xs 405</t>
  </si>
  <si>
    <t>LUXOR</t>
  </si>
  <si>
    <t>LX-575TC-M/144/N TYPE/B</t>
  </si>
  <si>
    <t>KRANNICH</t>
  </si>
  <si>
    <t>https://www.luxor.solar/files/luxor/download/datasheets/LX_EL_N-Type_GG_BIF_SW_M144_555-575W_182_EN.pdf</t>
  </si>
  <si>
    <t>2279*1134*35mm</t>
  </si>
  <si>
    <t>32.7kg</t>
  </si>
  <si>
    <t>ECO LINE LX-430 M108 G-G</t>
  </si>
  <si>
    <t>ECO LINE LX-440 M108 G-G</t>
  </si>
  <si>
    <t>SUNPOWER</t>
  </si>
  <si>
    <t>SPR-P6-405-BLK</t>
  </si>
  <si>
    <t>*container price</t>
  </si>
  <si>
    <t>baywa</t>
  </si>
  <si>
    <t>LX-610TC-M/132/N TYPE/Bifacial/Glass Glass</t>
  </si>
  <si>
    <t xml:space="preserve">Tiger neo 445Wp </t>
  </si>
  <si>
    <t>baywa 9/4</t>
  </si>
  <si>
    <t>1. For PV panels:</t>
  </si>
  <si>
    <t>For full container (can be a full container with or panels or mixed with inverters):</t>
  </si>
  <si>
    <r>
      <rPr>
        <rFont val="Calibri"/>
        <color theme="1"/>
        <sz val="11.0"/>
      </rPr>
      <t xml:space="preserve">Jinko Tiger neo 440Wp </t>
    </r>
    <r>
      <rPr>
        <rFont val="Wingdings"/>
        <color theme="1"/>
        <sz val="11.0"/>
      </rPr>
      <t>à</t>
    </r>
    <r>
      <rPr>
        <rFont val="Calibri"/>
        <color theme="1"/>
        <sz val="11.0"/>
      </rPr>
      <t xml:space="preserve"> 0.134 €/Wp </t>
    </r>
  </si>
  <si>
    <r>
      <rPr>
        <rFont val="Calibri"/>
        <color theme="1"/>
        <sz val="11.0"/>
      </rPr>
      <t xml:space="preserve">Sunpower 405Wp P6 XS </t>
    </r>
    <r>
      <rPr>
        <rFont val="Wingdings"/>
        <color theme="1"/>
        <sz val="11.0"/>
      </rPr>
      <t>à</t>
    </r>
    <r>
      <rPr>
        <rFont val="Calibri"/>
        <color theme="1"/>
        <sz val="11.0"/>
      </rPr>
      <t xml:space="preserve"> 0.145 €/Wp</t>
    </r>
  </si>
  <si>
    <t>For full pallets</t>
  </si>
  <si>
    <r>
      <rPr>
        <rFont val="Calibri"/>
        <color theme="1"/>
        <sz val="11.0"/>
      </rPr>
      <t xml:space="preserve">Jinko Tiger neo 440Wp </t>
    </r>
    <r>
      <rPr>
        <rFont val="Wingdings"/>
        <color theme="1"/>
        <sz val="11.0"/>
      </rPr>
      <t>à</t>
    </r>
    <r>
      <rPr>
        <rFont val="Calibri"/>
        <color theme="1"/>
        <sz val="11.0"/>
      </rPr>
      <t xml:space="preserve"> 0.144 €/Wp </t>
    </r>
  </si>
  <si>
    <r>
      <rPr>
        <rFont val="Calibri"/>
        <color theme="1"/>
        <sz val="11.0"/>
      </rPr>
      <t xml:space="preserve">Sunpower 405Wp P6 XS </t>
    </r>
    <r>
      <rPr>
        <rFont val="Wingdings"/>
        <color theme="1"/>
        <sz val="11.0"/>
      </rPr>
      <t>à</t>
    </r>
    <r>
      <rPr>
        <rFont val="Calibri"/>
        <color theme="1"/>
        <sz val="11.0"/>
      </rPr>
      <t xml:space="preserve"> 0.155 €/Wp</t>
    </r>
  </si>
  <si>
    <t>Prices are delivered to transport agency in Cyprus.</t>
  </si>
  <si>
    <t>energy experts 9/7/24</t>
  </si>
  <si>
    <r>
      <rPr>
        <rFont val="Tahoma"/>
        <b/>
        <color rgb="FF000000"/>
        <sz val="12.0"/>
      </rPr>
      <t>JINKO Tiger Neo N-type</t>
    </r>
    <r>
      <rPr>
        <rFont val="Tahoma"/>
        <b val="0"/>
        <color rgb="FF000000"/>
        <sz val="12.0"/>
      </rPr>
      <t xml:space="preserve"> </t>
    </r>
    <r>
      <rPr>
        <rFont val="Tahoma"/>
        <b/>
        <color rgb="FF000000"/>
        <sz val="12.0"/>
      </rPr>
      <t xml:space="preserve">bifacial </t>
    </r>
    <r>
      <rPr>
        <rFont val="Tahoma"/>
        <b val="0"/>
        <color rgb="FF000000"/>
        <sz val="12.0"/>
      </rPr>
      <t xml:space="preserve">μονοκρυσταλλικά πλαίσια 144 κυττάρων multi busbar half cut technology, μεγαλύτερη απόδοση 22,09% και καλύτερη 30ετή γραμμική απόδοση, </t>
    </r>
    <r>
      <rPr>
        <rFont val="Tahoma"/>
        <b/>
        <color rgb="FF000000"/>
        <sz val="12.0"/>
      </rPr>
      <t>585W</t>
    </r>
    <r>
      <rPr>
        <rFont val="Tahoma"/>
        <b val="0"/>
        <color rgb="FF000000"/>
        <sz val="12.0"/>
      </rPr>
      <t xml:space="preserve"> (τύπος JKM585N-72HL4-BDV), </t>
    </r>
    <r>
      <rPr>
        <rFont val="Tahoma"/>
        <b/>
        <color rgb="FF000000"/>
        <sz val="12.0"/>
      </rPr>
      <t>0,13 ευρώ/Wp</t>
    </r>
  </si>
  <si>
    <r>
      <rPr>
        <rFont val="Tahoma"/>
        <b/>
        <color rgb="FF000000"/>
        <sz val="12.0"/>
      </rPr>
      <t xml:space="preserve">JINKO Tiger Pro bifacial </t>
    </r>
    <r>
      <rPr>
        <rFont val="Tahoma"/>
        <b val="0"/>
        <color rgb="FF000000"/>
        <sz val="12.0"/>
      </rPr>
      <t xml:space="preserve">μονοκρυσταλλικά πλαίσια 144 κυττάρων multi busbar half cut technology, απόδοση 20,94% και 30ετή γραμμική απόδοση, </t>
    </r>
    <r>
      <rPr>
        <rFont val="Tahoma"/>
        <b/>
        <color rgb="FF000000"/>
        <sz val="12.0"/>
      </rPr>
      <t>540W</t>
    </r>
    <r>
      <rPr>
        <rFont val="Tahoma"/>
        <b val="0"/>
        <color rgb="FF000000"/>
        <sz val="12.0"/>
      </rPr>
      <t xml:space="preserve"> (τύπος JKM540M-72HL4-TV), </t>
    </r>
    <r>
      <rPr>
        <rFont val="Tahoma"/>
        <b/>
        <color rgb="FF000000"/>
        <sz val="12.0"/>
      </rPr>
      <t>0,125 ευρώ/Wp</t>
    </r>
    <r>
      <rPr>
        <rFont val="Tahoma"/>
        <b val="0"/>
        <color rgb="FF000000"/>
        <sz val="12.0"/>
      </rPr>
      <t xml:space="preserve"> </t>
    </r>
  </si>
  <si>
    <r>
      <rPr>
        <rFont val="Tahoma"/>
        <b/>
        <color rgb="FF000000"/>
        <sz val="12.0"/>
      </rPr>
      <t>JINKO Tiger Neo N-type</t>
    </r>
    <r>
      <rPr>
        <rFont val="Tahoma"/>
        <b val="0"/>
        <color rgb="FF000000"/>
        <sz val="12.0"/>
      </rPr>
      <t xml:space="preserve"> </t>
    </r>
    <r>
      <rPr>
        <rFont val="Tahoma"/>
        <b/>
        <color rgb="FF000000"/>
        <sz val="12.0"/>
      </rPr>
      <t>BLACK FRAME 420W   0,14 ευρώ/Wp (τύπος JKM420N-54HL4R-V)</t>
    </r>
    <r>
      <rPr>
        <rFont val="Tahoma"/>
        <b val="0"/>
        <color rgb="FF000000"/>
        <sz val="12.0"/>
      </rPr>
      <t xml:space="preserve"> μονοκρυσταλλικά πλαισια 108 κυττάρων multi busbar half cut technology με </t>
    </r>
    <r>
      <rPr>
        <rFont val="Tahoma"/>
        <b/>
        <color rgb="FF000000"/>
        <sz val="12.0"/>
      </rPr>
      <t>5% μεγαλύτερη παραγωγή</t>
    </r>
    <r>
      <rPr>
        <rFont val="Tahoma"/>
        <b val="0"/>
        <color rgb="FF000000"/>
        <sz val="12.0"/>
      </rPr>
      <t xml:space="preserve"> λόγω καλύτερου θερμοκρασιακού συντελεστή -0,29%/C, μεγαλύτερη απόδοση και καλύτερη 30ετή γραμμική απόδοση, </t>
    </r>
    <r>
      <rPr>
        <rFont val="Tahoma"/>
        <b val="0"/>
        <color rgb="FF000000"/>
        <sz val="10.0"/>
      </rPr>
      <t xml:space="preserve"> </t>
    </r>
  </si>
  <si>
    <r>
      <rPr>
        <rFont val="Tahoma"/>
        <b/>
        <color rgb="FF000000"/>
        <sz val="12.0"/>
      </rPr>
      <t>JINKO Tiger Neo N-type</t>
    </r>
    <r>
      <rPr>
        <rFont val="Tahoma"/>
        <b val="0"/>
        <color rgb="FF000000"/>
        <sz val="12.0"/>
      </rPr>
      <t xml:space="preserve"> </t>
    </r>
    <r>
      <rPr>
        <rFont val="Tahoma"/>
        <b/>
        <color rgb="FF000000"/>
        <sz val="12.0"/>
      </rPr>
      <t>BLACK FRAME 440W (τύπος JKM440N-54HL4R-V), 0,14 ευρώ/Wp</t>
    </r>
    <r>
      <rPr>
        <rFont val="Tahoma"/>
        <b val="0"/>
        <color rgb="FF000000"/>
        <sz val="12.0"/>
      </rPr>
      <t xml:space="preserve"> μονοκρυσταλλικά πλαισια 108 κυττάρων multi busbar half cut technology με </t>
    </r>
    <r>
      <rPr>
        <rFont val="Tahoma"/>
        <b/>
        <color rgb="FF000000"/>
        <sz val="12.0"/>
      </rPr>
      <t>5% μεγαλύτερη παραγωγή</t>
    </r>
    <r>
      <rPr>
        <rFont val="Tahoma"/>
        <b val="0"/>
        <color rgb="FF000000"/>
        <sz val="12.0"/>
      </rPr>
      <t xml:space="preserve"> λόγω καλύτερου θερμοκρασιακού συντελεστή -0,29%/C, μεγαλύτερη απόδοση και καλύτερη 30ετή γραμμική απόδοση,  </t>
    </r>
  </si>
  <si>
    <t>Krannich</t>
  </si>
  <si>
    <t>Aspropyrgos - Limassol port</t>
  </si>
  <si>
    <t>40ft HQ Container</t>
  </si>
  <si>
    <t xml:space="preserve">HUAWEI μονοφασικά : 24τμχ ανά παλέτα </t>
  </si>
  <si>
    <t>Thessaloniki - Limassol</t>
  </si>
  <si>
    <t xml:space="preserve">HUAWEI τριφασικά : 16τμχ ανά παλέτα ( ειδικές κατηγοριοποιήσεις ανά μοντέλο Μ1, Μ2, Μ3 &amp; Μ5) </t>
  </si>
  <si>
    <t>PV panel Pallet</t>
  </si>
  <si>
    <t xml:space="preserve">Fronius έως 8KW : 12τμχ ανά παλέτα </t>
  </si>
  <si>
    <t>Inverter normal pallet</t>
  </si>
  <si>
    <t xml:space="preserve">Fronius 10KW – 20KW : 8 τμχ ανά παλέτα </t>
  </si>
  <si>
    <t>Package (eg. 1 inverter)</t>
  </si>
  <si>
    <t>Polyfreight</t>
  </si>
  <si>
    <t>Exw Aspropyrgos-Limassol</t>
  </si>
  <si>
    <t>40' DC- 7 days EVERGREEN</t>
  </si>
  <si>
    <t>+200euro για HD</t>
  </si>
  <si>
    <t>40' DC - 3 days - Salamis Shipping Line</t>
  </si>
  <si>
    <t>~ 3 euros per panel</t>
  </si>
  <si>
    <t>40' DC - 3 days - CMA-CGM</t>
  </si>
  <si>
    <t>~ 108 euros per panel box</t>
  </si>
  <si>
    <t>Stuttgard via Koper-Limassol</t>
  </si>
  <si>
    <t>40'HC - 10 days COSCO SHIPPING</t>
  </si>
  <si>
    <t>~ 25 euros per inverter</t>
  </si>
  <si>
    <t>Rotterdam city - Limassol</t>
  </si>
  <si>
    <t>40' DC - 20 days</t>
  </si>
  <si>
    <t>Budapest via Koper-Limassol</t>
  </si>
  <si>
    <t>40' DC - 10 days</t>
  </si>
  <si>
    <t>1 pallet PV - 3days</t>
  </si>
  <si>
    <t>Aspropyrgos - Limassol</t>
  </si>
  <si>
    <t>1 normal pallet - 3days</t>
  </si>
  <si>
    <t>BayWa r.e.</t>
  </si>
  <si>
    <t>Athens-Limassol</t>
  </si>
  <si>
    <t>1 normal pallet</t>
  </si>
  <si>
    <t>Industriestraße V/1,  7052 Müllendorf, Austria</t>
  </si>
  <si>
    <t>Austria-Athens</t>
  </si>
  <si>
    <t>1 piece</t>
  </si>
  <si>
    <t>+5e every inverter</t>
  </si>
  <si>
    <t>Austria-Thessaloniki</t>
  </si>
  <si>
    <t xml:space="preserve">1 pallet inverters </t>
  </si>
  <si>
    <t>+200euros from Greece to Cyprus</t>
  </si>
  <si>
    <t>1 pallet inverters</t>
  </si>
  <si>
    <t>1 pallet PV</t>
  </si>
  <si>
    <t>~13e per panel</t>
  </si>
  <si>
    <t>~15e</t>
  </si>
  <si>
    <t>SOLARITY</t>
  </si>
  <si>
    <t>CZ-CY</t>
  </si>
  <si>
    <t>1 pallet</t>
  </si>
  <si>
    <t>container</t>
  </si>
  <si>
    <t>Required product data for IT4</t>
  </si>
  <si>
    <t>Price
KAFKAS</t>
  </si>
  <si>
    <r>
      <rPr>
        <rFont val="Calibri"/>
        <color theme="1"/>
        <sz val="11.0"/>
      </rPr>
      <t xml:space="preserve">PRICE KRANNICH GR
</t>
    </r>
    <r>
      <rPr>
        <rFont val="Calibri"/>
        <color theme="1"/>
        <sz val="11.0"/>
      </rPr>
      <t>WITHOUT 27-34% discount</t>
    </r>
  </si>
  <si>
    <r>
      <rPr>
        <rFont val="Calibri"/>
        <color theme="1"/>
        <sz val="11.0"/>
      </rPr>
      <t xml:space="preserve">PRICE KRANNICH GR
</t>
    </r>
    <r>
      <rPr>
        <rFont val="Calibri"/>
        <color theme="1"/>
        <sz val="11.0"/>
      </rPr>
      <t>*27-34% discount</t>
    </r>
  </si>
  <si>
    <t>BIG SOLAR</t>
  </si>
  <si>
    <t>PRICE
DR. ENERGY</t>
  </si>
  <si>
    <t>PRICE 
BayWa r.e Greece</t>
  </si>
  <si>
    <t>*REDUSED*
BayWa r.e Greece</t>
  </si>
  <si>
    <t>TRIKKIS ENERGY</t>
  </si>
  <si>
    <t>CONERCON (Lanitis)</t>
  </si>
  <si>
    <t>MEMODO</t>
  </si>
  <si>
    <t>SUN.STORE</t>
  </si>
  <si>
    <t>SOLAR 
DISTRIBUTION</t>
  </si>
  <si>
    <t>ENERGY3000</t>
  </si>
  <si>
    <t>Article</t>
  </si>
  <si>
    <t>Manufacturer (Manufacturer site)</t>
  </si>
  <si>
    <t>Product type</t>
  </si>
  <si>
    <t>Package Type</t>
  </si>
  <si>
    <t>Color</t>
  </si>
  <si>
    <t>Warranty (month)</t>
  </si>
  <si>
    <t>URL</t>
  </si>
  <si>
    <t>Q-ty in Pack</t>
  </si>
  <si>
    <t>Dimensions w/o package  (WxHxD)</t>
  </si>
  <si>
    <t>Weight w/o package</t>
  </si>
  <si>
    <t>Dimensions with package (WxHxD)</t>
  </si>
  <si>
    <t>Pack Weight Brutto</t>
  </si>
  <si>
    <t>Pack Weight Netto</t>
  </si>
  <si>
    <t>Box Dimensions (WxHxD)</t>
  </si>
  <si>
    <t>Box Weight Brutto</t>
  </si>
  <si>
    <t>Packs in Box</t>
  </si>
  <si>
    <t>+ ~100€ SHIPPING</t>
  </si>
  <si>
    <t>INVERTERS</t>
  </si>
  <si>
    <t>TYPE</t>
  </si>
  <si>
    <t>SUN2000-2KTL-L1</t>
  </si>
  <si>
    <t>1PH HYBRID</t>
  </si>
  <si>
    <t>*se container</t>
  </si>
  <si>
    <t>Inverter</t>
  </si>
  <si>
    <t>Hybrid, 1 phase Inverter, 2kW</t>
  </si>
  <si>
    <t>Box</t>
  </si>
  <si>
    <t>https://solar.huawei.com/en-GB/download?p=/-/media/Solar/attachment/pdf/apac/datasheet/SUN2000-2-5KTL-L1.pdf</t>
  </si>
  <si>
    <t>365mm * 365mm * 156 mm</t>
  </si>
  <si>
    <t>SUN2000-3KTL-L1</t>
  </si>
  <si>
    <t>Hybrid, 1 phase Inverter, 3kW</t>
  </si>
  <si>
    <t>SUN2000-3.68KTL-L1</t>
  </si>
  <si>
    <t>Hybrid, 1 phase Inverter, 3.6kW</t>
  </si>
  <si>
    <t>SUN2000-4KTL-L1</t>
  </si>
  <si>
    <t>Hybrid, 1 phase Inverter, 4kW</t>
  </si>
  <si>
    <t>SUN2000-4.6KTL-L1</t>
  </si>
  <si>
    <t>Hybrid, 1 phase Inverter, 4.6kW</t>
  </si>
  <si>
    <t>SUN2000-5KTL-L1</t>
  </si>
  <si>
    <t>Hybrid, 1 phase Inverter, 5kW</t>
  </si>
  <si>
    <t>SUN2000-6KTL-L1</t>
  </si>
  <si>
    <t>SUN2000-3KTL-M1</t>
  </si>
  <si>
    <t>3PH HYBRID</t>
  </si>
  <si>
    <t>Hybrid, 3 phase Inverter, 3kW</t>
  </si>
  <si>
    <t>https://solar.huawei.com/download?p=%2F-%2Fmedia%2FSolar%2Fdatasheet%2FSUN2000-3_4_5_6_8_10KTL-M1_High_Current_Version.pdf</t>
  </si>
  <si>
    <t>525 mm x 492.5 mm x 166 mm</t>
  </si>
  <si>
    <t>SUN2000-4KTL-M1</t>
  </si>
  <si>
    <t>Hybrid, 3 phase Inverter, 4kW</t>
  </si>
  <si>
    <t>526 mm x 492.5 mm x 166 mm</t>
  </si>
  <si>
    <t>SUN2000-5KTL-M1</t>
  </si>
  <si>
    <t>Hybrid, 3 phase Inverter, 5kW</t>
  </si>
  <si>
    <t>527 mm x 492.5 mm x 166 mm</t>
  </si>
  <si>
    <t>SUN2000-6KTL-M1</t>
  </si>
  <si>
    <t>Hybrid, 3 phase Inverter, 6kW</t>
  </si>
  <si>
    <t>528 mm x 492.5 mm x 166 mm</t>
  </si>
  <si>
    <t>SUN2000-8KTL-M1</t>
  </si>
  <si>
    <t>Hybrid, 3 phase Inverter, 8kW</t>
  </si>
  <si>
    <t>529 mm x 492.5 mm x 166 mm</t>
  </si>
  <si>
    <t>SUN2000-10KTL-M1</t>
  </si>
  <si>
    <t>Hybrid, 3 phase Inverter, 10kW</t>
  </si>
  <si>
    <t>530 mm x 492.5 mm x 166 mm</t>
  </si>
  <si>
    <t>SUN2000-12KTL-M5</t>
  </si>
  <si>
    <t>Hybrid, 3 phase Inverter, 12kW</t>
  </si>
  <si>
    <t>https://solar.huawei.com/download?p=%2F-%2Fmedia%2FSolar%2Fdatasheet%2FSUN2000-12_15_17_20_25KTL-M5.pdf</t>
  </si>
  <si>
    <t>546 mm x 460 mm x 241.5 mm</t>
  </si>
  <si>
    <t>SUN2000-15KTL-M5</t>
  </si>
  <si>
    <t>Hybrid, 3 phase Inverter, 15kW</t>
  </si>
  <si>
    <t>547 mm x 460 mm x 241.5 mm</t>
  </si>
  <si>
    <t>SUN2000-17KTL-M5</t>
  </si>
  <si>
    <t>Hybrid, 3 phase Inverter, 17kW</t>
  </si>
  <si>
    <t>548 mm x 460 mm x 241.5 mm</t>
  </si>
  <si>
    <t>SUN2000-20KTL-M5</t>
  </si>
  <si>
    <t>Hybrid, 3 phase Inverter, 20kW</t>
  </si>
  <si>
    <t>549 mm x 460 mm x 241.5 mm</t>
  </si>
  <si>
    <t>SUN2000-25KTL-M5</t>
  </si>
  <si>
    <t>Hybrid, 3 phase Inverter, 25kW</t>
  </si>
  <si>
    <t>550 mm x 460 mm x 241.5 mm</t>
  </si>
  <si>
    <t>SUN2000-30KTL-M3</t>
  </si>
  <si>
    <t>Hybrid, 3 phase Inverter, 30kW</t>
  </si>
  <si>
    <t>https://solar.huawei.com/en-GB/download?p=%2F-%2Fmedia%2FSolar%2Fattachment%2Fpdf%2Feu%2Fdatasheet%2FSUN2000-30-40KTL-M3.pdf</t>
  </si>
  <si>
    <t>640 x 530 x 270 mm</t>
  </si>
  <si>
    <t>SUN2000-36KTL-M3</t>
  </si>
  <si>
    <t>Hybrid, 3 phase Inverter, 36kW</t>
  </si>
  <si>
    <t>641 x 530 x 270 mm</t>
  </si>
  <si>
    <t>SUN2000-40KTL-M3</t>
  </si>
  <si>
    <t>Hybrid, 3 phase Inverter, 40kW</t>
  </si>
  <si>
    <t>642 x 530 x 270 mm</t>
  </si>
  <si>
    <t>SUN2000-50KTL-M3</t>
  </si>
  <si>
    <t>Hybrid, 3 phase Inverter, 50kW</t>
  </si>
  <si>
    <t>https://solar.huawei.com/en-GB/download?p=%2F-%2Fmedia%2FSolar%2Fattachment%2Fpdf%2Feu%2Fdatasheet%2FSUN2000-50kTL-M3-Datasheet.pdf</t>
  </si>
  <si>
    <t>SUN2000-100KTL-M2-AFCI</t>
  </si>
  <si>
    <t>Hybrid, 3 phase Inverter, 100kW</t>
  </si>
  <si>
    <t>https://solar.huawei.com/download?p=%2F-%2Fmedia%2FSolarV4%2Fsolar-version2%2Fcommon%2Fprofessionals%2Fall-products%2Fci%2Fsmart-pv-controller%2Fsun2000-100ktl-m2%2Fsun2000-100ktl-m2-datasheet-20230506.pdf</t>
  </si>
  <si>
    <t>1035 x 700 x 365 mm</t>
  </si>
  <si>
    <t>IV HU SUN2000 115 KTL M2</t>
  </si>
  <si>
    <t>String, 3 phase Inverter, 115kW</t>
  </si>
  <si>
    <t>https://solar.huawei.com/download?p=%2F-%2Fmedia%2FSolarV4%2Fsolar-version2%2Fcommon%2Fprofessionals%2Fall-products%2Fci%2Fsmart-pv-controller%2Fsun2000-115ktl-m2%2Fsun2000-115ktl-m2-datasheet-20230506.pdf</t>
  </si>
  <si>
    <t>1036 x 700 x 365 mm</t>
  </si>
  <si>
    <t>IV HU SUN2000 105 KTL H1 (1500V)</t>
  </si>
  <si>
    <t>String, 3 phase Inverter 105kW</t>
  </si>
  <si>
    <t>https://solar.huawei.com/en-GB/download?p=%2F~%2Fmedia%2FSolar%2Fattachment%2Fpdf%2Feu%2Fdatasheet%2FSUN2000-105KTL-H1.pdf</t>
  </si>
  <si>
    <t>1075 x 605 x 310mm</t>
  </si>
  <si>
    <t>IV HU SUN2000 215 KTL-H3 (1500V)</t>
  </si>
  <si>
    <t>String, 3 phase Inverter, 215kW</t>
  </si>
  <si>
    <t>https://solar.huawei.com/en-GB/download?p=%2F-%2Fmedia%2FSolar%2Fattachment%2Fpdf%2Feu%2Fdatasheet%2FSUN2000-215KTL-H3.pdf</t>
  </si>
  <si>
    <t>IV HU SUN2000-330KTL-H1 (1500V)</t>
  </si>
  <si>
    <t>String, 3 phase Inverter, 330kW</t>
  </si>
  <si>
    <t>https://solar.huawei.com/download?p=%2F-%2Fmedia%2FSolarV4%2Fsolar-version2%2Fcommon%2Fprofessionals%2Fall-products%2Futility-smart-pv%2Fsmart-pv-controller%2FSUN2000-330KTL-H1%2Fsun2000-330ktl-h1-datasheet-20230515.pdf</t>
  </si>
  <si>
    <t>1,048 x 732 x 395 mm</t>
  </si>
  <si>
    <t>SUN2000-20KTL-MBO</t>
  </si>
  <si>
    <t>SUN2000-450W-P2</t>
  </si>
  <si>
    <t>Optimizer</t>
  </si>
  <si>
    <t>Power optimizer</t>
  </si>
  <si>
    <t>https://solar.huawei.com/en-GB/download?p=%2F-%2Fmedia%2FSolar%2Fattachment%2Fpdf%2Feu%2Fdatasheet%2FSUN2000-600W-P.pdf</t>
  </si>
  <si>
    <t>75 x 140 x 28 mm</t>
  </si>
  <si>
    <t>SUN2000-600W-P</t>
  </si>
  <si>
    <t>IV SUNG SG2.0RS</t>
  </si>
  <si>
    <t>1PH</t>
  </si>
  <si>
    <t>String 1phase inverter, 2kW</t>
  </si>
  <si>
    <t>https://en.sungrowpower.com/upload/file/20211012/DS_20210720_SG2.0~3.0RS-S_V1.2.3_EN.pdf</t>
  </si>
  <si>
    <t>320 * 225 * 120 mm</t>
  </si>
  <si>
    <t>IV SUNG SG3.0RS</t>
  </si>
  <si>
    <t>String 1phase inverter, 3kW</t>
  </si>
  <si>
    <t>IV SUNG SG4.0RS</t>
  </si>
  <si>
    <t>String 1phase inverter, 4kW</t>
  </si>
  <si>
    <t>https://uk.sungrowpower.com/upload/file/20210927/EN%20DS%20SG3.0-6.0RS%20Datasheet.pdf</t>
  </si>
  <si>
    <t>410 * 270* 150 mm</t>
  </si>
  <si>
    <t>IV SUNG SG5.0RS</t>
  </si>
  <si>
    <t>String 1phase inverter, 5kW</t>
  </si>
  <si>
    <t>IV SUNG SG3.0RT</t>
  </si>
  <si>
    <t>3PH</t>
  </si>
  <si>
    <t>String 3phase inverter, 3kW</t>
  </si>
  <si>
    <t>https://uk.sungrowpower.com/upload/file/20220808/EN%20DS%20SG3.0RT%20SG4.0RT%20Datasheet.pdf</t>
  </si>
  <si>
    <t>370*480*195 mm</t>
  </si>
  <si>
    <t>IV SUNG SG4.0RT</t>
  </si>
  <si>
    <t>String 3phase inverter, 4kW</t>
  </si>
  <si>
    <t>IV SUNG SG5.0RT</t>
  </si>
  <si>
    <t>String 3phase inverter, 5kW</t>
  </si>
  <si>
    <t>https://uk.sungrowpower.com/upload/file/20220607/EN%20DS%20SG5.0%206.0%207.0%208.0%2010%2012RT%20Datasheet.pdf</t>
  </si>
  <si>
    <t>IV SUNG SG6.0RT</t>
  </si>
  <si>
    <t>String 3phase inverter, 6kW</t>
  </si>
  <si>
    <t>IV SUNG SG8.0RT</t>
  </si>
  <si>
    <t>String 3phase inverter, 8kW</t>
  </si>
  <si>
    <t>IV SUNG SG10.0RT</t>
  </si>
  <si>
    <t>String 3phase inverter, 10kW</t>
  </si>
  <si>
    <t>IV SUNG SG12.0RT</t>
  </si>
  <si>
    <t>String 3phase inverter, 12kW</t>
  </si>
  <si>
    <t>IV SUNG SG15.0RT</t>
  </si>
  <si>
    <t>String 3phase inverter, 15kW</t>
  </si>
  <si>
    <t>https://uk.sungrowpower.com/upload/file/20220607/EN%20DS%20SG15%2017%2020RT%20Datasheet.pdf</t>
  </si>
  <si>
    <t>IV SUNG SG20.0RT</t>
  </si>
  <si>
    <t>String 3phase inverter, 20kW</t>
  </si>
  <si>
    <t>IV SUNG SG33CX</t>
  </si>
  <si>
    <t>String 3phase inverter, 33kW</t>
  </si>
  <si>
    <t>https://info-support.sungrowpower.com/application/pdf/2022/04/25/DS_20210206_SG33CX%20SG40CX%20SG50CX(including%20Premium)%20Datasheet_V1.1.1_EN.pdf</t>
  </si>
  <si>
    <t>702*595*310mm</t>
  </si>
  <si>
    <t>IV SUNG SG50CX-P2</t>
  </si>
  <si>
    <t>String 3phase inverter, 50kW</t>
  </si>
  <si>
    <t>782*645*310mm</t>
  </si>
  <si>
    <t>IV SUNG SG125-250-350CX-P2</t>
  </si>
  <si>
    <t>UPON REQUEST</t>
  </si>
  <si>
    <t>IVH SUNG SH3.0RS</t>
  </si>
  <si>
    <t>https://info-support.sungrowpower.com/application/pdf/2024/01/17/DS_20240111_SH3.0_3.6_4.0_5.0_6.0RS_Datasheet_V17_EN(IEC).pdf</t>
  </si>
  <si>
    <t>490 mm * 340 mm * 170 mm</t>
  </si>
  <si>
    <t>IVH SUNG SH4.0RS</t>
  </si>
  <si>
    <t>IVH SUNG SH5.0RS</t>
  </si>
  <si>
    <t>IVH SUNG SH5RT V112 S</t>
  </si>
  <si>
    <t>https://en.sungrowpower.com/upload/file/20210706/DS_20210703_SH5~10RT_V1.2.1_EN.pdf</t>
  </si>
  <si>
    <t>460 * 540 * 170 mm</t>
  </si>
  <si>
    <t>IVH SUNG SH6RT V112 S</t>
  </si>
  <si>
    <t>IVH SUNG SH8RT V112 S</t>
  </si>
  <si>
    <t>IVH SUNG SH10RT V112 S</t>
  </si>
  <si>
    <t>FRONIUS</t>
  </si>
  <si>
    <t>PRIMO 3.0</t>
  </si>
  <si>
    <t>String, 1 phase Inverter, 3kW</t>
  </si>
  <si>
    <t>https://www.fronius.com/~/downloads/Solar%20Energy/Datasheets/SE_DS_Fronius_Primo_EN.pdf</t>
  </si>
  <si>
    <t>645 x 431 x 204 mm</t>
  </si>
  <si>
    <t>Fronius Primo 3.6-1</t>
  </si>
  <si>
    <t>String, 1 phase Inverter, 3.6kW</t>
  </si>
  <si>
    <t>PRIMO 4.0</t>
  </si>
  <si>
    <t>String, 1 phase Inverter, 4kW</t>
  </si>
  <si>
    <t>Fronius Primo 4.6-1</t>
  </si>
  <si>
    <t>String, 1 phase Inverter, 4.6kW</t>
  </si>
  <si>
    <t>PRIMO 5.0</t>
  </si>
  <si>
    <t>String, 1 phase Inverter, 5kW</t>
  </si>
  <si>
    <t>SYMO 3.0-S</t>
  </si>
  <si>
    <t>String, 3 phase Inverter, 3kW</t>
  </si>
  <si>
    <t>https://www.fronius.com/~/downloads/Solar%20Energy/Datasheets/SE_DS_Fronius_Symo_EN.pdf</t>
  </si>
  <si>
    <t>SYMO 3.7-S</t>
  </si>
  <si>
    <t>String, 3 phase Inverter, 3.7kW</t>
  </si>
  <si>
    <t>646 x 431 x 204 mm</t>
  </si>
  <si>
    <t>SYMO 4.5-S</t>
  </si>
  <si>
    <t>String, 3 phase Inverter, 4.5kW</t>
  </si>
  <si>
    <t>647 x 431 x 204 mm</t>
  </si>
  <si>
    <t>SYMO 3.0-M</t>
  </si>
  <si>
    <t>648 x 431 x 204 mm</t>
  </si>
  <si>
    <t>SYMO 3.7-M</t>
  </si>
  <si>
    <t>649 x 431 x 204 mm</t>
  </si>
  <si>
    <t>SYMO 4.5-M</t>
  </si>
  <si>
    <t>650 x 431 x 204 mm</t>
  </si>
  <si>
    <t>SYMO 5.0-M</t>
  </si>
  <si>
    <t>String, 3 phase Inverter, 5kW</t>
  </si>
  <si>
    <t>SYMO 6.0-M</t>
  </si>
  <si>
    <t>String, 3 phase Inverter, 6kW</t>
  </si>
  <si>
    <t>SYMO 7.0-M</t>
  </si>
  <si>
    <t>String, 3 phase Inverter, 7kW</t>
  </si>
  <si>
    <t>SYMO 8.2-M</t>
  </si>
  <si>
    <t>String, 3 phase Inverter, 8.2kW</t>
  </si>
  <si>
    <t>SYMO 10.0-M</t>
  </si>
  <si>
    <t>1550 LIGHT</t>
  </si>
  <si>
    <t>String, 3 phase Inverter, 10kW</t>
  </si>
  <si>
    <t>725 x 510 x 225 mm</t>
  </si>
  <si>
    <t>SYMO 12.5-3-M</t>
  </si>
  <si>
    <t>String, 3 phase Inverter, 12.5kW</t>
  </si>
  <si>
    <t>SYMO 15.0-3-M</t>
  </si>
  <si>
    <t>String, 3 phase Inverter, 15kW</t>
  </si>
  <si>
    <t>SYMO 17.5-3-M</t>
  </si>
  <si>
    <t>String, 3 phase Inverter, 17.5kW</t>
  </si>
  <si>
    <t>SYMO 20.0-3-M</t>
  </si>
  <si>
    <t>String, 3 phase Inverter, 20kW</t>
  </si>
  <si>
    <t>Fronius Symo GEN24 3.0</t>
  </si>
  <si>
    <t>3PH H lock</t>
  </si>
  <si>
    <t>Hybrid locked, 3 phase Inverter, 3kW</t>
  </si>
  <si>
    <t>Fronius Symo GEN24 4.0</t>
  </si>
  <si>
    <t>Hybrid locked, 3 phase Inverter, 4kW</t>
  </si>
  <si>
    <t>Fronius Symo GEN24 5.0</t>
  </si>
  <si>
    <t>Hybrid locked, 3 phase Inverter, 5kW</t>
  </si>
  <si>
    <t>Fronius Symo GEN24 6.0</t>
  </si>
  <si>
    <t>Hybrid locked, 3 phase Inverter, 6kW</t>
  </si>
  <si>
    <t>Fronius Symo GEN24 8.0</t>
  </si>
  <si>
    <t>1.659,00 €</t>
  </si>
  <si>
    <t>Hybrid locked, 3 phase Inverter, 8kW</t>
  </si>
  <si>
    <t>Fronius Symo GEN24 10.0</t>
  </si>
  <si>
    <t>1.765,00 €</t>
  </si>
  <si>
    <t>Hybrid locked, 3 phase Inverter, 10kW</t>
  </si>
  <si>
    <t>Fronius Primo Gen24 3.0 Plus</t>
  </si>
  <si>
    <t>1.279,00 €</t>
  </si>
  <si>
    <t>https://www.fronius.com/~/downloads/Solar%20Energy/Datasheets/SE_DS_Fronius_Primo_GEN24_GEN24Plus_3_to_6_kW_EN.pdf</t>
  </si>
  <si>
    <t>530 × 474 × 165</t>
  </si>
  <si>
    <t>Fronius Primo Gen24 3.6 Plus</t>
  </si>
  <si>
    <t>1.335,00 €</t>
  </si>
  <si>
    <t>Fronius Primo Gen24 4.0 Plus</t>
  </si>
  <si>
    <t>1.375,00 €</t>
  </si>
  <si>
    <t>Fronius Primo Gen24 4.6 Plus</t>
  </si>
  <si>
    <t>1.485,00 €</t>
  </si>
  <si>
    <t>Fronius Primo Gen24 5.0 Plus</t>
  </si>
  <si>
    <t>1.555,00 €</t>
  </si>
  <si>
    <t>Fronius Primo Gen24 6.0 Plus</t>
  </si>
  <si>
    <t>1.725,00 €</t>
  </si>
  <si>
    <t>Hybrid, 1 phase Inverter, 6kW</t>
  </si>
  <si>
    <t>Fronius Symo GEN24 3.0 Plus</t>
  </si>
  <si>
    <t>1.495,00 €</t>
  </si>
  <si>
    <t>https://www.fronius.com/~/downloads/Solar%20Energy/Datasheets/SE_DS_Fronius_Inverter_overview_EN.pdf</t>
  </si>
  <si>
    <t>Fronius Symo GEN24 4.0 Plus</t>
  </si>
  <si>
    <t>1.595,00 €</t>
  </si>
  <si>
    <t xml:space="preserve">Fronius Symo GEN24 4.0 Plus </t>
  </si>
  <si>
    <t>Fronius Symo GEN24 5.0 Plus</t>
  </si>
  <si>
    <t>1.679,00 €</t>
  </si>
  <si>
    <t xml:space="preserve">Fronius Symo GEN24 5.0 Plus </t>
  </si>
  <si>
    <t>Fronius Symo GEN24 6.0 Plus</t>
  </si>
  <si>
    <t>1.998,00 €</t>
  </si>
  <si>
    <t xml:space="preserve">Fronius Symo GEN24 6.0 Plus </t>
  </si>
  <si>
    <t>595 × 529 × 180</t>
  </si>
  <si>
    <t>Fronius Symo GEN24 8.0 Plus</t>
  </si>
  <si>
    <t>2.299,00 €</t>
  </si>
  <si>
    <t>Fronius Symo GEN24 10.0 Plus</t>
  </si>
  <si>
    <t>2.399,00 €</t>
  </si>
  <si>
    <t>SOLAREDGE</t>
  </si>
  <si>
    <t>SE 3 .000 H HD-WAVE SETAPP (WITHOUT DISPLAY)</t>
  </si>
  <si>
    <t>SE 3 .500 H HD-WAVE SETAPP (WITHOUT DISPLAY)</t>
  </si>
  <si>
    <t>SE 3 680 H HD-WAVE SETAPP (WITHOUT DISPLAY)</t>
  </si>
  <si>
    <t>SE6000H HD-WAVE SETAPP (WITHOUT DISPLAY)</t>
  </si>
  <si>
    <t>SE3K SETAPP RWB</t>
  </si>
  <si>
    <t>SE4K SETAPP RWB</t>
  </si>
  <si>
    <t>SE5K SETAPP RWB</t>
  </si>
  <si>
    <t>SE12.5 k SETAPP WITH PLASTIC COVER</t>
  </si>
  <si>
    <t>SE16K SETAPP WITH PLASTIC COVER</t>
  </si>
  <si>
    <t>SE 17 k SETAPP WITH PLASTIC COVER</t>
  </si>
  <si>
    <t>SE20 k SETAPP</t>
  </si>
  <si>
    <t>SE 25 K SETAPP SPD</t>
  </si>
  <si>
    <t>SE100K (MC4 CONNECTORS/ WITH DC-SWITCH/SPD)</t>
  </si>
  <si>
    <t>SESUK-RW00INNN4 (WITH RAPID SHUTDOWN) Inverter Secondary Unit</t>
  </si>
  <si>
    <t>SE POWER OPTIMIZER S440</t>
  </si>
  <si>
    <t>SE POWER OPTIMIZER S500B</t>
  </si>
  <si>
    <t>SE POWER OPTIMIZER P505-P5</t>
  </si>
  <si>
    <t>SE POWER OPTIMIZER P601-P5</t>
  </si>
  <si>
    <t>SE POWER OPTIMIZER S650B</t>
  </si>
  <si>
    <t>SE POWER OPTIMIZER P750 PORTRAIT</t>
  </si>
  <si>
    <t>SE POWER OPTIMIZER P850P LANDSCAPE (MC4)</t>
  </si>
  <si>
    <t>SE POWER OPTIMIZER P950 LANDSCAPE</t>
  </si>
  <si>
    <t>SE POWER OPTIMIZER P1100 LANDSCAPE</t>
  </si>
  <si>
    <t>SE POWER OPTIMIZER S1200 LANDSCAPE</t>
  </si>
  <si>
    <t>SOLAX</t>
  </si>
  <si>
    <t>X1 2.0-S-D(L) Mini G3</t>
  </si>
  <si>
    <t>X1 3.3-T-D(L) BOOST</t>
  </si>
  <si>
    <t>X1 4.2-T-D(L) BOOST</t>
  </si>
  <si>
    <t>X1 5.0-T-D(L) BOOST</t>
  </si>
  <si>
    <t>X3-MIC-4.0K-G2</t>
  </si>
  <si>
    <t>X3-MIC-5.0K-G2</t>
  </si>
  <si>
    <t>X3-MIC-6.0K-G2</t>
  </si>
  <si>
    <t>X3-MIC-8.0K-G2</t>
  </si>
  <si>
    <t>X3-MIC-10.0K-G2</t>
  </si>
  <si>
    <t>Pocket Wifi (2 years warranty)</t>
  </si>
  <si>
    <t>Pocket Lan 3.0 (2 years warranty)</t>
  </si>
  <si>
    <t>SMA</t>
  </si>
  <si>
    <t>SMA Hybrid Sunny Tripower 5.0 Smart Energy</t>
  </si>
  <si>
    <t>SMA Hybrid Sunny Tripower 6.0 Smart Energy</t>
  </si>
  <si>
    <t>SMA Hybrid Sunny Tripower 8.0 Smart Energy</t>
  </si>
  <si>
    <t>SMA Hybrid Sunny Tripower 10.0 Smart Energy</t>
  </si>
  <si>
    <t>SMA Sunny Boy 1.5</t>
  </si>
  <si>
    <t>SMA Sunny Boy 2.5</t>
  </si>
  <si>
    <t>SMA Sunny Boy 3.0</t>
  </si>
  <si>
    <t>SMA Sunny Boy 3.6</t>
  </si>
  <si>
    <t>SMA Sunny Boy 4.0</t>
  </si>
  <si>
    <t>SMA Sunny Boy 5.0</t>
  </si>
  <si>
    <t>SMA Sunny Tripower 3.0</t>
  </si>
  <si>
    <t>SMA Sunny Tripower 4.0</t>
  </si>
  <si>
    <t>SMA Sunny Tripower 5.0</t>
  </si>
  <si>
    <t>SMA Sunny Tripower 6.0</t>
  </si>
  <si>
    <t>SMA Sunny Tripower 8.0</t>
  </si>
  <si>
    <t>SMA Sunny Tripower 10.0</t>
  </si>
  <si>
    <t>SMA Sunny Tripower X 12</t>
  </si>
  <si>
    <t>SMA Sunny Tripower X 15</t>
  </si>
  <si>
    <t>SMA Sunny Tripower X 20</t>
  </si>
  <si>
    <t>SMA Sunny Tripower X 25</t>
  </si>
  <si>
    <t>SMA Sunny Tripower 50-41 CORE 1</t>
  </si>
  <si>
    <t>SMA Sunny Tripower CORE 2 (AFCI)</t>
  </si>
  <si>
    <t>SMA Sunny Island 4.4M-13</t>
  </si>
  <si>
    <t>SMA Sunny Island 6.0H-13</t>
  </si>
  <si>
    <t>SMA Sunny Island 8.0H-13</t>
  </si>
  <si>
    <t>SMA SI 4.4M-13 3-Phasen Paket</t>
  </si>
  <si>
    <t>3PH SI</t>
  </si>
  <si>
    <t>SMA SI 6.0H-13 3-Phasen Paket</t>
  </si>
  <si>
    <t>SMA SI 8.0H-13 3-Phasen Paket</t>
  </si>
  <si>
    <t>SMA Sunny Boy Storage 2.5</t>
  </si>
  <si>
    <t>3PH SUNNY</t>
  </si>
  <si>
    <t>SMA Sunny Boy Storage 3.7</t>
  </si>
  <si>
    <t>SMA Sunny Boy Storage 5.0</t>
  </si>
  <si>
    <t>SMA Sunny Boy Storage 6.0</t>
  </si>
  <si>
    <t>SMA Sunny Boy 2.0</t>
  </si>
  <si>
    <t>SMA Sunny Boy 6.0-1AV-41</t>
  </si>
  <si>
    <t>SMA Sunny Boy Smart Energy 3,6 kW</t>
  </si>
  <si>
    <t>SMA Sunny Boy Smart Energy 4 kW</t>
  </si>
  <si>
    <t>SMA Sunny Boy Smart Energy 5 kW</t>
  </si>
  <si>
    <t>SMA Sunny Boy Smart Energy 6 kW</t>
  </si>
  <si>
    <t>SMA Sunny Highpower PEAK3 SHP 150-21</t>
  </si>
  <si>
    <t>SMA Sunny Highpower PEAK3 SHP 172-21</t>
  </si>
  <si>
    <t>SMA Sunny Highpower PEAK3 SHP 180-21</t>
  </si>
  <si>
    <t>BATTERIES</t>
  </si>
  <si>
    <t>BMS</t>
  </si>
  <si>
    <t>Power Module 5kW</t>
  </si>
  <si>
    <t>https://solar.huawei.com/download?p=%2F-%2Fmedia%2FSolar%2Fattachment%2Fpdf%2Feu%2Fdatasheet%2FLUNA2000-5_10_15-S0.pdf</t>
  </si>
  <si>
    <t>Battery Module</t>
  </si>
  <si>
    <t>Battery Module 5kWh</t>
  </si>
  <si>
    <t>120 / 16.45MWh@60% EOL</t>
  </si>
  <si>
    <t>Accessory</t>
  </si>
  <si>
    <t>Wall mountibg bracket</t>
  </si>
  <si>
    <t>https://support.huawei.com/enterprise/en/doc/EDOC1100167258/69706a65/wall-mounted-installation</t>
  </si>
  <si>
    <t>DC HU HUAWEI SMART POWER SENSOR</t>
  </si>
  <si>
    <t>Smart power sensor</t>
  </si>
  <si>
    <t>https://solar.huawei.com/-/media/Solar/attachment/pdf/au/datasheet/SmartPowerSensor.pdf</t>
  </si>
  <si>
    <t>Backup Box for 1phase system</t>
  </si>
  <si>
    <t>https://solar.huawei.com/-/media/Solar/attachment/pdf/eu/datasheet/backup-box-b0_b1-nz-20230202.pdf</t>
  </si>
  <si>
    <t>Backup Box for 3phase system</t>
  </si>
  <si>
    <t>SB SUNG SBR064 Includes:1 pc Sungrow Battery Premium Accessories 2 pcs Sungrow Battery Modules Premium 3,2kWh 1 pc Empty Box Compatible ONLY with IVH SUNG SH RS</t>
  </si>
  <si>
    <t>BYD</t>
  </si>
  <si>
    <t>SBA BYD B-BOX PREMIUM LVS POWER DISTRIBUTION UNIT + BASE</t>
  </si>
  <si>
    <t>Battery Control Unit and Base</t>
  </si>
  <si>
    <t>https://www.bydbatterybox.com/uploads/downloads/201013_Premium_Datasheet_LVS%20V2.1%20EN-5fa4baa72098c.pdf</t>
  </si>
  <si>
    <t>65 x 29.8 x 24.5 cm</t>
  </si>
  <si>
    <t>SBA BYD B-BOX PREMIUM LV BATTERY MANAGEMENT UNIT IP55 NEW</t>
  </si>
  <si>
    <t>SBA BYD B-BOX PREMIUM LV BATTERY MANAGEMENT UNIT IP55</t>
  </si>
  <si>
    <t>LVS IP55 battery management unit</t>
  </si>
  <si>
    <t>https://www.bydbatterybox.com/uploads/downloads/240220_BYD%20Battery-Box%20Premium%20LV%20BMU-%20IP55%20Instruction%20Manual%20V1.6-65e181fb64188.pdf</t>
  </si>
  <si>
    <t>222x154x59</t>
  </si>
  <si>
    <t>SB BYD B-BOX PREMIUM LVS (4,00 kWh)</t>
  </si>
  <si>
    <t>Battery Module 4kWh</t>
  </si>
  <si>
    <t>SBA BYD B-BOX PREMIUM HV BCU + BASEfor systems with HVM and HVS</t>
  </si>
  <si>
    <t>https://www.bydbatterybox.com/uploads/downloads/231122_BYD_Battery-Box_Premium_HVS&amp;HVM_Datasheet_V1.8_EN-655eaa1bcd31f.pdf</t>
  </si>
  <si>
    <t>58,5 x 29,8 x 24,6 cm</t>
  </si>
  <si>
    <t>SB BYD B-BOX PREMIUM HVS (2,56 kWh)</t>
  </si>
  <si>
    <t>Battery Module 2.56kWh</t>
  </si>
  <si>
    <t xml:space="preserve">     x585 x 298 mm</t>
  </si>
  <si>
    <t>SB BYD B-BOX PREMIUM HVM (2,76 kWh)</t>
  </si>
  <si>
    <t>Battery Module 2.76kWh</t>
  </si>
  <si>
    <t>CHARGERS</t>
  </si>
  <si>
    <t>32-34% discount</t>
  </si>
  <si>
    <t>Huawei smart charger SCharger-7KS-S0 | 1.4 kW to 7.4 kW | 230 V (1-phase) ± 20% | Wi-Fi/Ethernet</t>
  </si>
  <si>
    <t>EV Charger</t>
  </si>
  <si>
    <t>EV charger 1.4 kW to 7.4 kW - 1phase</t>
  </si>
  <si>
    <t>https://solar.huawei.com/download?p=%2F-%2Fmedia%2FSolarV4%2Fsolar-version2%2Fcommon%2Fprofessionals%2Fall-products%2Fresidential%2Fsmart-charger%2FSCharger-7KS-S0_SCharger-22KT-S0.pdf</t>
  </si>
  <si>
    <t>335 mm x 180 mm x 145 m</t>
  </si>
  <si>
    <t>Huawei smart charger SCharger-22KT-S0 | 22KW, 3-phase EV-Charger | 400 V (3-phase) ± 20% | Wi-Fi/Ethernet</t>
  </si>
  <si>
    <t>EV charger 1.4 kW to 7.4 kW - 3phase]</t>
  </si>
  <si>
    <t>DC SUNG AC EV-charger 11kW</t>
  </si>
  <si>
    <t>DC SUNG AC EV-charger 11kW AC011E-01</t>
  </si>
  <si>
    <t>EV charger 11kW 3phase</t>
  </si>
  <si>
    <t>https://info-support.sungrowpower.com/application/pdf/2024/03/25/DS_20240318_AC007-011E-01_V3_EN.pdf</t>
  </si>
  <si>
    <t>205 mm * 310 mm * 92 mm</t>
  </si>
  <si>
    <t>Wattpilot Go 22 J 2.0</t>
  </si>
  <si>
    <t>EV charger 3.68kW 1phase / 11kW 3phase</t>
  </si>
  <si>
    <t>https://www.fronius.com/~/downloads/Solar%20Energy/Datasheets/SE_DS_Fronius_Wattpilot_EN_AU.pdf</t>
  </si>
  <si>
    <t>287 × 155 × 109</t>
  </si>
  <si>
    <t>Wattpilot Go 11 J 2.0</t>
  </si>
  <si>
    <t>EV charger 7.36kW 1phase / 22kW 3phase</t>
  </si>
  <si>
    <t>PV PANELS</t>
  </si>
  <si>
    <t>Power (Wp)</t>
  </si>
  <si>
    <t>PRICE FOR &gt;150kW 
(€/Wp)</t>
  </si>
  <si>
    <t>PRICE FOR &gt;150kW 
(€/Wp)  (+0.013e/w for shipping 400e per 2 pallets)</t>
  </si>
  <si>
    <t>AXITEC</t>
  </si>
  <si>
    <t>AC-420M/108 N-Type TopCon MBB (Mono)</t>
  </si>
  <si>
    <t>AC-570M/144 Bifacial N-Type TopCon GG/MBB (Mono)</t>
  </si>
  <si>
    <t>BAUER</t>
  </si>
  <si>
    <t>Bauer BS410M – 108 Mono Half Cells Black Frame</t>
  </si>
  <si>
    <t>LX375M EcoLine M120 Half Cells Black Frame</t>
  </si>
  <si>
    <t>LX415M EcoLine M108 Half Cells Full Black Anodized Alu-Frame GG Bifacial N-Type Topcon</t>
  </si>
  <si>
    <t>LX415M EcoLine M108 Half Cells , Black Frame</t>
  </si>
  <si>
    <t>LX-425M/108 N-Type TopCon MBB (Mono)</t>
  </si>
  <si>
    <t>LX-430M/108 N-Type TopCon MBB (Mono)</t>
  </si>
  <si>
    <t>LX-430M/108 Bifacial N-Type TopCon Glass-Glass (Mono)</t>
  </si>
  <si>
    <t>200E SHIPPING PER PALLET</t>
  </si>
  <si>
    <t>LX-540M/144 Bifacial HC PERC MBB (Mono)</t>
  </si>
  <si>
    <t>LX-565M/144 N-Type TopCon MBB (Mono)</t>
  </si>
  <si>
    <t>LX-565TC-M/144 Bifacial N-Type TopCon Glass-Glass (Mono)</t>
  </si>
  <si>
    <t>LX-570TC-M/144 N-Type TopCon Glass-Glass (Mono)</t>
  </si>
  <si>
    <t>LX-570TC-M/144 Bifacial N-Type TopCon Glass-Glass (Mono)</t>
  </si>
  <si>
    <t>LX-575TC-M/144 Bifacial N-Type TopCon (Mono)</t>
  </si>
  <si>
    <t>ECO LINE LX-575TC-M/144 Bifacial N-Type TopCon (Mono)</t>
  </si>
  <si>
    <t>PV Module</t>
  </si>
  <si>
    <t>Pallet box</t>
  </si>
  <si>
    <t>LX-670M/132 Bifacial Half Cell MBB (Mono)</t>
  </si>
  <si>
    <t>LX-700TC-M/132 Bifacial N-Type TopCon Glass-Glass (Mono)</t>
  </si>
  <si>
    <t>QCELLS</t>
  </si>
  <si>
    <t>Q.PEAK DUO-G11S+</t>
  </si>
  <si>
    <t>415/420</t>
  </si>
  <si>
    <t>500/505</t>
  </si>
  <si>
    <t>AEG</t>
  </si>
  <si>
    <t>NEW TOP CON -AS-M1087B-H(M10)</t>
  </si>
  <si>
    <t>JA SOLAR</t>
  </si>
  <si>
    <t>JAM72D30 BIFACIAL M10 CELLS/HC</t>
  </si>
  <si>
    <t>JAM72S20 M6 CELLS/HC</t>
  </si>
  <si>
    <t>JAM54S30 M10 CELLS/HC</t>
  </si>
  <si>
    <t>SUNTECH</t>
  </si>
  <si>
    <t>ULTRA V PRO 420 N-TYPE</t>
  </si>
  <si>
    <t>ULTRA V PRO 575 N-TYPE BIFACIAL</t>
  </si>
  <si>
    <t>DASOLAR</t>
  </si>
  <si>
    <t>BIFACIAL 415W FULL BLACK N-TYPE</t>
  </si>
  <si>
    <t>BIFACIAL 420W FULL BLACK N-TYPE</t>
  </si>
  <si>
    <t>DASsolar DAS-DH144NA-575 Watt, N-Type, Bifacial</t>
  </si>
  <si>
    <t>end of May</t>
  </si>
  <si>
    <t>DASolar DAS-DH144NA-580 | SF, N-Type | Bifacial</t>
  </si>
  <si>
    <t>end of April</t>
  </si>
  <si>
    <t>container price:</t>
  </si>
  <si>
    <t>pallet price</t>
  </si>
  <si>
    <t>JKM440N-54HL4R</t>
  </si>
  <si>
    <t>PV module</t>
  </si>
  <si>
    <t>Monofacial PV module 440Wp (N-type)</t>
  </si>
  <si>
    <t>1762×1134×30mm</t>
  </si>
  <si>
    <t>LR5-72HTH 585</t>
  </si>
  <si>
    <t>Hi-Mo 6 Scientist LR5-72HTH 585</t>
  </si>
  <si>
    <t>Monofacial PV module 585Wp</t>
  </si>
  <si>
    <t>2278*1134*35</t>
  </si>
  <si>
    <t>LONGi</t>
  </si>
  <si>
    <t>LONGi Hi-MO 5m LR5-54HIH-405M, black frame</t>
  </si>
  <si>
    <t>LONGi Hi-MO 5m LR5-54HIH-410M, black frame</t>
  </si>
  <si>
    <t>54HPB-410M | Full black</t>
  </si>
  <si>
    <t>LONGi Hi-MO X6 Explorer LR5-54HTB-430M Full Black</t>
  </si>
  <si>
    <t>LONGi Hi-MO X6 Explorer LR5-54HTH-435M Black Frame</t>
  </si>
  <si>
    <t>LR5-54HPB-410M</t>
  </si>
  <si>
    <t>LR4-60HPB-350M</t>
  </si>
  <si>
    <t>LR5-54HIB-400M, full black</t>
  </si>
  <si>
    <t>Longi LR5-54HTH 425 Watt</t>
  </si>
  <si>
    <t>Longi LR5-54HTH 440 Watt</t>
  </si>
  <si>
    <t>Longi LR5-66-HTH 525 Watt</t>
  </si>
  <si>
    <t>Longi LR5-72HTH 575 Watt</t>
  </si>
  <si>
    <t>Longi LR5-72HTH 580 Watt</t>
  </si>
  <si>
    <t>Longi LR5-72HTH 585 Watt</t>
  </si>
  <si>
    <t>Trina</t>
  </si>
  <si>
    <t>Trina 400 TSM-DE09.08 Vertex S</t>
  </si>
  <si>
    <t>Trina 390 TSM-DE09.05 Vertex S, Black</t>
  </si>
  <si>
    <t>Trina 420 TSM-DE09R.08 Vertex S</t>
  </si>
  <si>
    <t>Trina 425 TSM-DE09R.08 Vertex S</t>
  </si>
  <si>
    <t>Trina 430 TSM-DE09R.08 Vertex S</t>
  </si>
  <si>
    <t>Trina 430 TSM-NEG9R.28 Vertex S+ Doppelglas</t>
  </si>
  <si>
    <t>Trina 435 TSM-NEG9R.28 Vertex S+ Doppelglas</t>
  </si>
  <si>
    <t>Trina 440 TSM-NEG9R.28 Vertex S+ Doppelglas</t>
  </si>
  <si>
    <t>Trina 445 TSM-NEG9R.28 Vertex S+ Doppelglas</t>
  </si>
  <si>
    <t>Trina 500 TSM-DE18M(II) Vertex</t>
  </si>
  <si>
    <t>Trina 510 TSM-DE18M(II) Vertex</t>
  </si>
  <si>
    <t>Trina DE19W 550 Watt</t>
  </si>
  <si>
    <t>Trina NEG19RC.20 575 Watt, N-Type, Bifacial</t>
  </si>
  <si>
    <t>Trina NEG19RC.20 580 Watt, N-Type, Bifacial</t>
  </si>
  <si>
    <t>Trina TSM-580NEG19RC.20 | Silver frame</t>
  </si>
  <si>
    <t>Trina TSM-585NEG19RC.20 | Silver frame</t>
  </si>
  <si>
    <t>Trina TSM-590NEG19RC.20 | Silver frame</t>
  </si>
  <si>
    <t>Tongwei</t>
  </si>
  <si>
    <t>Tongwei TWMND-54HS430W |N-Type| Black frame</t>
  </si>
  <si>
    <t>Tongwei TW 480 MND | Silver frame, N-Type mono</t>
  </si>
  <si>
    <t>Tongwei TW 485 MND | Silver frame, N-Type mono</t>
  </si>
  <si>
    <t>Riesen</t>
  </si>
  <si>
    <t>Risen RSM120-8-605M | Silver frame</t>
  </si>
  <si>
    <t>JinkoSolar</t>
  </si>
  <si>
    <t xml:space="preserve">JinkoSolar MM400-54HLD-MBV </t>
  </si>
  <si>
    <t xml:space="preserve">JinkoSolar MM405-54HLD-MBV </t>
  </si>
  <si>
    <t>JinkoSolar JKM370N-6TL3-V</t>
  </si>
  <si>
    <t>JinkoSolar JKM375N-6TL3-V</t>
  </si>
  <si>
    <t>JinkoSolar JKM380N-6TL3-V</t>
  </si>
  <si>
    <t>JinkoSolar JKM415N-54HL4-V</t>
  </si>
  <si>
    <t>JinkoSolar JKM420N-54HL4-V</t>
  </si>
  <si>
    <t>JinkoSolar JKM420N-54HL4-V, Container</t>
  </si>
  <si>
    <t>JinkoSolar JKM425N-54HL4R-B, black</t>
  </si>
  <si>
    <t>JinkoSolar JKM435N-54HL4R-B, black</t>
  </si>
  <si>
    <t>JinkoSolar JKM435N-54HL4R-V</t>
  </si>
  <si>
    <t>JinkoSolar JKM560N-72HL4-BDV, Container</t>
  </si>
  <si>
    <t xml:space="preserve">  </t>
  </si>
  <si>
    <t>PHOTOVOLTAIC COMPANIES CYPRUS</t>
  </si>
  <si>
    <t>* 1st groups listed in SEAPEK</t>
  </si>
  <si>
    <t>Company name</t>
  </si>
  <si>
    <t>Address</t>
  </si>
  <si>
    <t>Telephone</t>
  </si>
  <si>
    <t>email</t>
  </si>
  <si>
    <t>Web</t>
  </si>
  <si>
    <t>Existing ASBIS Customer</t>
  </si>
  <si>
    <t>Contact person</t>
  </si>
  <si>
    <t>Notes</t>
  </si>
  <si>
    <t>Follow up</t>
  </si>
  <si>
    <t>NICOSIA</t>
  </si>
  <si>
    <t>A.G. GREENERGY TECHNOLOGIES (CYPRUS) LTD</t>
  </si>
  <si>
    <t>Θεμιστοκλέους 16, Στρόβολος, 2060, Λευκωσία</t>
  </si>
  <si>
    <t>info@greenergytechs.com / a.gregoriou@greenergytechs.com</t>
  </si>
  <si>
    <t>www.greenergytechs.com/</t>
  </si>
  <si>
    <t>NO</t>
  </si>
  <si>
    <t>99014528 ΘΑΝΑΣΗΣ ΚΥΡΚΑΣ / 99854111 ANDREAS GRIGORIOU</t>
  </si>
  <si>
    <t>BIG SOLAR CYPRUS</t>
  </si>
  <si>
    <t>21 Οδός Μάρκου Δράκου, Παλλουριώτισσα, Τ.Θ 29078, 1621 Λευκωσία</t>
  </si>
  <si>
    <t>22 793333</t>
  </si>
  <si>
    <t>info@bigsolar.com.cy</t>
  </si>
  <si>
    <t>www.bigsolar.com.cy</t>
  </si>
  <si>
    <t>PHANOS N. EPIPHANIOU PUBLIC LTD</t>
  </si>
  <si>
    <t>CARAMONDANI ENGINEERS</t>
  </si>
  <si>
    <t>11 Οδός Μνασιάδου, Τ.Θ 27156, 1642 Λευκωσία</t>
  </si>
  <si>
    <t>22 818140</t>
  </si>
  <si>
    <t>carairco@caramondani.com.cy</t>
  </si>
  <si>
    <t>www.caramondani.com.cy</t>
  </si>
  <si>
    <t>CYPIN ENERGY SYSTEMS LTD</t>
  </si>
  <si>
    <t>138A Λεωφ. Λεμεσού, Στρόβολος, Λευκωσία</t>
  </si>
  <si>
    <t>22 313715</t>
  </si>
  <si>
    <t>cypinnic@cytanet.com.cy</t>
  </si>
  <si>
    <t>www.cypinnet.com</t>
  </si>
  <si>
    <t>YES (MOTHER COMPANY)</t>
  </si>
  <si>
    <t>δεν ασχολουνται πλεον</t>
  </si>
  <si>
    <t>ERGO HOME ENERGY LTD</t>
  </si>
  <si>
    <t>Θεσσαλονίκης 14, Ταχ. Κωδ. 2643, Βιομηχανική Περιοχή Εργατών, Λευκωσία, Κύπρος. Τ.Θ 26774, Τ.Κ 1647</t>
  </si>
  <si>
    <t>22 505404 / 99 403924</t>
  </si>
  <si>
    <t>pharconides@ergohomegroup.com</t>
  </si>
  <si>
    <t>www.ergoenergy.com.cy</t>
  </si>
  <si>
    <t>12/2/24 email tp-link</t>
  </si>
  <si>
    <t>GE SOLAR</t>
  </si>
  <si>
    <t>Οδός Γιάννου Κρανιδιώτη, Λευκωσία</t>
  </si>
  <si>
    <t>77777 7009</t>
  </si>
  <si>
    <t>info@gesolarcyprus.com</t>
  </si>
  <si>
    <t>www.gesolarcyprus.com</t>
  </si>
  <si>
    <t>99300282 ΚΩΝΣΤΑΝΤΙΝΟΣ ΣΤΑΥΡΙΝΙΔΗΣ / ΝΙΚΟΛΑΟΣ ΒΡΙΚΚΗΣ 96300029</t>
  </si>
  <si>
    <t>13/2/24 email tp-link</t>
  </si>
  <si>
    <t>HEATAIRCON LTD</t>
  </si>
  <si>
    <t>128 Οδός Τσερίου, Στρόβολος, Λευκωσία</t>
  </si>
  <si>
    <t>77 77 24 25</t>
  </si>
  <si>
    <t>info@heataircon.com</t>
  </si>
  <si>
    <t>www.heataircon.com.cy</t>
  </si>
  <si>
    <t>JOHNSUN HEATERS LTD</t>
  </si>
  <si>
    <t>20 Οδός Βουκουρεστίου 2033, Στρόβολος , Τ.Θ 14001, 2153 Λευκωσία</t>
  </si>
  <si>
    <t>22 317170</t>
  </si>
  <si>
    <t>info@johnsun-solar.com.cy</t>
  </si>
  <si>
    <t>www.johnsun-solar.com.cy</t>
  </si>
  <si>
    <t>ΑΝΔΡΕΑΣ ΙΩΑΝΝΙΔΗΣ / AGGELOS KOKKINOS 99317140</t>
  </si>
  <si>
    <t>vazoun Luxor/fronius/huawei/Se apo krannich GR</t>
  </si>
  <si>
    <t>L. ZOTIADES TRADING &amp; CONSULTING LTD</t>
  </si>
  <si>
    <t>Οδός Ερμού 3, Β.Π. Δαλίου, Λευκωσία</t>
  </si>
  <si>
    <t>22 612121</t>
  </si>
  <si>
    <t>zotiadesenergy@cytanet.com.cy</t>
  </si>
  <si>
    <t>www.zotiadesgroup.com.cy</t>
  </si>
  <si>
    <t>M.G.F.K. ENERGY LTD</t>
  </si>
  <si>
    <t>6 Οδός Πενταδακτύλου, Παλιομέτοχο, Λευκωσία</t>
  </si>
  <si>
    <t>22 311234</t>
  </si>
  <si>
    <t>info@karantonis.com.cy</t>
  </si>
  <si>
    <t>www.k-energy.com.cy</t>
  </si>
  <si>
    <t>99421949 FANOS KARANTONIS</t>
  </si>
  <si>
    <t>suntech+luxor</t>
  </si>
  <si>
    <t>POWERSLAVE ENERGY LTD</t>
  </si>
  <si>
    <t>Γιουγκοσλαβίας, 10, Αγία Φύλα, 3117, Λεμεσός</t>
  </si>
  <si>
    <t>22 261256</t>
  </si>
  <si>
    <t>info@powerslave.com.cy</t>
  </si>
  <si>
    <t>Marios  Euthimiou 99552902</t>
  </si>
  <si>
    <t>χ</t>
  </si>
  <si>
    <t>SOLEK CYPRUS LTD</t>
  </si>
  <si>
    <t>Λεωφ. Αθαλάσσας 176, γραφείο 201, 2025 Λευκωσία</t>
  </si>
  <si>
    <t>22494975, 99660855</t>
  </si>
  <si>
    <t>cyprus@solek.com</t>
  </si>
  <si>
    <t>https://www.solek.com/</t>
  </si>
  <si>
    <t>20/6 interested only in plots for developlment of pv parks, also interested for bess 1-40mwh batteries</t>
  </si>
  <si>
    <t>LATHOS STOIXEIA!</t>
  </si>
  <si>
    <t>SP GREEN ENERGY LTD</t>
  </si>
  <si>
    <t>93 Λεωφ. Κυρηνείας , Λευκωσία</t>
  </si>
  <si>
    <t>22 255059</t>
  </si>
  <si>
    <t>mail@spgreenenergy.com.cy</t>
  </si>
  <si>
    <t>TSIGARIDES ELECTRICAL CO. LTD</t>
  </si>
  <si>
    <t>31 Οδός Σταύρου Στυλιανίδη, Εργάτες, Λευκωσία</t>
  </si>
  <si>
    <t>22 385544, 99625692</t>
  </si>
  <si>
    <t>tsigarideselectrical@cytanet.com.cy   ecotsigarides@cytanet.com.cy</t>
  </si>
  <si>
    <t>www.tsigarides.com</t>
  </si>
  <si>
    <t xml:space="preserve"> 99625692 ΝΕΟΦΥΤΟΣ ΤΣΙΓΑΡΙΔΗΣ</t>
  </si>
  <si>
    <t>ARIMEC INSTALLATION LTD</t>
  </si>
  <si>
    <t>13A Michalakopoulou Str., Nicosia</t>
  </si>
  <si>
    <t>22460240, 22460241</t>
  </si>
  <si>
    <t>info@arimec.eu</t>
  </si>
  <si>
    <t>www.arimec.eu</t>
  </si>
  <si>
    <t>Δήμος Αριστοδήμου director - Σωτήρης Managing Director</t>
  </si>
  <si>
    <t>V.P.A. CYPENERGIA LTD (ex ECOENERGIA CYPRUS)</t>
  </si>
  <si>
    <t>Gianni Kranidioti 20A, 2220 Latsia, Nicosia</t>
  </si>
  <si>
    <t>70000078 / 22376966 / 99677274</t>
  </si>
  <si>
    <t>www.ecoenergia.gr</t>
  </si>
  <si>
    <t>Panagiotis Pelekanos</t>
  </si>
  <si>
    <t>they import longi - interested in 600W jinko</t>
  </si>
  <si>
    <t>ELETOYIA DEEP TECH CHAIN LTD</t>
  </si>
  <si>
    <t>4A, Glyfadas Str., Strovolos, Nicosia</t>
  </si>
  <si>
    <t>info@eletoyia.com</t>
  </si>
  <si>
    <t>www.eletoyia.com</t>
  </si>
  <si>
    <t>99306137 GIANNIS</t>
  </si>
  <si>
    <t>ENFOTON SOLAR LTD</t>
  </si>
  <si>
    <t>14 Syntagmatarchou Georgiou Mpoutou Str. Kokkinotrimithia, NICOSIA</t>
  </si>
  <si>
    <t>info@enfotonsolar.com</t>
  </si>
  <si>
    <t>www.enfotonsolar.com</t>
  </si>
  <si>
    <t>Leon Soteriou - Managing Director</t>
  </si>
  <si>
    <t>FOTOPAIGNIO LTD</t>
  </si>
  <si>
    <t>44, Gr. Afxentiou Str. Ag. Varvara, NICOSIA</t>
  </si>
  <si>
    <t>99841636 , 99653237 , 99896939, 22522045</t>
  </si>
  <si>
    <t> info@fotopaignio.com</t>
  </si>
  <si>
    <t>www.fotopaignio.com</t>
  </si>
  <si>
    <t>Νεκταριος Δημητρης Παναγιωτου</t>
  </si>
  <si>
    <t>Φωτοβολταϊκή Λάμπα MONO??</t>
  </si>
  <si>
    <t>LUCIDWAY ENTERPRISES LIMITED</t>
  </si>
  <si>
    <t>19A, Orfeos Str., Nicosia</t>
  </si>
  <si>
    <t>22374071,  99689127</t>
  </si>
  <si>
    <t>info@lucid-way.com</t>
  </si>
  <si>
    <t>https://www.facebook.com/pages/Lucidway-Enterprises-Ltd/511214848937859?ref=bookmarks</t>
  </si>
  <si>
    <t>PA.CH.NI SERVICES LTD</t>
  </si>
  <si>
    <t>27 Orthodoxias Str., Lakatamia, NICOSIA</t>
  </si>
  <si>
    <t>info@pachni.com  pacni_services@hotmail.com</t>
  </si>
  <si>
    <t>www.pachni.com</t>
  </si>
  <si>
    <t>&amp; 13 Andrea Araouzou Str. Kato Polemidia, LIMASSOL</t>
  </si>
  <si>
    <t>PHOTOVOLTAIC IN CYPRUS</t>
  </si>
  <si>
    <t>21, Agias Paraskevis Str., Strovolos, NICOSIA</t>
  </si>
  <si>
    <t> info@photovoltaicincyprus.com</t>
  </si>
  <si>
    <t>https://photovoltaicincyprus.com</t>
  </si>
  <si>
    <t>SAVCO SOLAR ENERGY LTD</t>
  </si>
  <si>
    <t>2A, Vasili Michaelidi Str., Strovolos, NICOSIA</t>
  </si>
  <si>
    <t>savco@spidernet.com.cy</t>
  </si>
  <si>
    <t>SP SUNPOWER LTD</t>
  </si>
  <si>
    <t>3B Akropoleos Ave., Strovolos, NICOSIA</t>
  </si>
  <si>
    <t>sunpower@cytanet.com.cy</t>
  </si>
  <si>
    <t>www.sunpower.com.cy</t>
  </si>
  <si>
    <t>Z &amp; S ELECTRICAL INSTALLATIONS &amp; MAINTENANCE LTD</t>
  </si>
  <si>
    <t>20, Veroias Str., Tseri, NICOSIA</t>
  </si>
  <si>
    <t>zselectrical@cytanet.com.cy</t>
  </si>
  <si>
    <t>S.T. Purple Energy LTD</t>
  </si>
  <si>
    <t> 1, Griva Digeni str., 2201, Geri, Nicosia</t>
  </si>
  <si>
    <t>99842546, 22481138</t>
  </si>
  <si>
    <t>info@purpleEnergy.eu</t>
  </si>
  <si>
    <t>www.purpleenergy.eu</t>
  </si>
  <si>
    <t>SPYROS TZIAKOURIS</t>
  </si>
  <si>
    <t>1/2/24 sent tp-link</t>
  </si>
  <si>
    <t>sold may 08</t>
  </si>
  <si>
    <t>PANARIS CHARALAMBOS &amp; Associates Ltd</t>
  </si>
  <si>
    <t>42 Γρηγόρη Αυξεντίου, Αγ. Δομέτιος 2360 Κύπρος</t>
  </si>
  <si>
    <t>22783090, 99643753</t>
  </si>
  <si>
    <t>panaris@spidernet.com.cy</t>
  </si>
  <si>
    <t>https://www.panaris.com.cy/</t>
  </si>
  <si>
    <t>MSSC LTD</t>
  </si>
  <si>
    <t>ΓΡΗΓΟΡΗ ΑΥΞΕΝΤΙΟΥ 27, ΛΥΘΡΟΔΟΝΤΑΣ, 2565</t>
  </si>
  <si>
    <t>70004043, 99658468</t>
  </si>
  <si>
    <t>info@mssc-ltd.com</t>
  </si>
  <si>
    <t>MSSC LTD | Facebook</t>
  </si>
  <si>
    <t>ΣΤΕΦΑΝΟΣ ΧΡΙΣΤΟΔΟΥΛΟΥ</t>
  </si>
  <si>
    <t>11/6 uses only solaredge panels and inverter and buys together with structure system (we don't have)</t>
  </si>
  <si>
    <t>KLK UTOPIA ENGINEERING</t>
  </si>
  <si>
    <t>9A, Kratinou Str. Strovolos, 2040 NICOSIA</t>
  </si>
  <si>
    <t>22450628, 96593366</t>
  </si>
  <si>
    <t> info@utopiaengineering.com , kyriakos@utopiaengineering.com</t>
  </si>
  <si>
    <t>Utopia Engineering</t>
  </si>
  <si>
    <t>ΚΥΡΙΑΚΟΣ ΚΥΡΙΑΚΟΥ</t>
  </si>
  <si>
    <t>C &amp; G Green Energy Consultants Ltd</t>
  </si>
  <si>
    <t>9 Demetri Stavrou Street, Flat 101, Latsia, Nicosia</t>
  </si>
  <si>
    <t>info@gec-cy.com</t>
  </si>
  <si>
    <t>*26</t>
  </si>
  <si>
    <t>Christos Loisou Electrical Instalations</t>
  </si>
  <si>
    <t>ΝΙΚΟΥ ΜΠΕΛΟΓΙΑΝΝΗ 1, ΓΕΡΙ 2201</t>
  </si>
  <si>
    <t>99630936, 22486948</t>
  </si>
  <si>
    <t>chr.loisou@hotmail.com /  christosloisou@gmail.com</t>
  </si>
  <si>
    <t>www.facebook.com/christosloisou.instalations</t>
  </si>
  <si>
    <t>ΧΡΙΣΤΟΣ ΛΟΙΖΟΥ</t>
  </si>
  <si>
    <t>11/6 intro email</t>
  </si>
  <si>
    <t>ELECTRIC ENERGY</t>
  </si>
  <si>
    <t>ΛΕΩΦΟΡΟΣ ΛΑΡΝΑΚΟΣ 73Β, 2101 ΑΓΛΑΝΤΖΙΑ</t>
  </si>
  <si>
    <t>99604101 , 70009012</t>
  </si>
  <si>
    <t>info@electric-energy.com.cy</t>
  </si>
  <si>
    <t>https://electric-energy.com.cy/</t>
  </si>
  <si>
    <t>ΑΝΔΡΕΑΣ ΜΙΧΑΗΛ</t>
  </si>
  <si>
    <t>ΧΡΙΣΤΟΣ Κ. ΠΑΦΙΤΗΣ.ΛΤΔ</t>
  </si>
  <si>
    <t>ΠΥΘΑΓΟΡΟΥ 7, 2480 ΤΣΕΡΙ</t>
  </si>
  <si>
    <t>99490685 , 22356268</t>
  </si>
  <si>
    <t>pafitis.christos@gmail.com</t>
  </si>
  <si>
    <t>20/6 electrical installations - uses LUXOR, solaredge and Fronius - busy for meeting</t>
  </si>
  <si>
    <t>EV ENERGY CYPRUS LTD</t>
  </si>
  <si>
    <t>2 Steliou Mavrommati. Latsia, 2236</t>
  </si>
  <si>
    <t>Evenergy@evenergycy.com    cysales@evenergycy.com</t>
  </si>
  <si>
    <t>http://evenergycy.com/</t>
  </si>
  <si>
    <t>EV ENERGY CYPRUS LTD is part of Manalco Group.</t>
  </si>
  <si>
    <t>WHOLESALE SOLAX + PCE</t>
  </si>
  <si>
    <t>Energyintel Services Ltd</t>
  </si>
  <si>
    <t>1 GREGORI AFXENTIOU PALOURIOTISSA 1040 Nicosia</t>
  </si>
  <si>
    <t>info@energyintel.com.cy</t>
  </si>
  <si>
    <t>energyintel.com.cy</t>
  </si>
  <si>
    <t>ΜΙΧΑΛΗΣ ΛΟΙΖΟΥ, ΜΑΡΙΟΣ ΑΛΕΞΑΝΔΡΟΥ marios@energyintel.com.cy &lt;-- OWNER</t>
  </si>
  <si>
    <t>N&amp;A Electrical LTD</t>
  </si>
  <si>
    <t> Sporadon 42A, Lakatamia 2303</t>
  </si>
  <si>
    <t>22721296, 99412247</t>
  </si>
  <si>
    <t>solar@naelectrical.net  /  naelectrical@outlook.com / naelectrical@me.com</t>
  </si>
  <si>
    <t>www.facebook.com/naelectricalltd/</t>
  </si>
  <si>
    <t>ΕΥΑΓΓΕΛΟΣ ΑΓΙΩΤΗΣ</t>
  </si>
  <si>
    <t>call 99616621 antreas stylianou el.eng</t>
  </si>
  <si>
    <t>ILEKTROLOGIKI ETAIREIA SOTIRIS CHRISTOFIDIS &amp; YIOI LIMITED (S. CHRISTOFIDES ELECTRICAL)</t>
  </si>
  <si>
    <t>Τεχνολογίας 6, 2326, LAKATAMIA, Nicosia, Cyprus</t>
  </si>
  <si>
    <t>22 515545</t>
  </si>
  <si>
    <t>schristofides@cytanet.com.cy</t>
  </si>
  <si>
    <t>asxoleitai i DI.M.A.ST. ELECTRICAL LTD</t>
  </si>
  <si>
    <t>N.E.A Engineering Ltd Cyprus</t>
  </si>
  <si>
    <t>Faethontos 10, 2313 Lakatamia Nicosia</t>
  </si>
  <si>
    <t>22721221, 99363953</t>
  </si>
  <si>
    <t>info@neaeng.com</t>
  </si>
  <si>
    <t>www.neaeng.com</t>
  </si>
  <si>
    <t>ΑΝΤΩΝΗΣ ΧΑΤΖΙΑΝΤΩΝΗΣ</t>
  </si>
  <si>
    <t>C. Mardapittas &amp; Associates</t>
  </si>
  <si>
    <t>Leoforos Potamiou, 2722 Astromeritis</t>
  </si>
  <si>
    <t>99598770, 22843000</t>
  </si>
  <si>
    <t>cmardapittas@hotmail.com</t>
  </si>
  <si>
    <t>ΧΡΥΣΟΣΤΟΜΟΣ ΜΑΡΔΑΠΗΤΤΑΣ</t>
  </si>
  <si>
    <t>ΝΙΚΟΣ ΝΙΚΟΛΑΟΥ (?)</t>
  </si>
  <si>
    <t>ΠΑΝΑΓΙΑΣ ΟΔΗΓΗΤΡΙΑΣ 56, 2682, ΠΑΛΙΟΜΕΤΟΧΟ</t>
  </si>
  <si>
    <t>nikosnikcy@cytanet.com.cy</t>
  </si>
  <si>
    <t>ELECTRODYNAMIC LTD</t>
  </si>
  <si>
    <t>XALKIDIKIS 13A, 1056, PALLOURIOTISSA</t>
  </si>
  <si>
    <t>99456153, 22255256</t>
  </si>
  <si>
    <t>info@electrodynamic-ltd.com </t>
  </si>
  <si>
    <t>www.electrodynamic-ltd.com</t>
  </si>
  <si>
    <t>ANTREAS CHARY andreaschary@gmail.com</t>
  </si>
  <si>
    <t>20/6 uses ecoDelta panels, SE FRONIUS AZZURO inverters. Does electrical installations might have more products of interest.</t>
  </si>
  <si>
    <t>ΑΝΔΡΕΑΣ ΗΡΑΚΛΕΟΥΣ ΗΛΕΚΤΡΙΚΕΣ ΕΓΚΑΤΑΣΤΑΣΕΙΣ ΛΤΔ</t>
  </si>
  <si>
    <t>Ερεχθείου, 3, Floor 1, Flat 101 Στρόβολος 2048, Λευκωσία</t>
  </si>
  <si>
    <t>MARKOS HRAKLEOYS</t>
  </si>
  <si>
    <t>PGL Loizou Electrical LTD</t>
  </si>
  <si>
    <t>ΑΡΧΙΕΠΙΣΚΟΠΟΥ ΜΑΚΑΡΙΟΥ Γ' Β15 ΔΙΑΜ.303, 1040, ΠΑΛΛΟΥΡΙΩΤΙΣΑ</t>
  </si>
  <si>
    <t>loizou.eng1@gmail.com</t>
  </si>
  <si>
    <t>ΛΟΙΖΟΣ ΛΟΙΖΟΥ</t>
  </si>
  <si>
    <t>A.M. Electrotrust LTD</t>
  </si>
  <si>
    <t>ΑΡΙΣΤΕΙΔΗ ΧΑΡΑΛΑΜΠΟΥΣ 2, 1077 ΛΕΥΚΩΣΙΑ</t>
  </si>
  <si>
    <t>a.m.electrotrust@gmail.com</t>
  </si>
  <si>
    <t>www.facebook.com/p/AM-Electrotrust-LTD-100054205163949</t>
  </si>
  <si>
    <t>ΑΝΤΡΕΑΣ ΛΟΙΖΟΥ</t>
  </si>
  <si>
    <t>TELMEN LTD</t>
  </si>
  <si>
    <t>18, Olympias Str., Paola Court, Lykavitos, 1071, Nicosia</t>
  </si>
  <si>
    <t>22 750 500</t>
  </si>
  <si>
    <t>info@telmen.com.cy</t>
  </si>
  <si>
    <t>www.telmen.com.cy</t>
  </si>
  <si>
    <t>(*101 ΑΝΔΡΕΑΣ ΠΟΛΥΔΩΡΟΥ 99490723 antreasp82@hotmail.com ??)</t>
  </si>
  <si>
    <t>NK Kanaris Energy LTD</t>
  </si>
  <si>
    <t>PROKOPIOU 2, 1085, AGIOI OMOLOGITES</t>
  </si>
  <si>
    <t>info@nkkanaris.com</t>
  </si>
  <si>
    <t>nkkanaris.com</t>
  </si>
  <si>
    <t>NIKOLAS KANARIS</t>
  </si>
  <si>
    <t>QUALITY INDUSTRIAL CONSTRUCTIONS LTD</t>
  </si>
  <si>
    <t>4 Iakovou Patatsou Str. Pallouriotissa, Nicosia</t>
  </si>
  <si>
    <t>96870153 , 22119406</t>
  </si>
  <si>
    <t>info.qic@primehome.com</t>
  </si>
  <si>
    <t>www.facebook.com/people/GA-Quality-Industrial-Constructions-LTD/61552736302319/</t>
  </si>
  <si>
    <t>Nikolaos Andrielos</t>
  </si>
  <si>
    <t>ELECTROSOL ELECTRICAL CONTRACTORS LTD</t>
  </si>
  <si>
    <t>Lefkonoikou 9 Nicosia, Cyprus</t>
  </si>
  <si>
    <t>99426925 , 22345194</t>
  </si>
  <si>
    <t>electrosolltd@outlook.com</t>
  </si>
  <si>
    <t>https://electrosolelectrical.com/</t>
  </si>
  <si>
    <t>ΠΑΝΙΚΟΣ ΓΙΑΝΝΑΚΟΥ ? 99426925</t>
  </si>
  <si>
    <t>C.P ALTECH ENERGY LTD</t>
  </si>
  <si>
    <t>Ελευθερίου Βενιζέλου 11, 2480 ΤΣΕΡΙ</t>
  </si>
  <si>
    <t xml:space="preserve">70 001535 , 99518203 </t>
  </si>
  <si>
    <t>christos@altech.com.cy</t>
  </si>
  <si>
    <t>https://www.altech.com.cy/</t>
  </si>
  <si>
    <t>CHRISTOS PARASKEYA</t>
  </si>
  <si>
    <t>Chrinima LTD</t>
  </si>
  <si>
    <t xml:space="preserve">Agiou Constantinou 16a, 2334 Archaggelos </t>
  </si>
  <si>
    <t>99848344 , 22443500</t>
  </si>
  <si>
    <t>chrinima@chrinima.com</t>
  </si>
  <si>
    <t>https://chrinima.com/main/</t>
  </si>
  <si>
    <t>ΝΙΚΗΤΑΣ ΧΡΙΣΤΟΦΗ</t>
  </si>
  <si>
    <t>(?) JOHN &amp; KALOUDIS ELECTRICAL SYSTEMS LTD  (?)</t>
  </si>
  <si>
    <t>ΤΗΛΟΥ 4, 1036 ΛΕΥΚΩΣΙΑ</t>
  </si>
  <si>
    <t>kaloudeskaloudopoulos@gmail.com</t>
  </si>
  <si>
    <t>ΚΑΛΟΥΔΗΣ ΚΑΛΟΥΔΟΠΟΥΛΟΣ</t>
  </si>
  <si>
    <t>ΝΙΚΟΛΑΣ ΧΡΙΣΤΟΦΙΔΗΣ</t>
  </si>
  <si>
    <t>ΕΚΤΟΡΟΣ 27, 1046, ΠΑΛΛΟΥΡΙΩΤΙΣΣΑ</t>
  </si>
  <si>
    <t>99358233 - 22394394 ΕΧΤ 46108</t>
  </si>
  <si>
    <t>n.christofides@frederick.ac.cy</t>
  </si>
  <si>
    <t>FREDERICK PROFESSOR !!!</t>
  </si>
  <si>
    <t>M.M.CYSOLAR LTD - ΜΑΡΙΟΣ ΜΙΧΑΗΛ</t>
  </si>
  <si>
    <t>ΚΑΡΑΒΑ 8, ΛΑΤΣΙΑ, 2231</t>
  </si>
  <si>
    <t>99677537 / 99485346 constantia</t>
  </si>
  <si>
    <t>info@mmcysolar.com</t>
  </si>
  <si>
    <t>https://www.mmcysolar.com/</t>
  </si>
  <si>
    <t>ΕΓΚΑΤΑΣΤΑΤΗΣ ΚΩΣΤΑ ΦΩΤΗ ΕΔΑΦΟΜΗΧΑΝΙΚΗ - Constantia Constantinou sizigos</t>
  </si>
  <si>
    <t>will call back - 01/7 huawei, tce (se fronius)</t>
  </si>
  <si>
    <t>PA ELECTRO SCIENCE LTD</t>
  </si>
  <si>
    <t>Κωστή Παλαμά, 1, Πέρα Χωριό 2572, Λευκωσία</t>
  </si>
  <si>
    <t>96338092 ΠΑΝΑΓΙΩΤΗΣ ΑΝΑΣΤΑΣΙΟΥ</t>
  </si>
  <si>
    <t>info@paelectroscience.com</t>
  </si>
  <si>
    <t>www.paelectroscience.com</t>
  </si>
  <si>
    <t>S-PRO ENERGY SYSTEMS LIMITED</t>
  </si>
  <si>
    <t>Chalkanoros 11a, Dali, 2540, Nicosia, Cyprus</t>
  </si>
  <si>
    <t>96552202 77000040</t>
  </si>
  <si>
    <t>sales@spro.energy   stavros@spro.energy</t>
  </si>
  <si>
    <t>https://spro.energy/</t>
  </si>
  <si>
    <t>STAYROS SPYROU</t>
  </si>
  <si>
    <t>ETHERAS ENERGY SOLUTIONS LTD</t>
  </si>
  <si>
    <t>Lordou Vyronos 26, 1096 Nicosia</t>
  </si>
  <si>
    <t xml:space="preserve">70000160    22020122 </t>
  </si>
  <si>
    <t>sales@etheras.energy</t>
  </si>
  <si>
    <t>https://www.etheras.energy/</t>
  </si>
  <si>
    <t>MARCICO LIMITED</t>
  </si>
  <si>
    <t>Astromeritis 2722</t>
  </si>
  <si>
    <t>99660965 και 22821824</t>
  </si>
  <si>
    <t>info@marcicoltd.com</t>
  </si>
  <si>
    <t>ΜΑΡΙΑ Α. ΜΑΡΔΑΠΙΤΤΑ (κος ΑΝΔΡΕΑΣ)</t>
  </si>
  <si>
    <t>meeting 25/6 - not interested - buying from trikkis</t>
  </si>
  <si>
    <t>ARISTOKLIA SOLAR LTD</t>
  </si>
  <si>
    <t>17 Kallipolis str, Office 403, 1055 Nicosia</t>
  </si>
  <si>
    <t>99606565 NIKOS /  22750154 / Mrs Maria Shamari 96843945</t>
  </si>
  <si>
    <t>aristoklia@cytanet.com.cy</t>
  </si>
  <si>
    <t>https://aristokliasolar.com/</t>
  </si>
  <si>
    <t>CH. POLYCARPOU SERVICES LIMITED</t>
  </si>
  <si>
    <t>Κερατσινίου, 26, Λακατάμια 2314, Λευκωσία</t>
  </si>
  <si>
    <t>cpsltd@cytanet.com.cy</t>
  </si>
  <si>
    <t>Charalambos Polycarpou</t>
  </si>
  <si>
    <t>B.S.M.E. BUILDING SERVICES MECHANICAL ENGINEER LTD</t>
  </si>
  <si>
    <t>1, Spetson Str., Kaimakli</t>
  </si>
  <si>
    <t>22431440, 99388813 ΣΤΕΛΛΑ / 99169576 , 99806936</t>
  </si>
  <si>
    <t>stellaparpa@gmail.com  bsmech@cytanet.com.cy</t>
  </si>
  <si>
    <t>https://bsme.com.cy/</t>
  </si>
  <si>
    <t>ΣΤΕΛΛΑ ΠΑΡΠΑ -  ΑΡΧΙΤΕΚΤΟΝ - ΕΠΙΘΕΩΡΗΤΗΣ ΣΥΣΤΗΜΑΤΩΝ ΘΕΡΜΑΝΣΗΣ</t>
  </si>
  <si>
    <t>P. KAPSALIS SERVICES LTD</t>
  </si>
  <si>
    <t>Archiepiskopou Makariou III Avenue, NICOSIA 2450</t>
  </si>
  <si>
    <t>kapsalisservices@gmail.com</t>
  </si>
  <si>
    <t>Pantelis Kapsalis / Afroditi Michael</t>
  </si>
  <si>
    <t>ecodelta solax huawei from local market</t>
  </si>
  <si>
    <t>G.P.N ELECTRICAL LIMITED</t>
  </si>
  <si>
    <t>Psychari, 9, Lakatamia 2321, Lefkosia, Cyprus</t>
  </si>
  <si>
    <t>99768496 / 96895425</t>
  </si>
  <si>
    <t>gpn.pavlou@gmail.com</t>
  </si>
  <si>
    <t>https://www.facebook.com/people/GPN-Electrical-Limited</t>
  </si>
  <si>
    <t>ΓΙΩΡΓΟΣ ΠΑΥΛΟΥ</t>
  </si>
  <si>
    <t>n/a</t>
  </si>
  <si>
    <t>DIMARG L.L.C.</t>
  </si>
  <si>
    <t xml:space="preserve"> Arch. Makariou Iii 25 2574 Sia Lefkosia</t>
  </si>
  <si>
    <t>dk@dimargcy.com</t>
  </si>
  <si>
    <t>DIONYSIOS KAMPOURES</t>
  </si>
  <si>
    <t>T. &amp; G.Z. ENTERPRISES LIMITED</t>
  </si>
  <si>
    <t>Larissis, 2, Palaiometocho 2682, Lefkosia, Cyprus</t>
  </si>
  <si>
    <t>zinonaslouca@yahoo.gr</t>
  </si>
  <si>
    <t>ZINONAS LOUKA</t>
  </si>
  <si>
    <t>P. PHRANKOUDES (ELEKTRIKES ENKATASTASEIS) LIMITED</t>
  </si>
  <si>
    <t>Aftostegasis, 25, Analiontas 2641, Lefkosia</t>
  </si>
  <si>
    <t>fragoudis@gmail.com</t>
  </si>
  <si>
    <t>ΠΑΥΛΟΣ ΦΡΑΓΚΟΥΔΗΣ</t>
  </si>
  <si>
    <t>Prodromos Hadjikyriakos &amp; Son Ltd</t>
  </si>
  <si>
    <t>ahadjikyriakos@yahoo.com</t>
  </si>
  <si>
    <t>www.coolairaustralia.com</t>
  </si>
  <si>
    <t>A.M.EL. ELECTRICAL SERVICES LTD</t>
  </si>
  <si>
    <t>Tekrou Anthia 149, Warehouse A1 Tseri</t>
  </si>
  <si>
    <t>99685817 ΑΝΤΩΝΗΣ</t>
  </si>
  <si>
    <t xml:space="preserve">amel.electrical@cytanet.com.cy	</t>
  </si>
  <si>
    <t>https://www.amelelectrical.com.cy/</t>
  </si>
  <si>
    <t>ΑΝΤΩΝΗΣ ΑΝΤΩΝΙΟΥ / ΜΙΧΑΛΗΣ ΦΑΣΟΥΛΗΣ</t>
  </si>
  <si>
    <t>INNOVA NRG LTD</t>
  </si>
  <si>
    <t>Pythagorou 16 ,Dali 2547 Nicosia</t>
  </si>
  <si>
    <t>info@innovanrg.com</t>
  </si>
  <si>
    <t>https://www.innovanrg.com/</t>
  </si>
  <si>
    <t>ΣΑΒΒΑΣ ΕΥΑΓΓΕΛΟΥ</t>
  </si>
  <si>
    <t>V.P.A. CYPENERGIA LTD</t>
  </si>
  <si>
    <t>Giannou Kranidioti 20, 2220 Latsia</t>
  </si>
  <si>
    <t>info@cypenergia.com</t>
  </si>
  <si>
    <t>https://cypenergia.com/</t>
  </si>
  <si>
    <t>PANAGIOTIS MENELAOU</t>
  </si>
  <si>
    <t>POLART ENERGY LIMITED</t>
  </si>
  <si>
    <t>Σταυρού 79, γραφείο 101, Στρόβολος 2035</t>
  </si>
  <si>
    <t>enegy@polarthousing.com</t>
  </si>
  <si>
    <t>www.polarthousing.com/energy/</t>
  </si>
  <si>
    <t>ΓΕΩΡΓΙΟΣ ΚΟΥΜΑΣ</t>
  </si>
  <si>
    <t>ENERGY HOUSE - M.Η. SYLAR INVESTMENTS LIMITED</t>
  </si>
  <si>
    <t>Λεωφ. Στροβόλου 202Γ, Τ.Κ. 2048, Στροβολος, Κύπρος   /   Kythiron, 10A, Latsia 2236, Lefkosia, Cyprus</t>
  </si>
  <si>
    <t>marios.energyhouse@gmail.com</t>
  </si>
  <si>
    <t>https://energyhousecy.com/</t>
  </si>
  <si>
    <t>ΜΑΡΙΟΣ ΗΡΑΚΛΕΟΥΣ - (ΓΝΩΣΤΟΣ ΑΝΤΡΕΑ ΛΟΙΖΟΥ)</t>
  </si>
  <si>
    <t>21/6 busy send email with prices</t>
  </si>
  <si>
    <t>TOTAL PLUS ENERGY LTD</t>
  </si>
  <si>
    <t>Georgiou Davari 6</t>
  </si>
  <si>
    <t>22819505 η 99754343</t>
  </si>
  <si>
    <t xml:space="preserve">	t.athanasiou@totalplus.com.cy</t>
  </si>
  <si>
    <t>https://www.totalplus.com.cy/</t>
  </si>
  <si>
    <t>VICTORIA PANAYI VIP TECHNOLOGIES LTD</t>
  </si>
  <si>
    <t>Κώστα Αντωνιάδη, 21Α, Στρόβολος 2040, Λευκωσία</t>
  </si>
  <si>
    <t>70003424 , 99840371</t>
  </si>
  <si>
    <t>info@viptechnologiescy.com</t>
  </si>
  <si>
    <t>https://www.viptechnologiescy.com/index.asp</t>
  </si>
  <si>
    <t>VICTORIA PANAYI / panayiotis pelekanos mob</t>
  </si>
  <si>
    <t>11/6 email / mosltly SE from Epifaniou</t>
  </si>
  <si>
    <t>Vitrus Exclusive Services LTD</t>
  </si>
  <si>
    <t>364 Spyrou Kyprianou Ave, 2051, Nicosia</t>
  </si>
  <si>
    <t>22424316 , 94047700 (marinos dimitriou)</t>
  </si>
  <si>
    <t>frontdesk@vitrusexclusive.com</t>
  </si>
  <si>
    <t>https://vitrusexclusive.eu/</t>
  </si>
  <si>
    <t>Velentina Polykarpou  - Nikos Kougialis CEO</t>
  </si>
  <si>
    <t>eida to van @ lim - email 16/5</t>
  </si>
  <si>
    <t>AIXMI SOLAR STORE LTD</t>
  </si>
  <si>
    <t>Αγησιλάου, 9Β, Δάλι, 2548, Λευκωσία,</t>
  </si>
  <si>
    <t>info@aixmisolarstore.com</t>
  </si>
  <si>
    <t>https://aixmi-solarstore.com/</t>
  </si>
  <si>
    <t>whosellers</t>
  </si>
  <si>
    <t>AN. CH. ENERGY WORLD LIMITED</t>
  </si>
  <si>
    <t>Χαραλαμπου Πεττεμεριδη 3, Strovolos</t>
  </si>
  <si>
    <t>charidemoua@gmail.com</t>
  </si>
  <si>
    <t>ANDREAS CHARIDEMOU</t>
  </si>
  <si>
    <t>has their partners, doeasn't want to change</t>
  </si>
  <si>
    <t>CMP SOLARTECH ENERGY</t>
  </si>
  <si>
    <t xml:space="preserve"> Lefkonoikou 17, Geri 2202</t>
  </si>
  <si>
    <t>info@solartech.com.cy</t>
  </si>
  <si>
    <t>https://solartech.com.cy</t>
  </si>
  <si>
    <t>ΜΑΡΙΟΣ ΨΙΛΛΗΣ / MARIOS PSILLIS</t>
  </si>
  <si>
    <t>19/6 agorazei apo Dracoudi, sent presentation, meeting next week when in Limassol</t>
  </si>
  <si>
    <t>CO. E. BEST COOL LIMITED</t>
  </si>
  <si>
    <t>E902 77Β, Strovolos 2018</t>
  </si>
  <si>
    <t>a.constantinou@daikincy.com</t>
  </si>
  <si>
    <t>https://bestcool.com.cy/</t>
  </si>
  <si>
    <t>ANDREAS CONSTANTINOU (MECH.ENG)</t>
  </si>
  <si>
    <t>17/5 will call me back</t>
  </si>
  <si>
    <t>PM Dynamic Engineering LTD</t>
  </si>
  <si>
    <t>14 Christodoulou Doitsidi, 2314 Lakatamia</t>
  </si>
  <si>
    <t>7000076 / 99616182 petros markou</t>
  </si>
  <si>
    <t>iospe01@hotmail.com   / info@pmdynamic.net</t>
  </si>
  <si>
    <t>https://www.pmdynamic.net/</t>
  </si>
  <si>
    <t>petros markou (ΑΝΔΡΕΑΣ ΘΑΛΑΣΣΙΝΟΣ 99556530?)</t>
  </si>
  <si>
    <t>01/7 email</t>
  </si>
  <si>
    <t>CMS ELECTRICAL SERVICES LTD</t>
  </si>
  <si>
    <t>Agiou Mamantos 24, 2836 Korakou, Nicosia</t>
  </si>
  <si>
    <t>cmselectricalservices@outlook.com</t>
  </si>
  <si>
    <t>https://www.facebook.com/people/Cms-electrical-services</t>
  </si>
  <si>
    <t>Charalampos Haris Georgiou</t>
  </si>
  <si>
    <t>thelei linies kai vaseis</t>
  </si>
  <si>
    <t>M.A ENERGY APPLICATIONS LTD (C.M. ENERGY APPLICATIONS)</t>
  </si>
  <si>
    <t>22323284 / 99806942</t>
  </si>
  <si>
    <t>maria.yiannakou@cytanet.com.cy</t>
  </si>
  <si>
    <t>http://cmenergy.com.cy/</t>
  </si>
  <si>
    <t>Maria Yiannakou</t>
  </si>
  <si>
    <t>17/6 kanoun dikes tous eisagwges</t>
  </si>
  <si>
    <t>GOLDEN TOUCH ENTERPRISES LIMITED</t>
  </si>
  <si>
    <t>2E, Bogaziou Street, Dali Industrial Area, 2540</t>
  </si>
  <si>
    <t>22678267 96404939</t>
  </si>
  <si>
    <t xml:space="preserve">constantinos.argyrides@gmail.com    goldentouchsolar1@gmail.com </t>
  </si>
  <si>
    <t>https://www.goldentouchsolar.com/</t>
  </si>
  <si>
    <t>DIXONS SOUTH - EAST EUROPE A.E.B.E.</t>
  </si>
  <si>
    <t>955570104 ΚΩΝΣΤΑΝΤΙΝΟΣ ΙΩΑΝΝΟΥ</t>
  </si>
  <si>
    <t>ioannouk@kotsovolos.gr</t>
  </si>
  <si>
    <t>www.kotsovolos.cy</t>
  </si>
  <si>
    <t>Μάγδα Στεφά @ GR υπευθυνη</t>
  </si>
  <si>
    <t>email sent</t>
  </si>
  <si>
    <t>ΑΝΔΡΕΑΣ ΚΟΚΚΟΦΙΤΗΣ</t>
  </si>
  <si>
    <t>ΑΓΙΟΥ ΠΡΟΚΟΠΙΟΥ 8. 2679. ΜΑΜΜΑΡΙ</t>
  </si>
  <si>
    <t>akykkosa@hotmail.com</t>
  </si>
  <si>
    <t>17/6 buying from Big Solar (wants small quantities) Solaredge and Qcels</t>
  </si>
  <si>
    <t>ΧΡΙΣΤΟΦΟΡΟΣ ΧΑΤΖΗΘΩΜΑ</t>
  </si>
  <si>
    <t xml:space="preserve">ΚΕΚΡΥΡΑΣ 4, ΔΑΛΙ </t>
  </si>
  <si>
    <t>christoforos_ha@hotmail.com</t>
  </si>
  <si>
    <t xml:space="preserve">19/6 20/6 was busy, wants prices. I will sent a presentation and call back!!! </t>
  </si>
  <si>
    <t>COSMEDVIEW LIMITED</t>
  </si>
  <si>
    <t>OLYMPOY 38, 1056, NICOSIA</t>
  </si>
  <si>
    <t>constantinos.kyriacou@cosmedview.eu</t>
  </si>
  <si>
    <t>www.cosmedview.eu</t>
  </si>
  <si>
    <t>Konstantinos Kyriakou</t>
  </si>
  <si>
    <t>19/6 thelei times (uses fronius SE huawei Qcells jinko longi)</t>
  </si>
  <si>
    <t>DI.M.A.ST. ELECTRICAL LTD</t>
  </si>
  <si>
    <t>Τεχνολογίας, 6, Βιοτεχνική Περιοχή Λακατάμειας 2326</t>
  </si>
  <si>
    <t>stelios@dimast.com.cy</t>
  </si>
  <si>
    <t>Stelios Dimosthenous (&amp; 99643631 Andreas Christofidis)</t>
  </si>
  <si>
    <t>20/6 jinko imports / huawei local , meeting 25/6 interested in container 580-585W and huawei inverters in competitive prices</t>
  </si>
  <si>
    <t>SVEA SOLAR CYPRUS LTD</t>
  </si>
  <si>
    <t>Piliou, 8, G. MATHAIOU TOWER, Floor 4, Flat/Office 401 6037, Larnaka, Cyprus</t>
  </si>
  <si>
    <t>tronix@cytanet.com.cy</t>
  </si>
  <si>
    <t>https://sveasolar.com/en/solar-parks/project-alaminos</t>
  </si>
  <si>
    <t>Giorgos Parpas - consultant</t>
  </si>
  <si>
    <t>27/6 interested for batteries 10MW-40MWh and 1MW-4MWh</t>
  </si>
  <si>
    <t xml:space="preserve">ENERGY HOME SERVICES (ZOOM WORLD NETWORKS (ZWH) LTD) </t>
  </si>
  <si>
    <t>Acheon 49, Kato Lakatamia, Nicosia, 2334</t>
  </si>
  <si>
    <t>70007729 / 99909998</t>
  </si>
  <si>
    <t>support@energyhomeservices.eu</t>
  </si>
  <si>
    <t>https://energyhomeservices.eu/</t>
  </si>
  <si>
    <t>ΒΑΣΟΣ?</t>
  </si>
  <si>
    <t>REF. STELIOS</t>
  </si>
  <si>
    <t>LIMASSOL</t>
  </si>
  <si>
    <t>CONERGON ENERGY SOLUTIONS LTD</t>
  </si>
  <si>
    <t>Τ.Θ 50203, 3602 Λεμεσός</t>
  </si>
  <si>
    <t>25 822314 / 99366602</t>
  </si>
  <si>
    <t>schristoforou@conercon.com</t>
  </si>
  <si>
    <t>YES (LANITIS ENERGY LTD)</t>
  </si>
  <si>
    <t>DAROSTEL LTD</t>
  </si>
  <si>
    <t>1ης Απριλίου, Μέσα Γειτονιά, Λεμεσός</t>
  </si>
  <si>
    <t>25 582473</t>
  </si>
  <si>
    <t>info@darostelsolar.com.cy  / evangelos@darostelsolar.com.cy</t>
  </si>
  <si>
    <t>http://www.darostelsolar.com.cy/el</t>
  </si>
  <si>
    <t>Evangelos Spanias / Giorgos Mouzourides</t>
  </si>
  <si>
    <t>9/2/24 email tp-link - Vicky, tha to metaferei tou Evaggelou… 20/2 email resent</t>
  </si>
  <si>
    <t>DRACOUDIS ENERGY LTD</t>
  </si>
  <si>
    <t>Φραγκλίνου Ρούσβελτ 145, Λεμεσός, 3045</t>
  </si>
  <si>
    <t>77 77 18 18</t>
  </si>
  <si>
    <t>info@dracoudisenergy.com  michalis@dracoudis.com</t>
  </si>
  <si>
    <t>https://dracoudisenergy.com/</t>
  </si>
  <si>
    <t>Michalis Dracoudis 99938400</t>
  </si>
  <si>
    <t>they import in quantities and low prices</t>
  </si>
  <si>
    <t>ECOCONNECT LTD</t>
  </si>
  <si>
    <t>Agiou Georgiou 52a ,Ypsonas, Limassol, Cyprus, 4188</t>
  </si>
  <si>
    <t>77 774646</t>
  </si>
  <si>
    <t>info@ecoconnectcy.com</t>
  </si>
  <si>
    <t>https://www.facebook.com/EcoConnectLTD/</t>
  </si>
  <si>
    <t>Marios Panayi 99462800</t>
  </si>
  <si>
    <t>ECOSUN LTD</t>
  </si>
  <si>
    <t>23B Οδός Ομήρου, Λεμεσός</t>
  </si>
  <si>
    <t>70006060 , 25588550, 99616550 , 99107711</t>
  </si>
  <si>
    <t>info@ecosuncyprus.com</t>
  </si>
  <si>
    <t>www.ecosuncyprus.com</t>
  </si>
  <si>
    <t>Μιχαλης Ξενοφωντος</t>
  </si>
  <si>
    <t>13/2/24 email tp-link - buys epiphaniou solaredge inverter aeg panels + solax</t>
  </si>
  <si>
    <t>GDL GREEN ENERGY GROUP LTD</t>
  </si>
  <si>
    <t>Νίκου Παττίχη 107Β, 3070 Λεμεσός, Κύπρος</t>
  </si>
  <si>
    <t>25 734800 / 99789405 giorgos papadopoulos</t>
  </si>
  <si>
    <t>info@geg.com.cy</t>
  </si>
  <si>
    <t>www.geg.com.cy</t>
  </si>
  <si>
    <t>YES</t>
  </si>
  <si>
    <t>8/2/24 email tp-link</t>
  </si>
  <si>
    <t>IOANNOU ALTERNATIVE ENERGY LTD</t>
  </si>
  <si>
    <t>24 Οδός Αγ. Ειρήνης, Λεμεσός</t>
  </si>
  <si>
    <t>25 30383</t>
  </si>
  <si>
    <t>info@ioannoualternative.com</t>
  </si>
  <si>
    <t>http://ioannoualternative.com</t>
  </si>
  <si>
    <t>97667724 XRISTOS IOANNOU</t>
  </si>
  <si>
    <t>LIMCEN LTD</t>
  </si>
  <si>
    <t>Ναυαρίνου 15Α, 3041 Λεμεσός</t>
  </si>
  <si>
    <t>solar@limcen.com</t>
  </si>
  <si>
    <t>www.limcen.com</t>
  </si>
  <si>
    <t>Iman 99148099</t>
  </si>
  <si>
    <t>N. G. CHIMONAS LTD (ENERGY SOLUTIONS)</t>
  </si>
  <si>
    <t>18 Οδός Σωκράτους, Ερήμη, Λεμεσός</t>
  </si>
  <si>
    <t>70008015, 99551380</t>
  </si>
  <si>
    <t>chimonasenergy@gmail.com</t>
  </si>
  <si>
    <t>www.chimonasenergy.com</t>
  </si>
  <si>
    <t>NEOFYTOS CHIMONAS</t>
  </si>
  <si>
    <t>POTAMITIS ELECTRICAL ENGINEERS LTD</t>
  </si>
  <si>
    <t>1is Apriliou 12, Agia Fyla, 3116</t>
  </si>
  <si>
    <t>99 722552</t>
  </si>
  <si>
    <t>info@potamitisengineers.com   office@potamitisgroup.com</t>
  </si>
  <si>
    <t>Renos Potamitis / 99805311 Marinos Georgiou el.engineer - elegxoi / eytyxia 99091711 meeting 23/2</t>
  </si>
  <si>
    <t>SEMESCO COMPANY LTD</t>
  </si>
  <si>
    <t>180 Οδός Ειρήνης, Κτήριο Τάλφο, Λεμεσός</t>
  </si>
  <si>
    <t>25 348994</t>
  </si>
  <si>
    <t>mariaheroa@semesco.com</t>
  </si>
  <si>
    <t>www.semesco.com</t>
  </si>
  <si>
    <t>99885290 ΣΩΤΗΡΗΣ ΚΟΥΤΣΟΥ</t>
  </si>
  <si>
    <t>not interested for tp-link - uses ethernet / inverters fronius k solaredge krannich / imports longi panels</t>
  </si>
  <si>
    <t>SUPERCLIMA ENGINEERING LTD</t>
  </si>
  <si>
    <t>44A Οδός Βασιλέως Κωνσταντίνου, Λεμεσός</t>
  </si>
  <si>
    <t>25 735696</t>
  </si>
  <si>
    <t>sales@superclima.com / engineer@superclima.com ANTRH</t>
  </si>
  <si>
    <t>www.superclima.com</t>
  </si>
  <si>
    <t>contacted Antri - θα το μετεφερε στον υπευθυνο email 28/2</t>
  </si>
  <si>
    <t>TRIKKIS ENERGY LTD</t>
  </si>
  <si>
    <t>44 Οδός Γαλιλαίου 3011, Τ.Θ 71001, 3841 Λεμεσός</t>
  </si>
  <si>
    <t>7000 32 42</t>
  </si>
  <si>
    <t>solar@trikkis.com.cy</t>
  </si>
  <si>
    <t>www.trikkisenergy.com</t>
  </si>
  <si>
    <t>already buying tp-link</t>
  </si>
  <si>
    <t>ERSOL ENERGY (AYXENTIOU &amp; DEMOU GROUP ELECTRO LTD)</t>
  </si>
  <si>
    <t>Leoforos Spyrou Kyprianou, 23
Kato Polemidia Municipality, Lemesos, 4154</t>
  </si>
  <si>
    <t>25253132 ,  99343479 dimos</t>
  </si>
  <si>
    <t>info@ersol.net  dimos@ersol.eu</t>
  </si>
  <si>
    <t>https://www.facebook.com/ersol.energy.1</t>
  </si>
  <si>
    <t>dimos dimou</t>
  </si>
  <si>
    <t>G KLEITOU &amp; K CONSTANTINOU LTD</t>
  </si>
  <si>
    <t>16 Eleftherias Str. Limassol</t>
  </si>
  <si>
    <t>info@kceec.com.cy</t>
  </si>
  <si>
    <t>www.kceec.com.cy</t>
  </si>
  <si>
    <t>ΔΕΝ ΑΣΧΟΛΟΥΝΤΑΙ ΠΛΕΟΝ ΜΕ ΦΒ - ΕΣΤΕΙΛΑ ΠΑΡΟΥΣΙΑΣΗ</t>
  </si>
  <si>
    <t>KOSTAS FOTI EDAFOMICHANIKI LTD</t>
  </si>
  <si>
    <t>47A, Omonias Ave. Limassol</t>
  </si>
  <si>
    <t>geology@cytanet.com.cy    info@geology.com.cy</t>
  </si>
  <si>
    <t>https://www.geology.com.cy/en/company-profile/</t>
  </si>
  <si>
    <t>99621186 ΚΩΣΤΑΣ ΦΩΤΗ</t>
  </si>
  <si>
    <t>ΔΕΝ ΑΣΧΟΛΕΙΤΑΙ Ο ΙΔΙΟΣ.. ΚΑΝΕΙ ΜΟΝΟ ΤΗΝ ΠΩΛΗΣΗ. ΑΓΟΡΑΖΕΙ ΑΠΟ ΕΠΙΦΑΝΕΙΟΥ</t>
  </si>
  <si>
    <t>MASDAR LTD</t>
  </si>
  <si>
    <t>2 Evagora Pallikaridi Str. Kanika, LIMASSOL</t>
  </si>
  <si>
    <t>25103536,  99805021</t>
  </si>
  <si>
    <t>info@masdare.com</t>
  </si>
  <si>
    <t>www.masdare.com</t>
  </si>
  <si>
    <t>weird online presence</t>
  </si>
  <si>
    <t>DEMELECTRICAL SOLAR ENERGY</t>
  </si>
  <si>
    <t>ΣΩΚΡΑΤΗ ΣΩΚΡΑΤΟΥΣ 44Α, ΕΡΗΜΗ 4630 ΛΕΜΕΣΟΣ</t>
  </si>
  <si>
    <t>99789435 dem, 99186624</t>
  </si>
  <si>
    <t>demel.electricalengineers@gmail.com</t>
  </si>
  <si>
    <t>DEMELectrical Solar Energy | Facebook</t>
  </si>
  <si>
    <t>MIXALHS SOTIRIOU &amp; DEMETRIS</t>
  </si>
  <si>
    <t>7/2/24 email tp-link</t>
  </si>
  <si>
    <t>INTESO ENGINEERING L.L.C</t>
  </si>
  <si>
    <t>Αρτης, 35, 4150, Λεμεσός</t>
  </si>
  <si>
    <t>valentinos@intesocy.com</t>
  </si>
  <si>
    <t>intesocy.com</t>
  </si>
  <si>
    <t>99303134 VALENTINOS GRIGORIOU</t>
  </si>
  <si>
    <t>23/2 meeting</t>
  </si>
  <si>
    <t>SideSunny Cyprus Ltd</t>
  </si>
  <si>
    <t>Tsakalof 10, Limassol 3052</t>
  </si>
  <si>
    <t>director@sidesunny.com</t>
  </si>
  <si>
    <t>sidesunny.com</t>
  </si>
  <si>
    <t>Anton Vilenkin bbf</t>
  </si>
  <si>
    <t>already had a meeting with Joseph at HQ</t>
  </si>
  <si>
    <t>YENCO ENGINEERING LTD</t>
  </si>
  <si>
    <t>7B, Paparounas Str. Agia Fyla, Limassol</t>
  </si>
  <si>
    <t>ΓΙΑΝΝΑΚΗΣ ΝΙΚΟΛΑΙΔΗΣ - ΑΦΥΠΗΡΕΤΗΣΕ</t>
  </si>
  <si>
    <t>D.M.A.S. Electric Ltd</t>
  </si>
  <si>
    <t>FAOYST 8, 4106, AGIOS ATHANASIOS</t>
  </si>
  <si>
    <t>99518865 25729651</t>
  </si>
  <si>
    <t>dmas@cytanet.com.cy</t>
  </si>
  <si>
    <t>https://www.facebook.com/Buypropertyingreece/</t>
  </si>
  <si>
    <t>DINOS CONSTANTINIDES</t>
  </si>
  <si>
    <t>28/2 email me parousiasi /  den endiaferete gia TP-link / agorazei apo Laniti kai kanei k eisagogi</t>
  </si>
  <si>
    <t>ENESCO LTD (engineering electromechanical services)</t>
  </si>
  <si>
    <t>20 Spirou Kiprianou Ave., 3070, Limassol, Cyprus</t>
  </si>
  <si>
    <t>99493840, 25003330, 25003331</t>
  </si>
  <si>
    <t>info@enesco.com.cy</t>
  </si>
  <si>
    <t>https://www.enesco.com.cy/</t>
  </si>
  <si>
    <t>ΚΩΝΣΤΑΝΤΙΝΟΣ ΚΛΑΔΑΚΗΣ</t>
  </si>
  <si>
    <t>29/2  ΑΣΧΟΛΟΥΝΤΑΙ ΜΕ ΦΒ? Μονο με τις μελέτες/ χαρτια ελεγχου, συνεταιρος έτη φωτός / ΙΩΑΝΝΟΥ πελάτης/ θα με τηλ για ραντεβου για networking security etc. 5/3 meeting HQ</t>
  </si>
  <si>
    <t>(Μ.Μ Proelectric Ltd) M.A. Michael electrical industry Ltd</t>
  </si>
  <si>
    <t>Andrea Araouzou 15 4150 Kato Polemidia Lemesos</t>
  </si>
  <si>
    <t>99009501 , 25661116</t>
  </si>
  <si>
    <t>proelectric_ltd@hotmail.com / michaelelectrical@cytanet.com.cy</t>
  </si>
  <si>
    <t>https://mm-proelectric-ltd-electrical-engineer.business.site/</t>
  </si>
  <si>
    <t>MARIOS MICHAEL https://www.facebook.com/EngineeringContractors/</t>
  </si>
  <si>
    <t>29/2 apo krannich / huawei pio palia sma alla eixan ellipseis / Georgia - tha ta metaferei tou mariou 4/3 resent email - 6/3 meeting</t>
  </si>
  <si>
    <t>GREEN ATLAS SOLAR AND ENERGY CONSULTANTS LTD</t>
  </si>
  <si>
    <t>Marathovounou 13, 3071, Limassol</t>
  </si>
  <si>
    <t>99 118844</t>
  </si>
  <si>
    <t>info@greenatlassolar.com</t>
  </si>
  <si>
    <t>greenatlassolar.com</t>
  </si>
  <si>
    <t>Christos</t>
  </si>
  <si>
    <t>ESENG LTD</t>
  </si>
  <si>
    <t>Pelopida 23a, 3015, Limassol</t>
  </si>
  <si>
    <t>info@esenggroup.com</t>
  </si>
  <si>
    <t>https://esenggroup.com/</t>
  </si>
  <si>
    <t>Eleutherios Savva</t>
  </si>
  <si>
    <t>* den asxolite me photovoltaika.. Mono me meletes. 29/2 email presentation ASBIS</t>
  </si>
  <si>
    <t>Sspv Hybrid System Ltd</t>
  </si>
  <si>
    <t>Riga Feraiou 13, 4540 Paramytha</t>
  </si>
  <si>
    <t>silou.g.stelios@gmail.com</t>
  </si>
  <si>
    <t>Stelios Silou</t>
  </si>
  <si>
    <t>29/2 asbis presentation / v-tac hybrid inverters k huawei / jinko k vtact 29/5 portfolio sent - asked for meeting</t>
  </si>
  <si>
    <t>FLUXENERGY LTD</t>
  </si>
  <si>
    <t>Franglinou Rousvelt 253, 3046</t>
  </si>
  <si>
    <t>70070063 / 99379879</t>
  </si>
  <si>
    <t>energy@fluxenergy.eu</t>
  </si>
  <si>
    <t>https://fluxenergy.eu/</t>
  </si>
  <si>
    <t>stefanos + ΖΑΧΑΡΙΑΣ ΒΟΣΚΑΡΙΔΗΣ</t>
  </si>
  <si>
    <t>4/6 invitation email - protima mesw email pricelist- interested gia FRONIUS, SOLAREDGE, kai Huawei. Na stilw new customer form. 10/6</t>
  </si>
  <si>
    <t>LEANDOX LIMITED</t>
  </si>
  <si>
    <t>ΑΓΙΑΣ ΒΑΡΒΑΡΑΣ 19Β, 3065</t>
  </si>
  <si>
    <t>leandoxltd@gmail.com  / info@mleandrousolar.com.cy</t>
  </si>
  <si>
    <t>Marios Leandrou</t>
  </si>
  <si>
    <t>n/a - he didn't show up at the meeting and stopped replying.</t>
  </si>
  <si>
    <t>Petros Mavropoulos</t>
  </si>
  <si>
    <t>ΚΟΙΛΑΝΕΜΟΥ 2, KANIKA PARKVIEW, BLOCK C, FLAT 205, 4004 Μεσα Γειτονιά</t>
  </si>
  <si>
    <t>petros.mavropoulos@gmail.com  /   info.uniplan.cy@gmail.com</t>
  </si>
  <si>
    <t>δεν ασχολειται ενεργα με τα Φ/Β ktimatomesites.com - email sent me portfolio 27/5</t>
  </si>
  <si>
    <t>A.Z. ELECTRICAL ENGINEERS LTD</t>
  </si>
  <si>
    <t>Μάρκου Δράκου, 40, Μέσα Γειτονιά, 4002, Λεμεσός</t>
  </si>
  <si>
    <t>25254254 99878873</t>
  </si>
  <si>
    <t>info@azeeee.com / a.zenonos@outlook.com</t>
  </si>
  <si>
    <t>https://azeeee.com/</t>
  </si>
  <si>
    <t>ANASTASIOS ZINONOS 99878873</t>
  </si>
  <si>
    <t>thelei times. Email 16/5</t>
  </si>
  <si>
    <t>PANTHERMIKI GROUP LTD</t>
  </si>
  <si>
    <t>Apostolou Varnava 34, Limassol 3065</t>
  </si>
  <si>
    <t>info@panthermiki.com</t>
  </si>
  <si>
    <t>https://www.panthermiki.com/en</t>
  </si>
  <si>
    <t>KECHRIMA LTD</t>
  </si>
  <si>
    <t>Ανδρέα Γεωργίου, 7, Απόστολος Ανδρέας 3065, Λεμεσός</t>
  </si>
  <si>
    <t>kechrima@gmail.com</t>
  </si>
  <si>
    <t>Καραγιαννης Μιχάλης</t>
  </si>
  <si>
    <t>v-tac import - KYRIMA LTD same???</t>
  </si>
  <si>
    <t>SOLARCELL CY LTD</t>
  </si>
  <si>
    <t>Dimokratias 12, 4182 'Ypsonas, Limassol, Cyprus</t>
  </si>
  <si>
    <t>96162516 / 96866853 xristos papacharalampous</t>
  </si>
  <si>
    <t>solarcellcy@gmail.com</t>
  </si>
  <si>
    <t>alexandros stylianou 96540505</t>
  </si>
  <si>
    <t>email 25/4/24</t>
  </si>
  <si>
    <t xml:space="preserve">A.SKE. Power Systems LTD </t>
  </si>
  <si>
    <t>Gianni Kranidioti 18, 4520 Parekklisia</t>
  </si>
  <si>
    <t>99005696, 25636900</t>
  </si>
  <si>
    <t>info@askepower.com</t>
  </si>
  <si>
    <t>https://askepower.com/</t>
  </si>
  <si>
    <t>Apostolos Konstiantos</t>
  </si>
  <si>
    <t>25/4 met next door working</t>
  </si>
  <si>
    <t>GODS ENERGY LTD</t>
  </si>
  <si>
    <t>Iris House, John F. Kennedy 840B, Limassol 3016</t>
  </si>
  <si>
    <t>godsenergyltd@gmail.com  /  rickarddeler@gmail.com</t>
  </si>
  <si>
    <t>https://www.godsenergy.eu/</t>
  </si>
  <si>
    <t>Rickard Deler, Christofis Koufarides (directors)</t>
  </si>
  <si>
    <t>email 20/5/24 - they do their own imports from China (growat)_</t>
  </si>
  <si>
    <t>ΘΕΟΔΩΡΟΣ ΓΛΥΚΥΣ (GLYKIS ENGINEERING)</t>
  </si>
  <si>
    <t>Vasileos Konstantinou 7, 3075 Limassol</t>
  </si>
  <si>
    <t>theodoros.glykis@gmail.com</t>
  </si>
  <si>
    <t>rantevou 4/6</t>
  </si>
  <si>
    <t>L.P. Technotherm Ltd</t>
  </si>
  <si>
    <t>Ammochostou 49, kolossi 4636</t>
  </si>
  <si>
    <t>99661729 / 77778081</t>
  </si>
  <si>
    <t>Lptechnotherm@cytanet.com.cy / Lptechnotherm@gmail.com</t>
  </si>
  <si>
    <t>https://www.facebook.com/p/LP-Technotherm-Ltd-100069084293900</t>
  </si>
  <si>
    <t>ΠΑΝΙΚΚΟΣ ΠΑΝΑΓΙΩΤΗΣ ΛΟΙΖΟΥ panikkosloizou@gmail.com</t>
  </si>
  <si>
    <t>email 27/5</t>
  </si>
  <si>
    <t>AMPS POWER SYSTEM LTD</t>
  </si>
  <si>
    <t>Agiou Ioanni 2, 4632, Kolossi</t>
  </si>
  <si>
    <t>amps@infopowersystems.com</t>
  </si>
  <si>
    <t>https://www.facebook.com/adamoumarinos/</t>
  </si>
  <si>
    <t>ΜΑΡΙΝΟΣ ΑΔΑΜΟΥ</t>
  </si>
  <si>
    <t>TRIFACTOR SOLUTIONS LTD</t>
  </si>
  <si>
    <t>Evagora Pallikaridi 18, 4520, Parekklisia</t>
  </si>
  <si>
    <t>99378296 / 25634860</t>
  </si>
  <si>
    <t>info@trifactor-solutions.com</t>
  </si>
  <si>
    <t>https://trifactor-solutions.com/</t>
  </si>
  <si>
    <t>Ioannis Theofanous (synetairos me Petros Theodoulou)</t>
  </si>
  <si>
    <t>29/5 den asxolountai akoma me PV - estila ena presentation</t>
  </si>
  <si>
    <t>ZEMCO LTD</t>
  </si>
  <si>
    <t>EUROTA 6, 3015 Lemesos</t>
  </si>
  <si>
    <t>99932522 / 25827827 / 24823575</t>
  </si>
  <si>
    <t>eefthymiou@zemcogroup.com</t>
  </si>
  <si>
    <t>https://zemcogroup.com/</t>
  </si>
  <si>
    <t>Efthymiou Efthymios</t>
  </si>
  <si>
    <t>29/5 presentation - interested for their own buildings.</t>
  </si>
  <si>
    <t>A &amp; C SOLAR LTD</t>
  </si>
  <si>
    <t>Troias 2, Flat/Office 204, 4100 Agios Athanasios, Limassol</t>
  </si>
  <si>
    <t>a.c.solar.ltd@gmail.com</t>
  </si>
  <si>
    <t>ΧΑΡΗΣ ΓΕΩΡΓΙΟΥ</t>
  </si>
  <si>
    <t>10/6 email presentation</t>
  </si>
  <si>
    <t>ΑΝΤΩΝΗΣ ΠΑΝΑΓΙΔΗΣ</t>
  </si>
  <si>
    <t>ΦΩΤΗ ΦΩΤΑΚΟΥ 20, ΔΙΑΜ 6, Κ.ΠΟΛΕΜΙΔΙΑ</t>
  </si>
  <si>
    <t>panagidesantones@gmail.com</t>
  </si>
  <si>
    <t>21/6 meeting - cancelled 26/6: he will call me to reschedule</t>
  </si>
  <si>
    <t>CM.PP ENGINEERS LTD</t>
  </si>
  <si>
    <t>PARODOS ANAGNOSTARA 6, 4154, KATO POLEMIDIA</t>
  </si>
  <si>
    <t>pericleous_pan@hotmail.com</t>
  </si>
  <si>
    <t>PERICLEOUS PANTELIS</t>
  </si>
  <si>
    <t>21/6 meeting - cancelled tha erthei me sinetero</t>
  </si>
  <si>
    <t>Marios Kokkinos</t>
  </si>
  <si>
    <t>Agiou Vara 7, 4640 Akrotiri</t>
  </si>
  <si>
    <t>m.kokkinos@hotmail.com</t>
  </si>
  <si>
    <t>19/6 not doing installations, only electrical studies. Sent presentation</t>
  </si>
  <si>
    <t>THEO SOLAR TECH</t>
  </si>
  <si>
    <t>Panagi Koutalianou 3, K. Polemidia, 4152</t>
  </si>
  <si>
    <t>theo.solar.tech@gmail.com</t>
  </si>
  <si>
    <t>Theodoros Malekkos</t>
  </si>
  <si>
    <t>ref. A.Ktori</t>
  </si>
  <si>
    <t>LARNACA</t>
  </si>
  <si>
    <t>A &amp; I ELECTRIC LTD</t>
  </si>
  <si>
    <t>50 Οδός Οδσσέα Ελύτη, Βιοτεχνική Δρομολαξιάς, 7020, Τ.Θ 42085, 6530 Λάρνακα</t>
  </si>
  <si>
    <t>24 533590</t>
  </si>
  <si>
    <t>info@aielectricalcy.com  /   pavlos@aielectricalcy.com   / santoniou@aisolar.com</t>
  </si>
  <si>
    <t>www.facebook.com/aisolar</t>
  </si>
  <si>
    <t>ΠΑΥΛΟΣ ΙΑΣΟΝΙΔΗΣ 99453419</t>
  </si>
  <si>
    <t>BIOLAND ENERGY</t>
  </si>
  <si>
    <t>3 Λεωφ. Ελευθερίας, Αραδίππου, Λάρνακα</t>
  </si>
  <si>
    <t>24 534776</t>
  </si>
  <si>
    <t>info@biolandenergy.com</t>
  </si>
  <si>
    <t>www.biolandenergy.com</t>
  </si>
  <si>
    <t>C.PETROUI SOLAR SYSTEMS</t>
  </si>
  <si>
    <t>6 Κωστή Παλαμά, Κίτι, Λάρνακα</t>
  </si>
  <si>
    <t>petroui_ch@yahoo.gr</t>
  </si>
  <si>
    <t>https://www.facebook.com/p/CPetroui-solar-systems-100076638219747</t>
  </si>
  <si>
    <t>ΧΡΙΣΤΟΣ ΠΕΤΡΟΥΗ</t>
  </si>
  <si>
    <t>21/5 email</t>
  </si>
  <si>
    <t>G. SOLONOS HI TECH SOLUTIONS LTD</t>
  </si>
  <si>
    <t>5 Οδός Δημοκρατίας, Λάρνακα</t>
  </si>
  <si>
    <t>7000 80 77</t>
  </si>
  <si>
    <t>gshitechsol@cytanet.com.cy</t>
  </si>
  <si>
    <t>www.gshitech.com</t>
  </si>
  <si>
    <t>ΧΡΙΣΤΟΔΟΥΛΟΣ ΧΡΙΣΤΟΔΟΥΛΟΥ 96551877</t>
  </si>
  <si>
    <t xml:space="preserve"> 8/7 (maria stylianou) afisa minima tha me call back</t>
  </si>
  <si>
    <t>INTERGAZ ENERGY SOLUTIONS LTD</t>
  </si>
  <si>
    <t>Λεωφ. Αμμοχώστου, 6019 Λάρνακα</t>
  </si>
  <si>
    <t>admin@intergaz.com.cy</t>
  </si>
  <si>
    <t>https://www.intergazenergy.com/</t>
  </si>
  <si>
    <t>JKL SUSTAINABLE CYPRUS LTD (DBA ELEKTRA ENERGY)</t>
  </si>
  <si>
    <t>Χαρουπιών 1, Σκαρίνου, 7731 Λάρνακα</t>
  </si>
  <si>
    <t> 70072500</t>
  </si>
  <si>
    <t>info@elektraenergycy.com</t>
  </si>
  <si>
    <t>https://elektraenergycy.com/about-us/</t>
  </si>
  <si>
    <t>Kathryn Savvides Reodica 96465599</t>
  </si>
  <si>
    <t>PAVOSOL ENERGY LTD</t>
  </si>
  <si>
    <t>Artemidos 7, Larnaca 6020</t>
  </si>
  <si>
    <t>info@pavosolenergy.com</t>
  </si>
  <si>
    <t>https://pavosolenergy.com/</t>
  </si>
  <si>
    <t>Giorgos Michael</t>
  </si>
  <si>
    <t>17/6 email. Buying local jinko and huawei</t>
  </si>
  <si>
    <t>PETROLINA SOLAR LTD</t>
  </si>
  <si>
    <t>1 Οδός Κιλκίς, 6015, Τ.Θ 40162, 6301 Λάρνακα</t>
  </si>
  <si>
    <t>24 848000</t>
  </si>
  <si>
    <t>info@petrolinasolar.com.cy   christosz@petrolinasolar.com.cy</t>
  </si>
  <si>
    <t>99467028 XRISTOS ZIVANAS</t>
  </si>
  <si>
    <t>21/2 meeting HQ</t>
  </si>
  <si>
    <t>VASCON SOLAR EXPERTS LTD</t>
  </si>
  <si>
    <t>31 Οδός Ανεξαρτησίας, 7640, Λάρνακα</t>
  </si>
  <si>
    <t>99 432604</t>
  </si>
  <si>
    <t>info@vasconsolar.com.cy</t>
  </si>
  <si>
    <t>www.vasconsolar.com.cy</t>
  </si>
  <si>
    <t>PETROS MANOLI TRADING LTD</t>
  </si>
  <si>
    <t>28C 1st April Ave., Larnaca</t>
  </si>
  <si>
    <t>T.C. CYSOL LTD</t>
  </si>
  <si>
    <t>3 Areos Str., Xylotympou, LARNACA</t>
  </si>
  <si>
    <t>24822210,  77771505</t>
  </si>
  <si>
    <t>info@cy-sol.com</t>
  </si>
  <si>
    <t>www.cy-sol.com</t>
  </si>
  <si>
    <t>PANAGIOTIS PANAGI</t>
  </si>
  <si>
    <t>n/a - lost online presence!</t>
  </si>
  <si>
    <t>TSP TERZA SOLAR POWER LTD</t>
  </si>
  <si>
    <t>22 Archiepiskopou Kyprianou Str., LARNACA</t>
  </si>
  <si>
    <t> 24664532</t>
  </si>
  <si>
    <t> terzasolarpower@gmail.com</t>
  </si>
  <si>
    <t>www.terzasolarpower.com</t>
  </si>
  <si>
    <t>ΔΗΜΗΤΡΗΣ ΧΑΤΖΟΥΔΗΣ</t>
  </si>
  <si>
    <t>P.K.Konstantas Electrical Ltd</t>
  </si>
  <si>
    <t>ΣΑΛΑΜΙΝΟΣ 1 7649 ΨΕΥΔΑΣ ΛΑΡΝΑΚΑ</t>
  </si>
  <si>
    <t>info@konstantas.cy</t>
  </si>
  <si>
    <t>Konstantas |Solar Panel installation Company | Solar Panels | Cyprus Nicosia</t>
  </si>
  <si>
    <t>ΚΥΡΙΑΚΟΣ ΚΩΝΣΤΑΝΤΑΣ</t>
  </si>
  <si>
    <t>ΓΙΑΚΟΥΜΗΣ ΓΙΑΚΟΥΜΗ (I&amp;I ?)</t>
  </si>
  <si>
    <t>ΑΝΤΙΣΤΑΣΕΩΣ 12, ΤΕΡΣΕΦΑΝΟΥ, ΛΑΡΝΑΚΑ, 7562</t>
  </si>
  <si>
    <t>jackys.y@hotmail.com</t>
  </si>
  <si>
    <t>ABR SOLUTIONS</t>
  </si>
  <si>
    <t>ΗΛΕΚΤΡΑΣ 5, ΑΒΔΕΛΛΕΡΟ ΛΑΡΝΑΚΑ 7501</t>
  </si>
  <si>
    <t xml:space="preserve">97687493 , 24003126 </t>
  </si>
  <si>
    <t>ΜΑΡΙΟΣ ΚΥΠΡΙΑΝΟΥ</t>
  </si>
  <si>
    <t>not interested</t>
  </si>
  <si>
    <t>ΗΛΙΑΣ ΓΚΑΡΤΖΩΝΗΣ ?</t>
  </si>
  <si>
    <t>ΚΙΛΚΙΣ 1, 6015 ΛΑΡΝΑΚΑ</t>
  </si>
  <si>
    <t>96382222 , 24848107</t>
  </si>
  <si>
    <t>gartzonis.ilias@hotmail.com</t>
  </si>
  <si>
    <t>works  petrolina Solar</t>
  </si>
  <si>
    <t xml:space="preserve">F.A.S. Electrical Services LTD </t>
  </si>
  <si>
    <t>ΡΟΔΟΥ 9, 7550 ΚΙΤΙ ΛΑΡΝΑΚΑ</t>
  </si>
  <si>
    <t>info@faselectrical.com</t>
  </si>
  <si>
    <t>ΔΩΡΟΣ ΦΡΑΝΓΚΟΥ ΑΘΗΝΟΔΩΡΟΣ ΦΡΑΝΚΟΥ</t>
  </si>
  <si>
    <t>solax q cel aeg (for constructors cheap products)</t>
  </si>
  <si>
    <t>ANYSMA.cy Smart Technologies LTD</t>
  </si>
  <si>
    <t>Skyrou 14, 7102, Larnaca, Cyprus</t>
  </si>
  <si>
    <t>info@anysmacy.com.cy  / Timos.Papadopoulos@anysmacy.com.cy</t>
  </si>
  <si>
    <t>www.anysmacy.com.cy</t>
  </si>
  <si>
    <t>TIMOS PAPADOPOYLOS</t>
  </si>
  <si>
    <t>8/7 BUYING FROM LOCAL MARKET -interested in panel prices.</t>
  </si>
  <si>
    <t>A.N.K. ELECTRIC LTD</t>
  </si>
  <si>
    <t>Leoforos Foti Pitta 12 7103 Aradippou Larnaka </t>
  </si>
  <si>
    <t>ankelectric@outlook.com /   alexandros84@hotmail.com</t>
  </si>
  <si>
    <t>ΑΛΕΞΗΣ ΚΟΥΜΑΛΛΟΣ</t>
  </si>
  <si>
    <t>3/7 h, se fr, qcel luxor aeg ja / email sent</t>
  </si>
  <si>
    <t>ΑΝΔΡΕΑΣ ΜΙΤΑΣ   ??</t>
  </si>
  <si>
    <t>ΑΡΧΙΕΠΙΣΚΟΠΟΥ ΜΑΚΑΡΙΟΥ Γ 12, 7647, ΜΟΣΦΙΛΩΤΗ, ΛΑΡΝΑΚΑ</t>
  </si>
  <si>
    <t>gemesltd@gmail.com   ??</t>
  </si>
  <si>
    <t>MANY COMPANIES WITH HIS NAME ?!</t>
  </si>
  <si>
    <t>P Renewable Power Engineering Ltd</t>
  </si>
  <si>
    <t>ΑΓΙΑΣ ΑΙΚΑΤΕΡΙΝΗΣ 12, 7040 ΟΡΟΚΛΗΝΗ</t>
  </si>
  <si>
    <t>99953331 / 96 756777</t>
  </si>
  <si>
    <t xml:space="preserve">mc@hadjiantoni.com  / mhatziantoni@hotmail.com     </t>
  </si>
  <si>
    <t>www.facebook.com/michalis.chatziantonis/</t>
  </si>
  <si>
    <t>ΜΙΧΑΛΗΣ ΧΑΤΖΗΑΝΤΩΝΗΣ</t>
  </si>
  <si>
    <t>01/7 uses luxor, huawei, email sent</t>
  </si>
  <si>
    <t>F.G.S SERVICES LTD</t>
  </si>
  <si>
    <t>10 Fani Theofanous Str. Ksilofagou, LARNACA</t>
  </si>
  <si>
    <t>99842981, 24102816</t>
  </si>
  <si>
    <t>f.g.s-services@hotmail.com</t>
  </si>
  <si>
    <t>www.facebook.com/p/FGS-Services-Ltd-Solar-Energy-100054413322560/</t>
  </si>
  <si>
    <t>FANOS THEOFANOUS</t>
  </si>
  <si>
    <t>ΦΑΝΟΣ ΠΑΝΤΖΗΣ</t>
  </si>
  <si>
    <t>ΠΛΟΥΤΩΝΟΣ 6Β, 7000 ΜΕΝΕΟΥ</t>
  </si>
  <si>
    <t>pantzisf@yahoo.com</t>
  </si>
  <si>
    <t>DRAGON ALERT LTD</t>
  </si>
  <si>
    <t>ΜΙΧΑΛΑΚΗ ΠΑΡΙΔΗ 2, 7040 ΟΡΟΚΛΙΝΗ</t>
  </si>
  <si>
    <t>mariosconstant@gmail.com  / info@dragonalertcy.com</t>
  </si>
  <si>
    <t>https://www.dragonalertcy.com/</t>
  </si>
  <si>
    <t>ΜΑΡΙΟΣ ΚΩΝΣΤΑΝΤΙΝΟΥ E&amp;M QUALITY IMPORTS LTD</t>
  </si>
  <si>
    <t>ΒΑΛΕΝΤΙΝΟΣ ΕΡΩΤΟΚΡΙΤΟΥ</t>
  </si>
  <si>
    <t>ΑΦΡΟΔΙΤΗΣ 10, 7570 ΑΛΕΘΡΙΚΟ</t>
  </si>
  <si>
    <t>valentinoserotokritou1984@gmail.com</t>
  </si>
  <si>
    <t>ΙΔΙΩΤΗΣ ΗΛΕΚΤΡΟΛΟΓΟΣ?</t>
  </si>
  <si>
    <t>exei sinergates pou tou kanoun ta xartia elegxou</t>
  </si>
  <si>
    <t>CHRYSOBALANTES ANTREOU ELEKTROLOGIKES ENKATASTASEIS LTD</t>
  </si>
  <si>
    <t>ΜΙΧΑΛΗ ΠΑΡΙΔΗ 2, 7040, ΟΡΟΚΛΙΝΗ</t>
  </si>
  <si>
    <t>xantreouelectric@gmail.com</t>
  </si>
  <si>
    <t>ΧΡΥΣΟΒΑΛΑΝΤΗΣ ΑΝΤΡΕΟΥ</t>
  </si>
  <si>
    <t xml:space="preserve"> 9/7 uses DASOLAR, aeg, huawei fronius, azurro apo laniti epifaniou ktl</t>
  </si>
  <si>
    <t>TH. MECHANICAL CONTRACTORS LTD</t>
  </si>
  <si>
    <t>Φώτη Πίττα, 1, Ξυλοφάγου 7520, Λάρνακα</t>
  </si>
  <si>
    <t>99605465, 99908226 maria</t>
  </si>
  <si>
    <t xml:space="preserve">th.mechanicalcontractors@gmail.com	</t>
  </si>
  <si>
    <t xml:space="preserve">giorgos despotis </t>
  </si>
  <si>
    <t>Milisa me Maria sizigo, Giorgos ipeuthinos gia eksoplismo - meeting 11/7</t>
  </si>
  <si>
    <t>AGM BLACK LION SECURITY SYSTEMS LTD</t>
  </si>
  <si>
    <t>Dafnidos 17, 6041 Larnaca,</t>
  </si>
  <si>
    <t>agm.black.lion@gmail.com</t>
  </si>
  <si>
    <t>https://www.facebook.com/p/Agm-Black-Lion-security-systems-100064480611431/</t>
  </si>
  <si>
    <t>ΘΕΟΔΩΡΟΣ ΚΩΝΣΤΑΝΤΙΝΟΥ 95121300</t>
  </si>
  <si>
    <t>8/7 se solax huawei pce 11/7 meeting</t>
  </si>
  <si>
    <t>P.P.ENERGIA LTD</t>
  </si>
  <si>
    <t>ALIKARNASOU 21, Aradippou, Cyprus</t>
  </si>
  <si>
    <t>p.p.energia2009@gmail.com</t>
  </si>
  <si>
    <t>https://www.facebook.com/P.P.Energia/</t>
  </si>
  <si>
    <t>ΣΠΥΡΟΣ ΠΙΤΖΟΛΗΣ + ΔΗΜΗΤΡΗΣ ΠΟΥΞΙΟΣ</t>
  </si>
  <si>
    <t>9/7 fronius se ja (big solar)</t>
  </si>
  <si>
    <t>THEOGECTRIC LTD</t>
  </si>
  <si>
    <t>Antonaki Manoli 11, 7730 Agios Theodoros</t>
  </si>
  <si>
    <t>99206672, 99479743 γχ</t>
  </si>
  <si>
    <t>info@theogectric.com</t>
  </si>
  <si>
    <t>www.theogectric.com</t>
  </si>
  <si>
    <t>ΓΕΩΡΓΟΣ ΧΡΙΣΤΟΥ</t>
  </si>
  <si>
    <t>8/7 imported a container. Might be interested for other panels or fronius</t>
  </si>
  <si>
    <t>ANDREAS C. IOANNIDES ENERGIES INTERNATIONAL LTD</t>
  </si>
  <si>
    <t>14 Stavrodromiou, 6010 Larnaca</t>
  </si>
  <si>
    <t>99654438  / 97425771</t>
  </si>
  <si>
    <t>and.ioannides@cytanet.com.cy</t>
  </si>
  <si>
    <t>https://aienergies-cy.com/</t>
  </si>
  <si>
    <t xml:space="preserve">AE solar panel import. Inverters Fronius </t>
  </si>
  <si>
    <t>PAPHOS</t>
  </si>
  <si>
    <t>A. S. G. SOLAR TECHNOLOGIES LTD</t>
  </si>
  <si>
    <t>Ellados Avenue 31A, 8020 Paphos</t>
  </si>
  <si>
    <t>77777652, 26822515</t>
  </si>
  <si>
    <r>
      <rPr>
        <rFont val="Calibri"/>
        <color rgb="FFFF0000"/>
        <sz val="12.0"/>
      </rPr>
      <t xml:space="preserve">solartech@cytanet.com.cy /  </t>
    </r>
    <r>
      <rPr>
        <rFont val="Calibri"/>
        <color rgb="FFFF0000"/>
        <sz val="12.0"/>
      </rPr>
      <t>alexis@solartechnologies.com.cy</t>
    </r>
  </si>
  <si>
    <t>https://www.solartechnologies.com.cy/</t>
  </si>
  <si>
    <t>99454126 ΑΛΕΞΗΣ ΗΡΟΔΟΤΟΥ / 99611876 ΓΕΩΡΓΙΟΣ ΗΡΟΔΟΤΟΥ</t>
  </si>
  <si>
    <t>Georgios Hrodotou kai stin J&amp;G Solar!!!</t>
  </si>
  <si>
    <t>ANDI SOLARTEC SOLUTIONS LTD</t>
  </si>
  <si>
    <t>46 Οδός Ευαγόρα Παλλικαρίδη, Πάφος</t>
  </si>
  <si>
    <t> 26 955901 / 99647164</t>
  </si>
  <si>
    <t>info@andisolartec.com</t>
  </si>
  <si>
    <t>https://andisolartec.com/</t>
  </si>
  <si>
    <t>ΑΝΔΡΕΑΣ ΔΗΜΗΤΡΙΟΥ</t>
  </si>
  <si>
    <t>OWN IMPORTS - KOSTAL INVERTERS</t>
  </si>
  <si>
    <t>G. CONSTANTINOU TRADING</t>
  </si>
  <si>
    <t>8 Οδός Μιχαήλ Σάββα, 8028, Πάφος</t>
  </si>
  <si>
    <t>26 933441</t>
  </si>
  <si>
    <t>info@gconstantinou.com</t>
  </si>
  <si>
    <t>importers</t>
  </si>
  <si>
    <t>GMI GREEN-TEC ENGINEERING LTD</t>
  </si>
  <si>
    <t xml:space="preserve">(7 Οδός Κινύρα) // 81, Eleftheriou Venizelou Avenue 8021 Pafos, Cyprus (LATEST) </t>
  </si>
  <si>
    <t>77777652 / 26040787</t>
  </si>
  <si>
    <t>solartech@cytanet.com.cy</t>
  </si>
  <si>
    <t>greentec.com.cy</t>
  </si>
  <si>
    <t>g.iosifidis@greentec.com.cy  Τηλ.: 99443153 ΓΕΩΡΓΙΟΣ ΙΩΣΗΦΙΔΗΣ</t>
  </si>
  <si>
    <t>KHS THERMOCOOL LTD</t>
  </si>
  <si>
    <t>Β.Π. Μεσόγης, Πάφος</t>
  </si>
  <si>
    <t>26 953424</t>
  </si>
  <si>
    <t>thermocool@cytanet.com.cy</t>
  </si>
  <si>
    <t>their partner solar technologies does their jobs</t>
  </si>
  <si>
    <t>Z &amp; X MECHANICAL INSTALLATIONS LTD</t>
  </si>
  <si>
    <t>12 Οδός Αγαπήνορος &amp; Φρύνης, Πολυκ. Πατσαλίδης 8049, Πάφος</t>
  </si>
  <si>
    <t>26 945222</t>
  </si>
  <si>
    <t>mechanical@zandxgroup.com</t>
  </si>
  <si>
    <t>www.zandxmechanicalinstallations.com/</t>
  </si>
  <si>
    <t>tamara 99348882 given by antonis kyriacou call on 4-5/7!!! Arrwsti me koronoio</t>
  </si>
  <si>
    <t>MAK SOLAR ELECTRIC LTD</t>
  </si>
  <si>
    <t>15 Al. Korai Str., Shop 1-2, Paphos</t>
  </si>
  <si>
    <t>mak.solar@cytanet.com.cy</t>
  </si>
  <si>
    <t>kyriakos achilleos</t>
  </si>
  <si>
    <t>DISSOLVED</t>
  </si>
  <si>
    <t>S.d.a Electro-logical</t>
  </si>
  <si>
    <t>ΗΡΑΚΛΕΟΥΣ 5, 8011 ΠΑΦΟΣ</t>
  </si>
  <si>
    <t>electrologicals@gmail.com</t>
  </si>
  <si>
    <t>www.facebook.com/Electrological/</t>
  </si>
  <si>
    <t>ΣΑΒΒΑΣ ΔΑΥΙΔ</t>
  </si>
  <si>
    <t>OWN IMPORTS</t>
  </si>
  <si>
    <t>DOMENICA SOLAR LTD</t>
  </si>
  <si>
    <t>12 Λεωφ. Δημοκρατίας, P.O.Box 62562 CY, 8045 Πάφος, Κύπρος</t>
  </si>
  <si>
    <t>26 600700 , 96444487</t>
  </si>
  <si>
    <t>info@domenicasolar.com</t>
  </si>
  <si>
    <t>www.domenicasolar.com</t>
  </si>
  <si>
    <t>Rafaella Aresti</t>
  </si>
  <si>
    <t>28/6 Kakia said will transefer the info</t>
  </si>
  <si>
    <t>SOFOKLEOUS ARISTOS &amp; ASSOCIATES</t>
  </si>
  <si>
    <t>ΟΜΗΡΟΥ 2, ΓΡ 207, 8020 ΠΑΦΟΣ</t>
  </si>
  <si>
    <t>26931792, 99814811</t>
  </si>
  <si>
    <t>sofaristos@yahoo.com</t>
  </si>
  <si>
    <t>ΑΡΙΣΤΟΣ ΣΟΦΟΚΛΕΟΥΣ</t>
  </si>
  <si>
    <t>only PV studies</t>
  </si>
  <si>
    <t>Michael Elias Photovoltaic Systems</t>
  </si>
  <si>
    <t>ΧΡΙΣΤΟΥ ΔΑΜΑΛΗ 15, 8800 ΛΥΣΟΣ ΠΑΦΟΣ</t>
  </si>
  <si>
    <t>michael.elias278@gmail.com</t>
  </si>
  <si>
    <t>https://michaeleliasphotovoltaicsystems.com/</t>
  </si>
  <si>
    <t>ΗΛΙΑΣ ΜΙΧΑΗΛ</t>
  </si>
  <si>
    <t>28/6 buys from Lanitis - sent presentation</t>
  </si>
  <si>
    <t>GREEN AIR LTD</t>
  </si>
  <si>
    <t>15 Apostolou Andrea Av. P.C 8046. Pafos</t>
  </si>
  <si>
    <t>26941555, 99838364</t>
  </si>
  <si>
    <t xml:space="preserve">info@greenair-cy.com </t>
  </si>
  <si>
    <t>www.greenair-cy.com</t>
  </si>
  <si>
    <t>MARK STUART DAVIES, ΓΙΑΝΝΑΚΗΣ ΚΑΜΠΟΥΡΗΣ</t>
  </si>
  <si>
    <t>Es &amp; Ti Engineering Services Ltd. Paphos</t>
  </si>
  <si>
    <t>110, Eleftheriou Venizelou Avenue, Maispa Center, 2nd Floor, 8062, Paphos</t>
  </si>
  <si>
    <t>99944479 θεμης, 26933144 , 96457012</t>
  </si>
  <si>
    <t>Info@estiengineering.com</t>
  </si>
  <si>
    <t>www.estiengineering.com</t>
  </si>
  <si>
    <t>ΘΕΜΗΣ ΘΕΜΙΣΤΟΚΛΕΟΥΣ</t>
  </si>
  <si>
    <t>P.H.Projexon Ltd</t>
  </si>
  <si>
    <t>ΓΟΥΔΙ, 8850 ΠΑΦΟΣ</t>
  </si>
  <si>
    <t>parisraftis@gmail.com</t>
  </si>
  <si>
    <t>www.prx.com.cy (X)</t>
  </si>
  <si>
    <t>Paraskevas Hadjiraftis</t>
  </si>
  <si>
    <t>02/7 email sent</t>
  </si>
  <si>
    <t>ΓΕΩΡΓΙΟΣ ΑΛΚΙΒΙΑΔΗΣ</t>
  </si>
  <si>
    <t>25 ΜΑΡΤΙΟΥ 22, 8453 ΕΜΠΑ</t>
  </si>
  <si>
    <t>99454134, 26947914</t>
  </si>
  <si>
    <t> alkiviadesgeorge@yahoo.gr</t>
  </si>
  <si>
    <t>12/6 intro sent</t>
  </si>
  <si>
    <t>ΧΡΙΣΤΟΣ ΘΡΑΣΥΒΟΥΛΟΥ</t>
  </si>
  <si>
    <t>ΚΩΝΣΤΑΝΤΙΝΟΥ ΠΑΛΑΙΟΛΟΓΟΥ 15, 8011, ΠΑΦΟΣ</t>
  </si>
  <si>
    <t>thchristos@gmail.com / christhrasyvoulou@hotmail.com ?</t>
  </si>
  <si>
    <t>27/6 electrical instalations</t>
  </si>
  <si>
    <t>SMART SOLAR CYPRUS</t>
  </si>
  <si>
    <t>Blue Villa, Filias, Chloraka 8220</t>
  </si>
  <si>
    <t>info@smartsolarcyprus.com</t>
  </si>
  <si>
    <t>https://www.smartsolarcyprus.com/</t>
  </si>
  <si>
    <t>*ΜΙΚΡΑ ΣΥΣΤΗΜΑΤΑ - ΧΩΡΙΣ ΛΙΝΙΕΣ!!!!</t>
  </si>
  <si>
    <t>C.K Watt Engineering LTD</t>
  </si>
  <si>
    <t>Iacovou Christodoulide 36, Paphos 8046</t>
  </si>
  <si>
    <t>watt01@cytanet.com.cy</t>
  </si>
  <si>
    <t>https://www.facebook.com/wattengineering/</t>
  </si>
  <si>
    <t>Christakis Karayiannides ownner (evri " office)</t>
  </si>
  <si>
    <t>C &amp; M ELECTROMECHANICAL TRADING HOUSE LTD</t>
  </si>
  <si>
    <t>ELECTRAS 6, VIOMICHANIKI TREMITHOUSAS PAPHOS</t>
  </si>
  <si>
    <t>info@cmelectromechanical.com</t>
  </si>
  <si>
    <t>https://cmelectromechanical.com/contact-us.html</t>
  </si>
  <si>
    <t>ΠΑΥΛΟΣ ΧΡΙΣΤΟΦΟΡΟΥ</t>
  </si>
  <si>
    <t>27/6 buys from local market different brands. Sent presentation</t>
  </si>
  <si>
    <t>Tame Energy Ltd</t>
  </si>
  <si>
    <t>Αμμοχώστου 7, 8200 Paphos, Cyprus</t>
  </si>
  <si>
    <t>99768568 / 26932768</t>
  </si>
  <si>
    <t>info@tameenergy.com</t>
  </si>
  <si>
    <t>https://www.tameenergy.com/</t>
  </si>
  <si>
    <t>SAVVAS DAVID</t>
  </si>
  <si>
    <t>DC-AC &amp; RENEWABLES LTD</t>
  </si>
  <si>
    <t xml:space="preserve"> Charalampou Fournidi 123, 8870 Pomos, Pafos</t>
  </si>
  <si>
    <t>99910579 / 70005008</t>
  </si>
  <si>
    <t>info@acdcrenewables.com</t>
  </si>
  <si>
    <t>https://acdcrenewables.com/</t>
  </si>
  <si>
    <t>ΚΩΝΣΤΑΝΤΙΝΟΣ ΡΟΥΣΟΣ 99910579</t>
  </si>
  <si>
    <t>JPB Solar Energy Ltd.</t>
  </si>
  <si>
    <t>Mesogi Avenue 9 Paphos, Cyprus 8280</t>
  </si>
  <si>
    <t>26220358    99112315 96553252</t>
  </si>
  <si>
    <t>info@jpbenergy.com  andreas.andreou@jpbenergy.com</t>
  </si>
  <si>
    <t>https://www.jpbenergy.com/en/</t>
  </si>
  <si>
    <t>ΧΡΙΣΤΑΚΗΣ ΧΡΙΣΤΟΔΟΥΛΟΥ</t>
  </si>
  <si>
    <t>PAVLO BOHDAN SUN TECHNOLOGY LTD</t>
  </si>
  <si>
    <t>Akamantos, 76A, Flat/Office 37 Pegeia 8560, Pafos</t>
  </si>
  <si>
    <t>s.tech.cyprus@gmail.com</t>
  </si>
  <si>
    <t>https://www.sun-technology.com.cy/</t>
  </si>
  <si>
    <t>G.M OIKODOMEIN LTD</t>
  </si>
  <si>
    <t>Mesogis Avenue , 61</t>
  </si>
  <si>
    <t>70007752  99514975</t>
  </si>
  <si>
    <t>technicalsupport@oikodomein.eu</t>
  </si>
  <si>
    <t>https://oikodomein.eu</t>
  </si>
  <si>
    <t>maria will call me back</t>
  </si>
  <si>
    <t>A.M. BIOENERGY LTD</t>
  </si>
  <si>
    <t>Arsinois 3, 8820 Polis Chrysochous</t>
  </si>
  <si>
    <t>96578001 / 26323060</t>
  </si>
  <si>
    <t>info@ambioenergy.com</t>
  </si>
  <si>
    <t>https://www.ambioenergy.com/</t>
  </si>
  <si>
    <t>SAVVAS SAVVA</t>
  </si>
  <si>
    <t>GAVRIEL I. CONSTANTINOU TRADING LTD</t>
  </si>
  <si>
    <t>MICHAIL SAVVA 8 PAFOS, Cyprus, 8028</t>
  </si>
  <si>
    <t>constantinou-trading@hotmail.com</t>
  </si>
  <si>
    <t>works with Michalis Michael</t>
  </si>
  <si>
    <t>GENERGY SOLAR ENGINEERING LTD</t>
  </si>
  <si>
    <t>Ano Limnes, 20, Marathounta 8520, Pafos</t>
  </si>
  <si>
    <t>genergysolar@outlook.com</t>
  </si>
  <si>
    <t>CHRISTOS GEORGIOU</t>
  </si>
  <si>
    <t>2/7 uses CANADIAN SUNPOWER panels</t>
  </si>
  <si>
    <t>ΜΙΧΑΛΗΣ ΜΙΚΕΛΛΗΣ ΠΕΡΑΤΙΚΟΣ</t>
  </si>
  <si>
    <t>ΑΧΜΕΤ ΜΟΥΧΤΑΡ ΠΑΣΑ 15, 8016</t>
  </si>
  <si>
    <t>99051395, 26935964</t>
  </si>
  <si>
    <t>mikellisper@gmail.com</t>
  </si>
  <si>
    <t>http://www.oikosolar.com/</t>
  </si>
  <si>
    <t>refer by Aristos Sofokleous</t>
  </si>
  <si>
    <t>buys apo Laniti kai BigSolar SE/FR/AZZURO / email sent 11/06</t>
  </si>
  <si>
    <t>NEW WAY ENGINEERING LTD</t>
  </si>
  <si>
    <t>Aristotellous Savva 41, Paphos 8025 (Αγίας Μαρίνας, 15, Δρούσεια 8700, Πάφος)</t>
  </si>
  <si>
    <t>97758242 / 99 785832</t>
  </si>
  <si>
    <t>newwayengineering97@gmail.com  / drosinia@yahoo.gr</t>
  </si>
  <si>
    <t>https://www.linkedin.com/company/newway-engineering</t>
  </si>
  <si>
    <t>στελιος κουππαρης</t>
  </si>
  <si>
    <t>has 3MW pv parks, imports, 1-2 installations per day</t>
  </si>
  <si>
    <t>J&amp;G SOLAR TECHNOLOGIES LTD</t>
  </si>
  <si>
    <t>Αγίου Ραφαήλ, 4, Κονιά 8300, Πάφος, Κύπρος</t>
  </si>
  <si>
    <t>26822515  77 77 76 52</t>
  </si>
  <si>
    <t>info@solartechnologies.com.cy</t>
  </si>
  <si>
    <t>Georgios Irodotou</t>
  </si>
  <si>
    <t>Star Solar Ltd</t>
  </si>
  <si>
    <t>Arsionois, Yeroskipou 8201</t>
  </si>
  <si>
    <t>info@starsolar.com.cy</t>
  </si>
  <si>
    <t xml:space="preserve">Andreas Georgiou GM </t>
  </si>
  <si>
    <t>12/6 intro sent / buys locally jinko&amp;huawei</t>
  </si>
  <si>
    <t>MS SOLAR SOLUTIONS / ALEXANDROS SOFOKLEOUS</t>
  </si>
  <si>
    <t>Ammochostou 4, 8574 Kissonerga, Pafos, Cyprus</t>
  </si>
  <si>
    <t>mssolarsolutionspaphos@gmail.com</t>
  </si>
  <si>
    <t>call again - works with Michalis Michael</t>
  </si>
  <si>
    <t>ANTONHS KYRIAKOU</t>
  </si>
  <si>
    <t xml:space="preserve">ΜΗΛΙΟΥ 13, 8726 </t>
  </si>
  <si>
    <t>antoniskyriakou9@gmail.com</t>
  </si>
  <si>
    <t>den kanei dika tou systimata, mono tis egkatastaseis gia alles etaireies - suggested z&amp;x mechanical</t>
  </si>
  <si>
    <t>ANDREAS DIOGENOUS</t>
  </si>
  <si>
    <t>IOANNI MAKRIGIANNI 3, POMOS 8870 PAFOS</t>
  </si>
  <si>
    <t>99585979 / 26342467</t>
  </si>
  <si>
    <t>diogenous.c@gmail.com</t>
  </si>
  <si>
    <t>CHRIS KOURIDES MAINTANANCE</t>
  </si>
  <si>
    <t>SPYROU KYPRIANOU 10, 8520 MARATHOUNTA PAFOS</t>
  </si>
  <si>
    <t>99578236 / 26944414</t>
  </si>
  <si>
    <t>kalaoushis_ch@hotmail.com</t>
  </si>
  <si>
    <t>18/6 pesentation sent - mostly autonomous systems.</t>
  </si>
  <si>
    <t>Michalis Michael</t>
  </si>
  <si>
    <t>Paphos</t>
  </si>
  <si>
    <t>mihalismihail@hotmail.com</t>
  </si>
  <si>
    <t>19/6 they import CanadianSolar, Sunpower, Anstronergy,Azzuro, Fox</t>
  </si>
  <si>
    <t>AMMOCHOSTOS</t>
  </si>
  <si>
    <t>S RUSH ELECTRICAL LTD</t>
  </si>
  <si>
    <t>Anna Court 2, Flat 8, 253 Protaras Avenue, Paralimni</t>
  </si>
  <si>
    <t>srush09@yahoo.com</t>
  </si>
  <si>
    <t>www.electricianlarnaca.com</t>
  </si>
  <si>
    <t xml:space="preserve">STEVEN RUSH </t>
  </si>
  <si>
    <t>LAGOUDIS &amp; KOKIS CO LTD</t>
  </si>
  <si>
    <t>241, Protara Ave., Paralimni, AMMOCHOSTOS</t>
  </si>
  <si>
    <t> 23821939</t>
  </si>
  <si>
    <t>info@lako.com.cy</t>
  </si>
  <si>
    <t>www.lako.com.cy</t>
  </si>
  <si>
    <t>Thylen Solar Systems Cyprus | Antoniou &amp; Christou LTD</t>
  </si>
  <si>
    <t>Agiou Panteleimona 24 5292 , Paralimni Cyprus</t>
  </si>
  <si>
    <t>23 742100</t>
  </si>
  <si>
    <t>info@thylensolar.com</t>
  </si>
  <si>
    <t>thylensolar.com</t>
  </si>
  <si>
    <t>ΑΝΤΩΝΗΣ ΚΑΡΥΟΣ</t>
  </si>
  <si>
    <t>ΞΑΝΘΟΥ ΣΑΜΑΡΑ 28, 5510 ΑΥΓΟΡΟΥ</t>
  </si>
  <si>
    <t>karios.ak73@gmail.com</t>
  </si>
  <si>
    <t>ΠΕΤΡΟΣ ΤΟΠΑΛΟΣ</t>
  </si>
  <si>
    <t> Πλάτωνος 8. 5380 ∆ερύνεια</t>
  </si>
  <si>
    <t>tapolos@cytanet.com.cy</t>
  </si>
  <si>
    <t>www.facebook.com/tapolos</t>
  </si>
  <si>
    <t>99577853 ΓΕΩΡΓΙΟΣ ΤΟΠΑΛΟΣ  g.tapolos@outlook.com ???</t>
  </si>
  <si>
    <t>Antonis Anastasiou Installations Ltd</t>
  </si>
  <si>
    <t>ΓΕΩΡΓΙΟΥ ΓΟΥΡΟΥΝΙΑ 164, 5281 ΠΑΡΑΛΙΜΝΙ</t>
  </si>
  <si>
    <t>99216991, 23744991</t>
  </si>
  <si>
    <t>aainstallations@cytanet.com.cy</t>
  </si>
  <si>
    <t>www.facebook.com/antonisanastasiouinstallations/</t>
  </si>
  <si>
    <t>SUNPOWER ENERGY BY G&amp;A LTD</t>
  </si>
  <si>
    <t>Panagioti zouvani 1, Sotira 5390</t>
  </si>
  <si>
    <t>99523184 / 23824414</t>
  </si>
  <si>
    <t>sunpowerenergybyga@gmail.com    sunpowerenergyceo@hotmail.com</t>
  </si>
  <si>
    <t>Grigoris Charalambous 99523184 / androula georgiou owner</t>
  </si>
  <si>
    <t>MAVIO ENERGY LTD</t>
  </si>
  <si>
    <t>Stadiou 29, Sotira 5390</t>
  </si>
  <si>
    <t>info@mavioenergy.com</t>
  </si>
  <si>
    <t>ΙΑΚΩΒΟΣ ΜΑΥΡΟΥΔΗΣ</t>
  </si>
  <si>
    <t xml:space="preserve">PV PANELS:  </t>
  </si>
  <si>
    <t xml:space="preserve">Hight efficiency (&gt;21%) N-type 415-435W &amp; 550-580W </t>
  </si>
  <si>
    <t>* 15 year product waranty &amp; 25 year production warranty is prefered</t>
  </si>
  <si>
    <t>Wuxi Suntech Power Co., Ltd. is a Tier 1 brand that wasn’t analysed in the excels. Very well established, worth checking.</t>
  </si>
  <si>
    <t>INVERTERS:</t>
  </si>
  <si>
    <t>1phase</t>
  </si>
  <si>
    <t>3-5kW</t>
  </si>
  <si>
    <t>for residential use
both hybrid and standard</t>
  </si>
  <si>
    <t>3phase</t>
  </si>
  <si>
    <t>3-10kW</t>
  </si>
  <si>
    <t>15-20-30-50-100-150kW  for C&amp;I projects</t>
  </si>
  <si>
    <t>* 10 year warranty is prefered</t>
  </si>
  <si>
    <t>Fimer SpA. (former ABB inverters) can be an ideal solution, they are whitelisted in many countries.</t>
  </si>
  <si>
    <t>European product, has many years of experience - since PowerOne, good warranties but poor support after leaving ABB. They also have EV chargers!</t>
  </si>
  <si>
    <t>EV CHARGERS:</t>
  </si>
  <si>
    <t>7kW</t>
  </si>
  <si>
    <t>mostly for residential/private use</t>
  </si>
  <si>
    <t>22kW</t>
  </si>
  <si>
    <t>semi public use</t>
  </si>
  <si>
    <t>&gt;50kW</t>
  </si>
  <si>
    <t>public use</t>
  </si>
  <si>
    <t>BESS:</t>
  </si>
  <si>
    <t>New market, still not much penetration in residential</t>
  </si>
  <si>
    <t>There will be insentives in the following months for bigger Energy storage projects</t>
  </si>
  <si>
    <t>FORECAST ASBIS GREEN ENERGY SOLUTIONS CYPRUS 2024</t>
  </si>
  <si>
    <t>Q2</t>
  </si>
  <si>
    <t>Q3</t>
  </si>
  <si>
    <t>Q4</t>
  </si>
  <si>
    <t>Sales forecast</t>
  </si>
  <si>
    <t>9 month</t>
  </si>
  <si>
    <t>Sales, $</t>
  </si>
  <si>
    <t>GM, %</t>
  </si>
  <si>
    <t>GP,  $</t>
  </si>
  <si>
    <t>GP, per Q $</t>
  </si>
  <si>
    <t>CY Targets based on IT4profit</t>
  </si>
  <si>
    <t/>
  </si>
  <si>
    <t xml:space="preserve">Total Target Revenue </t>
  </si>
  <si>
    <t xml:space="preserve">Total Target  GM </t>
  </si>
  <si>
    <t xml:space="preserve">Total Target  GP </t>
  </si>
  <si>
    <t xml:space="preserve">ETREL </t>
  </si>
  <si>
    <t xml:space="preserve">LEKTRI </t>
  </si>
  <si>
    <t>Sunways</t>
  </si>
  <si>
    <t>Sungrow</t>
  </si>
  <si>
    <t xml:space="preserve">Shenzen Sofarsolar </t>
  </si>
  <si>
    <t xml:space="preserve">AVIA solar </t>
  </si>
  <si>
    <t xml:space="preserve">Axitec </t>
  </si>
  <si>
    <t>Sum:</t>
  </si>
  <si>
    <t>2023 List of Tier 1 Solar Panels Manufacturers</t>
  </si>
  <si>
    <t>Manufacturers</t>
  </si>
  <si>
    <t>Q1</t>
  </si>
  <si>
    <t>Adani / Mundra</t>
  </si>
  <si>
    <t>✓</t>
  </si>
  <si>
    <t>AE Solar</t>
  </si>
  <si>
    <t>AKCOME (Jiangsu)</t>
  </si>
  <si>
    <t>AU Optronics</t>
  </si>
  <si>
    <t>Anhui Daheng (DAH Solar)</t>
  </si>
  <si>
    <t>Anhui Huasun</t>
  </si>
  <si>
    <t>Beyond Sun</t>
  </si>
  <si>
    <t>Boviet</t>
  </si>
  <si>
    <t>Canadian Solar</t>
  </si>
  <si>
    <t>CECEP</t>
  </si>
  <si>
    <t>CGS</t>
  </si>
  <si>
    <t>Chint / Astronergy</t>
  </si>
  <si>
    <t>DAS Solar</t>
  </si>
  <si>
    <t>Dehui</t>
  </si>
  <si>
    <t>DMEGC</t>
  </si>
  <si>
    <t>Dongfang</t>
  </si>
  <si>
    <t>Eging</t>
  </si>
  <si>
    <t>ET Solar Inc / Elite Solar</t>
  </si>
  <si>
    <t>Exiom Group</t>
  </si>
  <si>
    <t>First Solar</t>
  </si>
  <si>
    <t>GCL System</t>
  </si>
  <si>
    <t>Goldi Solar</t>
  </si>
  <si>
    <t>Green Wing</t>
  </si>
  <si>
    <t>Haitai Solar</t>
  </si>
  <si>
    <t>Hanersun</t>
  </si>
  <si>
    <t>Hansol Technics</t>
  </si>
  <si>
    <t>Hanwha Q Cells</t>
  </si>
  <si>
    <t>Heliene</t>
  </si>
  <si>
    <t>Hevel</t>
  </si>
  <si>
    <t>HT-SAAE</t>
  </si>
  <si>
    <t>HuaSun Energy</t>
  </si>
  <si>
    <t>Hyundai</t>
  </si>
  <si>
    <t>Jetion</t>
  </si>
  <si>
    <t>Jinko</t>
  </si>
  <si>
    <t>Jinneng / Jinergy</t>
  </si>
  <si>
    <t>Jolywood</t>
  </si>
  <si>
    <t>Leapton Energy</t>
  </si>
  <si>
    <t>LG Solar</t>
  </si>
  <si>
    <t>LONGi Solar (Longi Green)</t>
  </si>
  <si>
    <t>Luxen Solar</t>
  </si>
  <si>
    <t>Maxeon (SunPower)</t>
  </si>
  <si>
    <t>Meyer Burger</t>
  </si>
  <si>
    <t>Motech</t>
  </si>
  <si>
    <t>Neo Solar Power (NSP) / URE</t>
  </si>
  <si>
    <t>New East Solar Energy</t>
  </si>
  <si>
    <t>Philadelphia Solar</t>
  </si>
  <si>
    <t>REC Group</t>
  </si>
  <si>
    <t>Recom</t>
  </si>
  <si>
    <t>Renesola Yixing</t>
  </si>
  <si>
    <t>Renewsys</t>
  </si>
  <si>
    <t>Risen Energy</t>
  </si>
  <si>
    <t>S-Energy</t>
  </si>
  <si>
    <t>SEG Group</t>
  </si>
  <si>
    <t>Seraphim / SEG</t>
  </si>
  <si>
    <t>Sharp</t>
  </si>
  <si>
    <t>Shinsung</t>
  </si>
  <si>
    <t>Solar-Fabrik</t>
  </si>
  <si>
    <t>Solargiga</t>
  </si>
  <si>
    <t>Solarspace</t>
  </si>
  <si>
    <t>Sumec / Phono Solar</t>
  </si>
  <si>
    <t>Sunova Solar / Thornova</t>
  </si>
  <si>
    <t>Sunport</t>
  </si>
  <si>
    <t>Sunpro Power / YH Sunpro</t>
  </si>
  <si>
    <t>Suntech</t>
  </si>
  <si>
    <t>Swelect</t>
  </si>
  <si>
    <t>Talesun</t>
  </si>
  <si>
    <t>TSEC</t>
  </si>
  <si>
    <t>Ulica Solar</t>
  </si>
  <si>
    <t>UREC</t>
  </si>
  <si>
    <t>Vikram</t>
  </si>
  <si>
    <t>VSUN Solar</t>
  </si>
  <si>
    <t>Waaree</t>
  </si>
  <si>
    <t>Yingli Silfab</t>
  </si>
  <si>
    <t>ZNShine</t>
  </si>
  <si>
    <t>Best Solar Inverters Summary Table</t>
  </si>
  <si>
    <t>No</t>
  </si>
  <si>
    <t>Picture</t>
  </si>
  <si>
    <t>Make</t>
  </si>
  <si>
    <t>Warranty*</t>
  </si>
  <si>
    <t>Key Features</t>
  </si>
  <si>
    <t>Fronius solar inverter</t>
  </si>
  <si>
    <t>Fronius</t>
  </si>
  <si>
    <t>GEN24</t>
  </si>
  <si>
    <t>10 Year (5+5)</t>
  </si>
  <si>
    <t>Snap-in design, Hidden connections, LCD display, Dynamic shade function, Austrian made</t>
  </si>
  <si>
    <t>Solaredge solar inverter</t>
  </si>
  <si>
    <t>SolarEdge</t>
  </si>
  <si>
    <t>GENESIS</t>
  </si>
  <si>
    <t>12 Year</t>
  </si>
  <si>
    <t>DC Optimsers, panel level monitoring, smart load control</t>
  </si>
  <si>
    <t>Sungrow solar inverter</t>
  </si>
  <si>
    <t>SG-RS Series</t>
  </si>
  <si>
    <t>10 Year</t>
  </si>
  <si>
    <t>LCD Display, very high efficiency, IV-curve scan, Shade scanning</t>
  </si>
  <si>
    <t>SMA solar inverter</t>
  </si>
  <si>
    <t>Sunny Boy</t>
  </si>
  <si>
    <t>5+5 Year*</t>
  </si>
  <si>
    <t>German made, Shadefix setting</t>
  </si>
  <si>
    <t>Huawei solar inverter</t>
  </si>
  <si>
    <t>Huawei</t>
  </si>
  <si>
    <t>SUN2000L1</t>
  </si>
  <si>
    <t>Hybrid inverter, optional DC optimisers</t>
  </si>
  <si>
    <t>Goodwe solar inverter</t>
  </si>
  <si>
    <t>Goodwe</t>
  </si>
  <si>
    <t>DNS G3 Series</t>
  </si>
  <si>
    <t>10 Year*</t>
  </si>
  <si>
    <t>LCD Display, shadow scan setting, high input current</t>
  </si>
  <si>
    <t>GE solar inverter</t>
  </si>
  <si>
    <t>GE</t>
  </si>
  <si>
    <t>GEP Series</t>
  </si>
  <si>
    <t>Color Display*, shadow scan setting, 3 x MPPT^</t>
  </si>
  <si>
    <t>Fimer solar inverter</t>
  </si>
  <si>
    <t>FIMER</t>
  </si>
  <si>
    <t>UNO DM PLUS-Q</t>
  </si>
  <si>
    <t>High MPPT current for Parallel strings</t>
  </si>
  <si>
    <t>Delta solar inverter</t>
  </si>
  <si>
    <t>DELTA</t>
  </si>
  <si>
    <t>Home Series</t>
  </si>
  <si>
    <t>5 Year*</t>
  </si>
  <si>
    <t>low startup voltage, high efficiency, inbuilt energy meter</t>
  </si>
  <si>
    <t>STS-KTL-P</t>
  </si>
  <si>
    <t>OLED Display, high input current</t>
  </si>
  <si>
    <t>* Extended warranty options may vary depending on the country or region.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</si>
</sst>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_-&quot;€&quot;* #,##0.00_-;\-&quot;€&quot;* #,##0.00_-;_-&quot;€&quot;* &quot;-&quot;??_-;_-@"/>
    <numFmt numFmtId="165" formatCode="_-[$€-2]\ * #,##0.00_-;\-[$€-2]\ * #,##0.00_-;_-[$€-2]\ * &quot;-&quot;??_-;_-@"/>
    <numFmt numFmtId="166" formatCode="0.0%"/>
    <numFmt numFmtId="167" formatCode="_-* #,##0.00\ [$€-1]_-;\-* #,##0.00\ [$€-1]_-;_-* &quot;-&quot;??\ [$€-1]_-;_-@"/>
    <numFmt numFmtId="168" formatCode="_([$€-2]\ * #,##0.00_);_([$€-2]\ * \(#,##0.00\);_([$€-2]\ * &quot;-&quot;??_);_(@_)"/>
    <numFmt numFmtId="169" formatCode="_-* #,##0\ [$€-1]_-;\-* #,##0\ [$€-1]_-;_-* &quot;-&quot;??\ [$€-1]_-;_-@"/>
    <numFmt numFmtId="170" formatCode="_-* #,##0.000\ [$€-1]_-;\-* #,##0.000\ [$€-1]_-;_-* &quot;-&quot;??\ [$€-1]_-;_-@"/>
    <numFmt numFmtId="171" formatCode="_-* #,##0\ [$€-1]_-;\-* #,##0\ [$€-1]_-;_-* &quot;-&quot;\ [$€-1]_-;_-@"/>
    <numFmt numFmtId="172" formatCode="_-* #,##0.0000\ [$€-1]_-;\-* #,##0.0000\ [$€-1]_-;_-* &quot;-&quot;??\ [$€-1]_-;_-@"/>
    <numFmt numFmtId="173" formatCode="_-&quot;€&quot;* #,##0.000_-;\-&quot;€&quot;* #,##0.000_-;_-&quot;€&quot;* &quot;-&quot;??_-;_-@"/>
    <numFmt numFmtId="174" formatCode="&quot;€&quot;#,##0.00"/>
    <numFmt numFmtId="175" formatCode="_(* #,##0_);_(* \(#,##0\);_(* &quot;-&quot;??_);_(@_)"/>
    <numFmt numFmtId="176" formatCode="#,##0;[Red]#,##0"/>
    <numFmt numFmtId="177" formatCode="_-[$$-409]* #,##0.00_ ;_-[$$-409]* \-#,##0.00\ ;_-[$$-409]* &quot;-&quot;??_ ;_-@_ "/>
  </numFmts>
  <fonts count="61">
    <font>
      <sz val="12.0"/>
      <color rgb="FF000000"/>
      <name val="Arial"/>
      <scheme val="minor"/>
    </font>
    <font>
      <u/>
      <sz val="16.0"/>
      <color theme="1"/>
      <name val="Calibri"/>
    </font>
    <font>
      <b/>
      <sz val="16.0"/>
      <color theme="1"/>
      <name val="Calibri"/>
    </font>
    <font>
      <u/>
      <sz val="16.0"/>
      <color theme="1"/>
      <name val="Calibri"/>
    </font>
    <font>
      <sz val="16.0"/>
      <color theme="1"/>
      <name val="Calibri"/>
    </font>
    <font>
      <sz val="16.0"/>
      <color rgb="FFFF0000"/>
      <name val="Calibri"/>
    </font>
    <font>
      <b/>
      <sz val="16.0"/>
      <color rgb="FF0C0C0C"/>
      <name val="Calibri"/>
    </font>
    <font>
      <sz val="11.0"/>
      <color theme="1"/>
      <name val="Calibri"/>
    </font>
    <font>
      <u/>
      <sz val="12.0"/>
      <color rgb="FF0000FF"/>
      <name val="Calibri"/>
    </font>
    <font/>
    <font>
      <b/>
      <sz val="14.0"/>
      <color theme="1"/>
      <name val="Calibri"/>
    </font>
    <font>
      <sz val="12.0"/>
      <color theme="1"/>
      <name val="Calibri"/>
    </font>
    <font>
      <b/>
      <sz val="11.0"/>
      <color theme="1"/>
      <name val="Calibri"/>
    </font>
    <font>
      <u/>
      <sz val="12.0"/>
      <color theme="1"/>
      <name val="Calibri"/>
    </font>
    <font>
      <b/>
      <sz val="12.0"/>
      <color rgb="FF000000"/>
      <name val="Tahoma"/>
    </font>
    <font>
      <b/>
      <sz val="12.0"/>
      <color theme="1"/>
      <name val="Calibri"/>
    </font>
    <font>
      <color theme="1"/>
      <name val="Arial"/>
      <scheme val="minor"/>
    </font>
    <font>
      <sz val="8.0"/>
      <color rgb="FF242424"/>
      <name val="Quattrocento Sans"/>
    </font>
    <font>
      <b/>
      <u/>
      <sz val="11.0"/>
      <color rgb="FFFF0000"/>
      <name val="Calibri"/>
    </font>
    <font>
      <b/>
      <u/>
      <sz val="11.0"/>
      <color theme="1"/>
      <name val="Calibri"/>
    </font>
    <font>
      <sz val="11.0"/>
      <color rgb="FF231F20"/>
      <name val="Calibri"/>
    </font>
    <font>
      <sz val="11.0"/>
      <color rgb="FFFF0000"/>
      <name val="Calibri"/>
    </font>
    <font>
      <u/>
      <sz val="11.0"/>
      <color rgb="FF0000FF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sz val="11.0"/>
      <color rgb="FF000000"/>
      <name val="Calibri"/>
    </font>
    <font>
      <b/>
      <sz val="20.0"/>
      <color theme="1"/>
      <name val="Calibri"/>
    </font>
    <font>
      <b/>
      <sz val="12.0"/>
      <color rgb="FF666666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sz val="12.0"/>
      <color rgb="FFFF0000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theme="1"/>
      <name val="Calibri"/>
    </font>
    <font>
      <u/>
      <sz val="12.0"/>
      <color rgb="FF0000FF"/>
      <name val="Calibri"/>
    </font>
    <font>
      <u/>
      <sz val="12.0"/>
      <color theme="1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theme="1"/>
      <name val="Calibri"/>
    </font>
    <font>
      <u/>
      <sz val="12.0"/>
      <color rgb="FF0000FF"/>
      <name val="Calibri"/>
    </font>
    <font>
      <u/>
      <sz val="12.0"/>
      <color rgb="FFFF0000"/>
      <name val="Calibri"/>
    </font>
    <font>
      <u/>
      <sz val="12.0"/>
      <color rgb="FF0000FF"/>
      <name val="Calibri"/>
    </font>
    <font>
      <b/>
      <u/>
      <sz val="12.0"/>
      <color theme="1"/>
      <name val="Calibri"/>
    </font>
    <font>
      <sz val="8.0"/>
      <color rgb="FF000000"/>
      <name val="Calibri"/>
    </font>
    <font>
      <b/>
      <sz val="9.0"/>
      <color rgb="FF000000"/>
      <name val="Calibri"/>
    </font>
    <font>
      <b/>
      <sz val="8.0"/>
      <color rgb="FF000000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b/>
      <sz val="13.0"/>
      <color rgb="FF000000"/>
      <name val="Var(--heading-font-font-family)"/>
    </font>
    <font>
      <sz val="8.0"/>
      <color rgb="FFFFFFFF"/>
      <name val="Arial"/>
    </font>
    <font>
      <sz val="8.0"/>
      <color theme="1"/>
      <name val="Arial"/>
    </font>
    <font>
      <u/>
      <sz val="12.0"/>
      <color theme="1"/>
      <name val="Calibri"/>
    </font>
    <font>
      <u/>
      <sz val="12.0"/>
      <color theme="1"/>
      <name val="Calibri"/>
    </font>
    <font>
      <sz val="9.0"/>
      <color rgb="FF000000"/>
      <name val="Open Sans"/>
    </font>
  </fonts>
  <fills count="30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  <fill>
      <patternFill patternType="solid">
        <fgColor rgb="FF3F3F3F"/>
        <bgColor rgb="FF3F3F3F"/>
      </patternFill>
    </fill>
    <fill>
      <patternFill patternType="solid">
        <fgColor rgb="FFFFFF00"/>
        <bgColor rgb="FFFFFF00"/>
      </patternFill>
    </fill>
    <fill>
      <patternFill patternType="solid">
        <fgColor rgb="FF2F5496"/>
        <bgColor rgb="FF2F5496"/>
      </patternFill>
    </fill>
    <fill>
      <patternFill patternType="solid">
        <fgColor rgb="FF00B050"/>
        <bgColor rgb="FF00B050"/>
      </patternFill>
    </fill>
    <fill>
      <patternFill patternType="solid">
        <fgColor rgb="FF7030A0"/>
        <bgColor rgb="FF7030A0"/>
      </patternFill>
    </fill>
    <fill>
      <patternFill patternType="solid">
        <fgColor rgb="FFF2F2F2"/>
        <bgColor rgb="FFF2F2F2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FF6699"/>
        <bgColor rgb="FFFF6699"/>
      </patternFill>
    </fill>
    <fill>
      <patternFill patternType="solid">
        <fgColor rgb="FFD9E2F3"/>
        <bgColor rgb="FFD9E2F3"/>
      </patternFill>
    </fill>
    <fill>
      <patternFill patternType="solid">
        <fgColor rgb="FFFFE598"/>
        <bgColor rgb="FFFFE598"/>
      </patternFill>
    </fill>
    <fill>
      <patternFill patternType="solid">
        <fgColor rgb="FFDEEAF6"/>
        <bgColor rgb="FFDEEAF6"/>
      </patternFill>
    </fill>
    <fill>
      <patternFill patternType="solid">
        <fgColor rgb="FFBFBFBF"/>
        <bgColor rgb="FFBFBFBF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757070"/>
        <bgColor rgb="FF757070"/>
      </patternFill>
    </fill>
    <fill>
      <patternFill patternType="solid">
        <fgColor rgb="FFFFD965"/>
        <bgColor rgb="FFFFD965"/>
      </patternFill>
    </fill>
    <fill>
      <patternFill patternType="solid">
        <fgColor rgb="FF548135"/>
        <bgColor rgb="FF548135"/>
      </patternFill>
    </fill>
    <fill>
      <patternFill patternType="solid">
        <fgColor rgb="FFB4C6E7"/>
        <bgColor rgb="FFB4C6E7"/>
      </patternFill>
    </fill>
    <fill>
      <patternFill patternType="solid">
        <fgColor rgb="FFA5A5A5"/>
        <bgColor rgb="FFA5A5A5"/>
      </patternFill>
    </fill>
    <fill>
      <patternFill patternType="solid">
        <fgColor rgb="FFF3C4F8"/>
        <bgColor rgb="FFF3C4F8"/>
      </patternFill>
    </fill>
    <fill>
      <patternFill patternType="solid">
        <fgColor rgb="FFF5F9C3"/>
        <bgColor rgb="FFF5F9C3"/>
      </patternFill>
    </fill>
    <fill>
      <patternFill patternType="solid">
        <fgColor rgb="FFE9EDF4"/>
        <bgColor rgb="FFE9EDF4"/>
      </patternFill>
    </fill>
    <fill>
      <patternFill patternType="solid">
        <fgColor rgb="FFFBE4D5"/>
        <bgColor rgb="FFFBE4D5"/>
      </patternFill>
    </fill>
    <fill>
      <patternFill patternType="solid">
        <fgColor rgb="FFF3F3F3"/>
        <bgColor rgb="FFF3F3F3"/>
      </patternFill>
    </fill>
  </fills>
  <borders count="5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  <top style="thin">
        <color rgb="FF000000"/>
      </top>
    </border>
    <border>
      <left/>
      <right style="medium">
        <color rgb="FF000000"/>
      </right>
      <top/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</border>
    <border>
      <left/>
      <right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</borders>
  <cellStyleXfs count="1">
    <xf borderId="0" fillId="0" fontId="0" numFmtId="0" applyAlignment="1" applyFont="1"/>
  </cellStyleXfs>
  <cellXfs count="35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3" numFmtId="0" xfId="0" applyAlignment="1" applyBorder="1" applyFont="1">
      <alignment horizontal="center"/>
    </xf>
    <xf borderId="1" fillId="2" fontId="2" numFmtId="9" xfId="0" applyAlignment="1" applyBorder="1" applyFont="1" applyNumberFormat="1">
      <alignment horizontal="center"/>
    </xf>
    <xf borderId="1" fillId="3" fontId="4" numFmtId="0" xfId="0" applyBorder="1" applyFill="1" applyFont="1"/>
    <xf borderId="1" fillId="2" fontId="4" numFmtId="0" xfId="0" applyBorder="1" applyFont="1"/>
    <xf borderId="2" fillId="4" fontId="4" numFmtId="0" xfId="0" applyBorder="1" applyFill="1" applyFont="1"/>
    <xf borderId="2" fillId="4" fontId="2" numFmtId="0" xfId="0" applyBorder="1" applyFont="1"/>
    <xf borderId="0" fillId="0" fontId="4" numFmtId="0" xfId="0" applyFont="1"/>
    <xf borderId="0" fillId="0" fontId="4" numFmtId="0" xfId="0" applyAlignment="1" applyFont="1">
      <alignment horizontal="center"/>
    </xf>
    <xf borderId="2" fillId="3" fontId="4" numFmtId="9" xfId="0" applyAlignment="1" applyBorder="1" applyFont="1" applyNumberFormat="1">
      <alignment horizontal="center"/>
    </xf>
    <xf borderId="0" fillId="0" fontId="4" numFmtId="9" xfId="0" applyAlignment="1" applyFont="1" applyNumberFormat="1">
      <alignment horizontal="center"/>
    </xf>
    <xf borderId="2" fillId="5" fontId="4" numFmtId="0" xfId="0" applyBorder="1" applyFill="1" applyFont="1"/>
    <xf borderId="3" fillId="5" fontId="2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1" fillId="6" fontId="2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ont="1">
      <alignment horizontal="center" shrinkToFit="0" vertical="center" wrapText="1"/>
    </xf>
    <xf borderId="1" fillId="3" fontId="2" numFmtId="9" xfId="0" applyAlignment="1" applyBorder="1" applyFont="1" applyNumberFormat="1">
      <alignment horizontal="center" shrinkToFit="0" vertical="center" wrapText="1"/>
    </xf>
    <xf borderId="1" fillId="7" fontId="2" numFmtId="9" xfId="0" applyAlignment="1" applyBorder="1" applyFill="1" applyFont="1" applyNumberFormat="1">
      <alignment horizontal="center" shrinkToFit="0" vertical="center" wrapText="1"/>
    </xf>
    <xf borderId="1" fillId="4" fontId="4" numFmtId="0" xfId="0" applyAlignment="1" applyBorder="1" applyFont="1">
      <alignment shrinkToFit="0" vertical="center" wrapText="1"/>
    </xf>
    <xf borderId="4" fillId="4" fontId="4" numFmtId="0" xfId="0" applyAlignment="1" applyBorder="1" applyFont="1">
      <alignment shrinkToFit="0" vertical="center" wrapText="1"/>
    </xf>
    <xf borderId="1" fillId="4" fontId="4" numFmtId="0" xfId="0" applyAlignment="1" applyBorder="1" applyFont="1">
      <alignment vertical="center"/>
    </xf>
    <xf borderId="5" fillId="4" fontId="4" numFmtId="0" xfId="0" applyAlignment="1" applyBorder="1" applyFont="1">
      <alignment vertical="center"/>
    </xf>
    <xf borderId="1" fillId="8" fontId="4" numFmtId="0" xfId="0" applyAlignment="1" applyBorder="1" applyFill="1" applyFont="1">
      <alignment horizontal="left"/>
    </xf>
    <xf borderId="1" fillId="8" fontId="4" numFmtId="0" xfId="0" applyAlignment="1" applyBorder="1" applyFont="1">
      <alignment horizontal="center" vertical="center"/>
    </xf>
    <xf borderId="1" fillId="8" fontId="4" numFmtId="164" xfId="0" applyAlignment="1" applyBorder="1" applyFont="1" applyNumberFormat="1">
      <alignment horizontal="center" vertical="center"/>
    </xf>
    <xf borderId="1" fillId="8" fontId="4" numFmtId="165" xfId="0" applyAlignment="1" applyBorder="1" applyFont="1" applyNumberFormat="1">
      <alignment shrinkToFit="0" vertical="center" wrapText="1"/>
    </xf>
    <xf borderId="1" fillId="3" fontId="4" numFmtId="166" xfId="0" applyAlignment="1" applyBorder="1" applyFont="1" applyNumberFormat="1">
      <alignment horizontal="right" shrinkToFit="0" vertical="center" wrapText="1"/>
    </xf>
    <xf borderId="1" fillId="9" fontId="4" numFmtId="165" xfId="0" applyBorder="1" applyFill="1" applyFont="1" applyNumberFormat="1"/>
    <xf borderId="1" fillId="8" fontId="4" numFmtId="165" xfId="0" applyBorder="1" applyFont="1" applyNumberFormat="1"/>
    <xf borderId="1" fillId="10" fontId="4" numFmtId="166" xfId="0" applyAlignment="1" applyBorder="1" applyFill="1" applyFont="1" applyNumberFormat="1">
      <alignment horizontal="right" shrinkToFit="0" vertical="center" wrapText="1"/>
    </xf>
    <xf borderId="0" fillId="0" fontId="4" numFmtId="164" xfId="0" applyFont="1" applyNumberFormat="1"/>
    <xf borderId="6" fillId="0" fontId="4" numFmtId="164" xfId="0" applyBorder="1" applyFont="1" applyNumberFormat="1"/>
    <xf borderId="0" fillId="0" fontId="4" numFmtId="167" xfId="0" applyFont="1" applyNumberFormat="1"/>
    <xf borderId="7" fillId="0" fontId="4" numFmtId="164" xfId="0" applyBorder="1" applyFont="1" applyNumberFormat="1"/>
    <xf borderId="8" fillId="0" fontId="4" numFmtId="164" xfId="0" applyBorder="1" applyFont="1" applyNumberFormat="1"/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shrinkToFit="0" vertical="center" wrapText="1"/>
    </xf>
    <xf borderId="2" fillId="3" fontId="5" numFmtId="9" xfId="0" applyBorder="1" applyFont="1" applyNumberFormat="1"/>
    <xf borderId="1" fillId="2" fontId="2" numFmtId="167" xfId="0" applyBorder="1" applyFont="1" applyNumberFormat="1"/>
    <xf borderId="1" fillId="5" fontId="6" numFmtId="168" xfId="0" applyBorder="1" applyFont="1" applyNumberFormat="1"/>
    <xf borderId="1" fillId="2" fontId="6" numFmtId="168" xfId="0" applyBorder="1" applyFont="1" applyNumberFormat="1"/>
    <xf borderId="0" fillId="0" fontId="7" numFmtId="0" xfId="0" applyFont="1"/>
    <xf borderId="0" fillId="0" fontId="5" numFmtId="0" xfId="0" applyAlignment="1" applyFont="1">
      <alignment horizontal="center"/>
    </xf>
    <xf borderId="0" fillId="0" fontId="5" numFmtId="168" xfId="0" applyFont="1" applyNumberFormat="1"/>
    <xf borderId="0" fillId="0" fontId="5" numFmtId="0" xfId="0" applyFont="1"/>
    <xf borderId="2" fillId="3" fontId="5" numFmtId="9" xfId="0" applyAlignment="1" applyBorder="1" applyFont="1" applyNumberFormat="1">
      <alignment horizontal="center"/>
    </xf>
    <xf borderId="1" fillId="5" fontId="6" numFmtId="165" xfId="0" applyAlignment="1" applyBorder="1" applyFont="1" applyNumberFormat="1">
      <alignment horizontal="right" vertical="center"/>
    </xf>
    <xf borderId="1" fillId="2" fontId="6" numFmtId="165" xfId="0" applyAlignment="1" applyBorder="1" applyFont="1" applyNumberFormat="1">
      <alignment horizontal="right" vertical="center"/>
    </xf>
    <xf borderId="1" fillId="2" fontId="6" numFmtId="168" xfId="0" applyAlignment="1" applyBorder="1" applyFont="1" applyNumberFormat="1">
      <alignment horizontal="left"/>
    </xf>
    <xf borderId="1" fillId="5" fontId="6" numFmtId="168" xfId="0" applyAlignment="1" applyBorder="1" applyFont="1" applyNumberFormat="1">
      <alignment horizontal="right"/>
    </xf>
    <xf borderId="1" fillId="2" fontId="6" numFmtId="166" xfId="0" applyAlignment="1" applyBorder="1" applyFont="1" applyNumberFormat="1">
      <alignment horizontal="right"/>
    </xf>
    <xf borderId="1" fillId="2" fontId="6" numFmtId="165" xfId="0" applyAlignment="1" applyBorder="1" applyFont="1" applyNumberFormat="1">
      <alignment horizontal="left"/>
    </xf>
    <xf borderId="9" fillId="11" fontId="7" numFmtId="0" xfId="0" applyAlignment="1" applyBorder="1" applyFill="1" applyFont="1">
      <alignment horizontal="center" vertical="center"/>
    </xf>
    <xf borderId="10" fillId="11" fontId="7" numFmtId="0" xfId="0" applyAlignment="1" applyBorder="1" applyFont="1">
      <alignment horizontal="center" vertical="center"/>
    </xf>
    <xf borderId="11" fillId="12" fontId="7" numFmtId="169" xfId="0" applyAlignment="1" applyBorder="1" applyFill="1" applyFont="1" applyNumberFormat="1">
      <alignment horizontal="center" vertical="center"/>
    </xf>
    <xf borderId="2" fillId="11" fontId="7" numFmtId="0" xfId="0" applyAlignment="1" applyBorder="1" applyFont="1">
      <alignment horizontal="center" vertical="center"/>
    </xf>
    <xf borderId="2" fillId="11" fontId="7" numFmtId="167" xfId="0" applyAlignment="1" applyBorder="1" applyFont="1" applyNumberFormat="1">
      <alignment horizontal="center" vertical="center"/>
    </xf>
    <xf borderId="0" fillId="0" fontId="7" numFmtId="167" xfId="0" applyAlignment="1" applyFont="1" applyNumberFormat="1">
      <alignment horizontal="center" vertical="center"/>
    </xf>
    <xf borderId="2" fillId="3" fontId="7" numFmtId="166" xfId="0" applyAlignment="1" applyBorder="1" applyFont="1" applyNumberFormat="1">
      <alignment horizontal="center" vertical="center"/>
    </xf>
    <xf borderId="2" fillId="13" fontId="7" numFmtId="167" xfId="0" applyAlignment="1" applyBorder="1" applyFill="1" applyFont="1" applyNumberFormat="1">
      <alignment horizontal="center" vertical="center"/>
    </xf>
    <xf borderId="0" fillId="0" fontId="7" numFmtId="0" xfId="0" applyAlignment="1" applyFont="1">
      <alignment vertical="center"/>
    </xf>
    <xf borderId="0" fillId="0" fontId="7" numFmtId="167" xfId="0" applyAlignment="1" applyFont="1" applyNumberFormat="1">
      <alignment vertical="center"/>
    </xf>
    <xf borderId="0" fillId="0" fontId="8" numFmtId="0" xfId="0" applyAlignment="1" applyFont="1">
      <alignment vertical="center"/>
    </xf>
    <xf borderId="12" fillId="2" fontId="2" numFmtId="0" xfId="0" applyAlignment="1" applyBorder="1" applyFont="1">
      <alignment horizontal="center" vertical="center"/>
    </xf>
    <xf borderId="13" fillId="0" fontId="9" numFmtId="0" xfId="0" applyBorder="1" applyFont="1"/>
    <xf borderId="14" fillId="0" fontId="9" numFmtId="0" xfId="0" applyBorder="1" applyFont="1"/>
    <xf borderId="15" fillId="2" fontId="2" numFmtId="0" xfId="0" applyAlignment="1" applyBorder="1" applyFont="1">
      <alignment vertical="center"/>
    </xf>
    <xf borderId="16" fillId="2" fontId="2" numFmtId="0" xfId="0" applyAlignment="1" applyBorder="1" applyFont="1">
      <alignment vertical="center"/>
    </xf>
    <xf borderId="1" fillId="14" fontId="10" numFmtId="0" xfId="0" applyBorder="1" applyFill="1" applyFont="1"/>
    <xf borderId="1" fillId="8" fontId="4" numFmtId="166" xfId="0" applyAlignment="1" applyBorder="1" applyFont="1" applyNumberFormat="1">
      <alignment horizontal="center" vertical="center"/>
    </xf>
    <xf borderId="1" fillId="8" fontId="2" numFmtId="0" xfId="0" applyAlignment="1" applyBorder="1" applyFont="1">
      <alignment horizontal="right"/>
    </xf>
    <xf borderId="1" fillId="8" fontId="4" numFmtId="165" xfId="0" applyAlignment="1" applyBorder="1" applyFont="1" applyNumberFormat="1">
      <alignment horizontal="center"/>
    </xf>
    <xf borderId="1" fillId="15" fontId="10" numFmtId="0" xfId="0" applyBorder="1" applyFill="1" applyFont="1"/>
    <xf borderId="2" fillId="8" fontId="4" numFmtId="166" xfId="0" applyAlignment="1" applyBorder="1" applyFont="1" applyNumberFormat="1">
      <alignment horizontal="center" vertical="center"/>
    </xf>
    <xf borderId="2" fillId="3" fontId="4" numFmtId="0" xfId="0" applyBorder="1" applyFont="1"/>
    <xf borderId="1" fillId="16" fontId="2" numFmtId="0" xfId="0" applyAlignment="1" applyBorder="1" applyFill="1" applyFont="1">
      <alignment horizontal="center" shrinkToFit="0" vertical="center" wrapText="1"/>
    </xf>
    <xf borderId="1" fillId="8" fontId="5" numFmtId="0" xfId="0" applyAlignment="1" applyBorder="1" applyFont="1">
      <alignment horizontal="left"/>
    </xf>
    <xf borderId="1" fillId="17" fontId="2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170" xfId="0" applyAlignment="1" applyFont="1" applyNumberFormat="1">
      <alignment horizontal="center" vertical="center"/>
    </xf>
    <xf borderId="17" fillId="4" fontId="7" numFmtId="0" xfId="0" applyAlignment="1" applyBorder="1" applyFont="1">
      <alignment horizontal="center" shrinkToFit="0" vertical="center" wrapText="1"/>
    </xf>
    <xf borderId="17" fillId="4" fontId="7" numFmtId="171" xfId="0" applyAlignment="1" applyBorder="1" applyFont="1" applyNumberFormat="1">
      <alignment horizontal="center" vertical="center"/>
    </xf>
    <xf borderId="17" fillId="18" fontId="7" numFmtId="0" xfId="0" applyAlignment="1" applyBorder="1" applyFill="1" applyFont="1">
      <alignment horizontal="center" vertical="center"/>
    </xf>
    <xf borderId="17" fillId="18" fontId="11" numFmtId="166" xfId="0" applyAlignment="1" applyBorder="1" applyFont="1" applyNumberFormat="1">
      <alignment horizontal="center" vertical="center"/>
    </xf>
    <xf borderId="2" fillId="18" fontId="11" numFmtId="10" xfId="0" applyAlignment="1" applyBorder="1" applyFont="1" applyNumberFormat="1">
      <alignment horizontal="center" vertical="center"/>
    </xf>
    <xf borderId="18" fillId="4" fontId="7" numFmtId="0" xfId="0" applyAlignment="1" applyBorder="1" applyFont="1">
      <alignment horizontal="right" vertical="center"/>
    </xf>
    <xf borderId="19" fillId="4" fontId="7" numFmtId="10" xfId="0" applyAlignment="1" applyBorder="1" applyFont="1" applyNumberFormat="1">
      <alignment horizontal="center" vertical="center"/>
    </xf>
    <xf borderId="20" fillId="0" fontId="2" numFmtId="0" xfId="0" applyAlignment="1" applyBorder="1" applyFont="1">
      <alignment horizontal="center" vertical="center"/>
    </xf>
    <xf borderId="21" fillId="0" fontId="9" numFmtId="0" xfId="0" applyBorder="1" applyFont="1"/>
    <xf borderId="22" fillId="0" fontId="9" numFmtId="0" xfId="0" applyBorder="1" applyFont="1"/>
    <xf borderId="2" fillId="18" fontId="7" numFmtId="0" xfId="0" applyAlignment="1" applyBorder="1" applyFont="1">
      <alignment horizontal="left" vertical="center"/>
    </xf>
    <xf borderId="2" fillId="18" fontId="7" numFmtId="0" xfId="0" applyAlignment="1" applyBorder="1" applyFont="1">
      <alignment horizontal="center" vertical="center"/>
    </xf>
    <xf borderId="2" fillId="18" fontId="7" numFmtId="10" xfId="0" applyAlignment="1" applyBorder="1" applyFont="1" applyNumberFormat="1">
      <alignment horizontal="center" vertical="center"/>
    </xf>
    <xf borderId="0" fillId="0" fontId="7" numFmtId="171" xfId="0" applyAlignment="1" applyFont="1" applyNumberFormat="1">
      <alignment horizontal="center" vertical="center"/>
    </xf>
    <xf borderId="23" fillId="13" fontId="7" numFmtId="171" xfId="0" applyAlignment="1" applyBorder="1" applyFont="1" applyNumberFormat="1">
      <alignment horizontal="center" vertical="center"/>
    </xf>
    <xf borderId="24" fillId="0" fontId="9" numFmtId="0" xfId="0" applyBorder="1" applyFont="1"/>
    <xf borderId="0" fillId="0" fontId="7" numFmtId="171" xfId="0" applyAlignment="1" applyFont="1" applyNumberFormat="1">
      <alignment vertical="center"/>
    </xf>
    <xf borderId="0" fillId="0" fontId="7" numFmtId="0" xfId="0" applyAlignment="1" applyFont="1">
      <alignment horizontal="left" vertical="center"/>
    </xf>
    <xf borderId="25" fillId="0" fontId="7" numFmtId="0" xfId="0" applyAlignment="1" applyBorder="1" applyFont="1">
      <alignment horizontal="center" vertical="center"/>
    </xf>
    <xf borderId="26" fillId="0" fontId="7" numFmtId="0" xfId="0" applyAlignment="1" applyBorder="1" applyFont="1">
      <alignment horizontal="center" vertical="center"/>
    </xf>
    <xf borderId="27" fillId="4" fontId="7" numFmtId="0" xfId="0" applyAlignment="1" applyBorder="1" applyFont="1">
      <alignment horizontal="center" vertical="center"/>
    </xf>
    <xf borderId="27" fillId="12" fontId="7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center" vertical="center"/>
    </xf>
    <xf borderId="12" fillId="0" fontId="7" numFmtId="170" xfId="0" applyAlignment="1" applyBorder="1" applyFont="1" applyNumberFormat="1">
      <alignment horizontal="center" vertical="center"/>
    </xf>
    <xf borderId="12" fillId="0" fontId="7" numFmtId="0" xfId="0" applyAlignment="1" applyBorder="1" applyFont="1">
      <alignment horizontal="center" shrinkToFit="0" vertical="center" wrapText="1"/>
    </xf>
    <xf borderId="1" fillId="0" fontId="7" numFmtId="10" xfId="0" applyAlignment="1" applyBorder="1" applyFont="1" applyNumberFormat="1">
      <alignment horizontal="center" shrinkToFit="0" vertical="center" wrapText="1"/>
    </xf>
    <xf borderId="1" fillId="3" fontId="7" numFmtId="0" xfId="0" applyAlignment="1" applyBorder="1" applyFont="1">
      <alignment horizontal="center" vertical="center"/>
    </xf>
    <xf borderId="1" fillId="13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vertical="center"/>
    </xf>
    <xf borderId="28" fillId="0" fontId="7" numFmtId="0" xfId="0" applyAlignment="1" applyBorder="1" applyFont="1">
      <alignment horizontal="center" vertical="center"/>
    </xf>
    <xf borderId="29" fillId="0" fontId="7" numFmtId="0" xfId="0" applyAlignment="1" applyBorder="1" applyFont="1">
      <alignment horizontal="center" vertical="center"/>
    </xf>
    <xf borderId="0" fillId="0" fontId="7" numFmtId="10" xfId="0" applyAlignment="1" applyFont="1" applyNumberFormat="1">
      <alignment horizontal="center" vertical="center"/>
    </xf>
    <xf borderId="2" fillId="3" fontId="7" numFmtId="0" xfId="0" applyAlignment="1" applyBorder="1" applyFont="1">
      <alignment horizontal="center" vertical="center"/>
    </xf>
    <xf borderId="30" fillId="12" fontId="7" numFmtId="169" xfId="0" applyAlignment="1" applyBorder="1" applyFont="1" applyNumberFormat="1">
      <alignment horizontal="center" vertical="center"/>
    </xf>
    <xf borderId="31" fillId="0" fontId="7" numFmtId="0" xfId="0" applyAlignment="1" applyBorder="1" applyFont="1">
      <alignment horizontal="center" vertical="center"/>
    </xf>
    <xf borderId="32" fillId="0" fontId="7" numFmtId="0" xfId="0" applyAlignment="1" applyBorder="1" applyFont="1">
      <alignment horizontal="center" vertical="center"/>
    </xf>
    <xf borderId="33" fillId="12" fontId="7" numFmtId="169" xfId="0" applyAlignment="1" applyBorder="1" applyFont="1" applyNumberFormat="1">
      <alignment horizontal="center" vertical="center"/>
    </xf>
    <xf borderId="2" fillId="11" fontId="7" numFmtId="170" xfId="0" applyAlignment="1" applyBorder="1" applyFont="1" applyNumberFormat="1">
      <alignment horizontal="center" vertical="center"/>
    </xf>
    <xf borderId="9" fillId="19" fontId="7" numFmtId="0" xfId="0" applyAlignment="1" applyBorder="1" applyFill="1" applyFont="1">
      <alignment horizontal="center" vertical="center"/>
    </xf>
    <xf borderId="10" fillId="19" fontId="7" numFmtId="0" xfId="0" applyAlignment="1" applyBorder="1" applyFont="1">
      <alignment horizontal="center" vertical="center"/>
    </xf>
    <xf borderId="10" fillId="19" fontId="7" numFmtId="0" xfId="0" applyAlignment="1" applyBorder="1" applyFont="1">
      <alignment horizontal="left" vertical="center"/>
    </xf>
    <xf borderId="11" fillId="19" fontId="7" numFmtId="169" xfId="0" applyAlignment="1" applyBorder="1" applyFont="1" applyNumberFormat="1">
      <alignment horizontal="center" vertical="center"/>
    </xf>
    <xf borderId="2" fillId="19" fontId="7" numFmtId="0" xfId="0" applyAlignment="1" applyBorder="1" applyFont="1">
      <alignment horizontal="center" vertical="center"/>
    </xf>
    <xf borderId="2" fillId="19" fontId="7" numFmtId="170" xfId="0" applyAlignment="1" applyBorder="1" applyFont="1" applyNumberFormat="1">
      <alignment horizontal="center" vertical="center"/>
    </xf>
    <xf borderId="2" fillId="19" fontId="7" numFmtId="167" xfId="0" applyAlignment="1" applyBorder="1" applyFont="1" applyNumberFormat="1">
      <alignment horizontal="center" vertical="center"/>
    </xf>
    <xf borderId="2" fillId="19" fontId="7" numFmtId="172" xfId="0" applyAlignment="1" applyBorder="1" applyFont="1" applyNumberFormat="1">
      <alignment horizontal="center" vertical="center"/>
    </xf>
    <xf borderId="0" fillId="0" fontId="12" numFmtId="0" xfId="0" applyAlignment="1" applyFont="1">
      <alignment horizontal="left" vertical="center"/>
    </xf>
    <xf borderId="2" fillId="13" fontId="7" numFmtId="0" xfId="0" applyAlignment="1" applyBorder="1" applyFont="1">
      <alignment horizontal="center" vertical="center"/>
    </xf>
    <xf borderId="0" fillId="0" fontId="13" numFmtId="0" xfId="0" applyAlignment="1" applyFont="1">
      <alignment vertical="center"/>
    </xf>
    <xf borderId="7" fillId="0" fontId="7" numFmtId="164" xfId="0" applyBorder="1" applyFont="1" applyNumberFormat="1"/>
    <xf borderId="34" fillId="20" fontId="7" numFmtId="164" xfId="0" applyBorder="1" applyFill="1" applyFont="1" applyNumberFormat="1"/>
    <xf borderId="34" fillId="20" fontId="7" numFmtId="173" xfId="0" applyBorder="1" applyFont="1" applyNumberFormat="1"/>
    <xf borderId="0" fillId="0" fontId="7" numFmtId="167" xfId="0" applyFont="1" applyNumberFormat="1"/>
    <xf borderId="0" fillId="0" fontId="7" numFmtId="164" xfId="0" applyFont="1" applyNumberFormat="1"/>
    <xf borderId="2" fillId="4" fontId="7" numFmtId="167" xfId="0" applyAlignment="1" applyBorder="1" applyFont="1" applyNumberFormat="1">
      <alignment horizontal="center" vertical="center"/>
    </xf>
    <xf borderId="2" fillId="19" fontId="7" numFmtId="0" xfId="0" applyAlignment="1" applyBorder="1" applyFont="1">
      <alignment horizontal="left" vertical="center"/>
    </xf>
    <xf borderId="0" fillId="0" fontId="14" numFmtId="0" xfId="0" applyAlignment="1" applyFont="1">
      <alignment horizontal="left" vertical="center"/>
    </xf>
    <xf borderId="35" fillId="21" fontId="12" numFmtId="0" xfId="0" applyAlignment="1" applyBorder="1" applyFill="1" applyFont="1">
      <alignment horizontal="center" vertical="center"/>
    </xf>
    <xf borderId="36" fillId="0" fontId="9" numFmtId="0" xfId="0" applyBorder="1" applyFont="1"/>
    <xf borderId="0" fillId="0" fontId="7" numFmtId="174" xfId="0" applyAlignment="1" applyFont="1" applyNumberFormat="1">
      <alignment horizontal="left" vertical="center"/>
    </xf>
    <xf borderId="0" fillId="0" fontId="11" numFmtId="0" xfId="0" applyAlignment="1" applyFont="1">
      <alignment horizontal="left" vertical="center"/>
    </xf>
    <xf borderId="0" fillId="0" fontId="11" numFmtId="174" xfId="0" applyAlignment="1" applyFont="1" applyNumberFormat="1">
      <alignment horizontal="left" vertical="center"/>
    </xf>
    <xf borderId="35" fillId="19" fontId="15" numFmtId="0" xfId="0" applyAlignment="1" applyBorder="1" applyFont="1">
      <alignment horizontal="center" vertical="center"/>
    </xf>
    <xf quotePrefix="1" borderId="0" fillId="0" fontId="11" numFmtId="0" xfId="0" applyFont="1"/>
    <xf borderId="0" fillId="0" fontId="16" numFmtId="0" xfId="0" applyFont="1"/>
    <xf borderId="35" fillId="18" fontId="11" numFmtId="0" xfId="0" applyAlignment="1" applyBorder="1" applyFont="1">
      <alignment horizontal="center" vertical="center"/>
    </xf>
    <xf borderId="35" fillId="17" fontId="11" numFmtId="0" xfId="0" applyAlignment="1" applyBorder="1" applyFont="1">
      <alignment horizontal="center" vertical="center"/>
    </xf>
    <xf borderId="0" fillId="0" fontId="17" numFmtId="0" xfId="0" applyAlignment="1" applyFont="1">
      <alignment horizontal="center" shrinkToFit="0" vertical="top" wrapText="1"/>
    </xf>
    <xf quotePrefix="1" borderId="0" fillId="0" fontId="17" numFmtId="0" xfId="0" applyAlignment="1" applyFont="1">
      <alignment shrinkToFit="0" vertical="center" wrapText="1"/>
    </xf>
    <xf borderId="35" fillId="21" fontId="11" numFmtId="0" xfId="0" applyAlignment="1" applyBorder="1" applyFont="1">
      <alignment horizontal="center" vertical="center"/>
    </xf>
    <xf borderId="12" fillId="0" fontId="12" numFmtId="0" xfId="0" applyBorder="1" applyFont="1"/>
    <xf borderId="13" fillId="0" fontId="12" numFmtId="0" xfId="0" applyBorder="1" applyFont="1"/>
    <xf borderId="4" fillId="20" fontId="12" numFmtId="0" xfId="0" applyBorder="1" applyFont="1"/>
    <xf borderId="14" fillId="0" fontId="12" numFmtId="0" xfId="0" applyBorder="1" applyFont="1"/>
    <xf borderId="2" fillId="20" fontId="7" numFmtId="0" xfId="0" applyBorder="1" applyFont="1"/>
    <xf borderId="0" fillId="0" fontId="12" numFmtId="0" xfId="0" applyFont="1"/>
    <xf borderId="1" fillId="0" fontId="7" numFmtId="0" xfId="0" applyBorder="1" applyFont="1"/>
    <xf borderId="1" fillId="0" fontId="7" numFmtId="169" xfId="0" applyAlignment="1" applyBorder="1" applyFont="1" applyNumberFormat="1">
      <alignment shrinkToFit="0" wrapText="1"/>
    </xf>
    <xf borderId="1" fillId="20" fontId="7" numFmtId="167" xfId="0" applyAlignment="1" applyBorder="1" applyFont="1" applyNumberFormat="1">
      <alignment shrinkToFit="0" wrapText="1"/>
    </xf>
    <xf borderId="37" fillId="4" fontId="7" numFmtId="167" xfId="0" applyAlignment="1" applyBorder="1" applyFont="1" applyNumberFormat="1">
      <alignment shrinkToFit="0" wrapText="1"/>
    </xf>
    <xf borderId="1" fillId="0" fontId="7" numFmtId="167" xfId="0" applyBorder="1" applyFont="1" applyNumberFormat="1"/>
    <xf borderId="6" fillId="0" fontId="7" numFmtId="0" xfId="0" applyAlignment="1" applyBorder="1" applyFont="1">
      <alignment shrinkToFit="0" wrapText="1"/>
    </xf>
    <xf borderId="1" fillId="20" fontId="7" numFmtId="0" xfId="0" applyAlignment="1" applyBorder="1" applyFont="1">
      <alignment shrinkToFit="0" wrapText="1"/>
    </xf>
    <xf borderId="1" fillId="4" fontId="7" numFmtId="0" xfId="0" applyAlignment="1" applyBorder="1" applyFont="1">
      <alignment shrinkToFit="0" wrapText="1"/>
    </xf>
    <xf borderId="1" fillId="0" fontId="7" numFmtId="0" xfId="0" applyAlignment="1" applyBorder="1" applyFont="1">
      <alignment shrinkToFit="0" wrapText="1"/>
    </xf>
    <xf borderId="12" fillId="0" fontId="7" numFmtId="0" xfId="0" applyAlignment="1" applyBorder="1" applyFont="1">
      <alignment shrinkToFit="0" wrapText="1"/>
    </xf>
    <xf borderId="12" fillId="0" fontId="7" numFmtId="0" xfId="0" applyAlignment="1" applyBorder="1" applyFont="1">
      <alignment horizontal="left" vertical="top"/>
    </xf>
    <xf borderId="12" fillId="0" fontId="7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left" vertical="top"/>
    </xf>
    <xf borderId="0" fillId="0" fontId="7" numFmtId="0" xfId="0" applyAlignment="1" applyFont="1">
      <alignment horizontal="left" vertical="top"/>
    </xf>
    <xf borderId="7" fillId="0" fontId="7" numFmtId="0" xfId="0" applyBorder="1" applyFont="1"/>
    <xf borderId="0" fillId="0" fontId="18" numFmtId="0" xfId="0" applyAlignment="1" applyFont="1">
      <alignment horizontal="left" vertical="top"/>
    </xf>
    <xf borderId="0" fillId="0" fontId="12" numFmtId="0" xfId="0" applyAlignment="1" applyFont="1">
      <alignment horizontal="left" vertical="top"/>
    </xf>
    <xf borderId="0" fillId="0" fontId="19" numFmtId="0" xfId="0" applyAlignment="1" applyFont="1">
      <alignment horizontal="left" vertical="top"/>
    </xf>
    <xf borderId="1" fillId="0" fontId="7" numFmtId="169" xfId="0" applyBorder="1" applyFont="1" applyNumberFormat="1"/>
    <xf quotePrefix="1" borderId="38" fillId="20" fontId="7" numFmtId="167" xfId="0" applyBorder="1" applyFont="1" applyNumberFormat="1"/>
    <xf quotePrefix="1" borderId="39" fillId="0" fontId="7" numFmtId="167" xfId="0" applyBorder="1" applyFont="1" applyNumberFormat="1"/>
    <xf borderId="40" fillId="20" fontId="7" numFmtId="0" xfId="0" applyBorder="1" applyFont="1"/>
    <xf borderId="6" fillId="0" fontId="7" numFmtId="0" xfId="0" applyBorder="1" applyFont="1"/>
    <xf borderId="8" fillId="0" fontId="7" numFmtId="0" xfId="0" applyBorder="1" applyFont="1"/>
    <xf borderId="41" fillId="0" fontId="7" numFmtId="0" xfId="0" applyBorder="1" applyFont="1"/>
    <xf borderId="6" fillId="0" fontId="7" numFmtId="169" xfId="0" applyBorder="1" applyFont="1" applyNumberFormat="1"/>
    <xf borderId="38" fillId="20" fontId="7" numFmtId="10" xfId="0" applyBorder="1" applyFont="1" applyNumberFormat="1"/>
    <xf borderId="38" fillId="4" fontId="7" numFmtId="10" xfId="0" applyBorder="1" applyFont="1" applyNumberFormat="1"/>
    <xf borderId="6" fillId="0" fontId="7" numFmtId="167" xfId="0" applyBorder="1" applyFont="1" applyNumberFormat="1"/>
    <xf borderId="34" fillId="20" fontId="7" numFmtId="0" xfId="0" applyBorder="1" applyFont="1"/>
    <xf borderId="7" fillId="0" fontId="7" numFmtId="0" xfId="0" applyAlignment="1" applyBorder="1" applyFont="1">
      <alignment horizontal="left" vertical="top"/>
    </xf>
    <xf borderId="12" fillId="4" fontId="12" numFmtId="0" xfId="0" applyAlignment="1" applyBorder="1" applyFont="1">
      <alignment horizontal="left"/>
    </xf>
    <xf borderId="1" fillId="0" fontId="12" numFmtId="0" xfId="0" applyAlignment="1" applyBorder="1" applyFont="1">
      <alignment horizontal="left"/>
    </xf>
    <xf borderId="38" fillId="20" fontId="7" numFmtId="167" xfId="0" applyBorder="1" applyFont="1" applyNumberFormat="1"/>
    <xf borderId="39" fillId="0" fontId="7" numFmtId="167" xfId="0" applyBorder="1" applyFont="1" applyNumberFormat="1"/>
    <xf borderId="1" fillId="20" fontId="7" numFmtId="0" xfId="0" applyBorder="1" applyFont="1"/>
    <xf borderId="12" fillId="0" fontId="7" numFmtId="0" xfId="0" applyBorder="1" applyFont="1"/>
    <xf borderId="42" fillId="0" fontId="7" numFmtId="0" xfId="0" applyBorder="1" applyFont="1"/>
    <xf borderId="43" fillId="0" fontId="7" numFmtId="0" xfId="0" applyBorder="1" applyFont="1"/>
    <xf borderId="28" fillId="0" fontId="7" numFmtId="0" xfId="0" applyBorder="1" applyFont="1"/>
    <xf borderId="0" fillId="0" fontId="20" numFmtId="0" xfId="0" applyFont="1"/>
    <xf borderId="6" fillId="0" fontId="7" numFmtId="164" xfId="0" applyBorder="1" applyFont="1" applyNumberFormat="1"/>
    <xf borderId="40" fillId="20" fontId="7" numFmtId="164" xfId="0" applyBorder="1" applyFont="1" applyNumberFormat="1"/>
    <xf borderId="39" fillId="0" fontId="7" numFmtId="164" xfId="0" applyBorder="1" applyFont="1" applyNumberFormat="1"/>
    <xf borderId="7" fillId="0" fontId="21" numFmtId="164" xfId="0" applyBorder="1" applyFont="1" applyNumberFormat="1"/>
    <xf borderId="0" fillId="0" fontId="22" numFmtId="0" xfId="0" applyFont="1"/>
    <xf borderId="0" fillId="0" fontId="23" numFmtId="0" xfId="0" applyFont="1"/>
    <xf borderId="0" fillId="0" fontId="21" numFmtId="0" xfId="0" applyFont="1"/>
    <xf borderId="0" fillId="0" fontId="7" numFmtId="0" xfId="0" applyAlignment="1" applyFont="1">
      <alignment shrinkToFit="0" vertical="center" wrapText="1"/>
    </xf>
    <xf borderId="7" fillId="0" fontId="7" numFmtId="164" xfId="0" applyAlignment="1" applyBorder="1" applyFont="1" applyNumberFormat="1">
      <alignment shrinkToFit="0" vertical="center" wrapText="1"/>
    </xf>
    <xf borderId="0" fillId="0" fontId="7" numFmtId="164" xfId="0" applyAlignment="1" applyFont="1" applyNumberFormat="1">
      <alignment shrinkToFit="0" vertical="center" wrapText="1"/>
    </xf>
    <xf borderId="28" fillId="0" fontId="21" numFmtId="0" xfId="0" applyAlignment="1" applyBorder="1" applyFont="1">
      <alignment vertical="top"/>
    </xf>
    <xf borderId="0" fillId="0" fontId="21" numFmtId="0" xfId="0" applyAlignment="1" applyFont="1">
      <alignment vertical="top"/>
    </xf>
    <xf borderId="7" fillId="0" fontId="21" numFmtId="164" xfId="0" applyAlignment="1" applyBorder="1" applyFont="1" applyNumberFormat="1">
      <alignment vertical="top"/>
    </xf>
    <xf borderId="34" fillId="20" fontId="21" numFmtId="164" xfId="0" applyAlignment="1" applyBorder="1" applyFont="1" applyNumberFormat="1">
      <alignment vertical="top"/>
    </xf>
    <xf borderId="8" fillId="0" fontId="21" numFmtId="164" xfId="0" applyAlignment="1" applyBorder="1" applyFont="1" applyNumberFormat="1">
      <alignment vertical="top"/>
    </xf>
    <xf borderId="0" fillId="0" fontId="21" numFmtId="164" xfId="0" applyAlignment="1" applyFont="1" applyNumberFormat="1">
      <alignment vertical="top"/>
    </xf>
    <xf borderId="0" fillId="0" fontId="21" numFmtId="0" xfId="0" applyAlignment="1" applyFont="1">
      <alignment horizontal="left" vertical="top"/>
    </xf>
    <xf borderId="0" fillId="0" fontId="21" numFmtId="164" xfId="0" applyFont="1" applyNumberFormat="1"/>
    <xf borderId="0" fillId="0" fontId="21" numFmtId="164" xfId="0" applyAlignment="1" applyFont="1" applyNumberFormat="1">
      <alignment shrinkToFit="0" vertical="top" wrapText="1"/>
    </xf>
    <xf borderId="7" fillId="0" fontId="7" numFmtId="164" xfId="0" applyAlignment="1" applyBorder="1" applyFont="1" applyNumberFormat="1">
      <alignment vertical="top"/>
    </xf>
    <xf borderId="28" fillId="0" fontId="7" numFmtId="0" xfId="0" applyAlignment="1" applyBorder="1" applyFont="1">
      <alignment vertical="top"/>
    </xf>
    <xf borderId="0" fillId="0" fontId="7" numFmtId="0" xfId="0" applyAlignment="1" applyFont="1">
      <alignment shrinkToFit="0" vertical="top" wrapText="1"/>
    </xf>
    <xf borderId="0" fillId="0" fontId="20" numFmtId="0" xfId="0" applyAlignment="1" applyFont="1">
      <alignment vertical="top"/>
    </xf>
    <xf borderId="7" fillId="0" fontId="7" numFmtId="164" xfId="0" applyAlignment="1" applyBorder="1" applyFont="1" applyNumberFormat="1">
      <alignment shrinkToFit="0" vertical="top" wrapText="1"/>
    </xf>
    <xf borderId="34" fillId="20" fontId="7" numFmtId="164" xfId="0" applyAlignment="1" applyBorder="1" applyFont="1" applyNumberFormat="1">
      <alignment vertical="top"/>
    </xf>
    <xf borderId="0" fillId="0" fontId="7" numFmtId="164" xfId="0" applyAlignment="1" applyFont="1" applyNumberFormat="1">
      <alignment vertical="top"/>
    </xf>
    <xf borderId="0" fillId="0" fontId="7" numFmtId="164" xfId="0" applyAlignment="1" applyFont="1" applyNumberFormat="1">
      <alignment shrinkToFit="0" vertical="top" wrapText="1"/>
    </xf>
    <xf borderId="0" fillId="0" fontId="7" numFmtId="0" xfId="0" applyAlignment="1" applyFont="1">
      <alignment vertical="top"/>
    </xf>
    <xf borderId="0" fillId="0" fontId="24" numFmtId="0" xfId="0" applyAlignment="1" applyFont="1">
      <alignment vertical="top"/>
    </xf>
    <xf borderId="0" fillId="0" fontId="25" numFmtId="0" xfId="0" applyAlignment="1" applyFont="1">
      <alignment vertical="top"/>
    </xf>
    <xf borderId="2" fillId="20" fontId="7" numFmtId="167" xfId="0" applyBorder="1" applyFont="1" applyNumberFormat="1"/>
    <xf borderId="13" fillId="0" fontId="12" numFmtId="0" xfId="0" applyAlignment="1" applyBorder="1" applyFont="1">
      <alignment horizontal="left"/>
    </xf>
    <xf borderId="13" fillId="0" fontId="7" numFmtId="0" xfId="0" applyAlignment="1" applyBorder="1" applyFont="1">
      <alignment horizontal="left"/>
    </xf>
    <xf borderId="4" fillId="4" fontId="7" numFmtId="10" xfId="0" applyBorder="1" applyFont="1" applyNumberFormat="1"/>
    <xf borderId="14" fillId="0" fontId="7" numFmtId="0" xfId="0" applyAlignment="1" applyBorder="1" applyFont="1">
      <alignment horizontal="left"/>
    </xf>
    <xf borderId="0" fillId="0" fontId="12" numFmtId="0" xfId="0" applyAlignment="1" applyFont="1">
      <alignment horizontal="left"/>
    </xf>
    <xf borderId="1" fillId="0" fontId="12" numFmtId="164" xfId="0" applyBorder="1" applyFont="1" applyNumberFormat="1"/>
    <xf borderId="1" fillId="20" fontId="7" numFmtId="164" xfId="0" applyBorder="1" applyFont="1" applyNumberFormat="1"/>
    <xf borderId="1" fillId="0" fontId="7" numFmtId="164" xfId="0" applyBorder="1" applyFont="1" applyNumberFormat="1"/>
    <xf borderId="14" fillId="0" fontId="12" numFmtId="164" xfId="0" applyBorder="1" applyFont="1" applyNumberFormat="1"/>
    <xf borderId="12" fillId="0" fontId="7" numFmtId="164" xfId="0" applyBorder="1" applyFont="1" applyNumberFormat="1"/>
    <xf borderId="12" fillId="4" fontId="12" numFmtId="0" xfId="0" applyAlignment="1" applyBorder="1" applyFont="1">
      <alignment horizontal="center"/>
    </xf>
    <xf borderId="14" fillId="0" fontId="7" numFmtId="0" xfId="0" applyBorder="1" applyFont="1"/>
    <xf borderId="1" fillId="20" fontId="7" numFmtId="164" xfId="0" applyAlignment="1" applyBorder="1" applyFont="1" applyNumberFormat="1">
      <alignment shrinkToFit="0" wrapText="1"/>
    </xf>
    <xf borderId="13" fillId="0" fontId="7" numFmtId="164" xfId="0" applyAlignment="1" applyBorder="1" applyFont="1" applyNumberFormat="1">
      <alignment shrinkToFit="0" wrapText="1"/>
    </xf>
    <xf borderId="0" fillId="0" fontId="26" numFmtId="0" xfId="0" applyAlignment="1" applyFont="1">
      <alignment vertical="center"/>
    </xf>
    <xf borderId="0" fillId="0" fontId="7" numFmtId="0" xfId="0" applyAlignment="1" applyFont="1">
      <alignment horizontal="right"/>
    </xf>
    <xf borderId="7" fillId="0" fontId="7" numFmtId="173" xfId="0" applyBorder="1" applyFont="1" applyNumberFormat="1"/>
    <xf borderId="2" fillId="20" fontId="7" numFmtId="164" xfId="0" applyBorder="1" applyFont="1" applyNumberFormat="1"/>
    <xf borderId="0" fillId="0" fontId="27" numFmtId="0" xfId="0" applyFont="1"/>
    <xf borderId="0" fillId="0" fontId="7" numFmtId="173" xfId="0" applyFont="1" applyNumberFormat="1"/>
    <xf borderId="34" fillId="20" fontId="7" numFmtId="167" xfId="0" applyBorder="1" applyFont="1" applyNumberFormat="1"/>
    <xf borderId="0" fillId="0" fontId="28" numFmtId="0" xfId="0" applyFont="1"/>
    <xf borderId="2" fillId="22" fontId="10" numFmtId="0" xfId="0" applyAlignment="1" applyBorder="1" applyFill="1" applyFont="1">
      <alignment shrinkToFit="0" wrapText="1"/>
    </xf>
    <xf borderId="2" fillId="22" fontId="10" numFmtId="0" xfId="0" applyAlignment="1" applyBorder="1" applyFont="1">
      <alignment horizontal="center" shrinkToFit="0" wrapText="1"/>
    </xf>
    <xf borderId="44" fillId="2" fontId="11" numFmtId="0" xfId="0" applyAlignment="1" applyBorder="1" applyFont="1">
      <alignment horizontal="center" textRotation="90" vertical="center"/>
    </xf>
    <xf borderId="2" fillId="4" fontId="11" numFmtId="0" xfId="0" applyBorder="1" applyFont="1"/>
    <xf borderId="2" fillId="4" fontId="11" numFmtId="0" xfId="0" applyAlignment="1" applyBorder="1" applyFont="1">
      <alignment horizontal="left"/>
    </xf>
    <xf borderId="2" fillId="4" fontId="29" numFmtId="0" xfId="0" applyBorder="1" applyFont="1"/>
    <xf borderId="2" fillId="4" fontId="30" numFmtId="0" xfId="0" applyBorder="1" applyFont="1"/>
    <xf borderId="45" fillId="0" fontId="9" numFmtId="0" xfId="0" applyBorder="1" applyFont="1"/>
    <xf borderId="0" fillId="0" fontId="31" numFmtId="0" xfId="0" applyFont="1"/>
    <xf borderId="2" fillId="17" fontId="11" numFmtId="0" xfId="0" applyBorder="1" applyFont="1"/>
    <xf borderId="2" fillId="17" fontId="32" numFmtId="0" xfId="0" applyBorder="1" applyFont="1"/>
    <xf borderId="2" fillId="2" fontId="11" numFmtId="0" xfId="0" applyBorder="1" applyFont="1"/>
    <xf borderId="0" fillId="0" fontId="11" numFmtId="0" xfId="0" applyAlignment="1" applyFont="1">
      <alignment horizontal="left"/>
    </xf>
    <xf borderId="0" fillId="0" fontId="33" numFmtId="0" xfId="0" applyFont="1"/>
    <xf borderId="0" fillId="0" fontId="34" numFmtId="0" xfId="0" applyFont="1"/>
    <xf borderId="2" fillId="6" fontId="11" numFmtId="0" xfId="0" applyBorder="1" applyFont="1"/>
    <xf borderId="2" fillId="6" fontId="11" numFmtId="0" xfId="0" applyAlignment="1" applyBorder="1" applyFont="1">
      <alignment horizontal="left"/>
    </xf>
    <xf borderId="2" fillId="6" fontId="35" numFmtId="0" xfId="0" applyBorder="1" applyFont="1"/>
    <xf borderId="2" fillId="17" fontId="11" numFmtId="0" xfId="0" applyAlignment="1" applyBorder="1" applyFont="1">
      <alignment horizontal="left"/>
    </xf>
    <xf borderId="2" fillId="4" fontId="36" numFmtId="0" xfId="0" applyBorder="1" applyFont="1"/>
    <xf borderId="2" fillId="17" fontId="37" numFmtId="0" xfId="0" applyBorder="1" applyFont="1"/>
    <xf borderId="0" fillId="0" fontId="11" numFmtId="0" xfId="0" applyAlignment="1" applyFont="1">
      <alignment horizontal="left" shrinkToFit="0" wrapText="1"/>
    </xf>
    <xf borderId="0" fillId="0" fontId="11" numFmtId="0" xfId="0" applyAlignment="1" applyFont="1">
      <alignment shrinkToFit="0" wrapText="1"/>
    </xf>
    <xf borderId="0" fillId="0" fontId="11" numFmtId="0" xfId="0" applyFont="1"/>
    <xf borderId="2" fillId="16" fontId="11" numFmtId="0" xfId="0" applyBorder="1" applyFont="1"/>
    <xf borderId="44" fillId="23" fontId="11" numFmtId="0" xfId="0" applyAlignment="1" applyBorder="1" applyFill="1" applyFont="1">
      <alignment horizontal="center" textRotation="90" vertical="center"/>
    </xf>
    <xf borderId="2" fillId="23" fontId="11" numFmtId="0" xfId="0" applyBorder="1" applyFont="1"/>
    <xf borderId="2" fillId="4" fontId="11" numFmtId="0" xfId="0" applyAlignment="1" applyBorder="1" applyFont="1">
      <alignment shrinkToFit="0" wrapText="1"/>
    </xf>
    <xf borderId="2" fillId="17" fontId="38" numFmtId="0" xfId="0" applyAlignment="1" applyBorder="1" applyFont="1">
      <alignment horizontal="left"/>
    </xf>
    <xf borderId="2" fillId="6" fontId="39" numFmtId="0" xfId="0" applyBorder="1" applyFont="1"/>
    <xf borderId="44" fillId="24" fontId="11" numFmtId="0" xfId="0" applyAlignment="1" applyBorder="1" applyFill="1" applyFont="1">
      <alignment horizontal="center" textRotation="90" vertical="center"/>
    </xf>
    <xf borderId="2" fillId="24" fontId="11" numFmtId="0" xfId="0" applyBorder="1" applyFont="1"/>
    <xf borderId="2" fillId="17" fontId="11" numFmtId="0" xfId="0" applyAlignment="1" applyBorder="1" applyFont="1">
      <alignment shrinkToFit="0" wrapText="1"/>
    </xf>
    <xf borderId="0" fillId="0" fontId="11" numFmtId="0" xfId="0" applyAlignment="1" applyFont="1">
      <alignment horizontal="left" vertical="top"/>
    </xf>
    <xf borderId="44" fillId="25" fontId="11" numFmtId="0" xfId="0" applyAlignment="1" applyBorder="1" applyFill="1" applyFont="1">
      <alignment horizontal="center" textRotation="90" vertical="center"/>
    </xf>
    <xf borderId="2" fillId="25" fontId="11" numFmtId="0" xfId="0" applyBorder="1" applyFont="1"/>
    <xf borderId="0" fillId="0" fontId="40" numFmtId="0" xfId="0" applyAlignment="1" applyFont="1">
      <alignment shrinkToFit="0" wrapText="1"/>
    </xf>
    <xf borderId="0" fillId="0" fontId="41" numFmtId="0" xfId="0" applyAlignment="1" applyFont="1">
      <alignment shrinkToFit="0" wrapText="1"/>
    </xf>
    <xf borderId="0" fillId="0" fontId="42" numFmtId="0" xfId="0" applyAlignment="1" applyFont="1">
      <alignment horizontal="left" shrinkToFit="0" vertical="top" wrapText="1"/>
    </xf>
    <xf borderId="0" fillId="0" fontId="43" numFmtId="0" xfId="0" applyAlignment="1" applyFont="1">
      <alignment horizontal="left" shrinkToFit="0" vertical="top" wrapText="1"/>
    </xf>
    <xf borderId="2" fillId="16" fontId="11" numFmtId="0" xfId="0" applyAlignment="1" applyBorder="1" applyFont="1">
      <alignment horizontal="left"/>
    </xf>
    <xf borderId="2" fillId="16" fontId="44" numFmtId="0" xfId="0" applyAlignment="1" applyBorder="1" applyFont="1">
      <alignment horizontal="left" shrinkToFit="0" vertical="top" wrapText="1"/>
    </xf>
    <xf borderId="2" fillId="16" fontId="45" numFmtId="0" xfId="0" applyBorder="1" applyFont="1"/>
    <xf borderId="2" fillId="4" fontId="46" numFmtId="0" xfId="0" applyAlignment="1" applyBorder="1" applyFont="1">
      <alignment horizontal="left" shrinkToFit="0" vertical="top" wrapText="1"/>
    </xf>
    <xf borderId="0" fillId="0" fontId="47" numFmtId="0" xfId="0" applyAlignment="1" applyFont="1">
      <alignment horizontal="left" shrinkToFit="0" vertical="top" wrapText="1"/>
    </xf>
    <xf borderId="2" fillId="17" fontId="48" numFmtId="0" xfId="0" applyAlignment="1" applyBorder="1" applyFont="1">
      <alignment horizontal="left" shrinkToFit="0" vertical="top" wrapText="1"/>
    </xf>
    <xf borderId="44" fillId="26" fontId="11" numFmtId="0" xfId="0" applyAlignment="1" applyBorder="1" applyFill="1" applyFont="1">
      <alignment horizontal="center" textRotation="90" vertical="center"/>
    </xf>
    <xf borderId="2" fillId="26" fontId="11" numFmtId="0" xfId="0" applyBorder="1" applyFont="1"/>
    <xf borderId="0" fillId="0" fontId="49" numFmtId="0" xfId="0" applyFont="1"/>
    <xf borderId="0" fillId="0" fontId="11" numFmtId="0" xfId="0" applyAlignment="1" applyFont="1">
      <alignment horizontal="center" shrinkToFit="0" wrapText="1"/>
    </xf>
    <xf borderId="25" fillId="27" fontId="50" numFmtId="0" xfId="0" applyAlignment="1" applyBorder="1" applyFill="1" applyFont="1">
      <alignment horizontal="left" readingOrder="1" shrinkToFit="0" vertical="center" wrapText="1"/>
    </xf>
    <xf borderId="46" fillId="0" fontId="11" numFmtId="0" xfId="0" applyAlignment="1" applyBorder="1" applyFont="1">
      <alignment horizontal="center" vertical="center"/>
    </xf>
    <xf borderId="46" fillId="0" fontId="9" numFmtId="0" xfId="0" applyBorder="1" applyFont="1"/>
    <xf borderId="47" fillId="0" fontId="11" numFmtId="0" xfId="0" applyAlignment="1" applyBorder="1" applyFont="1">
      <alignment vertical="center"/>
    </xf>
    <xf borderId="48" fillId="27" fontId="51" numFmtId="0" xfId="0" applyAlignment="1" applyBorder="1" applyFont="1">
      <alignment horizontal="center" readingOrder="1" shrinkToFit="0" vertical="center" wrapText="1"/>
    </xf>
    <xf borderId="42" fillId="0" fontId="11" numFmtId="9" xfId="0" applyAlignment="1" applyBorder="1" applyFont="1" applyNumberFormat="1">
      <alignment horizontal="center" vertical="center"/>
    </xf>
    <xf borderId="42" fillId="0" fontId="9" numFmtId="0" xfId="0" applyBorder="1" applyFont="1"/>
    <xf borderId="49" fillId="0" fontId="11" numFmtId="0" xfId="0" applyAlignment="1" applyBorder="1" applyFont="1">
      <alignment horizontal="center" vertical="center"/>
    </xf>
    <xf borderId="48" fillId="27" fontId="52" numFmtId="0" xfId="0" applyAlignment="1" applyBorder="1" applyFont="1">
      <alignment horizontal="center" readingOrder="1" shrinkToFit="0" vertical="center" wrapText="1"/>
    </xf>
    <xf borderId="14" fillId="0" fontId="53" numFmtId="175" xfId="0" applyAlignment="1" applyBorder="1" applyFont="1" applyNumberFormat="1">
      <alignment horizontal="center" vertical="center"/>
    </xf>
    <xf borderId="1" fillId="0" fontId="53" numFmtId="175" xfId="0" applyAlignment="1" applyBorder="1" applyFont="1" applyNumberFormat="1">
      <alignment horizontal="center" vertical="center"/>
    </xf>
    <xf borderId="50" fillId="0" fontId="53" numFmtId="175" xfId="0" applyAlignment="1" applyBorder="1" applyFont="1" applyNumberFormat="1">
      <alignment horizontal="center" vertical="center"/>
    </xf>
    <xf borderId="14" fillId="0" fontId="53" numFmtId="166" xfId="0" applyAlignment="1" applyBorder="1" applyFont="1" applyNumberFormat="1">
      <alignment horizontal="center" vertical="center"/>
    </xf>
    <xf borderId="51" fillId="0" fontId="53" numFmtId="166" xfId="0" applyAlignment="1" applyBorder="1" applyFont="1" applyNumberFormat="1">
      <alignment horizontal="center" vertical="center"/>
    </xf>
    <xf borderId="5" fillId="28" fontId="54" numFmtId="175" xfId="0" applyAlignment="1" applyBorder="1" applyFill="1" applyFont="1" applyNumberFormat="1">
      <alignment horizontal="center" vertical="center"/>
    </xf>
    <xf borderId="1" fillId="28" fontId="54" numFmtId="175" xfId="0" applyAlignment="1" applyBorder="1" applyFont="1" applyNumberFormat="1">
      <alignment horizontal="center" vertical="center"/>
    </xf>
    <xf borderId="50" fillId="28" fontId="54" numFmtId="175" xfId="0" applyAlignment="1" applyBorder="1" applyFont="1" applyNumberFormat="1">
      <alignment horizontal="center" vertical="center"/>
    </xf>
    <xf borderId="13" fillId="0" fontId="54" numFmtId="176" xfId="0" applyAlignment="1" applyBorder="1" applyFont="1" applyNumberFormat="1">
      <alignment horizontal="center" vertical="center"/>
    </xf>
    <xf borderId="12" fillId="0" fontId="54" numFmtId="176" xfId="0" applyAlignment="1" applyBorder="1" applyFont="1" applyNumberFormat="1">
      <alignment horizontal="center" vertical="center"/>
    </xf>
    <xf borderId="50" fillId="0" fontId="54" numFmtId="175" xfId="0" applyAlignment="1" applyBorder="1" applyFont="1" applyNumberFormat="1">
      <alignment horizontal="center" vertical="center"/>
    </xf>
    <xf borderId="52" fillId="27" fontId="50" numFmtId="0" xfId="0" applyAlignment="1" applyBorder="1" applyFont="1">
      <alignment horizontal="left" readingOrder="1" shrinkToFit="0" vertical="center" wrapText="1"/>
    </xf>
    <xf borderId="53" fillId="0" fontId="11" numFmtId="3" xfId="0" applyAlignment="1" applyBorder="1" applyFont="1" applyNumberFormat="1">
      <alignment horizontal="center" vertical="center"/>
    </xf>
    <xf borderId="53" fillId="0" fontId="9" numFmtId="0" xfId="0" applyBorder="1" applyFont="1"/>
    <xf borderId="54" fillId="0" fontId="11" numFmtId="3" xfId="0" applyAlignment="1" applyBorder="1" applyFont="1" applyNumberFormat="1">
      <alignment vertical="center"/>
    </xf>
    <xf borderId="1" fillId="15" fontId="11" numFmtId="0" xfId="0" applyBorder="1" applyFont="1"/>
    <xf borderId="1" fillId="15" fontId="15" numFmtId="0" xfId="0" applyAlignment="1" applyBorder="1" applyFont="1">
      <alignment horizontal="center"/>
    </xf>
    <xf borderId="1" fillId="15" fontId="15" numFmtId="0" xfId="0" applyBorder="1" applyFont="1"/>
    <xf borderId="1" fillId="0" fontId="15" numFmtId="0" xfId="0" applyBorder="1" applyFont="1"/>
    <xf borderId="1" fillId="24" fontId="11" numFmtId="177" xfId="0" applyBorder="1" applyFont="1" applyNumberFormat="1"/>
    <xf borderId="1" fillId="24" fontId="11" numFmtId="9" xfId="0" applyBorder="1" applyFont="1" applyNumberFormat="1"/>
    <xf borderId="1" fillId="24" fontId="11" numFmtId="164" xfId="0" applyBorder="1" applyFont="1" applyNumberFormat="1"/>
    <xf borderId="43" fillId="0" fontId="15" numFmtId="0" xfId="0" applyBorder="1" applyFont="1"/>
    <xf borderId="55" fillId="24" fontId="11" numFmtId="164" xfId="0" applyBorder="1" applyFont="1" applyNumberFormat="1"/>
    <xf borderId="0" fillId="0" fontId="15" numFmtId="0" xfId="0" applyFont="1"/>
    <xf borderId="2" fillId="24" fontId="11" numFmtId="177" xfId="0" applyBorder="1" applyFont="1" applyNumberFormat="1"/>
    <xf borderId="2" fillId="24" fontId="11" numFmtId="9" xfId="0" applyBorder="1" applyFont="1" applyNumberFormat="1"/>
    <xf borderId="2" fillId="24" fontId="11" numFmtId="164" xfId="0" applyBorder="1" applyFont="1" applyNumberFormat="1"/>
    <xf borderId="0" fillId="0" fontId="11" numFmtId="177" xfId="0" applyFont="1" applyNumberFormat="1"/>
    <xf borderId="0" fillId="0" fontId="11" numFmtId="164" xfId="0" applyFont="1" applyNumberFormat="1"/>
    <xf borderId="0" fillId="0" fontId="55" numFmtId="0" xfId="0" applyAlignment="1" applyFont="1">
      <alignment horizontal="left" vertical="top"/>
    </xf>
    <xf borderId="56" fillId="0" fontId="56" numFmtId="0" xfId="0" applyAlignment="1" applyBorder="1" applyFont="1">
      <alignment horizontal="center" shrinkToFit="0" vertical="center" wrapText="1"/>
    </xf>
    <xf borderId="57" fillId="0" fontId="56" numFmtId="0" xfId="0" applyAlignment="1" applyBorder="1" applyFont="1">
      <alignment horizontal="center" shrinkToFit="0" vertical="center" wrapText="1"/>
    </xf>
    <xf borderId="56" fillId="0" fontId="57" numFmtId="0" xfId="0" applyAlignment="1" applyBorder="1" applyFont="1">
      <alignment shrinkToFit="0" vertical="center" wrapText="1"/>
    </xf>
    <xf borderId="56" fillId="0" fontId="58" numFmtId="0" xfId="0" applyAlignment="1" applyBorder="1" applyFont="1">
      <alignment shrinkToFit="0" vertical="center" wrapText="1"/>
    </xf>
    <xf borderId="56" fillId="29" fontId="57" numFmtId="0" xfId="0" applyAlignment="1" applyBorder="1" applyFill="1" applyFont="1">
      <alignment shrinkToFit="0" vertical="center" wrapText="1"/>
    </xf>
    <xf borderId="56" fillId="29" fontId="59" numFmtId="0" xfId="0" applyAlignment="1" applyBorder="1" applyFont="1">
      <alignment shrinkToFit="0" vertical="center" wrapText="1"/>
    </xf>
    <xf borderId="0" fillId="0" fontId="60" numFmtId="0" xfId="0" applyAlignment="1" applyFont="1">
      <alignment horizontal="left" shrinkToFit="0" vertical="top" wrapText="1"/>
    </xf>
  </cellXfs>
  <cellStyles count="1">
    <cellStyle xfId="0" name="Normal" builtinId="0"/>
  </cellStyles>
  <dxfs count="2">
    <dxf>
      <font>
        <color rgb="FF7030A0"/>
      </font>
      <numFmt numFmtId="0" formatCode="0.00%"/>
      <fill>
        <patternFill patternType="none"/>
      </fill>
      <border/>
    </dxf>
    <dxf>
      <font>
        <color rgb="FFFF0000"/>
      </font>
      <numFmt numFmtId="0" formatCode="0.00%"/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externalLink" Target="externalLinks/externalLink1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1.png"/><Relationship Id="rId3" Type="http://schemas.openxmlformats.org/officeDocument/2006/relationships/image" Target="../media/image5.jpg"/><Relationship Id="rId4" Type="http://schemas.openxmlformats.org/officeDocument/2006/relationships/image" Target="../media/image7.png"/><Relationship Id="rId10" Type="http://schemas.openxmlformats.org/officeDocument/2006/relationships/image" Target="../media/image9.jpg"/><Relationship Id="rId9" Type="http://schemas.openxmlformats.org/officeDocument/2006/relationships/image" Target="../media/image8.png"/><Relationship Id="rId5" Type="http://schemas.openxmlformats.org/officeDocument/2006/relationships/image" Target="../media/image3.png"/><Relationship Id="rId6" Type="http://schemas.openxmlformats.org/officeDocument/2006/relationships/image" Target="../media/image2.jpg"/><Relationship Id="rId7" Type="http://schemas.openxmlformats.org/officeDocument/2006/relationships/image" Target="../media/image10.jp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84</xdr:row>
      <xdr:rowOff>257175</xdr:rowOff>
    </xdr:from>
    <xdr:ext cx="590550" cy="609600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84</xdr:row>
      <xdr:rowOff>1238250</xdr:rowOff>
    </xdr:from>
    <xdr:ext cx="73342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86</xdr:row>
      <xdr:rowOff>38100</xdr:rowOff>
    </xdr:from>
    <xdr:ext cx="704850" cy="600075"/>
    <xdr:pic>
      <xdr:nvPicPr>
        <xdr:cNvPr id="0" name="image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87</xdr:row>
      <xdr:rowOff>9525</xdr:rowOff>
    </xdr:from>
    <xdr:ext cx="371475" cy="47625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87</xdr:row>
      <xdr:rowOff>495300</xdr:rowOff>
    </xdr:from>
    <xdr:ext cx="466725" cy="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88</xdr:row>
      <xdr:rowOff>504825</xdr:rowOff>
    </xdr:from>
    <xdr:ext cx="390525" cy="0"/>
    <xdr:pic>
      <xdr:nvPicPr>
        <xdr:cNvPr id="0" name="image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90</xdr:row>
      <xdr:rowOff>38100</xdr:rowOff>
    </xdr:from>
    <xdr:ext cx="409575" cy="523875"/>
    <xdr:pic>
      <xdr:nvPicPr>
        <xdr:cNvPr id="0" name="image1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91</xdr:row>
      <xdr:rowOff>0</xdr:rowOff>
    </xdr:from>
    <xdr:ext cx="428625" cy="24765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92</xdr:row>
      <xdr:rowOff>76200</xdr:rowOff>
    </xdr:from>
    <xdr:ext cx="476250" cy="542925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92</xdr:row>
      <xdr:rowOff>628650</xdr:rowOff>
    </xdr:from>
    <xdr:ext cx="447675" cy="0"/>
    <xdr:pic>
      <xdr:nvPicPr>
        <xdr:cNvPr id="0" name="image9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personal/c_hadjikyriacou_asbis_com_cy/Documents/Documents/CUSTOMERS/00001.%20S.T.%20PURPLE%20ENERGY%20LTD/Price%20Analysis%20Template%20%20s.t.%20purple%20energy%20ltd%20v2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nalysis 2024  (cy)"/>
      <sheetName val="Analysis 2024 "/>
      <sheetName val="1"/>
    </sheetNames>
    <sheetDataSet>
      <sheetData sheetId="0" refreshError="1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mg-solar-shop.com/media/pdf/43/30/25/datasheet_jkm425-450n-54hl4r-v.pdf" TargetMode="External"/><Relationship Id="rId3" Type="http://schemas.openxmlformats.org/officeDocument/2006/relationships/hyperlink" Target="https://5qrorwxhmlijjij.leadongcdn.com/LONGI+Hi-MO+6+Scientist+LR5-72HTH+585-600M-aidjrBpjKokRijSmmkrnplmk.pdf?dp=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www.mg-solar-shop.com/media/pdf/43/30/25/datasheet_jkm425-450n-54hl4r-v.pdf" TargetMode="External"/><Relationship Id="rId3" Type="http://schemas.openxmlformats.org/officeDocument/2006/relationships/hyperlink" Target="https://www.mg-solar-shop.com/media/pdf/43/30/25/datasheet_jkm425-450n-54hl4r-v.pdf" TargetMode="External"/><Relationship Id="rId4" Type="http://schemas.openxmlformats.org/officeDocument/2006/relationships/hyperlink" Target="https://5qrorwxhmlijjij.leadongcdn.com/LONGI+Hi-MO+6+Scientist+LR5-72HTH+585-600M-aidjrBpjKokRijSmmkrnplmk.pdf?dp=" TargetMode="External"/><Relationship Id="rId11" Type="http://schemas.openxmlformats.org/officeDocument/2006/relationships/drawing" Target="../drawings/drawing4.xml"/><Relationship Id="rId10" Type="http://schemas.openxmlformats.org/officeDocument/2006/relationships/hyperlink" Target="https://www.mg-solar-shop.com/media/pdf/43/30/25/datasheet_jkm425-450n-54hl4r-v.pdf" TargetMode="External"/><Relationship Id="rId12" Type="http://schemas.openxmlformats.org/officeDocument/2006/relationships/vmlDrawing" Target="../drawings/vmlDrawing4.vml"/><Relationship Id="rId9" Type="http://schemas.openxmlformats.org/officeDocument/2006/relationships/hyperlink" Target="https://www.luxor.solar/files/luxor/download/datasheets/LX_EL_N-Type_GG_BIF_SW_M144_555-575W_182_EN.pdf" TargetMode="External"/><Relationship Id="rId5" Type="http://schemas.openxmlformats.org/officeDocument/2006/relationships/hyperlink" Target="https://www.mg-solar-shop.com/media/pdf/43/30/25/datasheet_jkm425-450n-54hl4r-v.pdf" TargetMode="External"/><Relationship Id="rId6" Type="http://schemas.openxmlformats.org/officeDocument/2006/relationships/hyperlink" Target="https://www.luxor.solar/files/luxor/download/datasheets/LX_EL_N-Type_GG_BIF_SW_M144_555-575W_182_EN.pdf" TargetMode="External"/><Relationship Id="rId7" Type="http://schemas.openxmlformats.org/officeDocument/2006/relationships/hyperlink" Target="https://www.luxor.solar/files/luxor/download/datasheets/LX_EL_N-Type_GG_BIF_SW_M144_555-575W_182_EN.pdf" TargetMode="External"/><Relationship Id="rId8" Type="http://schemas.openxmlformats.org/officeDocument/2006/relationships/hyperlink" Target="https://www.luxor.solar/files/luxor/download/datasheets/LX_EL_N-Type_GG_BIF_SW_M144_555-575W_182_EN.pdf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ronius.com/~/downloads/Solar%20Energy/Datasheets/SE_DS_Fronius_Symo_EN.pdf" TargetMode="External"/><Relationship Id="rId42" Type="http://schemas.openxmlformats.org/officeDocument/2006/relationships/hyperlink" Target="https://www.fronius.com/~/downloads/Solar%20Energy/Datasheets/SE_DS_Fronius_Symo_EN.pdf" TargetMode="External"/><Relationship Id="rId41" Type="http://schemas.openxmlformats.org/officeDocument/2006/relationships/hyperlink" Target="https://www.fronius.com/~/downloads/Solar%20Energy/Datasheets/SE_DS_Fronius_Symo_EN.pdf" TargetMode="External"/><Relationship Id="rId44" Type="http://schemas.openxmlformats.org/officeDocument/2006/relationships/hyperlink" Target="https://www.fronius.com/~/downloads/Solar%20Energy/Datasheets/SE_DS_Fronius_Symo_EN.pdf" TargetMode="External"/><Relationship Id="rId43" Type="http://schemas.openxmlformats.org/officeDocument/2006/relationships/hyperlink" Target="https://www.fronius.com/~/downloads/Solar%20Energy/Datasheets/SE_DS_Fronius_Symo_EN.pdf" TargetMode="External"/><Relationship Id="rId46" Type="http://schemas.openxmlformats.org/officeDocument/2006/relationships/hyperlink" Target="https://www.fronius.com/~/downloads/Solar%20Energy/Datasheets/SE_DS_Fronius_Symo_EN.pdf" TargetMode="External"/><Relationship Id="rId45" Type="http://schemas.openxmlformats.org/officeDocument/2006/relationships/hyperlink" Target="https://www.fronius.com/~/downloads/Solar%20Energy/Datasheets/SE_DS_Fronius_Symo_EN.pdf" TargetMode="External"/><Relationship Id="rId80" Type="http://schemas.openxmlformats.org/officeDocument/2006/relationships/drawing" Target="../drawings/drawing6.xml"/><Relationship Id="rId81" Type="http://schemas.openxmlformats.org/officeDocument/2006/relationships/vmlDrawing" Target="../drawings/vmlDrawing5.vml"/><Relationship Id="rId1" Type="http://schemas.openxmlformats.org/officeDocument/2006/relationships/comments" Target="../comments5.xml"/><Relationship Id="rId2" Type="http://schemas.openxmlformats.org/officeDocument/2006/relationships/hyperlink" Target="https://solar.huawei.com/en-GB/download?p=/-/media/Solar/attachment/pdf/apac/datasheet/SUN2000-2-5KTL-L1.pdf" TargetMode="External"/><Relationship Id="rId3" Type="http://schemas.openxmlformats.org/officeDocument/2006/relationships/hyperlink" Target="https://solar.huawei.com/en-GB/download?p=/-/media/Solar/attachment/pdf/apac/datasheet/SUN2000-2-5KTL-L1.pdf" TargetMode="External"/><Relationship Id="rId4" Type="http://schemas.openxmlformats.org/officeDocument/2006/relationships/hyperlink" Target="https://solar.huawei.com/en-GB/download?p=/-/media/Solar/attachment/pdf/apac/datasheet/SUN2000-2-5KTL-L1.pdf" TargetMode="External"/><Relationship Id="rId9" Type="http://schemas.openxmlformats.org/officeDocument/2006/relationships/hyperlink" Target="https://solar.huawei.com/en-GB/download?p=%2F-%2Fmedia%2FSolar%2Fattachment%2Fpdf%2Feu%2Fdatasheet%2FSUN2000-30-40KTL-M3.pdf" TargetMode="External"/><Relationship Id="rId48" Type="http://schemas.openxmlformats.org/officeDocument/2006/relationships/hyperlink" Target="https://www.fronius.com/~/downloads/Solar%20Energy/Datasheets/SE_DS_Fronius_Symo_EN.pdf" TargetMode="External"/><Relationship Id="rId47" Type="http://schemas.openxmlformats.org/officeDocument/2006/relationships/hyperlink" Target="https://www.fronius.com/~/downloads/Solar%20Energy/Datasheets/SE_DS_Fronius_Symo_EN.pdf" TargetMode="External"/><Relationship Id="rId49" Type="http://schemas.openxmlformats.org/officeDocument/2006/relationships/hyperlink" Target="https://www.fronius.com/~/downloads/Solar%20Energy/Datasheets/SE_DS_Fronius_Symo_EN.pdf" TargetMode="External"/><Relationship Id="rId5" Type="http://schemas.openxmlformats.org/officeDocument/2006/relationships/hyperlink" Target="https://solar.huawei.com/en-GB/download?p=/-/media/Solar/attachment/pdf/apac/datasheet/SUN2000-2-5KTL-L1.pdf" TargetMode="External"/><Relationship Id="rId6" Type="http://schemas.openxmlformats.org/officeDocument/2006/relationships/hyperlink" Target="https://solar.huawei.com/download?p=%2F-%2Fmedia%2FSolar%2Fdatasheet%2FSUN2000-3_4_5_6_8_10KTL-M1_High_Current_Version.pdf" TargetMode="External"/><Relationship Id="rId7" Type="http://schemas.openxmlformats.org/officeDocument/2006/relationships/hyperlink" Target="https://solar.huawei.com/download?p=%2F-%2Fmedia%2FSolar%2Fdatasheet%2FSUN2000-12_15_17_20_25KTL-M5.pdf" TargetMode="External"/><Relationship Id="rId8" Type="http://schemas.openxmlformats.org/officeDocument/2006/relationships/hyperlink" Target="https://solar.huawei.com/en-GB/download?p=%2F-%2Fmedia%2FSolar%2Fattachment%2Fpdf%2Feu%2Fdatasheet%2FSUN2000-30-40KTL-M3.pdf" TargetMode="External"/><Relationship Id="rId73" Type="http://schemas.openxmlformats.org/officeDocument/2006/relationships/hyperlink" Target="https://solar.huawei.com/download?p=%2F-%2Fmedia%2FSolarV4%2Fsolar-version2%2Fcommon%2Fprofessionals%2Fall-products%2Fresidential%2Fsmart-charger%2FSCharger-7KS-S0_SCharger-22KT-S0.pdf" TargetMode="External"/><Relationship Id="rId72" Type="http://schemas.openxmlformats.org/officeDocument/2006/relationships/hyperlink" Target="https://solar.huawei.com/download?p=%2F-%2Fmedia%2FSolarV4%2Fsolar-version2%2Fcommon%2Fprofessionals%2Fall-products%2Fresidential%2Fsmart-charger%2FSCharger-7KS-S0_SCharger-22KT-S0.pdf" TargetMode="External"/><Relationship Id="rId31" Type="http://schemas.openxmlformats.org/officeDocument/2006/relationships/hyperlink" Target="https://info-support.sungrowpower.com/application/pdf/2024/01/17/DS_20240111_SH3.0_3.6_4.0_5.0_6.0RS_Datasheet_V17_EN(IEC).pdf" TargetMode="External"/><Relationship Id="rId75" Type="http://schemas.openxmlformats.org/officeDocument/2006/relationships/hyperlink" Target="https://www.fronius.com/~/downloads/Solar%20Energy/Datasheets/SE_DS_Fronius_Wattpilot_EN_AU.pdf" TargetMode="External"/><Relationship Id="rId30" Type="http://schemas.openxmlformats.org/officeDocument/2006/relationships/hyperlink" Target="https://info-support.sungrowpower.com/application/pdf/2024/01/17/DS_20240111_SH3.0_3.6_4.0_5.0_6.0RS_Datasheet_V17_EN(IEC).pdf" TargetMode="External"/><Relationship Id="rId74" Type="http://schemas.openxmlformats.org/officeDocument/2006/relationships/hyperlink" Target="https://info-support.sungrowpower.com/application/pdf/2024/03/25/DS_20240318_AC007-011E-01_V3_EN.pdf" TargetMode="External"/><Relationship Id="rId33" Type="http://schemas.openxmlformats.org/officeDocument/2006/relationships/hyperlink" Target="https://en.sungrowpower.com/upload/file/20210706/DS_20210703_SH5~10RT_V1.2.1_EN.pdf" TargetMode="External"/><Relationship Id="rId77" Type="http://schemas.openxmlformats.org/officeDocument/2006/relationships/hyperlink" Target="https://www.luxor.solar/files/luxor/download/datasheets/LX_EL_N-Type_GG_BIF_SW_M144_555-575W_182_EN.pdf" TargetMode="External"/><Relationship Id="rId32" Type="http://schemas.openxmlformats.org/officeDocument/2006/relationships/hyperlink" Target="https://en.sungrowpower.com/upload/file/20210706/DS_20210703_SH5~10RT_V1.2.1_EN.pdf" TargetMode="External"/><Relationship Id="rId76" Type="http://schemas.openxmlformats.org/officeDocument/2006/relationships/hyperlink" Target="https://www.fronius.com/~/downloads/Solar%20Energy/Datasheets/SE_DS_Fronius_Wattpilot_EN_AU.pdf" TargetMode="External"/><Relationship Id="rId35" Type="http://schemas.openxmlformats.org/officeDocument/2006/relationships/hyperlink" Target="https://www.fronius.com/~/downloads/Solar%20Energy/Datasheets/SE_DS_Fronius_Primo_EN.pdf" TargetMode="External"/><Relationship Id="rId79" Type="http://schemas.openxmlformats.org/officeDocument/2006/relationships/hyperlink" Target="https://5qrorwxhmlijjij.leadongcdn.com/LONGI+Hi-MO+6+Scientist+LR5-72HTH+585-600M-aidjrBpjKokRijSmmkrnplmk.pdf?dp=" TargetMode="External"/><Relationship Id="rId34" Type="http://schemas.openxmlformats.org/officeDocument/2006/relationships/hyperlink" Target="https://en.sungrowpower.com/upload/file/20210706/DS_20210703_SH5~10RT_V1.2.1_EN.pdf" TargetMode="External"/><Relationship Id="rId78" Type="http://schemas.openxmlformats.org/officeDocument/2006/relationships/hyperlink" Target="https://www.mg-solar-shop.com/media/pdf/43/30/25/datasheet_jkm425-450n-54hl4r-v.pdf" TargetMode="External"/><Relationship Id="rId71" Type="http://schemas.openxmlformats.org/officeDocument/2006/relationships/hyperlink" Target="https://www.bydbatterybox.com/uploads/downloads/231122_BYD_Battery-Box_Premium_HVS&amp;HVM_Datasheet_V1.8_EN-655eaa1bcd31f.pdf" TargetMode="External"/><Relationship Id="rId70" Type="http://schemas.openxmlformats.org/officeDocument/2006/relationships/hyperlink" Target="https://www.bydbatterybox.com/uploads/downloads/231122_BYD_Battery-Box_Premium_HVS&amp;HVM_Datasheet_V1.8_EN-655eaa1bcd31f.pdf" TargetMode="External"/><Relationship Id="rId37" Type="http://schemas.openxmlformats.org/officeDocument/2006/relationships/hyperlink" Target="https://www.fronius.com/~/downloads/Solar%20Energy/Datasheets/SE_DS_Fronius_Primo_EN.pdf" TargetMode="External"/><Relationship Id="rId36" Type="http://schemas.openxmlformats.org/officeDocument/2006/relationships/hyperlink" Target="https://www.fronius.com/~/downloads/Solar%20Energy/Datasheets/SE_DS_Fronius_Primo_EN.pdf" TargetMode="External"/><Relationship Id="rId39" Type="http://schemas.openxmlformats.org/officeDocument/2006/relationships/hyperlink" Target="https://www.fronius.com/~/downloads/Solar%20Energy/Datasheets/SE_DS_Fronius_Primo_EN.pdf" TargetMode="External"/><Relationship Id="rId38" Type="http://schemas.openxmlformats.org/officeDocument/2006/relationships/hyperlink" Target="https://www.fronius.com/~/downloads/Solar%20Energy/Datasheets/SE_DS_Fronius_Primo_EN.pdf" TargetMode="External"/><Relationship Id="rId62" Type="http://schemas.openxmlformats.org/officeDocument/2006/relationships/hyperlink" Target="https://solar.huawei.com/download?p=%2F-%2Fmedia%2FSolar%2Fattachment%2Fpdf%2Feu%2Fdatasheet%2FLUNA2000-5_10_15-S0.pdf" TargetMode="External"/><Relationship Id="rId61" Type="http://schemas.openxmlformats.org/officeDocument/2006/relationships/hyperlink" Target="https://www.fronius.com/~/downloads/Solar%20Energy/Datasheets/SE_DS_Fronius_Inverter_overview_EN.pdf" TargetMode="External"/><Relationship Id="rId20" Type="http://schemas.openxmlformats.org/officeDocument/2006/relationships/hyperlink" Target="https://en.sungrowpower.com/upload/file/20211012/DS_20210720_SG2.0~3.0RS-S_V1.2.3_EN.pdf" TargetMode="External"/><Relationship Id="rId64" Type="http://schemas.openxmlformats.org/officeDocument/2006/relationships/hyperlink" Target="https://support.huawei.com/enterprise/en/doc/EDOC1100167258/69706a65/wall-mounted-installation" TargetMode="External"/><Relationship Id="rId63" Type="http://schemas.openxmlformats.org/officeDocument/2006/relationships/hyperlink" Target="https://solar.huawei.com/download?p=%2F-%2Fmedia%2FSolar%2Fattachment%2Fpdf%2Feu%2Fdatasheet%2FLUNA2000-5_10_15-S0.pdf" TargetMode="External"/><Relationship Id="rId22" Type="http://schemas.openxmlformats.org/officeDocument/2006/relationships/hyperlink" Target="https://uk.sungrowpower.com/upload/file/20210927/EN%20DS%20SG3.0-6.0RS%20Datasheet.pdf" TargetMode="External"/><Relationship Id="rId66" Type="http://schemas.openxmlformats.org/officeDocument/2006/relationships/hyperlink" Target="https://www.bydbatterybox.com/uploads/downloads/201013_Premium_Datasheet_LVS%20V2.1%20EN-5fa4baa72098c.pdf" TargetMode="External"/><Relationship Id="rId21" Type="http://schemas.openxmlformats.org/officeDocument/2006/relationships/hyperlink" Target="https://uk.sungrowpower.com/upload/file/20210927/EN%20DS%20SG3.0-6.0RS%20Datasheet.pdf" TargetMode="External"/><Relationship Id="rId65" Type="http://schemas.openxmlformats.org/officeDocument/2006/relationships/hyperlink" Target="https://solar.huawei.com/-/media/Solar/attachment/pdf/au/datasheet/SmartPowerSensor.pdf" TargetMode="External"/><Relationship Id="rId24" Type="http://schemas.openxmlformats.org/officeDocument/2006/relationships/hyperlink" Target="https://uk.sungrowpower.com/upload/file/20220808/EN%20DS%20SG3.0RT%20SG4.0RT%20Datasheet.pdf" TargetMode="External"/><Relationship Id="rId68" Type="http://schemas.openxmlformats.org/officeDocument/2006/relationships/hyperlink" Target="https://www.bydbatterybox.com/uploads/downloads/201013_Premium_Datasheet_LVS%20V2.1%20EN-5fa4baa72098c.pdf" TargetMode="External"/><Relationship Id="rId23" Type="http://schemas.openxmlformats.org/officeDocument/2006/relationships/hyperlink" Target="https://uk.sungrowpower.com/upload/file/20220808/EN%20DS%20SG3.0RT%20SG4.0RT%20Datasheet.pdf" TargetMode="External"/><Relationship Id="rId67" Type="http://schemas.openxmlformats.org/officeDocument/2006/relationships/hyperlink" Target="https://www.bydbatterybox.com/uploads/downloads/240220_BYD%20Battery-Box%20Premium%20LV%20BMU-%20IP55%20Instruction%20Manual%20V1.6-65e181fb64188.pdf" TargetMode="External"/><Relationship Id="rId60" Type="http://schemas.openxmlformats.org/officeDocument/2006/relationships/hyperlink" Target="https://www.fronius.com/~/downloads/Solar%20Energy/Datasheets/SE_DS_Fronius_Primo_GEN24_GEN24Plus_3_to_6_kW_EN.pdf" TargetMode="External"/><Relationship Id="rId26" Type="http://schemas.openxmlformats.org/officeDocument/2006/relationships/hyperlink" Target="https://uk.sungrowpower.com/upload/file/20220607/EN%20DS%20SG15%2017%2020RT%20Datasheet.pdf" TargetMode="External"/><Relationship Id="rId25" Type="http://schemas.openxmlformats.org/officeDocument/2006/relationships/hyperlink" Target="https://uk.sungrowpower.com/upload/file/20220607/EN%20DS%20SG15%2017%2020RT%20Datasheet.pdf" TargetMode="External"/><Relationship Id="rId69" Type="http://schemas.openxmlformats.org/officeDocument/2006/relationships/hyperlink" Target="https://www.bydbatterybox.com/uploads/downloads/231122_BYD_Battery-Box_Premium_HVS&amp;HVM_Datasheet_V1.8_EN-655eaa1bcd31f.pdf" TargetMode="External"/><Relationship Id="rId28" Type="http://schemas.openxmlformats.org/officeDocument/2006/relationships/hyperlink" Target="https://info-support.sungrowpower.com/application/pdf/2022/04/25/DS_20210206_SG33CX%20SG40CX%20SG50CX(including%20Premium)%20Datasheet_V1.1.1_EN.pdf" TargetMode="External"/><Relationship Id="rId27" Type="http://schemas.openxmlformats.org/officeDocument/2006/relationships/hyperlink" Target="https://info-support.sungrowpower.com/application/pdf/2022/04/25/DS_20210206_SG33CX%20SG40CX%20SG50CX(including%20Premium)%20Datasheet_V1.1.1_EN.pdf" TargetMode="External"/><Relationship Id="rId29" Type="http://schemas.openxmlformats.org/officeDocument/2006/relationships/hyperlink" Target="https://info-support.sungrowpower.com/application/pdf/2024/01/17/DS_20240111_SH3.0_3.6_4.0_5.0_6.0RS_Datasheet_V17_EN(IEC).pdf" TargetMode="External"/><Relationship Id="rId51" Type="http://schemas.openxmlformats.org/officeDocument/2006/relationships/hyperlink" Target="https://www.fronius.com/~/downloads/Solar%20Energy/Datasheets/SE_DS_Fronius_Symo_EN.pdf" TargetMode="External"/><Relationship Id="rId50" Type="http://schemas.openxmlformats.org/officeDocument/2006/relationships/hyperlink" Target="https://www.fronius.com/~/downloads/Solar%20Energy/Datasheets/SE_DS_Fronius_Symo_EN.pdf" TargetMode="External"/><Relationship Id="rId53" Type="http://schemas.openxmlformats.org/officeDocument/2006/relationships/hyperlink" Target="https://www.fronius.com/~/downloads/Solar%20Energy/Datasheets/SE_DS_Fronius_Symo_EN.pdf" TargetMode="External"/><Relationship Id="rId52" Type="http://schemas.openxmlformats.org/officeDocument/2006/relationships/hyperlink" Target="https://www.fronius.com/~/downloads/Solar%20Energy/Datasheets/SE_DS_Fronius_Symo_EN.pdf" TargetMode="External"/><Relationship Id="rId11" Type="http://schemas.openxmlformats.org/officeDocument/2006/relationships/hyperlink" Target="https://solar.huawei.com/en-GB/download?p=%2F-%2Fmedia%2FSolar%2Fattachment%2Fpdf%2Feu%2Fdatasheet%2FSUN2000-50kTL-M3-Datasheet.pdf" TargetMode="External"/><Relationship Id="rId55" Type="http://schemas.openxmlformats.org/officeDocument/2006/relationships/hyperlink" Target="https://www.fronius.com/~/downloads/Solar%20Energy/Datasheets/SE_DS_Fronius_Primo_GEN24_GEN24Plus_3_to_6_kW_EN.pdf" TargetMode="External"/><Relationship Id="rId10" Type="http://schemas.openxmlformats.org/officeDocument/2006/relationships/hyperlink" Target="https://solar.huawei.com/en-GB/download?p=%2F-%2Fmedia%2FSolar%2Fattachment%2Fpdf%2Feu%2Fdatasheet%2FSUN2000-30-40KTL-M3.pdf" TargetMode="External"/><Relationship Id="rId54" Type="http://schemas.openxmlformats.org/officeDocument/2006/relationships/hyperlink" Target="https://www.fronius.com/~/downloads/Solar%20Energy/Datasheets/SE_DS_Fronius_Symo_EN.pdf" TargetMode="External"/><Relationship Id="rId13" Type="http://schemas.openxmlformats.org/officeDocument/2006/relationships/hyperlink" Target="https://solar.huawei.com/download?p=%2F-%2Fmedia%2FSolarV4%2Fsolar-version2%2Fcommon%2Fprofessionals%2Fall-products%2Fci%2Fsmart-pv-controller%2Fsun2000-115ktl-m2%2Fsun2000-115ktl-m2-datasheet-20230506.pdf" TargetMode="External"/><Relationship Id="rId57" Type="http://schemas.openxmlformats.org/officeDocument/2006/relationships/hyperlink" Target="https://www.fronius.com/~/downloads/Solar%20Energy/Datasheets/SE_DS_Fronius_Primo_GEN24_GEN24Plus_3_to_6_kW_EN.pdf" TargetMode="External"/><Relationship Id="rId12" Type="http://schemas.openxmlformats.org/officeDocument/2006/relationships/hyperlink" Target="https://solar.huawei.com/download?p=%2F-%2Fmedia%2FSolarV4%2Fsolar-version2%2Fcommon%2Fprofessionals%2Fall-products%2Fci%2Fsmart-pv-controller%2Fsun2000-100ktl-m2%2Fsun2000-100ktl-m2-datasheet-20230506.pdf" TargetMode="External"/><Relationship Id="rId56" Type="http://schemas.openxmlformats.org/officeDocument/2006/relationships/hyperlink" Target="https://www.fronius.com/~/downloads/Solar%20Energy/Datasheets/SE_DS_Fronius_Primo_GEN24_GEN24Plus_3_to_6_kW_EN.pdf" TargetMode="External"/><Relationship Id="rId15" Type="http://schemas.openxmlformats.org/officeDocument/2006/relationships/hyperlink" Target="https://solar.huawei.com/en-GB/download?p=%2F-%2Fmedia%2FSolar%2Fattachment%2Fpdf%2Feu%2Fdatasheet%2FSUN2000-215KTL-H3.pdf" TargetMode="External"/><Relationship Id="rId59" Type="http://schemas.openxmlformats.org/officeDocument/2006/relationships/hyperlink" Target="https://www.fronius.com/~/downloads/Solar%20Energy/Datasheets/SE_DS_Fronius_Primo_GEN24_GEN24Plus_3_to_6_kW_EN.pdf" TargetMode="External"/><Relationship Id="rId14" Type="http://schemas.openxmlformats.org/officeDocument/2006/relationships/hyperlink" Target="https://solar.huawei.com/en-GB/download?p=%2F~%2Fmedia%2FSolar%2Fattachment%2Fpdf%2Feu%2Fdatasheet%2FSUN2000-105KTL-H1.pdf" TargetMode="External"/><Relationship Id="rId58" Type="http://schemas.openxmlformats.org/officeDocument/2006/relationships/hyperlink" Target="https://www.fronius.com/~/downloads/Solar%20Energy/Datasheets/SE_DS_Fronius_Primo_GEN24_GEN24Plus_3_to_6_kW_EN.pdf" TargetMode="External"/><Relationship Id="rId17" Type="http://schemas.openxmlformats.org/officeDocument/2006/relationships/hyperlink" Target="https://solar.huawei.com/en-GB/download?p=%2F-%2Fmedia%2FSolar%2Fattachment%2Fpdf%2Feu%2Fdatasheet%2FSUN2000-600W-P.pdf" TargetMode="External"/><Relationship Id="rId16" Type="http://schemas.openxmlformats.org/officeDocument/2006/relationships/hyperlink" Target="https://solar.huawei.com/download?p=%2F-%2Fmedia%2FSolarV4%2Fsolar-version2%2Fcommon%2Fprofessionals%2Fall-products%2Futility-smart-pv%2Fsmart-pv-controller%2FSUN2000-330KTL-H1%2Fsun2000-330ktl-h1-datasheet-20230515.pdf" TargetMode="External"/><Relationship Id="rId19" Type="http://schemas.openxmlformats.org/officeDocument/2006/relationships/hyperlink" Target="https://en.sungrowpower.com/upload/file/20211012/DS_20210720_SG2.0~3.0RS-S_V1.2.3_EN.pdf" TargetMode="External"/><Relationship Id="rId18" Type="http://schemas.openxmlformats.org/officeDocument/2006/relationships/hyperlink" Target="https://solar.huawei.com/en-GB/download?p=%2F-%2Fmedia%2FSolar%2Fattachment%2Fpdf%2Feu%2Fdatasheet%2FSUN2000-600W-P.pdf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mailto:stellaparpa@gmail.com" TargetMode="External"/><Relationship Id="rId190" Type="http://schemas.openxmlformats.org/officeDocument/2006/relationships/hyperlink" Target="http://www.facebook.com/antonisanastasiouinstallations/" TargetMode="External"/><Relationship Id="rId42" Type="http://schemas.openxmlformats.org/officeDocument/2006/relationships/hyperlink" Target="mailto:kapsalisservices@gmail.com" TargetMode="External"/><Relationship Id="rId41" Type="http://schemas.openxmlformats.org/officeDocument/2006/relationships/hyperlink" Target="https://bsme.com.cy/" TargetMode="External"/><Relationship Id="rId44" Type="http://schemas.openxmlformats.org/officeDocument/2006/relationships/hyperlink" Target="https://www.facebook.com/people/GPN-Electrical-Limited" TargetMode="External"/><Relationship Id="rId43" Type="http://schemas.openxmlformats.org/officeDocument/2006/relationships/hyperlink" Target="mailto:gpn.pavlou@gmail.com" TargetMode="External"/><Relationship Id="rId193" Type="http://schemas.openxmlformats.org/officeDocument/2006/relationships/drawing" Target="../drawings/drawing7.xml"/><Relationship Id="rId46" Type="http://schemas.openxmlformats.org/officeDocument/2006/relationships/hyperlink" Target="mailto:zinonaslouca@yahoo.gr" TargetMode="External"/><Relationship Id="rId192" Type="http://schemas.openxmlformats.org/officeDocument/2006/relationships/hyperlink" Target="mailto:info@mavioenergy.com" TargetMode="External"/><Relationship Id="rId45" Type="http://schemas.openxmlformats.org/officeDocument/2006/relationships/hyperlink" Target="mailto:dk@dimargcy.com" TargetMode="External"/><Relationship Id="rId191" Type="http://schemas.openxmlformats.org/officeDocument/2006/relationships/hyperlink" Target="mailto:sunpowerenergybyga@gmail.com" TargetMode="External"/><Relationship Id="rId48" Type="http://schemas.openxmlformats.org/officeDocument/2006/relationships/hyperlink" Target="mailto:ahadjikyriakos@yahoo.com" TargetMode="External"/><Relationship Id="rId187" Type="http://schemas.openxmlformats.org/officeDocument/2006/relationships/hyperlink" Target="mailto:mihalismihail@hotmail.com" TargetMode="External"/><Relationship Id="rId47" Type="http://schemas.openxmlformats.org/officeDocument/2006/relationships/hyperlink" Target="mailto:fragoudis@gmail.com" TargetMode="External"/><Relationship Id="rId186" Type="http://schemas.openxmlformats.org/officeDocument/2006/relationships/hyperlink" Target="mailto:kalaoushis_ch@hotmail.com" TargetMode="External"/><Relationship Id="rId185" Type="http://schemas.openxmlformats.org/officeDocument/2006/relationships/hyperlink" Target="mailto:diogenous.c@gmail.com" TargetMode="External"/><Relationship Id="rId49" Type="http://schemas.openxmlformats.org/officeDocument/2006/relationships/hyperlink" Target="http://www.coolairaustralia.com/" TargetMode="External"/><Relationship Id="rId184" Type="http://schemas.openxmlformats.org/officeDocument/2006/relationships/hyperlink" Target="mailto:antoniskyriakou9@gmail.com" TargetMode="External"/><Relationship Id="rId189" Type="http://schemas.openxmlformats.org/officeDocument/2006/relationships/hyperlink" Target="http://www.lako.com.cy/" TargetMode="External"/><Relationship Id="rId188" Type="http://schemas.openxmlformats.org/officeDocument/2006/relationships/hyperlink" Target="http://www.electricianlarnaca.com/" TargetMode="External"/><Relationship Id="rId31" Type="http://schemas.openxmlformats.org/officeDocument/2006/relationships/hyperlink" Target="https://www.mmcysolar.com/" TargetMode="External"/><Relationship Id="rId30" Type="http://schemas.openxmlformats.org/officeDocument/2006/relationships/hyperlink" Target="mailto:info@mmcysolar.com" TargetMode="External"/><Relationship Id="rId33" Type="http://schemas.openxmlformats.org/officeDocument/2006/relationships/hyperlink" Target="https://spro.energy/" TargetMode="External"/><Relationship Id="rId183" Type="http://schemas.openxmlformats.org/officeDocument/2006/relationships/hyperlink" Target="mailto:mssolarsolutionspaphos@gmail.com" TargetMode="External"/><Relationship Id="rId32" Type="http://schemas.openxmlformats.org/officeDocument/2006/relationships/hyperlink" Target="mailto:sales@spro.energy" TargetMode="External"/><Relationship Id="rId182" Type="http://schemas.openxmlformats.org/officeDocument/2006/relationships/hyperlink" Target="mailto:info@starsolar.com.cy" TargetMode="External"/><Relationship Id="rId35" Type="http://schemas.openxmlformats.org/officeDocument/2006/relationships/hyperlink" Target="https://www.etheras.energy/" TargetMode="External"/><Relationship Id="rId181" Type="http://schemas.openxmlformats.org/officeDocument/2006/relationships/hyperlink" Target="https://www.solartechnologies.com.cy/" TargetMode="External"/><Relationship Id="rId34" Type="http://schemas.openxmlformats.org/officeDocument/2006/relationships/hyperlink" Target="mailto:sales@etheras.energy" TargetMode="External"/><Relationship Id="rId180" Type="http://schemas.openxmlformats.org/officeDocument/2006/relationships/hyperlink" Target="mailto:info@solartechnologies.com.cy" TargetMode="External"/><Relationship Id="rId37" Type="http://schemas.openxmlformats.org/officeDocument/2006/relationships/hyperlink" Target="mailto:aristoklia@cytanet.com.cy" TargetMode="External"/><Relationship Id="rId176" Type="http://schemas.openxmlformats.org/officeDocument/2006/relationships/hyperlink" Target="mailto:mikellisper@gmail.com" TargetMode="External"/><Relationship Id="rId36" Type="http://schemas.openxmlformats.org/officeDocument/2006/relationships/hyperlink" Target="mailto:info@marcicoltd.com" TargetMode="External"/><Relationship Id="rId175" Type="http://schemas.openxmlformats.org/officeDocument/2006/relationships/hyperlink" Target="mailto:genergysolar@outlook.com" TargetMode="External"/><Relationship Id="rId39" Type="http://schemas.openxmlformats.org/officeDocument/2006/relationships/hyperlink" Target="mailto:cpsltd@cytanet.com.cy" TargetMode="External"/><Relationship Id="rId174" Type="http://schemas.openxmlformats.org/officeDocument/2006/relationships/hyperlink" Target="mailto:constantinou-trading@hotmail.com" TargetMode="External"/><Relationship Id="rId38" Type="http://schemas.openxmlformats.org/officeDocument/2006/relationships/hyperlink" Target="https://aristokliasolar.com/" TargetMode="External"/><Relationship Id="rId173" Type="http://schemas.openxmlformats.org/officeDocument/2006/relationships/hyperlink" Target="https://www.ambioenergy.com/" TargetMode="External"/><Relationship Id="rId179" Type="http://schemas.openxmlformats.org/officeDocument/2006/relationships/hyperlink" Target="https://www.linkedin.com/company/newway-engineering" TargetMode="External"/><Relationship Id="rId178" Type="http://schemas.openxmlformats.org/officeDocument/2006/relationships/hyperlink" Target="mailto:newwayengineering97@gmail.com" TargetMode="External"/><Relationship Id="rId177" Type="http://schemas.openxmlformats.org/officeDocument/2006/relationships/hyperlink" Target="http://www.oikosolar.com/" TargetMode="External"/><Relationship Id="rId20" Type="http://schemas.openxmlformats.org/officeDocument/2006/relationships/hyperlink" Target="https://photovoltaicincyprus.com/" TargetMode="External"/><Relationship Id="rId22" Type="http://schemas.openxmlformats.org/officeDocument/2006/relationships/hyperlink" Target="https://www.facebook.com/MSSC.LTD/about" TargetMode="External"/><Relationship Id="rId21" Type="http://schemas.openxmlformats.org/officeDocument/2006/relationships/hyperlink" Target="http://www.sunpower.com.cy/" TargetMode="External"/><Relationship Id="rId24" Type="http://schemas.openxmlformats.org/officeDocument/2006/relationships/hyperlink" Target="http://www.facebook.com/naelectricalltd/" TargetMode="External"/><Relationship Id="rId23" Type="http://schemas.openxmlformats.org/officeDocument/2006/relationships/hyperlink" Target="https://electric-energy.com.cy/" TargetMode="External"/><Relationship Id="rId26" Type="http://schemas.openxmlformats.org/officeDocument/2006/relationships/hyperlink" Target="http://www.electrodynamic-ltd.com/" TargetMode="External"/><Relationship Id="rId25" Type="http://schemas.openxmlformats.org/officeDocument/2006/relationships/hyperlink" Target="mailto:info@neaeng.com" TargetMode="External"/><Relationship Id="rId28" Type="http://schemas.openxmlformats.org/officeDocument/2006/relationships/hyperlink" Target="mailto:chrinima@chrinima.com" TargetMode="External"/><Relationship Id="rId27" Type="http://schemas.openxmlformats.org/officeDocument/2006/relationships/hyperlink" Target="mailto:loizou.eng1@gmail.com" TargetMode="External"/><Relationship Id="rId29" Type="http://schemas.openxmlformats.org/officeDocument/2006/relationships/hyperlink" Target="https://chrinima.com/main/" TargetMode="External"/><Relationship Id="rId11" Type="http://schemas.openxmlformats.org/officeDocument/2006/relationships/hyperlink" Target="http://www.k-energy.com.cy/" TargetMode="External"/><Relationship Id="rId10" Type="http://schemas.openxmlformats.org/officeDocument/2006/relationships/hyperlink" Target="http://www.zotiadesgroup.com.cy/" TargetMode="External"/><Relationship Id="rId13" Type="http://schemas.openxmlformats.org/officeDocument/2006/relationships/hyperlink" Target="http://www.tsigarides.com/" TargetMode="External"/><Relationship Id="rId12" Type="http://schemas.openxmlformats.org/officeDocument/2006/relationships/hyperlink" Target="http://https/www.solek.com/" TargetMode="External"/><Relationship Id="rId15" Type="http://schemas.openxmlformats.org/officeDocument/2006/relationships/hyperlink" Target="http://www.ecoenergia.gr/" TargetMode="External"/><Relationship Id="rId14" Type="http://schemas.openxmlformats.org/officeDocument/2006/relationships/hyperlink" Target="http://www.arimec.eu/" TargetMode="External"/><Relationship Id="rId17" Type="http://schemas.openxmlformats.org/officeDocument/2006/relationships/hyperlink" Target="http://www.enfotonsolar.com/" TargetMode="External"/><Relationship Id="rId16" Type="http://schemas.openxmlformats.org/officeDocument/2006/relationships/hyperlink" Target="http://www.eletoyia.com/" TargetMode="External"/><Relationship Id="rId19" Type="http://schemas.openxmlformats.org/officeDocument/2006/relationships/hyperlink" Target="https://www.facebook.com/pages/Lucidway-Enterprises-Ltd/511214848937859?ref=bookmarks" TargetMode="External"/><Relationship Id="rId18" Type="http://schemas.openxmlformats.org/officeDocument/2006/relationships/hyperlink" Target="http://www.fotopaignio.com/" TargetMode="External"/><Relationship Id="rId84" Type="http://schemas.openxmlformats.org/officeDocument/2006/relationships/hyperlink" Target="https://sveasolar.com/en/solar-parks/project-alaminos" TargetMode="External"/><Relationship Id="rId83" Type="http://schemas.openxmlformats.org/officeDocument/2006/relationships/hyperlink" Target="mailto:tronix@cytanet.com.cy" TargetMode="External"/><Relationship Id="rId86" Type="http://schemas.openxmlformats.org/officeDocument/2006/relationships/hyperlink" Target="https://energyhomeservices.eu/" TargetMode="External"/><Relationship Id="rId85" Type="http://schemas.openxmlformats.org/officeDocument/2006/relationships/hyperlink" Target="mailto:support@energyhomeservices.eu" TargetMode="External"/><Relationship Id="rId88" Type="http://schemas.openxmlformats.org/officeDocument/2006/relationships/hyperlink" Target="http://https/www.facebook.com/EcoConnectLTD/" TargetMode="External"/><Relationship Id="rId150" Type="http://schemas.openxmlformats.org/officeDocument/2006/relationships/hyperlink" Target="http://www.theogectric.com/" TargetMode="External"/><Relationship Id="rId87" Type="http://schemas.openxmlformats.org/officeDocument/2006/relationships/hyperlink" Target="http://https/dracoudisenergy.com/" TargetMode="External"/><Relationship Id="rId89" Type="http://schemas.openxmlformats.org/officeDocument/2006/relationships/hyperlink" Target="http://www.ecosuncyprus.com/" TargetMode="External"/><Relationship Id="rId80" Type="http://schemas.openxmlformats.org/officeDocument/2006/relationships/hyperlink" Target="mailto:constantinos.kyriacou@cosmedview.eu" TargetMode="External"/><Relationship Id="rId82" Type="http://schemas.openxmlformats.org/officeDocument/2006/relationships/hyperlink" Target="mailto:stelios@dimast.com.cy" TargetMode="External"/><Relationship Id="rId81" Type="http://schemas.openxmlformats.org/officeDocument/2006/relationships/hyperlink" Target="http://www.cosmedview.eu/" TargetMode="External"/><Relationship Id="rId1" Type="http://schemas.openxmlformats.org/officeDocument/2006/relationships/hyperlink" Target="http://www.greenergytechs.com/" TargetMode="External"/><Relationship Id="rId2" Type="http://schemas.openxmlformats.org/officeDocument/2006/relationships/hyperlink" Target="http://www.bigsolar.com.cy/" TargetMode="External"/><Relationship Id="rId3" Type="http://schemas.openxmlformats.org/officeDocument/2006/relationships/hyperlink" Target="http://www.caramondani.com.cy/" TargetMode="External"/><Relationship Id="rId149" Type="http://schemas.openxmlformats.org/officeDocument/2006/relationships/hyperlink" Target="https://www.facebook.com/P.P.Energia/" TargetMode="External"/><Relationship Id="rId4" Type="http://schemas.openxmlformats.org/officeDocument/2006/relationships/hyperlink" Target="http://www.cypinnet.com/" TargetMode="External"/><Relationship Id="rId148" Type="http://schemas.openxmlformats.org/officeDocument/2006/relationships/hyperlink" Target="mailto:p.p.energia2009@gmail.com" TargetMode="External"/><Relationship Id="rId9" Type="http://schemas.openxmlformats.org/officeDocument/2006/relationships/hyperlink" Target="http://www.johnsun-solar.com.cy/" TargetMode="External"/><Relationship Id="rId143" Type="http://schemas.openxmlformats.org/officeDocument/2006/relationships/hyperlink" Target="https://www.dragonalertcy.com/" TargetMode="External"/><Relationship Id="rId142" Type="http://schemas.openxmlformats.org/officeDocument/2006/relationships/hyperlink" Target="mailto:gemesltd@gmail.com%20%20%20??" TargetMode="External"/><Relationship Id="rId141" Type="http://schemas.openxmlformats.org/officeDocument/2006/relationships/hyperlink" Target="https://konstantas.cy/" TargetMode="External"/><Relationship Id="rId140" Type="http://schemas.openxmlformats.org/officeDocument/2006/relationships/hyperlink" Target="http://www.terzasolarpower.com/" TargetMode="External"/><Relationship Id="rId5" Type="http://schemas.openxmlformats.org/officeDocument/2006/relationships/hyperlink" Target="http://www.ergoenergy.com.cy/" TargetMode="External"/><Relationship Id="rId147" Type="http://schemas.openxmlformats.org/officeDocument/2006/relationships/hyperlink" Target="https://www.facebook.com/p/Agm-Black-Lion-security-systems-100064480611431/" TargetMode="External"/><Relationship Id="rId6" Type="http://schemas.openxmlformats.org/officeDocument/2006/relationships/hyperlink" Target="http://www.gesolarcyprus.com/" TargetMode="External"/><Relationship Id="rId146" Type="http://schemas.openxmlformats.org/officeDocument/2006/relationships/hyperlink" Target="mailto:agm.black.lion@gmail.com" TargetMode="External"/><Relationship Id="rId7" Type="http://schemas.openxmlformats.org/officeDocument/2006/relationships/hyperlink" Target="http://www.heataircon.com.cy/" TargetMode="External"/><Relationship Id="rId145" Type="http://schemas.openxmlformats.org/officeDocument/2006/relationships/hyperlink" Target="mailto:th.mechanicalcontractors@gmail.com" TargetMode="External"/><Relationship Id="rId8" Type="http://schemas.openxmlformats.org/officeDocument/2006/relationships/hyperlink" Target="mailto:info@johnsun-solar.com.cy" TargetMode="External"/><Relationship Id="rId144" Type="http://schemas.openxmlformats.org/officeDocument/2006/relationships/hyperlink" Target="mailto:valentinoserotokritou1984@gmail.com" TargetMode="External"/><Relationship Id="rId73" Type="http://schemas.openxmlformats.org/officeDocument/2006/relationships/hyperlink" Target="http://cmenergy.com.cy/" TargetMode="External"/><Relationship Id="rId72" Type="http://schemas.openxmlformats.org/officeDocument/2006/relationships/hyperlink" Target="mailto:maria.yiannakou@cytanet.com.cy" TargetMode="External"/><Relationship Id="rId75" Type="http://schemas.openxmlformats.org/officeDocument/2006/relationships/hyperlink" Target="https://www.goldentouchsolar.com/" TargetMode="External"/><Relationship Id="rId74" Type="http://schemas.openxmlformats.org/officeDocument/2006/relationships/hyperlink" Target="mailto:constantinos.argyrides@gmail.com" TargetMode="External"/><Relationship Id="rId77" Type="http://schemas.openxmlformats.org/officeDocument/2006/relationships/hyperlink" Target="http://www.kotsovolos.cy/" TargetMode="External"/><Relationship Id="rId76" Type="http://schemas.openxmlformats.org/officeDocument/2006/relationships/hyperlink" Target="mailto:ioannouk@kotsovolos.gr" TargetMode="External"/><Relationship Id="rId79" Type="http://schemas.openxmlformats.org/officeDocument/2006/relationships/hyperlink" Target="mailto:christoforos_ha@hotmail.com" TargetMode="External"/><Relationship Id="rId78" Type="http://schemas.openxmlformats.org/officeDocument/2006/relationships/hyperlink" Target="mailto:akykkosa@hotmail.com" TargetMode="External"/><Relationship Id="rId71" Type="http://schemas.openxmlformats.org/officeDocument/2006/relationships/hyperlink" Target="https://www.facebook.com/people/Cms-electrical-services" TargetMode="External"/><Relationship Id="rId70" Type="http://schemas.openxmlformats.org/officeDocument/2006/relationships/hyperlink" Target="mailto:cmselectricalservices@outlook.com" TargetMode="External"/><Relationship Id="rId139" Type="http://schemas.openxmlformats.org/officeDocument/2006/relationships/hyperlink" Target="http://www.cy-sol.com/" TargetMode="External"/><Relationship Id="rId138" Type="http://schemas.openxmlformats.org/officeDocument/2006/relationships/hyperlink" Target="http://www.vasconsolar.com.cy/" TargetMode="External"/><Relationship Id="rId137" Type="http://schemas.openxmlformats.org/officeDocument/2006/relationships/hyperlink" Target="https://pavosolenergy.com/" TargetMode="External"/><Relationship Id="rId132" Type="http://schemas.openxmlformats.org/officeDocument/2006/relationships/hyperlink" Target="mailto:theo.solar.tech@gmail.com" TargetMode="External"/><Relationship Id="rId131" Type="http://schemas.openxmlformats.org/officeDocument/2006/relationships/hyperlink" Target="mailto:m.kokkinos@hotmail.com" TargetMode="External"/><Relationship Id="rId130" Type="http://schemas.openxmlformats.org/officeDocument/2006/relationships/hyperlink" Target="mailto:pericleous_pan@hotmail.com" TargetMode="External"/><Relationship Id="rId136" Type="http://schemas.openxmlformats.org/officeDocument/2006/relationships/hyperlink" Target="https://elektraenergycy.com/about-us/" TargetMode="External"/><Relationship Id="rId135" Type="http://schemas.openxmlformats.org/officeDocument/2006/relationships/hyperlink" Target="http://https/www.intergazenergy.com/" TargetMode="External"/><Relationship Id="rId134" Type="http://schemas.openxmlformats.org/officeDocument/2006/relationships/hyperlink" Target="https://www.facebook.com/p/CPetroui-solar-systems-100076638219747" TargetMode="External"/><Relationship Id="rId133" Type="http://schemas.openxmlformats.org/officeDocument/2006/relationships/hyperlink" Target="http://www.biolandenergy.com/" TargetMode="External"/><Relationship Id="rId62" Type="http://schemas.openxmlformats.org/officeDocument/2006/relationships/hyperlink" Target="mailto:info@aixmisolarstore.com" TargetMode="External"/><Relationship Id="rId61" Type="http://schemas.openxmlformats.org/officeDocument/2006/relationships/hyperlink" Target="https://www.viptechnologiescy.com/index.asp" TargetMode="External"/><Relationship Id="rId64" Type="http://schemas.openxmlformats.org/officeDocument/2006/relationships/hyperlink" Target="mailto:charidemoua@gmail.com" TargetMode="External"/><Relationship Id="rId63" Type="http://schemas.openxmlformats.org/officeDocument/2006/relationships/hyperlink" Target="https://aixmi-solarstore.com/" TargetMode="External"/><Relationship Id="rId66" Type="http://schemas.openxmlformats.org/officeDocument/2006/relationships/hyperlink" Target="https://solartech.com.cy/" TargetMode="External"/><Relationship Id="rId172" Type="http://schemas.openxmlformats.org/officeDocument/2006/relationships/hyperlink" Target="mailto:info@ambioenergy.com" TargetMode="External"/><Relationship Id="rId65" Type="http://schemas.openxmlformats.org/officeDocument/2006/relationships/hyperlink" Target="mailto:info@solartech.com.cy" TargetMode="External"/><Relationship Id="rId171" Type="http://schemas.openxmlformats.org/officeDocument/2006/relationships/hyperlink" Target="https://oikodomein.eu/" TargetMode="External"/><Relationship Id="rId68" Type="http://schemas.openxmlformats.org/officeDocument/2006/relationships/hyperlink" Target="https://bestcool.com.cy/" TargetMode="External"/><Relationship Id="rId170" Type="http://schemas.openxmlformats.org/officeDocument/2006/relationships/hyperlink" Target="https://www.sun-technology.com.cy/" TargetMode="External"/><Relationship Id="rId67" Type="http://schemas.openxmlformats.org/officeDocument/2006/relationships/hyperlink" Target="mailto:a.constantinou@daikincy.com" TargetMode="External"/><Relationship Id="rId60" Type="http://schemas.openxmlformats.org/officeDocument/2006/relationships/hyperlink" Target="mailto:info@viptechnologiescy.com" TargetMode="External"/><Relationship Id="rId165" Type="http://schemas.openxmlformats.org/officeDocument/2006/relationships/hyperlink" Target="https://www.tameenergy.com/" TargetMode="External"/><Relationship Id="rId69" Type="http://schemas.openxmlformats.org/officeDocument/2006/relationships/hyperlink" Target="https://www.pmdynamic.net/" TargetMode="External"/><Relationship Id="rId164" Type="http://schemas.openxmlformats.org/officeDocument/2006/relationships/hyperlink" Target="mailto:info@tameenergy.com" TargetMode="External"/><Relationship Id="rId163" Type="http://schemas.openxmlformats.org/officeDocument/2006/relationships/hyperlink" Target="https://cmelectromechanical.com/contact-us.html" TargetMode="External"/><Relationship Id="rId162" Type="http://schemas.openxmlformats.org/officeDocument/2006/relationships/hyperlink" Target="mailto:info@cmelectromechanical.com" TargetMode="External"/><Relationship Id="rId169" Type="http://schemas.openxmlformats.org/officeDocument/2006/relationships/hyperlink" Target="mailto:s.tech.cyprus@gmail.com" TargetMode="External"/><Relationship Id="rId168" Type="http://schemas.openxmlformats.org/officeDocument/2006/relationships/hyperlink" Target="https://www.jpbenergy.com/en/" TargetMode="External"/><Relationship Id="rId167" Type="http://schemas.openxmlformats.org/officeDocument/2006/relationships/hyperlink" Target="https://acdcrenewables.com/" TargetMode="External"/><Relationship Id="rId166" Type="http://schemas.openxmlformats.org/officeDocument/2006/relationships/hyperlink" Target="mailto:info@acdcrenewables.com" TargetMode="External"/><Relationship Id="rId51" Type="http://schemas.openxmlformats.org/officeDocument/2006/relationships/hyperlink" Target="https://www.amelelectrical.com.cy/" TargetMode="External"/><Relationship Id="rId50" Type="http://schemas.openxmlformats.org/officeDocument/2006/relationships/hyperlink" Target="mailto:amel.electrical@cytanet.com.cy" TargetMode="External"/><Relationship Id="rId53" Type="http://schemas.openxmlformats.org/officeDocument/2006/relationships/hyperlink" Target="https://www.innovanrg.com/" TargetMode="External"/><Relationship Id="rId52" Type="http://schemas.openxmlformats.org/officeDocument/2006/relationships/hyperlink" Target="mailto:info@innovanrg.com" TargetMode="External"/><Relationship Id="rId55" Type="http://schemas.openxmlformats.org/officeDocument/2006/relationships/hyperlink" Target="mailto:enegy@polarthousing.com" TargetMode="External"/><Relationship Id="rId161" Type="http://schemas.openxmlformats.org/officeDocument/2006/relationships/hyperlink" Target="https://www.facebook.com/wattengineering/" TargetMode="External"/><Relationship Id="rId54" Type="http://schemas.openxmlformats.org/officeDocument/2006/relationships/hyperlink" Target="mailto:info@cypenergia.com" TargetMode="External"/><Relationship Id="rId160" Type="http://schemas.openxmlformats.org/officeDocument/2006/relationships/hyperlink" Target="mailto:watt01@cytanet.com.cy" TargetMode="External"/><Relationship Id="rId57" Type="http://schemas.openxmlformats.org/officeDocument/2006/relationships/hyperlink" Target="mailto:marios.energyhouse@gmail.com" TargetMode="External"/><Relationship Id="rId56" Type="http://schemas.openxmlformats.org/officeDocument/2006/relationships/hyperlink" Target="http://www.polarthousing.com/energy/" TargetMode="External"/><Relationship Id="rId159" Type="http://schemas.openxmlformats.org/officeDocument/2006/relationships/hyperlink" Target="mailto:parisraftis@gmail.com" TargetMode="External"/><Relationship Id="rId59" Type="http://schemas.openxmlformats.org/officeDocument/2006/relationships/hyperlink" Target="https://www.totalplus.com.cy/" TargetMode="External"/><Relationship Id="rId154" Type="http://schemas.openxmlformats.org/officeDocument/2006/relationships/hyperlink" Target="https://andisolartec.com/" TargetMode="External"/><Relationship Id="rId58" Type="http://schemas.openxmlformats.org/officeDocument/2006/relationships/hyperlink" Target="https://energyhousecy.com/" TargetMode="External"/><Relationship Id="rId153" Type="http://schemas.openxmlformats.org/officeDocument/2006/relationships/hyperlink" Target="https://www.solartechnologies.com.cy/" TargetMode="External"/><Relationship Id="rId152" Type="http://schemas.openxmlformats.org/officeDocument/2006/relationships/hyperlink" Target="https://aienergies-cy.com/" TargetMode="External"/><Relationship Id="rId151" Type="http://schemas.openxmlformats.org/officeDocument/2006/relationships/hyperlink" Target="mailto:and.ioannides@cytanet.com.cy" TargetMode="External"/><Relationship Id="rId158" Type="http://schemas.openxmlformats.org/officeDocument/2006/relationships/hyperlink" Target="mailto:info@greenair-cy.com" TargetMode="External"/><Relationship Id="rId157" Type="http://schemas.openxmlformats.org/officeDocument/2006/relationships/hyperlink" Target="https://michaeleliasphotovoltaicsystems.com/" TargetMode="External"/><Relationship Id="rId156" Type="http://schemas.openxmlformats.org/officeDocument/2006/relationships/hyperlink" Target="mailto:michael.elias278@gmail.com" TargetMode="External"/><Relationship Id="rId155" Type="http://schemas.openxmlformats.org/officeDocument/2006/relationships/hyperlink" Target="mailto:mechanical@zandxgroup.com" TargetMode="External"/><Relationship Id="rId107" Type="http://schemas.openxmlformats.org/officeDocument/2006/relationships/hyperlink" Target="mailto:energy@fluxenergy.eu" TargetMode="External"/><Relationship Id="rId106" Type="http://schemas.openxmlformats.org/officeDocument/2006/relationships/hyperlink" Target="mailto:silou.g.stelios@gmail.com" TargetMode="External"/><Relationship Id="rId105" Type="http://schemas.openxmlformats.org/officeDocument/2006/relationships/hyperlink" Target="https://esenggroup.com/" TargetMode="External"/><Relationship Id="rId104" Type="http://schemas.openxmlformats.org/officeDocument/2006/relationships/hyperlink" Target="https://mm-proelectric-ltd-electrical-engineer.business.site/" TargetMode="External"/><Relationship Id="rId109" Type="http://schemas.openxmlformats.org/officeDocument/2006/relationships/hyperlink" Target="mailto:leandoxltd@gmail.com" TargetMode="External"/><Relationship Id="rId108" Type="http://schemas.openxmlformats.org/officeDocument/2006/relationships/hyperlink" Target="https://fluxenergy.eu/" TargetMode="External"/><Relationship Id="rId103" Type="http://schemas.openxmlformats.org/officeDocument/2006/relationships/hyperlink" Target="mailto:proelectric_ltd@hotmail.com" TargetMode="External"/><Relationship Id="rId102" Type="http://schemas.openxmlformats.org/officeDocument/2006/relationships/hyperlink" Target="https://www.enesco.com.cy/" TargetMode="External"/><Relationship Id="rId101" Type="http://schemas.openxmlformats.org/officeDocument/2006/relationships/hyperlink" Target="mailto:info@enesco.com.cy" TargetMode="External"/><Relationship Id="rId100" Type="http://schemas.openxmlformats.org/officeDocument/2006/relationships/hyperlink" Target="https://www.facebook.com/Buypropertyingreece/" TargetMode="External"/><Relationship Id="rId129" Type="http://schemas.openxmlformats.org/officeDocument/2006/relationships/hyperlink" Target="mailto:panagidesantones@gmail.com" TargetMode="External"/><Relationship Id="rId128" Type="http://schemas.openxmlformats.org/officeDocument/2006/relationships/hyperlink" Target="mailto:a.c.solar.ltd@gmail.com" TargetMode="External"/><Relationship Id="rId127" Type="http://schemas.openxmlformats.org/officeDocument/2006/relationships/hyperlink" Target="mailto:eefthymiou@zemcogroup.com" TargetMode="External"/><Relationship Id="rId126" Type="http://schemas.openxmlformats.org/officeDocument/2006/relationships/hyperlink" Target="mailto:info@trifactor-solutions.com" TargetMode="External"/><Relationship Id="rId121" Type="http://schemas.openxmlformats.org/officeDocument/2006/relationships/hyperlink" Target="mailto:theodoros.glykis@gmail.com" TargetMode="External"/><Relationship Id="rId120" Type="http://schemas.openxmlformats.org/officeDocument/2006/relationships/hyperlink" Target="https://www.godsenergy.eu/" TargetMode="External"/><Relationship Id="rId125" Type="http://schemas.openxmlformats.org/officeDocument/2006/relationships/hyperlink" Target="https://www.facebook.com/adamoumarinos/" TargetMode="External"/><Relationship Id="rId124" Type="http://schemas.openxmlformats.org/officeDocument/2006/relationships/hyperlink" Target="mailto:amps@infopowersystems.com" TargetMode="External"/><Relationship Id="rId123" Type="http://schemas.openxmlformats.org/officeDocument/2006/relationships/hyperlink" Target="https://www.facebook.com/p/LP-Technotherm-Ltd-100069084293900" TargetMode="External"/><Relationship Id="rId122" Type="http://schemas.openxmlformats.org/officeDocument/2006/relationships/hyperlink" Target="mailto:Lptechnotherm@cytanet.com.cy" TargetMode="External"/><Relationship Id="rId95" Type="http://schemas.openxmlformats.org/officeDocument/2006/relationships/hyperlink" Target="https://www.facebook.com/ersol.energy.1" TargetMode="External"/><Relationship Id="rId94" Type="http://schemas.openxmlformats.org/officeDocument/2006/relationships/hyperlink" Target="http://www.trikkisenergy.com/" TargetMode="External"/><Relationship Id="rId97" Type="http://schemas.openxmlformats.org/officeDocument/2006/relationships/hyperlink" Target="https://www.geology.com.cy/en/company-profile/" TargetMode="External"/><Relationship Id="rId96" Type="http://schemas.openxmlformats.org/officeDocument/2006/relationships/hyperlink" Target="http://www.kceec.com.cy/" TargetMode="External"/><Relationship Id="rId99" Type="http://schemas.openxmlformats.org/officeDocument/2006/relationships/hyperlink" Target="mailto:valentinos@intesocy.com" TargetMode="External"/><Relationship Id="rId98" Type="http://schemas.openxmlformats.org/officeDocument/2006/relationships/hyperlink" Target="https://www.facebook.com/p/DEMELectrical-Solar-Energy-100065499999100/" TargetMode="External"/><Relationship Id="rId91" Type="http://schemas.openxmlformats.org/officeDocument/2006/relationships/hyperlink" Target="http://http/ioannoualternative.com" TargetMode="External"/><Relationship Id="rId90" Type="http://schemas.openxmlformats.org/officeDocument/2006/relationships/hyperlink" Target="http://www.geg.com.cy/" TargetMode="External"/><Relationship Id="rId93" Type="http://schemas.openxmlformats.org/officeDocument/2006/relationships/hyperlink" Target="http://www.superclima.com/" TargetMode="External"/><Relationship Id="rId92" Type="http://schemas.openxmlformats.org/officeDocument/2006/relationships/hyperlink" Target="http://www.limcen.com/" TargetMode="External"/><Relationship Id="rId118" Type="http://schemas.openxmlformats.org/officeDocument/2006/relationships/hyperlink" Target="https://askepower.com/" TargetMode="External"/><Relationship Id="rId117" Type="http://schemas.openxmlformats.org/officeDocument/2006/relationships/hyperlink" Target="mailto:info@askepower.com" TargetMode="External"/><Relationship Id="rId116" Type="http://schemas.openxmlformats.org/officeDocument/2006/relationships/hyperlink" Target="mailto:solarcellcy@gmail.com" TargetMode="External"/><Relationship Id="rId115" Type="http://schemas.openxmlformats.org/officeDocument/2006/relationships/hyperlink" Target="mailto:kechrima@gmail.com" TargetMode="External"/><Relationship Id="rId119" Type="http://schemas.openxmlformats.org/officeDocument/2006/relationships/hyperlink" Target="mailto:godsenergyltd@gmail.com" TargetMode="External"/><Relationship Id="rId110" Type="http://schemas.openxmlformats.org/officeDocument/2006/relationships/hyperlink" Target="mailto:leandoxltd@gmail.com" TargetMode="External"/><Relationship Id="rId114" Type="http://schemas.openxmlformats.org/officeDocument/2006/relationships/hyperlink" Target="https://www.panthermiki.com/en" TargetMode="External"/><Relationship Id="rId113" Type="http://schemas.openxmlformats.org/officeDocument/2006/relationships/hyperlink" Target="mailto:info@panthermiki.com" TargetMode="External"/><Relationship Id="rId112" Type="http://schemas.openxmlformats.org/officeDocument/2006/relationships/hyperlink" Target="mailto:info@a-z.com.cy" TargetMode="External"/><Relationship Id="rId111" Type="http://schemas.openxmlformats.org/officeDocument/2006/relationships/hyperlink" Target="mailto:petros.mavropoulos@gmail.com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0.1" defaultRowHeight="15.0"/>
  <cols>
    <col customWidth="1" min="1" max="1" width="7.5"/>
    <col customWidth="1" min="2" max="2" width="19.9"/>
    <col customWidth="1" min="3" max="3" width="39.0"/>
    <col customWidth="1" min="4" max="4" width="16.5"/>
    <col customWidth="1" min="5" max="5" width="11.6"/>
    <col customWidth="1" min="6" max="6" width="20.1"/>
    <col customWidth="1" min="7" max="7" width="19.6"/>
    <col customWidth="1" min="8" max="8" width="18.6"/>
    <col customWidth="1" min="9" max="9" width="10.2"/>
    <col customWidth="1" min="10" max="10" width="20.4"/>
    <col customWidth="1" min="11" max="11" width="20.7"/>
    <col customWidth="1" min="12" max="12" width="17.9"/>
    <col customWidth="1" min="13" max="13" width="12.4"/>
    <col customWidth="1" min="14" max="14" width="14.4"/>
    <col customWidth="1" min="15" max="15" width="14.1"/>
    <col customWidth="1" min="16" max="16" width="14.6"/>
    <col customWidth="1" min="17" max="17" width="14.1"/>
    <col customWidth="1" min="18" max="19" width="14.6"/>
    <col customWidth="1" min="20" max="21" width="13.4"/>
    <col customWidth="1" min="22" max="26" width="12.6"/>
  </cols>
  <sheetData>
    <row r="1" ht="36.0" customHeight="1">
      <c r="A1" s="1" t="s">
        <v>0</v>
      </c>
      <c r="B1" s="2"/>
      <c r="C1" s="3" t="s">
        <v>1</v>
      </c>
      <c r="D1" s="3"/>
      <c r="E1" s="2"/>
      <c r="F1" s="2"/>
      <c r="G1" s="1" t="s">
        <v>2</v>
      </c>
      <c r="H1" s="4"/>
      <c r="I1" s="5"/>
      <c r="J1" s="1"/>
      <c r="K1" s="2"/>
      <c r="L1" s="6"/>
      <c r="M1" s="6" t="s">
        <v>3</v>
      </c>
      <c r="N1" s="7"/>
      <c r="O1" s="7"/>
      <c r="P1" s="8" t="s">
        <v>4</v>
      </c>
      <c r="Q1" s="7"/>
      <c r="R1" s="7"/>
      <c r="S1" s="7"/>
      <c r="T1" s="7"/>
      <c r="U1" s="7"/>
    </row>
    <row r="2" ht="21.0" customHeight="1">
      <c r="A2" s="9"/>
      <c r="B2" s="9"/>
      <c r="C2" s="9"/>
      <c r="D2" s="9"/>
      <c r="E2" s="10"/>
      <c r="F2" s="10"/>
      <c r="G2" s="9" t="s">
        <v>5</v>
      </c>
      <c r="H2" s="9"/>
      <c r="I2" s="11"/>
      <c r="J2" s="9" t="s">
        <v>6</v>
      </c>
      <c r="K2" s="9"/>
      <c r="L2" s="9"/>
      <c r="M2" s="12"/>
      <c r="N2" s="9"/>
      <c r="O2" s="9"/>
      <c r="P2" s="9"/>
      <c r="Q2" s="9"/>
      <c r="R2" s="9"/>
      <c r="S2" s="9"/>
      <c r="T2" s="9"/>
      <c r="U2" s="9"/>
    </row>
    <row r="3" ht="21.0" customHeight="1">
      <c r="A3" s="13"/>
      <c r="B3" s="14" t="s">
        <v>7</v>
      </c>
      <c r="C3" s="15" t="s">
        <v>8</v>
      </c>
      <c r="D3" s="15" t="s">
        <v>9</v>
      </c>
      <c r="E3" s="15" t="s">
        <v>10</v>
      </c>
      <c r="F3" s="16" t="s">
        <v>11</v>
      </c>
      <c r="G3" s="17" t="s">
        <v>12</v>
      </c>
      <c r="H3" s="17" t="s">
        <v>13</v>
      </c>
      <c r="I3" s="18" t="s">
        <v>14</v>
      </c>
      <c r="J3" s="17" t="s">
        <v>15</v>
      </c>
      <c r="K3" s="15" t="s">
        <v>16</v>
      </c>
      <c r="L3" s="17" t="s">
        <v>17</v>
      </c>
      <c r="M3" s="19" t="s">
        <v>18</v>
      </c>
      <c r="N3" s="20" t="s">
        <v>19</v>
      </c>
      <c r="O3" s="21" t="s">
        <v>20</v>
      </c>
      <c r="P3" s="20" t="s">
        <v>21</v>
      </c>
      <c r="Q3" s="20" t="s">
        <v>22</v>
      </c>
      <c r="R3" s="22" t="s">
        <v>23</v>
      </c>
      <c r="S3" s="22" t="s">
        <v>24</v>
      </c>
      <c r="T3" s="22"/>
      <c r="U3" s="23"/>
    </row>
    <row r="4" ht="21.0" hidden="1" customHeight="1">
      <c r="A4" s="13"/>
      <c r="B4" s="24" t="str">
        <f>'ALL DATA &amp; IT4PROFIT'!A6</f>
        <v>HUAWEI</v>
      </c>
      <c r="C4" s="24" t="str">
        <f>'ALL DATA &amp; IT4PROFIT'!B6</f>
        <v>SUN2000-2KTL-L1</v>
      </c>
      <c r="D4" s="24" t="str">
        <f>'ALL DATA &amp; IT4PROFIT'!C6</f>
        <v>1PH HYBRID</v>
      </c>
      <c r="E4" s="25">
        <v>1.0</v>
      </c>
      <c r="F4" s="26" t="str">
        <f>'ALL DATA &amp; IT4PROFIT'!J6</f>
        <v>*se container</v>
      </c>
      <c r="G4" s="27" t="str">
        <f t="shared" ref="G4:G31" si="1">F4+$G$193</f>
        <v>#VALUE!</v>
      </c>
      <c r="H4" s="27" t="str">
        <f t="shared" ref="H4:H178" si="2">(G4*$E$193)+G4</f>
        <v>#VALUE!</v>
      </c>
      <c r="I4" s="28" t="str">
        <f t="shared" ref="I4:I176" si="3">(J4-H4)/J4</f>
        <v>#VALUE!</v>
      </c>
      <c r="J4" s="29" t="str">
        <f t="shared" ref="J4:J176" si="4">H4/(1-M4)</f>
        <v>#VALUE!</v>
      </c>
      <c r="K4" s="30" t="str">
        <f t="shared" ref="K4:K176" si="5">SUM(E4*J4)</f>
        <v>#VALUE!</v>
      </c>
      <c r="L4" s="30" t="str">
        <f t="shared" ref="L4:L176" si="6">SUM(E4*H4)</f>
        <v>#VALUE!</v>
      </c>
      <c r="M4" s="31">
        <v>0.07</v>
      </c>
      <c r="N4" s="32">
        <v>420.0</v>
      </c>
      <c r="O4" s="33"/>
      <c r="P4" s="32">
        <f>'ALL DATA &amp; IT4PROFIT'!H6</f>
        <v>557</v>
      </c>
      <c r="Q4" s="33">
        <f>'ALL DATA &amp; IT4PROFIT'!K6</f>
        <v>344</v>
      </c>
      <c r="R4" s="33">
        <f>'ALL DATA &amp; IT4PROFIT'!D6</f>
        <v>489</v>
      </c>
      <c r="S4" s="32"/>
      <c r="T4" s="9"/>
      <c r="U4" s="34"/>
    </row>
    <row r="5" ht="21.0" customHeight="1">
      <c r="A5" s="13"/>
      <c r="B5" s="24" t="str">
        <f>'ALL DATA &amp; IT4PROFIT'!A7</f>
        <v>HUAWEI</v>
      </c>
      <c r="C5" s="24" t="str">
        <f>'ALL DATA &amp; IT4PROFIT'!B7</f>
        <v>SUN2000-3KTL-L1</v>
      </c>
      <c r="D5" s="24" t="str">
        <f>'ALL DATA &amp; IT4PROFIT'!C7</f>
        <v>1PH HYBRID</v>
      </c>
      <c r="E5" s="25">
        <v>1.0</v>
      </c>
      <c r="F5" s="26">
        <f>'ALL DATA &amp; IT4PROFIT'!J7</f>
        <v>550</v>
      </c>
      <c r="G5" s="27">
        <f t="shared" si="1"/>
        <v>575</v>
      </c>
      <c r="H5" s="27">
        <f t="shared" si="2"/>
        <v>589.375</v>
      </c>
      <c r="I5" s="28">
        <f t="shared" si="3"/>
        <v>0</v>
      </c>
      <c r="J5" s="29">
        <f t="shared" si="4"/>
        <v>589.375</v>
      </c>
      <c r="K5" s="30">
        <f t="shared" si="5"/>
        <v>589.375</v>
      </c>
      <c r="L5" s="30">
        <f t="shared" si="6"/>
        <v>589.375</v>
      </c>
      <c r="M5" s="31">
        <v>0.0</v>
      </c>
      <c r="N5" s="32">
        <v>510.0</v>
      </c>
      <c r="O5" s="35"/>
      <c r="P5" s="32">
        <f>'ALL DATA &amp; IT4PROFIT'!H7</f>
        <v>545</v>
      </c>
      <c r="Q5" s="35">
        <f>'ALL DATA &amp; IT4PROFIT'!K7</f>
        <v>432</v>
      </c>
      <c r="R5" s="35">
        <f>'ALL DATA &amp; IT4PROFIT'!D7</f>
        <v>575</v>
      </c>
      <c r="S5" s="32"/>
      <c r="T5" s="9"/>
      <c r="U5" s="9"/>
    </row>
    <row r="6" ht="21.0" hidden="1" customHeight="1">
      <c r="A6" s="13"/>
      <c r="B6" s="24" t="str">
        <f>'ALL DATA &amp; IT4PROFIT'!A8</f>
        <v>HUAWEI</v>
      </c>
      <c r="C6" s="24" t="str">
        <f>'ALL DATA &amp; IT4PROFIT'!B8</f>
        <v>SUN2000-3.68KTL-L1</v>
      </c>
      <c r="D6" s="24" t="str">
        <f>'ALL DATA &amp; IT4PROFIT'!C8</f>
        <v>1PH HYBRID</v>
      </c>
      <c r="E6" s="25">
        <v>1.0</v>
      </c>
      <c r="F6" s="26" t="str">
        <f>'ALL DATA &amp; IT4PROFIT'!J8</f>
        <v/>
      </c>
      <c r="G6" s="27">
        <f t="shared" si="1"/>
        <v>25</v>
      </c>
      <c r="H6" s="27">
        <f t="shared" si="2"/>
        <v>25.625</v>
      </c>
      <c r="I6" s="28">
        <f t="shared" si="3"/>
        <v>0.05</v>
      </c>
      <c r="J6" s="29">
        <f t="shared" si="4"/>
        <v>26.97368421</v>
      </c>
      <c r="K6" s="30">
        <f t="shared" si="5"/>
        <v>26.97368421</v>
      </c>
      <c r="L6" s="30">
        <f t="shared" si="6"/>
        <v>25.625</v>
      </c>
      <c r="M6" s="31">
        <v>0.05</v>
      </c>
      <c r="N6" s="32">
        <v>580.0</v>
      </c>
      <c r="O6" s="35"/>
      <c r="P6" s="32" t="str">
        <f>'ALL DATA &amp; IT4PROFIT'!H8</f>
        <v/>
      </c>
      <c r="Q6" s="35" t="str">
        <f>'ALL DATA &amp; IT4PROFIT'!K8</f>
        <v/>
      </c>
      <c r="R6" s="35">
        <f>'ALL DATA &amp; IT4PROFIT'!D8</f>
        <v>677</v>
      </c>
      <c r="S6" s="32"/>
      <c r="T6" s="9"/>
      <c r="U6" s="9"/>
    </row>
    <row r="7" ht="21.0" customHeight="1">
      <c r="A7" s="13"/>
      <c r="B7" s="24" t="str">
        <f>'ALL DATA &amp; IT4PROFIT'!A9</f>
        <v>HUAWEI</v>
      </c>
      <c r="C7" s="24" t="str">
        <f>'ALL DATA &amp; IT4PROFIT'!B9</f>
        <v>SUN2000-4KTL-L1</v>
      </c>
      <c r="D7" s="24" t="str">
        <f>'ALL DATA &amp; IT4PROFIT'!C9</f>
        <v>1PH HYBRID</v>
      </c>
      <c r="E7" s="25">
        <v>1.0</v>
      </c>
      <c r="F7" s="26">
        <f>'ALL DATA &amp; IT4PROFIT'!J9</f>
        <v>674</v>
      </c>
      <c r="G7" s="27">
        <f t="shared" si="1"/>
        <v>699</v>
      </c>
      <c r="H7" s="27">
        <f t="shared" si="2"/>
        <v>716.475</v>
      </c>
      <c r="I7" s="28">
        <f t="shared" si="3"/>
        <v>0</v>
      </c>
      <c r="J7" s="29">
        <f t="shared" si="4"/>
        <v>716.475</v>
      </c>
      <c r="K7" s="30">
        <f t="shared" si="5"/>
        <v>716.475</v>
      </c>
      <c r="L7" s="30">
        <f t="shared" si="6"/>
        <v>716.475</v>
      </c>
      <c r="M7" s="31">
        <v>0.0</v>
      </c>
      <c r="N7" s="32">
        <v>620.0</v>
      </c>
      <c r="O7" s="35"/>
      <c r="P7" s="32">
        <f>'ALL DATA &amp; IT4PROFIT'!H9</f>
        <v>580</v>
      </c>
      <c r="Q7" s="35">
        <f>'ALL DATA &amp; IT4PROFIT'!K9</f>
        <v>563</v>
      </c>
      <c r="R7" s="35">
        <f>'ALL DATA &amp; IT4PROFIT'!D9</f>
        <v>705</v>
      </c>
      <c r="S7" s="32"/>
      <c r="T7" s="9"/>
      <c r="U7" s="9"/>
    </row>
    <row r="8" ht="21.0" hidden="1" customHeight="1">
      <c r="A8" s="13"/>
      <c r="B8" s="24" t="str">
        <f>'ALL DATA &amp; IT4PROFIT'!A10</f>
        <v>HUAWEI</v>
      </c>
      <c r="C8" s="24" t="str">
        <f>'ALL DATA &amp; IT4PROFIT'!B10</f>
        <v>SUN2000-4.6KTL-L1</v>
      </c>
      <c r="D8" s="24" t="str">
        <f>'ALL DATA &amp; IT4PROFIT'!C10</f>
        <v>1PH HYBRID</v>
      </c>
      <c r="E8" s="25">
        <v>1.0</v>
      </c>
      <c r="F8" s="26" t="str">
        <f>'ALL DATA &amp; IT4PROFIT'!J10</f>
        <v/>
      </c>
      <c r="G8" s="27">
        <f t="shared" si="1"/>
        <v>25</v>
      </c>
      <c r="H8" s="27">
        <f t="shared" si="2"/>
        <v>25.625</v>
      </c>
      <c r="I8" s="28">
        <f t="shared" si="3"/>
        <v>0.05</v>
      </c>
      <c r="J8" s="29">
        <f t="shared" si="4"/>
        <v>26.97368421</v>
      </c>
      <c r="K8" s="30">
        <f t="shared" si="5"/>
        <v>26.97368421</v>
      </c>
      <c r="L8" s="30">
        <f t="shared" si="6"/>
        <v>25.625</v>
      </c>
      <c r="M8" s="31">
        <v>0.05</v>
      </c>
      <c r="N8" s="32">
        <v>645.0</v>
      </c>
      <c r="O8" s="35"/>
      <c r="P8" s="32">
        <f>'ALL DATA &amp; IT4PROFIT'!H10</f>
        <v>595</v>
      </c>
      <c r="Q8" s="35">
        <f>'ALL DATA &amp; IT4PROFIT'!K10</f>
        <v>616</v>
      </c>
      <c r="R8" s="35">
        <f>'ALL DATA &amp; IT4PROFIT'!D10</f>
        <v>756</v>
      </c>
      <c r="S8" s="32"/>
      <c r="T8" s="9"/>
      <c r="U8" s="9"/>
    </row>
    <row r="9" ht="21.0" customHeight="1">
      <c r="A9" s="13"/>
      <c r="B9" s="24" t="str">
        <f>'ALL DATA &amp; IT4PROFIT'!A11</f>
        <v>HUAWEI</v>
      </c>
      <c r="C9" s="24" t="str">
        <f>'ALL DATA &amp; IT4PROFIT'!B11</f>
        <v>SUN2000-5KTL-L1</v>
      </c>
      <c r="D9" s="24" t="str">
        <f>'ALL DATA &amp; IT4PROFIT'!C11</f>
        <v>1PH HYBRID</v>
      </c>
      <c r="E9" s="25">
        <v>1.0</v>
      </c>
      <c r="F9" s="26">
        <f>'ALL DATA &amp; IT4PROFIT'!J11</f>
        <v>731</v>
      </c>
      <c r="G9" s="27">
        <f t="shared" si="1"/>
        <v>756</v>
      </c>
      <c r="H9" s="27">
        <f t="shared" si="2"/>
        <v>774.9</v>
      </c>
      <c r="I9" s="28">
        <f t="shared" si="3"/>
        <v>0</v>
      </c>
      <c r="J9" s="29">
        <f t="shared" si="4"/>
        <v>774.9</v>
      </c>
      <c r="K9" s="30">
        <f t="shared" si="5"/>
        <v>774.9</v>
      </c>
      <c r="L9" s="30">
        <f t="shared" si="6"/>
        <v>774.9</v>
      </c>
      <c r="M9" s="31">
        <v>0.0</v>
      </c>
      <c r="N9" s="32">
        <v>660.0</v>
      </c>
      <c r="O9" s="35"/>
      <c r="P9" s="32">
        <f>'ALL DATA &amp; IT4PROFIT'!H11</f>
        <v>620</v>
      </c>
      <c r="Q9" s="35">
        <f>'ALL DATA &amp; IT4PROFIT'!K11</f>
        <v>624</v>
      </c>
      <c r="R9" s="35">
        <f>'ALL DATA &amp; IT4PROFIT'!D11</f>
        <v>764</v>
      </c>
      <c r="S9" s="32"/>
      <c r="T9" s="9"/>
      <c r="U9" s="9"/>
    </row>
    <row r="10" ht="21.0" hidden="1" customHeight="1">
      <c r="A10" s="13"/>
      <c r="B10" s="24" t="str">
        <f>'ALL DATA &amp; IT4PROFIT'!A12</f>
        <v>HUAWEI</v>
      </c>
      <c r="C10" s="24" t="str">
        <f>'ALL DATA &amp; IT4PROFIT'!B12</f>
        <v>SUN2000-6KTL-L1</v>
      </c>
      <c r="D10" s="24" t="str">
        <f>'ALL DATA &amp; IT4PROFIT'!C12</f>
        <v>1PH HYBRID</v>
      </c>
      <c r="E10" s="25">
        <v>1.0</v>
      </c>
      <c r="F10" s="26" t="str">
        <f>'ALL DATA &amp; IT4PROFIT'!J12</f>
        <v/>
      </c>
      <c r="G10" s="27">
        <f t="shared" si="1"/>
        <v>25</v>
      </c>
      <c r="H10" s="27">
        <f t="shared" si="2"/>
        <v>25.625</v>
      </c>
      <c r="I10" s="28">
        <f t="shared" si="3"/>
        <v>0.05</v>
      </c>
      <c r="J10" s="29">
        <f t="shared" si="4"/>
        <v>26.97368421</v>
      </c>
      <c r="K10" s="30">
        <f t="shared" si="5"/>
        <v>26.97368421</v>
      </c>
      <c r="L10" s="30">
        <f t="shared" si="6"/>
        <v>25.625</v>
      </c>
      <c r="M10" s="31">
        <v>0.05</v>
      </c>
      <c r="N10" s="32"/>
      <c r="O10" s="35"/>
      <c r="P10" s="32" t="str">
        <f>'ALL DATA &amp; IT4PROFIT'!H12</f>
        <v/>
      </c>
      <c r="Q10" s="35" t="str">
        <f>'ALL DATA &amp; IT4PROFIT'!K12</f>
        <v/>
      </c>
      <c r="R10" s="35">
        <f>'ALL DATA &amp; IT4PROFIT'!D12</f>
        <v>868</v>
      </c>
      <c r="S10" s="32"/>
      <c r="T10" s="9"/>
      <c r="U10" s="9"/>
    </row>
    <row r="11" ht="21.0" customHeight="1">
      <c r="A11" s="13"/>
      <c r="B11" s="24" t="str">
        <f>'ALL DATA &amp; IT4PROFIT'!A13</f>
        <v>HUAWEI</v>
      </c>
      <c r="C11" s="24" t="str">
        <f>'ALL DATA &amp; IT4PROFIT'!B13</f>
        <v>SUN2000-3KTL-M1</v>
      </c>
      <c r="D11" s="24" t="str">
        <f>'ALL DATA &amp; IT4PROFIT'!C13</f>
        <v>3PH HYBRID</v>
      </c>
      <c r="E11" s="25">
        <v>1.0</v>
      </c>
      <c r="F11" s="26">
        <f>'ALL DATA &amp; IT4PROFIT'!J13</f>
        <v>794</v>
      </c>
      <c r="G11" s="27">
        <f t="shared" si="1"/>
        <v>819</v>
      </c>
      <c r="H11" s="27">
        <f t="shared" si="2"/>
        <v>839.475</v>
      </c>
      <c r="I11" s="28">
        <f t="shared" si="3"/>
        <v>0.01</v>
      </c>
      <c r="J11" s="29">
        <f t="shared" si="4"/>
        <v>847.9545455</v>
      </c>
      <c r="K11" s="30">
        <f t="shared" si="5"/>
        <v>847.9545455</v>
      </c>
      <c r="L11" s="30">
        <f t="shared" si="6"/>
        <v>839.475</v>
      </c>
      <c r="M11" s="31">
        <v>0.01</v>
      </c>
      <c r="N11" s="32">
        <v>845.0</v>
      </c>
      <c r="O11" s="35"/>
      <c r="P11" s="32">
        <f>'ALL DATA &amp; IT4PROFIT'!H13</f>
        <v>907</v>
      </c>
      <c r="Q11" s="35">
        <f>'ALL DATA &amp; IT4PROFIT'!K13</f>
        <v>832</v>
      </c>
      <c r="R11" s="35">
        <f>'ALL DATA &amp; IT4PROFIT'!D13</f>
        <v>880</v>
      </c>
      <c r="S11" s="32"/>
      <c r="T11" s="9"/>
      <c r="U11" s="9"/>
    </row>
    <row r="12" ht="21.0" customHeight="1">
      <c r="A12" s="13"/>
      <c r="B12" s="24" t="str">
        <f>'ALL DATA &amp; IT4PROFIT'!A14</f>
        <v>HUAWEI</v>
      </c>
      <c r="C12" s="24" t="str">
        <f>'ALL DATA &amp; IT4PROFIT'!B14</f>
        <v>SUN2000-4KTL-M1</v>
      </c>
      <c r="D12" s="24" t="str">
        <f>'ALL DATA &amp; IT4PROFIT'!C14</f>
        <v>3PH HYBRID</v>
      </c>
      <c r="E12" s="25">
        <v>1.0</v>
      </c>
      <c r="F12" s="26">
        <f>'ALL DATA &amp; IT4PROFIT'!J14</f>
        <v>830</v>
      </c>
      <c r="G12" s="27">
        <f t="shared" si="1"/>
        <v>855</v>
      </c>
      <c r="H12" s="27">
        <f t="shared" si="2"/>
        <v>876.375</v>
      </c>
      <c r="I12" s="28">
        <f t="shared" si="3"/>
        <v>0.01</v>
      </c>
      <c r="J12" s="29">
        <f t="shared" si="4"/>
        <v>885.2272727</v>
      </c>
      <c r="K12" s="30">
        <f t="shared" si="5"/>
        <v>885.2272727</v>
      </c>
      <c r="L12" s="30">
        <f t="shared" si="6"/>
        <v>876.375</v>
      </c>
      <c r="M12" s="31">
        <v>0.01</v>
      </c>
      <c r="N12" s="32">
        <v>880.0</v>
      </c>
      <c r="O12" s="35"/>
      <c r="P12" s="32">
        <f>'ALL DATA &amp; IT4PROFIT'!H14</f>
        <v>906</v>
      </c>
      <c r="Q12" s="35">
        <f>'ALL DATA &amp; IT4PROFIT'!K14</f>
        <v>871</v>
      </c>
      <c r="R12" s="35">
        <f>'ALL DATA &amp; IT4PROFIT'!D14</f>
        <v>920</v>
      </c>
      <c r="S12" s="32"/>
      <c r="T12" s="9"/>
      <c r="U12" s="9"/>
    </row>
    <row r="13" ht="21.0" customHeight="1">
      <c r="A13" s="13"/>
      <c r="B13" s="24" t="str">
        <f>'ALL DATA &amp; IT4PROFIT'!A15</f>
        <v>HUAWEI</v>
      </c>
      <c r="C13" s="24" t="str">
        <f>'ALL DATA &amp; IT4PROFIT'!B15</f>
        <v>SUN2000-5KTL-M1</v>
      </c>
      <c r="D13" s="24" t="str">
        <f>'ALL DATA &amp; IT4PROFIT'!C15</f>
        <v>3PH HYBRID</v>
      </c>
      <c r="E13" s="25">
        <v>1.0</v>
      </c>
      <c r="F13" s="26">
        <f>'ALL DATA &amp; IT4PROFIT'!J15</f>
        <v>876</v>
      </c>
      <c r="G13" s="27">
        <f t="shared" si="1"/>
        <v>901</v>
      </c>
      <c r="H13" s="27">
        <f t="shared" si="2"/>
        <v>923.525</v>
      </c>
      <c r="I13" s="28">
        <f t="shared" si="3"/>
        <v>0.01</v>
      </c>
      <c r="J13" s="29">
        <f t="shared" si="4"/>
        <v>932.8535354</v>
      </c>
      <c r="K13" s="30">
        <f t="shared" si="5"/>
        <v>932.8535354</v>
      </c>
      <c r="L13" s="30">
        <f t="shared" si="6"/>
        <v>923.525</v>
      </c>
      <c r="M13" s="31">
        <v>0.01</v>
      </c>
      <c r="N13" s="32">
        <v>930.0</v>
      </c>
      <c r="O13" s="35"/>
      <c r="P13" s="32">
        <f>'ALL DATA &amp; IT4PROFIT'!H15</f>
        <v>930</v>
      </c>
      <c r="Q13" s="35">
        <f>'ALL DATA &amp; IT4PROFIT'!K15</f>
        <v>919</v>
      </c>
      <c r="R13" s="35">
        <f>'ALL DATA &amp; IT4PROFIT'!D15</f>
        <v>971</v>
      </c>
      <c r="S13" s="32"/>
      <c r="T13" s="9"/>
      <c r="U13" s="9"/>
    </row>
    <row r="14" ht="21.0" customHeight="1">
      <c r="A14" s="13"/>
      <c r="B14" s="24" t="str">
        <f>'ALL DATA &amp; IT4PROFIT'!A16</f>
        <v>HUAWEI</v>
      </c>
      <c r="C14" s="24" t="str">
        <f>'ALL DATA &amp; IT4PROFIT'!B16</f>
        <v>SUN2000-6KTL-M1</v>
      </c>
      <c r="D14" s="24" t="str">
        <f>'ALL DATA &amp; IT4PROFIT'!C16</f>
        <v>3PH HYBRID</v>
      </c>
      <c r="E14" s="25">
        <v>1.0</v>
      </c>
      <c r="F14" s="26">
        <f>'ALL DATA &amp; IT4PROFIT'!J16</f>
        <v>980</v>
      </c>
      <c r="G14" s="27">
        <f t="shared" si="1"/>
        <v>1005</v>
      </c>
      <c r="H14" s="27">
        <f t="shared" si="2"/>
        <v>1030.125</v>
      </c>
      <c r="I14" s="28">
        <f t="shared" si="3"/>
        <v>0.01</v>
      </c>
      <c r="J14" s="29">
        <f t="shared" si="4"/>
        <v>1040.530303</v>
      </c>
      <c r="K14" s="30">
        <f t="shared" si="5"/>
        <v>1040.530303</v>
      </c>
      <c r="L14" s="30">
        <f t="shared" si="6"/>
        <v>1030.125</v>
      </c>
      <c r="M14" s="31">
        <v>0.01</v>
      </c>
      <c r="N14" s="32">
        <v>1040.0</v>
      </c>
      <c r="O14" s="35"/>
      <c r="P14" s="32">
        <f>'ALL DATA &amp; IT4PROFIT'!H16</f>
        <v>1090</v>
      </c>
      <c r="Q14" s="35">
        <f>'ALL DATA &amp; IT4PROFIT'!K16</f>
        <v>1028</v>
      </c>
      <c r="R14" s="35">
        <f>'ALL DATA &amp; IT4PROFIT'!D16</f>
        <v>1086</v>
      </c>
      <c r="S14" s="32"/>
      <c r="T14" s="9"/>
      <c r="U14" s="9"/>
    </row>
    <row r="15" ht="21.0" customHeight="1">
      <c r="A15" s="13"/>
      <c r="B15" s="24" t="str">
        <f>'ALL DATA &amp; IT4PROFIT'!A17</f>
        <v>HUAWEI</v>
      </c>
      <c r="C15" s="24" t="str">
        <f>'ALL DATA &amp; IT4PROFIT'!B17</f>
        <v>SUN2000-8KTL-M1</v>
      </c>
      <c r="D15" s="24" t="str">
        <f>'ALL DATA &amp; IT4PROFIT'!C17</f>
        <v>3PH HYBRID</v>
      </c>
      <c r="E15" s="25">
        <v>1.0</v>
      </c>
      <c r="F15" s="26">
        <f>'ALL DATA &amp; IT4PROFIT'!J17</f>
        <v>1162</v>
      </c>
      <c r="G15" s="27">
        <f t="shared" si="1"/>
        <v>1187</v>
      </c>
      <c r="H15" s="27">
        <f t="shared" si="2"/>
        <v>1216.675</v>
      </c>
      <c r="I15" s="28">
        <f t="shared" si="3"/>
        <v>0.015</v>
      </c>
      <c r="J15" s="29">
        <f t="shared" si="4"/>
        <v>1235.203046</v>
      </c>
      <c r="K15" s="30">
        <f t="shared" si="5"/>
        <v>1235.203046</v>
      </c>
      <c r="L15" s="30">
        <f t="shared" si="6"/>
        <v>1216.675</v>
      </c>
      <c r="M15" s="31">
        <v>0.015</v>
      </c>
      <c r="N15" s="32">
        <v>1235.0</v>
      </c>
      <c r="O15" s="35"/>
      <c r="P15" s="32">
        <f>'ALL DATA &amp; IT4PROFIT'!H17</f>
        <v>1260</v>
      </c>
      <c r="Q15" s="35">
        <f>'ALL DATA &amp; IT4PROFIT'!K17</f>
        <v>1219</v>
      </c>
      <c r="R15" s="35">
        <f>'ALL DATA &amp; IT4PROFIT'!D17</f>
        <v>1289</v>
      </c>
      <c r="S15" s="32"/>
      <c r="T15" s="9"/>
      <c r="U15" s="9"/>
    </row>
    <row r="16" ht="21.0" customHeight="1">
      <c r="A16" s="13"/>
      <c r="B16" s="24" t="str">
        <f>'ALL DATA &amp; IT4PROFIT'!A18</f>
        <v>HUAWEI</v>
      </c>
      <c r="C16" s="24" t="str">
        <f>'ALL DATA &amp; IT4PROFIT'!B18</f>
        <v>SUN2000-10KTL-M1</v>
      </c>
      <c r="D16" s="24" t="str">
        <f>'ALL DATA &amp; IT4PROFIT'!C18</f>
        <v>3PH HYBRID</v>
      </c>
      <c r="E16" s="25">
        <v>1.0</v>
      </c>
      <c r="F16" s="26">
        <f>'ALL DATA &amp; IT4PROFIT'!J18</f>
        <v>1306</v>
      </c>
      <c r="G16" s="27">
        <f t="shared" si="1"/>
        <v>1331</v>
      </c>
      <c r="H16" s="27">
        <f t="shared" si="2"/>
        <v>1364.275</v>
      </c>
      <c r="I16" s="28">
        <f t="shared" si="3"/>
        <v>0.015</v>
      </c>
      <c r="J16" s="29">
        <f t="shared" si="4"/>
        <v>1385.050761</v>
      </c>
      <c r="K16" s="30">
        <f t="shared" si="5"/>
        <v>1385.050761</v>
      </c>
      <c r="L16" s="30">
        <f t="shared" si="6"/>
        <v>1364.275</v>
      </c>
      <c r="M16" s="31">
        <v>0.015</v>
      </c>
      <c r="N16" s="32">
        <v>1385.0</v>
      </c>
      <c r="O16" s="35"/>
      <c r="P16" s="32">
        <f>'ALL DATA &amp; IT4PROFIT'!H18</f>
        <v>1385</v>
      </c>
      <c r="Q16" s="35">
        <f>'ALL DATA &amp; IT4PROFIT'!K18</f>
        <v>1369</v>
      </c>
      <c r="R16" s="35">
        <f>'ALL DATA &amp; IT4PROFIT'!D18</f>
        <v>1448</v>
      </c>
      <c r="S16" s="32"/>
      <c r="T16" s="9"/>
      <c r="U16" s="9"/>
    </row>
    <row r="17" ht="21.0" customHeight="1">
      <c r="A17" s="13"/>
      <c r="B17" s="24" t="str">
        <f>'ALL DATA &amp; IT4PROFIT'!A19</f>
        <v>HUAWEI</v>
      </c>
      <c r="C17" s="24" t="str">
        <f>'ALL DATA &amp; IT4PROFIT'!B19</f>
        <v>SUN2000-12KTL-M5</v>
      </c>
      <c r="D17" s="24" t="str">
        <f>'ALL DATA &amp; IT4PROFIT'!C19</f>
        <v>3PH HYBRID</v>
      </c>
      <c r="E17" s="25">
        <v>1.0</v>
      </c>
      <c r="F17" s="26">
        <f>'ALL DATA &amp; IT4PROFIT'!J19</f>
        <v>1420</v>
      </c>
      <c r="G17" s="27">
        <f t="shared" si="1"/>
        <v>1445</v>
      </c>
      <c r="H17" s="27">
        <f t="shared" si="2"/>
        <v>1481.125</v>
      </c>
      <c r="I17" s="28">
        <f t="shared" si="3"/>
        <v>0</v>
      </c>
      <c r="J17" s="29">
        <f t="shared" si="4"/>
        <v>1481.125</v>
      </c>
      <c r="K17" s="30">
        <f t="shared" si="5"/>
        <v>1481.125</v>
      </c>
      <c r="L17" s="30">
        <f t="shared" si="6"/>
        <v>1481.125</v>
      </c>
      <c r="M17" s="31">
        <v>0.0</v>
      </c>
      <c r="N17" s="32">
        <v>1450.0</v>
      </c>
      <c r="O17" s="35"/>
      <c r="P17" s="32" t="str">
        <f>'ALL DATA &amp; IT4PROFIT'!H19</f>
        <v/>
      </c>
      <c r="Q17" s="35">
        <f>'ALL DATA &amp; IT4PROFIT'!K19</f>
        <v>947.6</v>
      </c>
      <c r="R17" s="35">
        <f>'ALL DATA &amp; IT4PROFIT'!D19</f>
        <v>1515</v>
      </c>
      <c r="S17" s="32"/>
      <c r="T17" s="9"/>
      <c r="U17" s="9"/>
    </row>
    <row r="18" ht="21.0" customHeight="1">
      <c r="A18" s="13"/>
      <c r="B18" s="24" t="str">
        <f>'ALL DATA &amp; IT4PROFIT'!A20</f>
        <v>HUAWEI</v>
      </c>
      <c r="C18" s="24" t="str">
        <f>'ALL DATA &amp; IT4PROFIT'!B20</f>
        <v>SUN2000-15KTL-M5</v>
      </c>
      <c r="D18" s="24" t="str">
        <f>'ALL DATA &amp; IT4PROFIT'!C20</f>
        <v>3PH HYBRID</v>
      </c>
      <c r="E18" s="25">
        <v>1.0</v>
      </c>
      <c r="F18" s="26">
        <f>'ALL DATA &amp; IT4PROFIT'!J20</f>
        <v>1580</v>
      </c>
      <c r="G18" s="27">
        <f t="shared" si="1"/>
        <v>1605</v>
      </c>
      <c r="H18" s="27">
        <f t="shared" si="2"/>
        <v>1645.125</v>
      </c>
      <c r="I18" s="28">
        <f t="shared" si="3"/>
        <v>0</v>
      </c>
      <c r="J18" s="29">
        <f t="shared" si="4"/>
        <v>1645.125</v>
      </c>
      <c r="K18" s="30">
        <f t="shared" si="5"/>
        <v>1645.125</v>
      </c>
      <c r="L18" s="30">
        <f t="shared" si="6"/>
        <v>1645.125</v>
      </c>
      <c r="M18" s="31">
        <v>0.0</v>
      </c>
      <c r="N18" s="32">
        <v>1640.0</v>
      </c>
      <c r="O18" s="35"/>
      <c r="P18" s="32" t="str">
        <f>'ALL DATA &amp; IT4PROFIT'!H20</f>
        <v/>
      </c>
      <c r="Q18" s="35">
        <f>'ALL DATA &amp; IT4PROFIT'!K20</f>
        <v>1133.5</v>
      </c>
      <c r="R18" s="35">
        <f>'ALL DATA &amp; IT4PROFIT'!D20</f>
        <v>1710</v>
      </c>
      <c r="S18" s="32"/>
      <c r="T18" s="9"/>
      <c r="U18" s="9"/>
    </row>
    <row r="19" ht="21.0" customHeight="1">
      <c r="A19" s="13"/>
      <c r="B19" s="24" t="str">
        <f>'ALL DATA &amp; IT4PROFIT'!A21</f>
        <v>HUAWEI</v>
      </c>
      <c r="C19" s="24" t="str">
        <f>'ALL DATA &amp; IT4PROFIT'!B21</f>
        <v>SUN2000-17KTL-M5</v>
      </c>
      <c r="D19" s="24" t="str">
        <f>'ALL DATA &amp; IT4PROFIT'!C21</f>
        <v>3PH HYBRID</v>
      </c>
      <c r="E19" s="25">
        <v>1.0</v>
      </c>
      <c r="F19" s="26">
        <f>'ALL DATA &amp; IT4PROFIT'!J21</f>
        <v>1615</v>
      </c>
      <c r="G19" s="27">
        <f t="shared" si="1"/>
        <v>1640</v>
      </c>
      <c r="H19" s="27">
        <f t="shared" si="2"/>
        <v>1681</v>
      </c>
      <c r="I19" s="28">
        <f t="shared" si="3"/>
        <v>0</v>
      </c>
      <c r="J19" s="29">
        <f t="shared" si="4"/>
        <v>1681</v>
      </c>
      <c r="K19" s="30">
        <f t="shared" si="5"/>
        <v>1681</v>
      </c>
      <c r="L19" s="30">
        <f t="shared" si="6"/>
        <v>1681</v>
      </c>
      <c r="M19" s="31">
        <v>0.0</v>
      </c>
      <c r="N19" s="32">
        <v>1675.0</v>
      </c>
      <c r="O19" s="35"/>
      <c r="P19" s="32" t="str">
        <f>'ALL DATA &amp; IT4PROFIT'!H21</f>
        <v/>
      </c>
      <c r="Q19" s="35">
        <f>'ALL DATA &amp; IT4PROFIT'!K21</f>
        <v>1167.6</v>
      </c>
      <c r="R19" s="35">
        <f>'ALL DATA &amp; IT4PROFIT'!D21</f>
        <v>1447</v>
      </c>
      <c r="S19" s="32"/>
      <c r="T19" s="9"/>
      <c r="U19" s="9"/>
    </row>
    <row r="20" ht="21.0" customHeight="1">
      <c r="A20" s="13"/>
      <c r="B20" s="24" t="str">
        <f>'ALL DATA &amp; IT4PROFIT'!A22</f>
        <v>HUAWEI</v>
      </c>
      <c r="C20" s="24" t="str">
        <f>'ALL DATA &amp; IT4PROFIT'!B22</f>
        <v>SUN2000-20KTL-M5</v>
      </c>
      <c r="D20" s="24" t="str">
        <f>'ALL DATA &amp; IT4PROFIT'!C22</f>
        <v>3PH HYBRID</v>
      </c>
      <c r="E20" s="25">
        <v>1.0</v>
      </c>
      <c r="F20" s="26">
        <f>'ALL DATA &amp; IT4PROFIT'!J22</f>
        <v>1704</v>
      </c>
      <c r="G20" s="27">
        <f t="shared" si="1"/>
        <v>1729</v>
      </c>
      <c r="H20" s="27">
        <f t="shared" si="2"/>
        <v>1772.225</v>
      </c>
      <c r="I20" s="28">
        <f t="shared" si="3"/>
        <v>0.01</v>
      </c>
      <c r="J20" s="29">
        <f t="shared" si="4"/>
        <v>1790.126263</v>
      </c>
      <c r="K20" s="30">
        <f t="shared" si="5"/>
        <v>1790.126263</v>
      </c>
      <c r="L20" s="30">
        <f t="shared" si="6"/>
        <v>1772.225</v>
      </c>
      <c r="M20" s="31">
        <v>0.01</v>
      </c>
      <c r="N20" s="32">
        <v>1790.0</v>
      </c>
      <c r="O20" s="35"/>
      <c r="P20" s="32" t="str">
        <f>'ALL DATA &amp; IT4PROFIT'!H22</f>
        <v/>
      </c>
      <c r="Q20" s="35">
        <f>'ALL DATA &amp; IT4PROFIT'!K22</f>
        <v>1262.2</v>
      </c>
      <c r="R20" s="35">
        <f>'ALL DATA &amp; IT4PROFIT'!D22</f>
        <v>1844</v>
      </c>
      <c r="S20" s="32"/>
      <c r="T20" s="9"/>
      <c r="U20" s="9"/>
    </row>
    <row r="21" ht="21.0" hidden="1" customHeight="1">
      <c r="A21" s="13"/>
      <c r="B21" s="24" t="str">
        <f>'ALL DATA &amp; IT4PROFIT'!A23</f>
        <v>HUAWEI</v>
      </c>
      <c r="C21" s="24" t="str">
        <f>'ALL DATA &amp; IT4PROFIT'!B23</f>
        <v>SUN2000-25KTL-M5</v>
      </c>
      <c r="D21" s="24" t="str">
        <f>'ALL DATA &amp; IT4PROFIT'!C23</f>
        <v>3PH HYBRID</v>
      </c>
      <c r="E21" s="25">
        <v>1.0</v>
      </c>
      <c r="F21" s="26" t="str">
        <f>'ALL DATA &amp; IT4PROFIT'!J23</f>
        <v/>
      </c>
      <c r="G21" s="27">
        <f t="shared" si="1"/>
        <v>25</v>
      </c>
      <c r="H21" s="27">
        <f t="shared" si="2"/>
        <v>25.625</v>
      </c>
      <c r="I21" s="28">
        <f t="shared" si="3"/>
        <v>0.05</v>
      </c>
      <c r="J21" s="29">
        <f t="shared" si="4"/>
        <v>26.97368421</v>
      </c>
      <c r="K21" s="30">
        <f t="shared" si="5"/>
        <v>26.97368421</v>
      </c>
      <c r="L21" s="30">
        <f t="shared" si="6"/>
        <v>25.625</v>
      </c>
      <c r="M21" s="31">
        <v>0.05</v>
      </c>
      <c r="N21" s="32">
        <v>1825.0</v>
      </c>
      <c r="O21" s="35"/>
      <c r="P21" s="32" t="str">
        <f>'ALL DATA &amp; IT4PROFIT'!H23</f>
        <v/>
      </c>
      <c r="Q21" s="35">
        <f>'ALL DATA &amp; IT4PROFIT'!K23</f>
        <v>1320.5</v>
      </c>
      <c r="R21" s="35">
        <f>'ALL DATA &amp; IT4PROFIT'!D23</f>
        <v>1906</v>
      </c>
      <c r="S21" s="32"/>
      <c r="T21" s="9"/>
      <c r="U21" s="9"/>
    </row>
    <row r="22" ht="21.0" customHeight="1">
      <c r="A22" s="13"/>
      <c r="B22" s="24" t="str">
        <f>'ALL DATA &amp; IT4PROFIT'!A24</f>
        <v>HUAWEI</v>
      </c>
      <c r="C22" s="24" t="str">
        <f>'ALL DATA &amp; IT4PROFIT'!B24</f>
        <v>SUN2000-30KTL-M3</v>
      </c>
      <c r="D22" s="24" t="str">
        <f>'ALL DATA &amp; IT4PROFIT'!C24</f>
        <v>3PH HYBRID</v>
      </c>
      <c r="E22" s="25">
        <v>1.0</v>
      </c>
      <c r="F22" s="26">
        <f>'ALL DATA &amp; IT4PROFIT'!J24</f>
        <v>1945</v>
      </c>
      <c r="G22" s="27">
        <f t="shared" si="1"/>
        <v>1970</v>
      </c>
      <c r="H22" s="27">
        <f t="shared" si="2"/>
        <v>2019.25</v>
      </c>
      <c r="I22" s="28">
        <f t="shared" si="3"/>
        <v>0.03</v>
      </c>
      <c r="J22" s="29">
        <f t="shared" si="4"/>
        <v>2081.701031</v>
      </c>
      <c r="K22" s="30">
        <f t="shared" si="5"/>
        <v>2081.701031</v>
      </c>
      <c r="L22" s="30">
        <f t="shared" si="6"/>
        <v>2019.25</v>
      </c>
      <c r="M22" s="31">
        <v>0.03</v>
      </c>
      <c r="N22" s="32">
        <v>2080.0</v>
      </c>
      <c r="O22" s="35"/>
      <c r="P22" s="32" t="str">
        <f>'ALL DATA &amp; IT4PROFIT'!H24</f>
        <v/>
      </c>
      <c r="Q22" s="35">
        <f>'ALL DATA &amp; IT4PROFIT'!K24</f>
        <v>1993</v>
      </c>
      <c r="R22" s="35">
        <f>'ALL DATA &amp; IT4PROFIT'!D24</f>
        <v>2106</v>
      </c>
      <c r="S22" s="32"/>
      <c r="T22" s="9"/>
      <c r="U22" s="9"/>
    </row>
    <row r="23" ht="21.0" customHeight="1">
      <c r="A23" s="13"/>
      <c r="B23" s="24" t="str">
        <f>'ALL DATA &amp; IT4PROFIT'!A25</f>
        <v>HUAWEI</v>
      </c>
      <c r="C23" s="24" t="str">
        <f>'ALL DATA &amp; IT4PROFIT'!B25</f>
        <v>SUN2000-36KTL-M3</v>
      </c>
      <c r="D23" s="24" t="str">
        <f>'ALL DATA &amp; IT4PROFIT'!C25</f>
        <v>3PH HYBRID</v>
      </c>
      <c r="E23" s="25">
        <v>1.0</v>
      </c>
      <c r="F23" s="26">
        <f>'ALL DATA &amp; IT4PROFIT'!J25</f>
        <v>2220</v>
      </c>
      <c r="G23" s="27">
        <f t="shared" si="1"/>
        <v>2245</v>
      </c>
      <c r="H23" s="27">
        <f t="shared" si="2"/>
        <v>2301.125</v>
      </c>
      <c r="I23" s="28">
        <f t="shared" si="3"/>
        <v>0</v>
      </c>
      <c r="J23" s="29">
        <f t="shared" si="4"/>
        <v>2301.125</v>
      </c>
      <c r="K23" s="30">
        <f t="shared" si="5"/>
        <v>2301.125</v>
      </c>
      <c r="L23" s="30">
        <f t="shared" si="6"/>
        <v>2301.125</v>
      </c>
      <c r="M23" s="31">
        <v>0.0</v>
      </c>
      <c r="N23" s="32">
        <v>2250.0</v>
      </c>
      <c r="O23" s="35"/>
      <c r="P23" s="32" t="str">
        <f>'ALL DATA &amp; IT4PROFIT'!H25</f>
        <v/>
      </c>
      <c r="Q23" s="35">
        <f>'ALL DATA &amp; IT4PROFIT'!K25</f>
        <v>2274</v>
      </c>
      <c r="R23" s="35">
        <f>'ALL DATA &amp; IT4PROFIT'!D25</f>
        <v>2405</v>
      </c>
      <c r="S23" s="32"/>
      <c r="T23" s="9"/>
      <c r="U23" s="9"/>
    </row>
    <row r="24" ht="21.0" customHeight="1">
      <c r="A24" s="13"/>
      <c r="B24" s="24" t="str">
        <f>'ALL DATA &amp; IT4PROFIT'!A26</f>
        <v>HUAWEI</v>
      </c>
      <c r="C24" s="24" t="str">
        <f>'ALL DATA &amp; IT4PROFIT'!B26</f>
        <v>SUN2000-40KTL-M3</v>
      </c>
      <c r="D24" s="24" t="str">
        <f>'ALL DATA &amp; IT4PROFIT'!C26</f>
        <v>3PH HYBRID</v>
      </c>
      <c r="E24" s="25">
        <v>1.0</v>
      </c>
      <c r="F24" s="26">
        <f>'ALL DATA &amp; IT4PROFIT'!J26</f>
        <v>2348</v>
      </c>
      <c r="G24" s="27">
        <f t="shared" si="1"/>
        <v>2373</v>
      </c>
      <c r="H24" s="27">
        <f t="shared" si="2"/>
        <v>2432.325</v>
      </c>
      <c r="I24" s="28">
        <f t="shared" si="3"/>
        <v>0</v>
      </c>
      <c r="J24" s="29">
        <f t="shared" si="4"/>
        <v>2432.325</v>
      </c>
      <c r="K24" s="30">
        <f t="shared" si="5"/>
        <v>2432.325</v>
      </c>
      <c r="L24" s="30">
        <f t="shared" si="6"/>
        <v>2432.325</v>
      </c>
      <c r="M24" s="31">
        <v>0.0</v>
      </c>
      <c r="N24" s="32">
        <v>2380.0</v>
      </c>
      <c r="O24" s="35"/>
      <c r="P24" s="32" t="str">
        <f>'ALL DATA &amp; IT4PROFIT'!H26</f>
        <v/>
      </c>
      <c r="Q24" s="35">
        <f>'ALL DATA &amp; IT4PROFIT'!K26</f>
        <v>2399</v>
      </c>
      <c r="R24" s="35">
        <f>'ALL DATA &amp; IT4PROFIT'!D26</f>
        <v>2536</v>
      </c>
      <c r="S24" s="32"/>
      <c r="T24" s="9"/>
      <c r="U24" s="9"/>
    </row>
    <row r="25" ht="21.0" customHeight="1">
      <c r="A25" s="13"/>
      <c r="B25" s="24" t="str">
        <f>'ALL DATA &amp; IT4PROFIT'!A27</f>
        <v>HUAWEI</v>
      </c>
      <c r="C25" s="24" t="str">
        <f>'ALL DATA &amp; IT4PROFIT'!B27</f>
        <v>SUN2000-50KTL-M3</v>
      </c>
      <c r="D25" s="24" t="str">
        <f>'ALL DATA &amp; IT4PROFIT'!C27</f>
        <v>3PH HYBRID</v>
      </c>
      <c r="E25" s="25">
        <v>1.0</v>
      </c>
      <c r="F25" s="26">
        <f>'ALL DATA &amp; IT4PROFIT'!J27</f>
        <v>2350</v>
      </c>
      <c r="G25" s="27">
        <f t="shared" si="1"/>
        <v>2375</v>
      </c>
      <c r="H25" s="27">
        <f t="shared" si="2"/>
        <v>2434.375</v>
      </c>
      <c r="I25" s="28">
        <f t="shared" si="3"/>
        <v>0</v>
      </c>
      <c r="J25" s="29">
        <f t="shared" si="4"/>
        <v>2434.375</v>
      </c>
      <c r="K25" s="30">
        <f t="shared" si="5"/>
        <v>2434.375</v>
      </c>
      <c r="L25" s="30">
        <f t="shared" si="6"/>
        <v>2434.375</v>
      </c>
      <c r="M25" s="31">
        <v>0.0</v>
      </c>
      <c r="N25" s="32">
        <v>2400.0</v>
      </c>
      <c r="O25" s="35"/>
      <c r="P25" s="32" t="str">
        <f>'ALL DATA &amp; IT4PROFIT'!H27</f>
        <v/>
      </c>
      <c r="Q25" s="35">
        <f>'ALL DATA &amp; IT4PROFIT'!K27</f>
        <v>2405</v>
      </c>
      <c r="R25" s="35">
        <f>'ALL DATA &amp; IT4PROFIT'!D27</f>
        <v>2543</v>
      </c>
      <c r="S25" s="32"/>
      <c r="T25" s="9"/>
      <c r="U25" s="9"/>
    </row>
    <row r="26" ht="21.0" hidden="1" customHeight="1">
      <c r="A26" s="13"/>
      <c r="B26" s="24" t="str">
        <f>'ALL DATA &amp; IT4PROFIT'!A28</f>
        <v>HUAWEI</v>
      </c>
      <c r="C26" s="24" t="str">
        <f>'ALL DATA &amp; IT4PROFIT'!B28</f>
        <v>SUN2000-100KTL-M2-AFCI</v>
      </c>
      <c r="D26" s="24" t="str">
        <f>'ALL DATA &amp; IT4PROFIT'!C28</f>
        <v>3PH HYBRID</v>
      </c>
      <c r="E26" s="25">
        <v>1.0</v>
      </c>
      <c r="F26" s="26" t="str">
        <f>'ALL DATA &amp; IT4PROFIT'!J28</f>
        <v/>
      </c>
      <c r="G26" s="27">
        <f t="shared" si="1"/>
        <v>25</v>
      </c>
      <c r="H26" s="27">
        <f t="shared" si="2"/>
        <v>25.625</v>
      </c>
      <c r="I26" s="28">
        <f t="shared" si="3"/>
        <v>0.07</v>
      </c>
      <c r="J26" s="29">
        <f t="shared" si="4"/>
        <v>27.55376344</v>
      </c>
      <c r="K26" s="30">
        <f t="shared" si="5"/>
        <v>27.55376344</v>
      </c>
      <c r="L26" s="30">
        <f t="shared" si="6"/>
        <v>25.625</v>
      </c>
      <c r="M26" s="31">
        <v>0.07</v>
      </c>
      <c r="N26" s="32"/>
      <c r="O26" s="35"/>
      <c r="P26" s="32" t="str">
        <f>'ALL DATA &amp; IT4PROFIT'!H28</f>
        <v/>
      </c>
      <c r="Q26" s="35">
        <f>'ALL DATA &amp; IT4PROFIT'!K28</f>
        <v>3800</v>
      </c>
      <c r="R26" s="35">
        <f>'ALL DATA &amp; IT4PROFIT'!D28</f>
        <v>4020</v>
      </c>
      <c r="S26" s="32"/>
      <c r="T26" s="9"/>
      <c r="U26" s="9"/>
    </row>
    <row r="27" ht="21.0" hidden="1" customHeight="1">
      <c r="A27" s="13"/>
      <c r="B27" s="24" t="str">
        <f>'ALL DATA &amp; IT4PROFIT'!A29</f>
        <v>HUAWEI</v>
      </c>
      <c r="C27" s="24" t="str">
        <f>'ALL DATA &amp; IT4PROFIT'!B29</f>
        <v>IV HU SUN2000 115 KTL M2</v>
      </c>
      <c r="D27" s="24" t="str">
        <f>'ALL DATA &amp; IT4PROFIT'!C29</f>
        <v/>
      </c>
      <c r="E27" s="25">
        <v>1.0</v>
      </c>
      <c r="F27" s="26" t="str">
        <f>'ALL DATA &amp; IT4PROFIT'!J29</f>
        <v/>
      </c>
      <c r="G27" s="27">
        <f t="shared" si="1"/>
        <v>25</v>
      </c>
      <c r="H27" s="27">
        <f t="shared" si="2"/>
        <v>25.625</v>
      </c>
      <c r="I27" s="28">
        <f t="shared" si="3"/>
        <v>0.07</v>
      </c>
      <c r="J27" s="29">
        <f t="shared" si="4"/>
        <v>27.55376344</v>
      </c>
      <c r="K27" s="30">
        <f t="shared" si="5"/>
        <v>27.55376344</v>
      </c>
      <c r="L27" s="30">
        <f t="shared" si="6"/>
        <v>25.625</v>
      </c>
      <c r="M27" s="31">
        <v>0.07</v>
      </c>
      <c r="N27" s="32"/>
      <c r="O27" s="35"/>
      <c r="P27" s="32" t="str">
        <f>'ALL DATA &amp; IT4PROFIT'!H29</f>
        <v/>
      </c>
      <c r="Q27" s="35">
        <f>'ALL DATA &amp; IT4PROFIT'!K29</f>
        <v>3842.6</v>
      </c>
      <c r="R27" s="35" t="str">
        <f>'ALL DATA &amp; IT4PROFIT'!D29</f>
        <v/>
      </c>
      <c r="S27" s="32"/>
      <c r="T27" s="9"/>
      <c r="U27" s="9"/>
    </row>
    <row r="28" ht="21.0" hidden="1" customHeight="1">
      <c r="A28" s="13"/>
      <c r="B28" s="24" t="str">
        <f>'ALL DATA &amp; IT4PROFIT'!A30</f>
        <v>HUAWEI</v>
      </c>
      <c r="C28" s="24" t="str">
        <f>'ALL DATA &amp; IT4PROFIT'!B30</f>
        <v>IV HU SUN2000 105 KTL H1 (1500V)</v>
      </c>
      <c r="D28" s="24" t="str">
        <f>'ALL DATA &amp; IT4PROFIT'!C30</f>
        <v/>
      </c>
      <c r="E28" s="25">
        <v>1.0</v>
      </c>
      <c r="F28" s="26" t="str">
        <f>'ALL DATA &amp; IT4PROFIT'!J30</f>
        <v/>
      </c>
      <c r="G28" s="27">
        <f t="shared" si="1"/>
        <v>25</v>
      </c>
      <c r="H28" s="27">
        <f t="shared" si="2"/>
        <v>25.625</v>
      </c>
      <c r="I28" s="28">
        <f t="shared" si="3"/>
        <v>0.07</v>
      </c>
      <c r="J28" s="29">
        <f t="shared" si="4"/>
        <v>27.55376344</v>
      </c>
      <c r="K28" s="30">
        <f t="shared" si="5"/>
        <v>27.55376344</v>
      </c>
      <c r="L28" s="30">
        <f t="shared" si="6"/>
        <v>25.625</v>
      </c>
      <c r="M28" s="31">
        <v>0.07</v>
      </c>
      <c r="N28" s="32"/>
      <c r="O28" s="35"/>
      <c r="P28" s="32" t="str">
        <f>'ALL DATA &amp; IT4PROFIT'!H30</f>
        <v/>
      </c>
      <c r="Q28" s="35" t="str">
        <f>'ALL DATA &amp; IT4PROFIT'!K30</f>
        <v/>
      </c>
      <c r="R28" s="35" t="str">
        <f>'ALL DATA &amp; IT4PROFIT'!D30</f>
        <v/>
      </c>
      <c r="S28" s="32"/>
      <c r="T28" s="9"/>
      <c r="U28" s="9"/>
    </row>
    <row r="29" ht="21.0" hidden="1" customHeight="1">
      <c r="A29" s="13"/>
      <c r="B29" s="24" t="str">
        <f>'ALL DATA &amp; IT4PROFIT'!A31</f>
        <v>HUAWEI</v>
      </c>
      <c r="C29" s="24" t="str">
        <f>'ALL DATA &amp; IT4PROFIT'!B31</f>
        <v>IV HU SUN2000 215 KTL-H3 (1500V)</v>
      </c>
      <c r="D29" s="24" t="str">
        <f>'ALL DATA &amp; IT4PROFIT'!C31</f>
        <v/>
      </c>
      <c r="E29" s="25">
        <v>1.0</v>
      </c>
      <c r="F29" s="26" t="str">
        <f>'ALL DATA &amp; IT4PROFIT'!J31</f>
        <v/>
      </c>
      <c r="G29" s="27">
        <f t="shared" si="1"/>
        <v>25</v>
      </c>
      <c r="H29" s="27">
        <f t="shared" si="2"/>
        <v>25.625</v>
      </c>
      <c r="I29" s="28">
        <f t="shared" si="3"/>
        <v>0.07</v>
      </c>
      <c r="J29" s="29">
        <f t="shared" si="4"/>
        <v>27.55376344</v>
      </c>
      <c r="K29" s="30">
        <f t="shared" si="5"/>
        <v>27.55376344</v>
      </c>
      <c r="L29" s="30">
        <f t="shared" si="6"/>
        <v>25.625</v>
      </c>
      <c r="M29" s="31">
        <v>0.07</v>
      </c>
      <c r="N29" s="32"/>
      <c r="O29" s="35"/>
      <c r="P29" s="32" t="str">
        <f>'ALL DATA &amp; IT4PROFIT'!H31</f>
        <v/>
      </c>
      <c r="Q29" s="35" t="str">
        <f>'ALL DATA &amp; IT4PROFIT'!K31</f>
        <v/>
      </c>
      <c r="R29" s="35" t="str">
        <f>'ALL DATA &amp; IT4PROFIT'!D31</f>
        <v/>
      </c>
      <c r="S29" s="32"/>
      <c r="T29" s="9"/>
      <c r="U29" s="9"/>
    </row>
    <row r="30" ht="21.0" hidden="1" customHeight="1">
      <c r="A30" s="13"/>
      <c r="B30" s="24" t="str">
        <f>'ALL DATA &amp; IT4PROFIT'!A32</f>
        <v>HUAWEI</v>
      </c>
      <c r="C30" s="24" t="str">
        <f>'ALL DATA &amp; IT4PROFIT'!B32</f>
        <v>IV HU SUN2000-330KTL-H1 (1500V)</v>
      </c>
      <c r="D30" s="24" t="str">
        <f>'ALL DATA &amp; IT4PROFIT'!C32</f>
        <v/>
      </c>
      <c r="E30" s="25">
        <v>1.0</v>
      </c>
      <c r="F30" s="26" t="str">
        <f>'ALL DATA &amp; IT4PROFIT'!J32</f>
        <v/>
      </c>
      <c r="G30" s="27">
        <f t="shared" si="1"/>
        <v>25</v>
      </c>
      <c r="H30" s="27">
        <f t="shared" si="2"/>
        <v>25.625</v>
      </c>
      <c r="I30" s="28">
        <f t="shared" si="3"/>
        <v>0.07</v>
      </c>
      <c r="J30" s="29">
        <f t="shared" si="4"/>
        <v>27.55376344</v>
      </c>
      <c r="K30" s="30">
        <f t="shared" si="5"/>
        <v>27.55376344</v>
      </c>
      <c r="L30" s="30">
        <f t="shared" si="6"/>
        <v>25.625</v>
      </c>
      <c r="M30" s="31">
        <v>0.07</v>
      </c>
      <c r="N30" s="32"/>
      <c r="O30" s="35"/>
      <c r="P30" s="32" t="str">
        <f>'ALL DATA &amp; IT4PROFIT'!H32</f>
        <v/>
      </c>
      <c r="Q30" s="35" t="str">
        <f>'ALL DATA &amp; IT4PROFIT'!K32</f>
        <v/>
      </c>
      <c r="R30" s="35" t="str">
        <f>'ALL DATA &amp; IT4PROFIT'!D32</f>
        <v/>
      </c>
      <c r="S30" s="32"/>
      <c r="T30" s="9"/>
      <c r="U30" s="9"/>
    </row>
    <row r="31" ht="21.0" hidden="1" customHeight="1">
      <c r="A31" s="13"/>
      <c r="B31" s="24" t="str">
        <f>'ALL DATA &amp; IT4PROFIT'!A34</f>
        <v/>
      </c>
      <c r="C31" s="24" t="str">
        <f>'ALL DATA &amp; IT4PROFIT'!B34</f>
        <v/>
      </c>
      <c r="D31" s="24" t="str">
        <f>'ALL DATA &amp; IT4PROFIT'!C34</f>
        <v/>
      </c>
      <c r="E31" s="25">
        <v>1.0</v>
      </c>
      <c r="F31" s="26" t="str">
        <f>'ALL DATA &amp; IT4PROFIT'!J34</f>
        <v/>
      </c>
      <c r="G31" s="27">
        <f t="shared" si="1"/>
        <v>25</v>
      </c>
      <c r="H31" s="27">
        <f t="shared" si="2"/>
        <v>25.625</v>
      </c>
      <c r="I31" s="28">
        <f t="shared" si="3"/>
        <v>0.07</v>
      </c>
      <c r="J31" s="29">
        <f t="shared" si="4"/>
        <v>27.55376344</v>
      </c>
      <c r="K31" s="30">
        <f t="shared" si="5"/>
        <v>27.55376344</v>
      </c>
      <c r="L31" s="30">
        <f t="shared" si="6"/>
        <v>25.625</v>
      </c>
      <c r="M31" s="31">
        <v>0.07</v>
      </c>
      <c r="N31" s="32"/>
      <c r="O31" s="35"/>
      <c r="P31" s="32" t="str">
        <f>'ALL DATA &amp; IT4PROFIT'!H34</f>
        <v/>
      </c>
      <c r="Q31" s="35" t="str">
        <f>'ALL DATA &amp; IT4PROFIT'!K34</f>
        <v/>
      </c>
      <c r="R31" s="35" t="str">
        <f>'ALL DATA &amp; IT4PROFIT'!D34</f>
        <v/>
      </c>
      <c r="S31" s="32"/>
      <c r="T31" s="9"/>
      <c r="U31" s="9"/>
    </row>
    <row r="32" ht="21.0" customHeight="1">
      <c r="A32" s="13"/>
      <c r="B32" s="24" t="str">
        <f>'ALL DATA &amp; IT4PROFIT'!A35</f>
        <v>HUAWEI</v>
      </c>
      <c r="C32" s="24" t="str">
        <f>'ALL DATA &amp; IT4PROFIT'!B35</f>
        <v>SUN2000-450W-P2</v>
      </c>
      <c r="D32" s="24" t="str">
        <f>'ALL DATA &amp; IT4PROFIT'!C35</f>
        <v>OPTIMIZER</v>
      </c>
      <c r="E32" s="25">
        <v>1.0</v>
      </c>
      <c r="F32" s="26">
        <f>'ALL DATA &amp; IT4PROFIT'!J35</f>
        <v>45</v>
      </c>
      <c r="G32" s="27">
        <f t="shared" ref="G32:G33" si="7">F32+$G$194</f>
        <v>48</v>
      </c>
      <c r="H32" s="27">
        <f t="shared" si="2"/>
        <v>49.2</v>
      </c>
      <c r="I32" s="28">
        <f t="shared" si="3"/>
        <v>0</v>
      </c>
      <c r="J32" s="29">
        <f t="shared" si="4"/>
        <v>49.2</v>
      </c>
      <c r="K32" s="30">
        <f t="shared" si="5"/>
        <v>49.2</v>
      </c>
      <c r="L32" s="30">
        <f t="shared" si="6"/>
        <v>49.2</v>
      </c>
      <c r="M32" s="31">
        <v>0.0</v>
      </c>
      <c r="N32" s="32">
        <v>40.0</v>
      </c>
      <c r="O32" s="35"/>
      <c r="P32" s="32" t="str">
        <f>'ALL DATA &amp; IT4PROFIT'!H35</f>
        <v/>
      </c>
      <c r="Q32" s="35">
        <f>'ALL DATA &amp; IT4PROFIT'!K35</f>
        <v>38.5</v>
      </c>
      <c r="R32" s="35">
        <f>'ALL DATA &amp; IT4PROFIT'!D35</f>
        <v>41</v>
      </c>
      <c r="S32" s="32"/>
      <c r="T32" s="9"/>
      <c r="U32" s="9"/>
    </row>
    <row r="33" ht="21.0" customHeight="1">
      <c r="A33" s="13"/>
      <c r="B33" s="24" t="str">
        <f>'ALL DATA &amp; IT4PROFIT'!A36</f>
        <v>HUAWEI</v>
      </c>
      <c r="C33" s="24" t="str">
        <f>'ALL DATA &amp; IT4PROFIT'!B36</f>
        <v>SUN2000-600W-P</v>
      </c>
      <c r="D33" s="24" t="str">
        <f>'ALL DATA &amp; IT4PROFIT'!C36</f>
        <v>OPTIMIZER</v>
      </c>
      <c r="E33" s="25">
        <v>1.0</v>
      </c>
      <c r="F33" s="26">
        <f>'ALL DATA &amp; IT4PROFIT'!J36</f>
        <v>45</v>
      </c>
      <c r="G33" s="27">
        <f t="shared" si="7"/>
        <v>48</v>
      </c>
      <c r="H33" s="27">
        <f t="shared" si="2"/>
        <v>49.2</v>
      </c>
      <c r="I33" s="28">
        <f t="shared" si="3"/>
        <v>0</v>
      </c>
      <c r="J33" s="29">
        <f t="shared" si="4"/>
        <v>49.2</v>
      </c>
      <c r="K33" s="30">
        <f t="shared" si="5"/>
        <v>49.2</v>
      </c>
      <c r="L33" s="30">
        <f t="shared" si="6"/>
        <v>49.2</v>
      </c>
      <c r="M33" s="31">
        <v>0.0</v>
      </c>
      <c r="N33" s="32">
        <v>40.0</v>
      </c>
      <c r="O33" s="35"/>
      <c r="P33" s="32" t="str">
        <f>'ALL DATA &amp; IT4PROFIT'!H36</f>
        <v/>
      </c>
      <c r="Q33" s="35">
        <f>'ALL DATA &amp; IT4PROFIT'!K36</f>
        <v>39</v>
      </c>
      <c r="R33" s="35">
        <f>'ALL DATA &amp; IT4PROFIT'!D36</f>
        <v>41</v>
      </c>
      <c r="S33" s="32"/>
      <c r="T33" s="9"/>
      <c r="U33" s="9"/>
    </row>
    <row r="34" ht="21.0" hidden="1" customHeight="1">
      <c r="A34" s="13"/>
      <c r="B34" s="24" t="str">
        <f>'ALL DATA &amp; IT4PROFIT'!A37</f>
        <v/>
      </c>
      <c r="C34" s="24" t="str">
        <f>'ALL DATA &amp; IT4PROFIT'!B37</f>
        <v/>
      </c>
      <c r="D34" s="24" t="str">
        <f>'ALL DATA &amp; IT4PROFIT'!C37</f>
        <v/>
      </c>
      <c r="E34" s="25">
        <v>1.0</v>
      </c>
      <c r="F34" s="26" t="str">
        <f>'ALL DATA &amp; IT4PROFIT'!J37</f>
        <v/>
      </c>
      <c r="G34" s="27">
        <f t="shared" ref="G34:G104" si="8">F34+$G$193</f>
        <v>25</v>
      </c>
      <c r="H34" s="27">
        <f t="shared" si="2"/>
        <v>25.625</v>
      </c>
      <c r="I34" s="28">
        <f t="shared" si="3"/>
        <v>0.07</v>
      </c>
      <c r="J34" s="29">
        <f t="shared" si="4"/>
        <v>27.55376344</v>
      </c>
      <c r="K34" s="30">
        <f t="shared" si="5"/>
        <v>27.55376344</v>
      </c>
      <c r="L34" s="30">
        <f t="shared" si="6"/>
        <v>25.625</v>
      </c>
      <c r="M34" s="31">
        <v>0.07</v>
      </c>
      <c r="N34" s="32"/>
      <c r="O34" s="35"/>
      <c r="P34" s="32" t="str">
        <f>'ALL DATA &amp; IT4PROFIT'!H37</f>
        <v/>
      </c>
      <c r="Q34" s="35" t="str">
        <f>'ALL DATA &amp; IT4PROFIT'!K37</f>
        <v/>
      </c>
      <c r="R34" s="35" t="str">
        <f>'ALL DATA &amp; IT4PROFIT'!D37</f>
        <v/>
      </c>
      <c r="S34" s="32"/>
      <c r="T34" s="9"/>
      <c r="U34" s="9"/>
    </row>
    <row r="35" ht="21.0" hidden="1" customHeight="1">
      <c r="A35" s="13"/>
      <c r="B35" s="24" t="str">
        <f>'ALL DATA &amp; IT4PROFIT'!A38</f>
        <v/>
      </c>
      <c r="C35" s="24" t="str">
        <f>'ALL DATA &amp; IT4PROFIT'!B38</f>
        <v/>
      </c>
      <c r="D35" s="24" t="str">
        <f>'ALL DATA &amp; IT4PROFIT'!C38</f>
        <v/>
      </c>
      <c r="E35" s="25">
        <v>1.0</v>
      </c>
      <c r="F35" s="26" t="str">
        <f>'ALL DATA &amp; IT4PROFIT'!J38</f>
        <v/>
      </c>
      <c r="G35" s="27">
        <f t="shared" si="8"/>
        <v>25</v>
      </c>
      <c r="H35" s="27">
        <f t="shared" si="2"/>
        <v>25.625</v>
      </c>
      <c r="I35" s="28">
        <f t="shared" si="3"/>
        <v>0.07</v>
      </c>
      <c r="J35" s="29">
        <f t="shared" si="4"/>
        <v>27.55376344</v>
      </c>
      <c r="K35" s="30">
        <f t="shared" si="5"/>
        <v>27.55376344</v>
      </c>
      <c r="L35" s="30">
        <f t="shared" si="6"/>
        <v>25.625</v>
      </c>
      <c r="M35" s="31">
        <v>0.07</v>
      </c>
      <c r="N35" s="32"/>
      <c r="O35" s="35"/>
      <c r="P35" s="32" t="str">
        <f>'ALL DATA &amp; IT4PROFIT'!H38</f>
        <v/>
      </c>
      <c r="Q35" s="35" t="str">
        <f>'ALL DATA &amp; IT4PROFIT'!K38</f>
        <v/>
      </c>
      <c r="R35" s="35" t="str">
        <f>'ALL DATA &amp; IT4PROFIT'!D38</f>
        <v/>
      </c>
      <c r="S35" s="32"/>
      <c r="T35" s="9"/>
      <c r="U35" s="9"/>
    </row>
    <row r="36" ht="21.0" hidden="1" customHeight="1">
      <c r="A36" s="13"/>
      <c r="B36" s="24" t="str">
        <f>'ALL DATA &amp; IT4PROFIT'!A39</f>
        <v>SUNGROW</v>
      </c>
      <c r="C36" s="24" t="str">
        <f>'ALL DATA &amp; IT4PROFIT'!B39</f>
        <v>IV SUNG SG2.0RS</v>
      </c>
      <c r="D36" s="24" t="str">
        <f>'ALL DATA &amp; IT4PROFIT'!C39</f>
        <v>1PH</v>
      </c>
      <c r="E36" s="25">
        <v>1.0</v>
      </c>
      <c r="F36" s="26" t="str">
        <f>'ALL DATA &amp; IT4PROFIT'!J39</f>
        <v/>
      </c>
      <c r="G36" s="27">
        <f t="shared" si="8"/>
        <v>25</v>
      </c>
      <c r="H36" s="27">
        <f t="shared" si="2"/>
        <v>25.625</v>
      </c>
      <c r="I36" s="28">
        <f t="shared" si="3"/>
        <v>0.07</v>
      </c>
      <c r="J36" s="29">
        <f t="shared" si="4"/>
        <v>27.55376344</v>
      </c>
      <c r="K36" s="30">
        <f t="shared" si="5"/>
        <v>27.55376344</v>
      </c>
      <c r="L36" s="30">
        <f t="shared" si="6"/>
        <v>25.625</v>
      </c>
      <c r="M36" s="31">
        <v>0.07</v>
      </c>
      <c r="N36" s="32"/>
      <c r="O36" s="35"/>
      <c r="P36" s="32" t="str">
        <f>'ALL DATA &amp; IT4PROFIT'!H39</f>
        <v/>
      </c>
      <c r="Q36" s="35" t="str">
        <f>'ALL DATA &amp; IT4PROFIT'!K39</f>
        <v/>
      </c>
      <c r="R36" s="35" t="str">
        <f>'ALL DATA &amp; IT4PROFIT'!D39</f>
        <v/>
      </c>
      <c r="S36" s="32"/>
      <c r="T36" s="9"/>
      <c r="U36" s="9"/>
    </row>
    <row r="37" ht="21.0" hidden="1" customHeight="1">
      <c r="A37" s="13"/>
      <c r="B37" s="24" t="str">
        <f>'ALL DATA &amp; IT4PROFIT'!A40</f>
        <v>SUNGROW</v>
      </c>
      <c r="C37" s="24" t="str">
        <f>'ALL DATA &amp; IT4PROFIT'!B40</f>
        <v>IV SUNG SG3.0RS</v>
      </c>
      <c r="D37" s="24" t="str">
        <f>'ALL DATA &amp; IT4PROFIT'!C40</f>
        <v>1PH</v>
      </c>
      <c r="E37" s="25">
        <v>1.0</v>
      </c>
      <c r="F37" s="26" t="str">
        <f>'ALL DATA &amp; IT4PROFIT'!J40</f>
        <v/>
      </c>
      <c r="G37" s="27">
        <f t="shared" si="8"/>
        <v>25</v>
      </c>
      <c r="H37" s="27">
        <f t="shared" si="2"/>
        <v>25.625</v>
      </c>
      <c r="I37" s="28">
        <f t="shared" si="3"/>
        <v>0.07</v>
      </c>
      <c r="J37" s="29">
        <f t="shared" si="4"/>
        <v>27.55376344</v>
      </c>
      <c r="K37" s="30">
        <f t="shared" si="5"/>
        <v>27.55376344</v>
      </c>
      <c r="L37" s="30">
        <f t="shared" si="6"/>
        <v>25.625</v>
      </c>
      <c r="M37" s="31">
        <v>0.07</v>
      </c>
      <c r="N37" s="32"/>
      <c r="O37" s="35"/>
      <c r="P37" s="32" t="str">
        <f>'ALL DATA &amp; IT4PROFIT'!H40</f>
        <v/>
      </c>
      <c r="Q37" s="35" t="str">
        <f>'ALL DATA &amp; IT4PROFIT'!K40</f>
        <v/>
      </c>
      <c r="R37" s="35" t="str">
        <f>'ALL DATA &amp; IT4PROFIT'!D40</f>
        <v/>
      </c>
      <c r="S37" s="32"/>
      <c r="T37" s="9"/>
      <c r="U37" s="9"/>
    </row>
    <row r="38" ht="21.0" hidden="1" customHeight="1">
      <c r="A38" s="13"/>
      <c r="B38" s="24" t="str">
        <f>'ALL DATA &amp; IT4PROFIT'!A41</f>
        <v>SUNGROW</v>
      </c>
      <c r="C38" s="24" t="str">
        <f>'ALL DATA &amp; IT4PROFIT'!B41</f>
        <v>IV SUNG SG4.0RS</v>
      </c>
      <c r="D38" s="24" t="str">
        <f>'ALL DATA &amp; IT4PROFIT'!C41</f>
        <v>1PH</v>
      </c>
      <c r="E38" s="25">
        <v>1.0</v>
      </c>
      <c r="F38" s="26" t="str">
        <f>'ALL DATA &amp; IT4PROFIT'!J41</f>
        <v/>
      </c>
      <c r="G38" s="27">
        <f t="shared" si="8"/>
        <v>25</v>
      </c>
      <c r="H38" s="27">
        <f t="shared" si="2"/>
        <v>25.625</v>
      </c>
      <c r="I38" s="28">
        <f t="shared" si="3"/>
        <v>0.07</v>
      </c>
      <c r="J38" s="29">
        <f t="shared" si="4"/>
        <v>27.55376344</v>
      </c>
      <c r="K38" s="30">
        <f t="shared" si="5"/>
        <v>27.55376344</v>
      </c>
      <c r="L38" s="30">
        <f t="shared" si="6"/>
        <v>25.625</v>
      </c>
      <c r="M38" s="31">
        <v>0.07</v>
      </c>
      <c r="N38" s="32"/>
      <c r="O38" s="35"/>
      <c r="P38" s="32" t="str">
        <f>'ALL DATA &amp; IT4PROFIT'!H41</f>
        <v/>
      </c>
      <c r="Q38" s="35" t="str">
        <f>'ALL DATA &amp; IT4PROFIT'!K41</f>
        <v/>
      </c>
      <c r="R38" s="35" t="str">
        <f>'ALL DATA &amp; IT4PROFIT'!D41</f>
        <v/>
      </c>
      <c r="S38" s="32"/>
      <c r="T38" s="9"/>
      <c r="U38" s="9"/>
    </row>
    <row r="39" ht="21.0" hidden="1" customHeight="1">
      <c r="A39" s="13"/>
      <c r="B39" s="24" t="str">
        <f>'ALL DATA &amp; IT4PROFIT'!A42</f>
        <v>SUNGROW</v>
      </c>
      <c r="C39" s="24" t="str">
        <f>'ALL DATA &amp; IT4PROFIT'!B42</f>
        <v>IV SUNG SG5.0RS</v>
      </c>
      <c r="D39" s="24" t="str">
        <f>'ALL DATA &amp; IT4PROFIT'!C42</f>
        <v>1PH</v>
      </c>
      <c r="E39" s="25">
        <v>1.0</v>
      </c>
      <c r="F39" s="26" t="str">
        <f>'ALL DATA &amp; IT4PROFIT'!J42</f>
        <v/>
      </c>
      <c r="G39" s="27">
        <f t="shared" si="8"/>
        <v>25</v>
      </c>
      <c r="H39" s="27">
        <f t="shared" si="2"/>
        <v>25.625</v>
      </c>
      <c r="I39" s="28">
        <f t="shared" si="3"/>
        <v>0.07</v>
      </c>
      <c r="J39" s="29">
        <f t="shared" si="4"/>
        <v>27.55376344</v>
      </c>
      <c r="K39" s="30">
        <f t="shared" si="5"/>
        <v>27.55376344</v>
      </c>
      <c r="L39" s="30">
        <f t="shared" si="6"/>
        <v>25.625</v>
      </c>
      <c r="M39" s="31">
        <v>0.07</v>
      </c>
      <c r="N39" s="32"/>
      <c r="O39" s="35"/>
      <c r="P39" s="32" t="str">
        <f>'ALL DATA &amp; IT4PROFIT'!H42</f>
        <v/>
      </c>
      <c r="Q39" s="35" t="str">
        <f>'ALL DATA &amp; IT4PROFIT'!K42</f>
        <v/>
      </c>
      <c r="R39" s="35" t="str">
        <f>'ALL DATA &amp; IT4PROFIT'!D42</f>
        <v/>
      </c>
      <c r="S39" s="32"/>
      <c r="T39" s="9"/>
      <c r="U39" s="9"/>
    </row>
    <row r="40" ht="21.0" hidden="1" customHeight="1">
      <c r="A40" s="13"/>
      <c r="B40" s="24" t="str">
        <f>'ALL DATA &amp; IT4PROFIT'!A43</f>
        <v>SUNGROW</v>
      </c>
      <c r="C40" s="24" t="str">
        <f>'ALL DATA &amp; IT4PROFIT'!B43</f>
        <v>IV SUNG SG3.0RT</v>
      </c>
      <c r="D40" s="24" t="str">
        <f>'ALL DATA &amp; IT4PROFIT'!C43</f>
        <v>3PH</v>
      </c>
      <c r="E40" s="25">
        <v>1.0</v>
      </c>
      <c r="F40" s="26" t="str">
        <f>'ALL DATA &amp; IT4PROFIT'!J43</f>
        <v/>
      </c>
      <c r="G40" s="27">
        <f t="shared" si="8"/>
        <v>25</v>
      </c>
      <c r="H40" s="27">
        <f t="shared" si="2"/>
        <v>25.625</v>
      </c>
      <c r="I40" s="28">
        <f t="shared" si="3"/>
        <v>0.07</v>
      </c>
      <c r="J40" s="29">
        <f t="shared" si="4"/>
        <v>27.55376344</v>
      </c>
      <c r="K40" s="30">
        <f t="shared" si="5"/>
        <v>27.55376344</v>
      </c>
      <c r="L40" s="30">
        <f t="shared" si="6"/>
        <v>25.625</v>
      </c>
      <c r="M40" s="31">
        <v>0.07</v>
      </c>
      <c r="N40" s="32"/>
      <c r="O40" s="35"/>
      <c r="P40" s="32" t="str">
        <f>'ALL DATA &amp; IT4PROFIT'!H43</f>
        <v/>
      </c>
      <c r="Q40" s="35" t="str">
        <f>'ALL DATA &amp; IT4PROFIT'!K43</f>
        <v/>
      </c>
      <c r="R40" s="35" t="str">
        <f>'ALL DATA &amp; IT4PROFIT'!D43</f>
        <v/>
      </c>
      <c r="S40" s="32"/>
      <c r="T40" s="9"/>
      <c r="U40" s="9"/>
    </row>
    <row r="41" ht="21.0" hidden="1" customHeight="1">
      <c r="A41" s="13"/>
      <c r="B41" s="24" t="str">
        <f>'ALL DATA &amp; IT4PROFIT'!A44</f>
        <v>SUNGROW</v>
      </c>
      <c r="C41" s="24" t="str">
        <f>'ALL DATA &amp; IT4PROFIT'!B44</f>
        <v>IV SUNG SG4.0RT</v>
      </c>
      <c r="D41" s="24" t="str">
        <f>'ALL DATA &amp; IT4PROFIT'!C44</f>
        <v>3PH</v>
      </c>
      <c r="E41" s="25">
        <v>1.0</v>
      </c>
      <c r="F41" s="26" t="str">
        <f>'ALL DATA &amp; IT4PROFIT'!J44</f>
        <v/>
      </c>
      <c r="G41" s="27">
        <f t="shared" si="8"/>
        <v>25</v>
      </c>
      <c r="H41" s="27">
        <f t="shared" si="2"/>
        <v>25.625</v>
      </c>
      <c r="I41" s="28">
        <f t="shared" si="3"/>
        <v>0.07</v>
      </c>
      <c r="J41" s="29">
        <f t="shared" si="4"/>
        <v>27.55376344</v>
      </c>
      <c r="K41" s="30">
        <f t="shared" si="5"/>
        <v>27.55376344</v>
      </c>
      <c r="L41" s="30">
        <f t="shared" si="6"/>
        <v>25.625</v>
      </c>
      <c r="M41" s="31">
        <v>0.07</v>
      </c>
      <c r="N41" s="32"/>
      <c r="O41" s="35"/>
      <c r="P41" s="32" t="str">
        <f>'ALL DATA &amp; IT4PROFIT'!H44</f>
        <v/>
      </c>
      <c r="Q41" s="35" t="str">
        <f>'ALL DATA &amp; IT4PROFIT'!K44</f>
        <v/>
      </c>
      <c r="R41" s="35" t="str">
        <f>'ALL DATA &amp; IT4PROFIT'!D44</f>
        <v/>
      </c>
      <c r="S41" s="32"/>
      <c r="T41" s="9"/>
      <c r="U41" s="9"/>
    </row>
    <row r="42" ht="21.0" hidden="1" customHeight="1">
      <c r="A42" s="13"/>
      <c r="B42" s="24" t="str">
        <f>'ALL DATA &amp; IT4PROFIT'!A45</f>
        <v>SUNGROW</v>
      </c>
      <c r="C42" s="24" t="str">
        <f>'ALL DATA &amp; IT4PROFIT'!B45</f>
        <v>IV SUNG SG5.0RT</v>
      </c>
      <c r="D42" s="24" t="str">
        <f>'ALL DATA &amp; IT4PROFIT'!C45</f>
        <v>3PH</v>
      </c>
      <c r="E42" s="25">
        <v>1.0</v>
      </c>
      <c r="F42" s="26" t="str">
        <f>'ALL DATA &amp; IT4PROFIT'!J45</f>
        <v/>
      </c>
      <c r="G42" s="27">
        <f t="shared" si="8"/>
        <v>25</v>
      </c>
      <c r="H42" s="27">
        <f t="shared" si="2"/>
        <v>25.625</v>
      </c>
      <c r="I42" s="28">
        <f t="shared" si="3"/>
        <v>0.07</v>
      </c>
      <c r="J42" s="29">
        <f t="shared" si="4"/>
        <v>27.55376344</v>
      </c>
      <c r="K42" s="30">
        <f t="shared" si="5"/>
        <v>27.55376344</v>
      </c>
      <c r="L42" s="30">
        <f t="shared" si="6"/>
        <v>25.625</v>
      </c>
      <c r="M42" s="31">
        <v>0.07</v>
      </c>
      <c r="N42" s="32"/>
      <c r="O42" s="35"/>
      <c r="P42" s="32" t="str">
        <f>'ALL DATA &amp; IT4PROFIT'!H45</f>
        <v/>
      </c>
      <c r="Q42" s="35" t="str">
        <f>'ALL DATA &amp; IT4PROFIT'!K45</f>
        <v/>
      </c>
      <c r="R42" s="35" t="str">
        <f>'ALL DATA &amp; IT4PROFIT'!D45</f>
        <v/>
      </c>
      <c r="S42" s="32"/>
      <c r="T42" s="9"/>
      <c r="U42" s="9"/>
    </row>
    <row r="43" ht="21.0" hidden="1" customHeight="1">
      <c r="A43" s="13"/>
      <c r="B43" s="24" t="str">
        <f>'ALL DATA &amp; IT4PROFIT'!A46</f>
        <v>SUNGROW</v>
      </c>
      <c r="C43" s="24" t="str">
        <f>'ALL DATA &amp; IT4PROFIT'!B46</f>
        <v>IV SUNG SG6.0RT</v>
      </c>
      <c r="D43" s="24" t="str">
        <f>'ALL DATA &amp; IT4PROFIT'!C46</f>
        <v>3PH</v>
      </c>
      <c r="E43" s="25">
        <v>1.0</v>
      </c>
      <c r="F43" s="26" t="str">
        <f>'ALL DATA &amp; IT4PROFIT'!J46</f>
        <v/>
      </c>
      <c r="G43" s="27">
        <f t="shared" si="8"/>
        <v>25</v>
      </c>
      <c r="H43" s="27">
        <f t="shared" si="2"/>
        <v>25.625</v>
      </c>
      <c r="I43" s="28">
        <f t="shared" si="3"/>
        <v>0.07</v>
      </c>
      <c r="J43" s="29">
        <f t="shared" si="4"/>
        <v>27.55376344</v>
      </c>
      <c r="K43" s="30">
        <f t="shared" si="5"/>
        <v>27.55376344</v>
      </c>
      <c r="L43" s="30">
        <f t="shared" si="6"/>
        <v>25.625</v>
      </c>
      <c r="M43" s="31">
        <v>0.07</v>
      </c>
      <c r="N43" s="32"/>
      <c r="O43" s="35"/>
      <c r="P43" s="32" t="str">
        <f>'ALL DATA &amp; IT4PROFIT'!H46</f>
        <v/>
      </c>
      <c r="Q43" s="35" t="str">
        <f>'ALL DATA &amp; IT4PROFIT'!K46</f>
        <v/>
      </c>
      <c r="R43" s="35" t="str">
        <f>'ALL DATA &amp; IT4PROFIT'!D46</f>
        <v/>
      </c>
      <c r="S43" s="32"/>
      <c r="T43" s="9"/>
      <c r="U43" s="9"/>
    </row>
    <row r="44" ht="21.0" hidden="1" customHeight="1">
      <c r="A44" s="13"/>
      <c r="B44" s="24" t="str">
        <f>'ALL DATA &amp; IT4PROFIT'!A47</f>
        <v>SUNGROW</v>
      </c>
      <c r="C44" s="24" t="str">
        <f>'ALL DATA &amp; IT4PROFIT'!B47</f>
        <v>IV SUNG SG8.0RT</v>
      </c>
      <c r="D44" s="24" t="str">
        <f>'ALL DATA &amp; IT4PROFIT'!C47</f>
        <v>3PH</v>
      </c>
      <c r="E44" s="25">
        <v>1.0</v>
      </c>
      <c r="F44" s="26" t="str">
        <f>'ALL DATA &amp; IT4PROFIT'!J47</f>
        <v/>
      </c>
      <c r="G44" s="27">
        <f t="shared" si="8"/>
        <v>25</v>
      </c>
      <c r="H44" s="27">
        <f t="shared" si="2"/>
        <v>25.625</v>
      </c>
      <c r="I44" s="28">
        <f t="shared" si="3"/>
        <v>0.07</v>
      </c>
      <c r="J44" s="29">
        <f t="shared" si="4"/>
        <v>27.55376344</v>
      </c>
      <c r="K44" s="30">
        <f t="shared" si="5"/>
        <v>27.55376344</v>
      </c>
      <c r="L44" s="30">
        <f t="shared" si="6"/>
        <v>25.625</v>
      </c>
      <c r="M44" s="31">
        <v>0.07</v>
      </c>
      <c r="N44" s="32"/>
      <c r="O44" s="35"/>
      <c r="P44" s="32" t="str">
        <f>'ALL DATA &amp; IT4PROFIT'!H47</f>
        <v/>
      </c>
      <c r="Q44" s="35" t="str">
        <f>'ALL DATA &amp; IT4PROFIT'!K47</f>
        <v/>
      </c>
      <c r="R44" s="35" t="str">
        <f>'ALL DATA &amp; IT4PROFIT'!D47</f>
        <v/>
      </c>
      <c r="S44" s="32"/>
      <c r="T44" s="9"/>
      <c r="U44" s="9"/>
    </row>
    <row r="45" ht="21.0" hidden="1" customHeight="1">
      <c r="A45" s="13"/>
      <c r="B45" s="24" t="str">
        <f>'ALL DATA &amp; IT4PROFIT'!A48</f>
        <v>SUNGROW</v>
      </c>
      <c r="C45" s="24" t="str">
        <f>'ALL DATA &amp; IT4PROFIT'!B48</f>
        <v>IV SUNG SG10.0RT</v>
      </c>
      <c r="D45" s="24" t="str">
        <f>'ALL DATA &amp; IT4PROFIT'!C48</f>
        <v>3PH</v>
      </c>
      <c r="E45" s="25">
        <v>1.0</v>
      </c>
      <c r="F45" s="26" t="str">
        <f>'ALL DATA &amp; IT4PROFIT'!J48</f>
        <v/>
      </c>
      <c r="G45" s="27">
        <f t="shared" si="8"/>
        <v>25</v>
      </c>
      <c r="H45" s="27">
        <f t="shared" si="2"/>
        <v>25.625</v>
      </c>
      <c r="I45" s="28">
        <f t="shared" si="3"/>
        <v>0.07</v>
      </c>
      <c r="J45" s="29">
        <f t="shared" si="4"/>
        <v>27.55376344</v>
      </c>
      <c r="K45" s="30">
        <f t="shared" si="5"/>
        <v>27.55376344</v>
      </c>
      <c r="L45" s="30">
        <f t="shared" si="6"/>
        <v>25.625</v>
      </c>
      <c r="M45" s="31">
        <v>0.07</v>
      </c>
      <c r="N45" s="32"/>
      <c r="O45" s="35"/>
      <c r="P45" s="32" t="str">
        <f>'ALL DATA &amp; IT4PROFIT'!H48</f>
        <v/>
      </c>
      <c r="Q45" s="35" t="str">
        <f>'ALL DATA &amp; IT4PROFIT'!K48</f>
        <v/>
      </c>
      <c r="R45" s="35" t="str">
        <f>'ALL DATA &amp; IT4PROFIT'!D48</f>
        <v/>
      </c>
      <c r="S45" s="32"/>
      <c r="T45" s="9"/>
      <c r="U45" s="9"/>
    </row>
    <row r="46" ht="21.0" hidden="1" customHeight="1">
      <c r="A46" s="13"/>
      <c r="B46" s="24" t="str">
        <f>'ALL DATA &amp; IT4PROFIT'!A49</f>
        <v>SUNGROW</v>
      </c>
      <c r="C46" s="24" t="str">
        <f>'ALL DATA &amp; IT4PROFIT'!B49</f>
        <v>IV SUNG SG12.0RT</v>
      </c>
      <c r="D46" s="24" t="str">
        <f>'ALL DATA &amp; IT4PROFIT'!C49</f>
        <v>3PH</v>
      </c>
      <c r="E46" s="25">
        <v>1.0</v>
      </c>
      <c r="F46" s="26" t="str">
        <f>'ALL DATA &amp; IT4PROFIT'!J49</f>
        <v/>
      </c>
      <c r="G46" s="27">
        <f t="shared" si="8"/>
        <v>25</v>
      </c>
      <c r="H46" s="27">
        <f t="shared" si="2"/>
        <v>25.625</v>
      </c>
      <c r="I46" s="28">
        <f t="shared" si="3"/>
        <v>0.07</v>
      </c>
      <c r="J46" s="29">
        <f t="shared" si="4"/>
        <v>27.55376344</v>
      </c>
      <c r="K46" s="30">
        <f t="shared" si="5"/>
        <v>27.55376344</v>
      </c>
      <c r="L46" s="30">
        <f t="shared" si="6"/>
        <v>25.625</v>
      </c>
      <c r="M46" s="31">
        <v>0.07</v>
      </c>
      <c r="N46" s="32"/>
      <c r="O46" s="35"/>
      <c r="P46" s="32" t="str">
        <f>'ALL DATA &amp; IT4PROFIT'!H49</f>
        <v/>
      </c>
      <c r="Q46" s="35" t="str">
        <f>'ALL DATA &amp; IT4PROFIT'!K49</f>
        <v/>
      </c>
      <c r="R46" s="35" t="str">
        <f>'ALL DATA &amp; IT4PROFIT'!D49</f>
        <v/>
      </c>
      <c r="S46" s="32"/>
      <c r="T46" s="9"/>
      <c r="U46" s="9"/>
    </row>
    <row r="47" ht="21.0" hidden="1" customHeight="1">
      <c r="A47" s="13"/>
      <c r="B47" s="24" t="str">
        <f>'ALL DATA &amp; IT4PROFIT'!A50</f>
        <v>SUNGROW</v>
      </c>
      <c r="C47" s="24" t="str">
        <f>'ALL DATA &amp; IT4PROFIT'!B50</f>
        <v>IV SUNG SG15.0RT</v>
      </c>
      <c r="D47" s="24" t="str">
        <f>'ALL DATA &amp; IT4PROFIT'!C50</f>
        <v>3PH</v>
      </c>
      <c r="E47" s="25">
        <v>1.0</v>
      </c>
      <c r="F47" s="26" t="str">
        <f>'ALL DATA &amp; IT4PROFIT'!J50</f>
        <v/>
      </c>
      <c r="G47" s="27">
        <f t="shared" si="8"/>
        <v>25</v>
      </c>
      <c r="H47" s="27">
        <f t="shared" si="2"/>
        <v>25.625</v>
      </c>
      <c r="I47" s="28">
        <f t="shared" si="3"/>
        <v>0.07</v>
      </c>
      <c r="J47" s="29">
        <f t="shared" si="4"/>
        <v>27.55376344</v>
      </c>
      <c r="K47" s="30">
        <f t="shared" si="5"/>
        <v>27.55376344</v>
      </c>
      <c r="L47" s="30">
        <f t="shared" si="6"/>
        <v>25.625</v>
      </c>
      <c r="M47" s="31">
        <v>0.07</v>
      </c>
      <c r="N47" s="32"/>
      <c r="O47" s="35"/>
      <c r="P47" s="32" t="str">
        <f>'ALL DATA &amp; IT4PROFIT'!H50</f>
        <v/>
      </c>
      <c r="Q47" s="35" t="str">
        <f>'ALL DATA &amp; IT4PROFIT'!K50</f>
        <v/>
      </c>
      <c r="R47" s="35" t="str">
        <f>'ALL DATA &amp; IT4PROFIT'!D50</f>
        <v/>
      </c>
      <c r="S47" s="32"/>
      <c r="T47" s="9"/>
      <c r="U47" s="9"/>
    </row>
    <row r="48" ht="21.0" hidden="1" customHeight="1">
      <c r="A48" s="13"/>
      <c r="B48" s="24" t="str">
        <f>'ALL DATA &amp; IT4PROFIT'!A51</f>
        <v>SUNGROW</v>
      </c>
      <c r="C48" s="24" t="str">
        <f>'ALL DATA &amp; IT4PROFIT'!B51</f>
        <v>IV SUNG SG20.0RT</v>
      </c>
      <c r="D48" s="24" t="str">
        <f>'ALL DATA &amp; IT4PROFIT'!C51</f>
        <v>3PH</v>
      </c>
      <c r="E48" s="25">
        <v>1.0</v>
      </c>
      <c r="F48" s="26" t="str">
        <f>'ALL DATA &amp; IT4PROFIT'!J51</f>
        <v/>
      </c>
      <c r="G48" s="27">
        <f t="shared" si="8"/>
        <v>25</v>
      </c>
      <c r="H48" s="27">
        <f t="shared" si="2"/>
        <v>25.625</v>
      </c>
      <c r="I48" s="28">
        <f t="shared" si="3"/>
        <v>0.07</v>
      </c>
      <c r="J48" s="29">
        <f t="shared" si="4"/>
        <v>27.55376344</v>
      </c>
      <c r="K48" s="30">
        <f t="shared" si="5"/>
        <v>27.55376344</v>
      </c>
      <c r="L48" s="30">
        <f t="shared" si="6"/>
        <v>25.625</v>
      </c>
      <c r="M48" s="31">
        <v>0.07</v>
      </c>
      <c r="N48" s="32"/>
      <c r="O48" s="35"/>
      <c r="P48" s="32" t="str">
        <f>'ALL DATA &amp; IT4PROFIT'!H51</f>
        <v/>
      </c>
      <c r="Q48" s="35" t="str">
        <f>'ALL DATA &amp; IT4PROFIT'!K51</f>
        <v/>
      </c>
      <c r="R48" s="35" t="str">
        <f>'ALL DATA &amp; IT4PROFIT'!D51</f>
        <v/>
      </c>
      <c r="S48" s="32"/>
      <c r="T48" s="9"/>
      <c r="U48" s="9"/>
    </row>
    <row r="49" ht="21.0" hidden="1" customHeight="1">
      <c r="A49" s="13"/>
      <c r="B49" s="24" t="str">
        <f>'ALL DATA &amp; IT4PROFIT'!A52</f>
        <v>SUNGROW</v>
      </c>
      <c r="C49" s="24" t="str">
        <f>'ALL DATA &amp; IT4PROFIT'!B52</f>
        <v>IV SUNG SG33CX</v>
      </c>
      <c r="D49" s="24" t="str">
        <f>'ALL DATA &amp; IT4PROFIT'!C52</f>
        <v>3PH</v>
      </c>
      <c r="E49" s="25">
        <v>1.0</v>
      </c>
      <c r="F49" s="26" t="str">
        <f>'ALL DATA &amp; IT4PROFIT'!J52</f>
        <v/>
      </c>
      <c r="G49" s="27">
        <f t="shared" si="8"/>
        <v>25</v>
      </c>
      <c r="H49" s="27">
        <f t="shared" si="2"/>
        <v>25.625</v>
      </c>
      <c r="I49" s="28">
        <f t="shared" si="3"/>
        <v>0.07</v>
      </c>
      <c r="J49" s="29">
        <f t="shared" si="4"/>
        <v>27.55376344</v>
      </c>
      <c r="K49" s="30">
        <f t="shared" si="5"/>
        <v>27.55376344</v>
      </c>
      <c r="L49" s="30">
        <f t="shared" si="6"/>
        <v>25.625</v>
      </c>
      <c r="M49" s="31">
        <v>0.07</v>
      </c>
      <c r="N49" s="32"/>
      <c r="O49" s="35"/>
      <c r="P49" s="32" t="str">
        <f>'ALL DATA &amp; IT4PROFIT'!H52</f>
        <v/>
      </c>
      <c r="Q49" s="35" t="str">
        <f>'ALL DATA &amp; IT4PROFIT'!K52</f>
        <v/>
      </c>
      <c r="R49" s="35" t="str">
        <f>'ALL DATA &amp; IT4PROFIT'!D52</f>
        <v/>
      </c>
      <c r="S49" s="32"/>
      <c r="T49" s="9"/>
      <c r="U49" s="9"/>
    </row>
    <row r="50" ht="21.0" hidden="1" customHeight="1">
      <c r="A50" s="13"/>
      <c r="B50" s="24" t="str">
        <f>'ALL DATA &amp; IT4PROFIT'!A53</f>
        <v>SUNGROW</v>
      </c>
      <c r="C50" s="24" t="str">
        <f>'ALL DATA &amp; IT4PROFIT'!B53</f>
        <v>IV SUNG SG50CX-P2</v>
      </c>
      <c r="D50" s="24" t="str">
        <f>'ALL DATA &amp; IT4PROFIT'!C53</f>
        <v>3PH</v>
      </c>
      <c r="E50" s="25">
        <v>1.0</v>
      </c>
      <c r="F50" s="26" t="str">
        <f>'ALL DATA &amp; IT4PROFIT'!J53</f>
        <v/>
      </c>
      <c r="G50" s="27">
        <f t="shared" si="8"/>
        <v>25</v>
      </c>
      <c r="H50" s="27">
        <f t="shared" si="2"/>
        <v>25.625</v>
      </c>
      <c r="I50" s="28">
        <f t="shared" si="3"/>
        <v>0.07</v>
      </c>
      <c r="J50" s="29">
        <f t="shared" si="4"/>
        <v>27.55376344</v>
      </c>
      <c r="K50" s="30">
        <f t="shared" si="5"/>
        <v>27.55376344</v>
      </c>
      <c r="L50" s="30">
        <f t="shared" si="6"/>
        <v>25.625</v>
      </c>
      <c r="M50" s="31">
        <v>0.07</v>
      </c>
      <c r="N50" s="32"/>
      <c r="O50" s="35"/>
      <c r="P50" s="32" t="str">
        <f>'ALL DATA &amp; IT4PROFIT'!H53</f>
        <v/>
      </c>
      <c r="Q50" s="35" t="str">
        <f>'ALL DATA &amp; IT4PROFIT'!K53</f>
        <v/>
      </c>
      <c r="R50" s="35" t="str">
        <f>'ALL DATA &amp; IT4PROFIT'!D53</f>
        <v/>
      </c>
      <c r="S50" s="32"/>
      <c r="T50" s="9"/>
      <c r="U50" s="9"/>
    </row>
    <row r="51" ht="21.0" hidden="1" customHeight="1">
      <c r="A51" s="13"/>
      <c r="B51" s="24" t="str">
        <f>'ALL DATA &amp; IT4PROFIT'!A54</f>
        <v>SUNGROW</v>
      </c>
      <c r="C51" s="24" t="str">
        <f>'ALL DATA &amp; IT4PROFIT'!B54</f>
        <v>IV SUNG SG125-250-350CX-P2</v>
      </c>
      <c r="D51" s="24" t="str">
        <f>'ALL DATA &amp; IT4PROFIT'!C54</f>
        <v>3PH</v>
      </c>
      <c r="E51" s="25">
        <v>1.0</v>
      </c>
      <c r="F51" s="26" t="str">
        <f>'ALL DATA &amp; IT4PROFIT'!J54</f>
        <v/>
      </c>
      <c r="G51" s="27">
        <f t="shared" si="8"/>
        <v>25</v>
      </c>
      <c r="H51" s="27">
        <f t="shared" si="2"/>
        <v>25.625</v>
      </c>
      <c r="I51" s="28">
        <f t="shared" si="3"/>
        <v>0.07</v>
      </c>
      <c r="J51" s="29">
        <f t="shared" si="4"/>
        <v>27.55376344</v>
      </c>
      <c r="K51" s="30">
        <f t="shared" si="5"/>
        <v>27.55376344</v>
      </c>
      <c r="L51" s="30">
        <f t="shared" si="6"/>
        <v>25.625</v>
      </c>
      <c r="M51" s="31">
        <v>0.07</v>
      </c>
      <c r="N51" s="32"/>
      <c r="O51" s="35"/>
      <c r="P51" s="32" t="str">
        <f>'ALL DATA &amp; IT4PROFIT'!H54</f>
        <v/>
      </c>
      <c r="Q51" s="35" t="str">
        <f>'ALL DATA &amp; IT4PROFIT'!K54</f>
        <v/>
      </c>
      <c r="R51" s="35" t="str">
        <f>'ALL DATA &amp; IT4PROFIT'!D54</f>
        <v/>
      </c>
      <c r="S51" s="32"/>
      <c r="T51" s="9"/>
      <c r="U51" s="9"/>
    </row>
    <row r="52" ht="21.0" hidden="1" customHeight="1">
      <c r="A52" s="13"/>
      <c r="B52" s="24" t="str">
        <f>'ALL DATA &amp; IT4PROFIT'!A55</f>
        <v>SUNGROW</v>
      </c>
      <c r="C52" s="24" t="str">
        <f>'ALL DATA &amp; IT4PROFIT'!B55</f>
        <v>IVH SUNG SH3.0RS</v>
      </c>
      <c r="D52" s="24" t="str">
        <f>'ALL DATA &amp; IT4PROFIT'!C55</f>
        <v>1PH HYBRID</v>
      </c>
      <c r="E52" s="25">
        <v>1.0</v>
      </c>
      <c r="F52" s="26" t="str">
        <f>'ALL DATA &amp; IT4PROFIT'!J55</f>
        <v/>
      </c>
      <c r="G52" s="27">
        <f t="shared" si="8"/>
        <v>25</v>
      </c>
      <c r="H52" s="27">
        <f t="shared" si="2"/>
        <v>25.625</v>
      </c>
      <c r="I52" s="28">
        <f t="shared" si="3"/>
        <v>0.07</v>
      </c>
      <c r="J52" s="29">
        <f t="shared" si="4"/>
        <v>27.55376344</v>
      </c>
      <c r="K52" s="30">
        <f t="shared" si="5"/>
        <v>27.55376344</v>
      </c>
      <c r="L52" s="30">
        <f t="shared" si="6"/>
        <v>25.625</v>
      </c>
      <c r="M52" s="31">
        <v>0.07</v>
      </c>
      <c r="N52" s="32"/>
      <c r="O52" s="35"/>
      <c r="P52" s="32" t="str">
        <f>'ALL DATA &amp; IT4PROFIT'!H55</f>
        <v/>
      </c>
      <c r="Q52" s="35" t="str">
        <f>'ALL DATA &amp; IT4PROFIT'!K55</f>
        <v/>
      </c>
      <c r="R52" s="35" t="str">
        <f>'ALL DATA &amp; IT4PROFIT'!D55</f>
        <v/>
      </c>
      <c r="S52" s="32"/>
      <c r="T52" s="9"/>
      <c r="U52" s="9"/>
    </row>
    <row r="53" ht="21.0" hidden="1" customHeight="1">
      <c r="A53" s="13"/>
      <c r="B53" s="24" t="str">
        <f>'ALL DATA &amp; IT4PROFIT'!A56</f>
        <v>SUNGROW</v>
      </c>
      <c r="C53" s="24" t="str">
        <f>'ALL DATA &amp; IT4PROFIT'!B56</f>
        <v>IVH SUNG SH4.0RS</v>
      </c>
      <c r="D53" s="24" t="str">
        <f>'ALL DATA &amp; IT4PROFIT'!C56</f>
        <v>1PH HYBRID</v>
      </c>
      <c r="E53" s="25">
        <v>1.0</v>
      </c>
      <c r="F53" s="26" t="str">
        <f>'ALL DATA &amp; IT4PROFIT'!J56</f>
        <v/>
      </c>
      <c r="G53" s="27">
        <f t="shared" si="8"/>
        <v>25</v>
      </c>
      <c r="H53" s="27">
        <f t="shared" si="2"/>
        <v>25.625</v>
      </c>
      <c r="I53" s="28">
        <f t="shared" si="3"/>
        <v>0.07</v>
      </c>
      <c r="J53" s="29">
        <f t="shared" si="4"/>
        <v>27.55376344</v>
      </c>
      <c r="K53" s="30">
        <f t="shared" si="5"/>
        <v>27.55376344</v>
      </c>
      <c r="L53" s="30">
        <f t="shared" si="6"/>
        <v>25.625</v>
      </c>
      <c r="M53" s="31">
        <v>0.07</v>
      </c>
      <c r="N53" s="32"/>
      <c r="O53" s="35"/>
      <c r="P53" s="32" t="str">
        <f>'ALL DATA &amp; IT4PROFIT'!H56</f>
        <v/>
      </c>
      <c r="Q53" s="35" t="str">
        <f>'ALL DATA &amp; IT4PROFIT'!K56</f>
        <v/>
      </c>
      <c r="R53" s="35" t="str">
        <f>'ALL DATA &amp; IT4PROFIT'!D56</f>
        <v/>
      </c>
      <c r="S53" s="32"/>
      <c r="T53" s="9"/>
      <c r="U53" s="9"/>
    </row>
    <row r="54" ht="21.0" hidden="1" customHeight="1">
      <c r="A54" s="13"/>
      <c r="B54" s="24" t="str">
        <f>'ALL DATA &amp; IT4PROFIT'!A57</f>
        <v>SUNGROW</v>
      </c>
      <c r="C54" s="24" t="str">
        <f>'ALL DATA &amp; IT4PROFIT'!B57</f>
        <v>IVH SUNG SH5.0RS</v>
      </c>
      <c r="D54" s="24" t="str">
        <f>'ALL DATA &amp; IT4PROFIT'!C57</f>
        <v>1PH HYBRID</v>
      </c>
      <c r="E54" s="25">
        <v>1.0</v>
      </c>
      <c r="F54" s="26" t="str">
        <f>'ALL DATA &amp; IT4PROFIT'!J57</f>
        <v/>
      </c>
      <c r="G54" s="27">
        <f t="shared" si="8"/>
        <v>25</v>
      </c>
      <c r="H54" s="27">
        <f t="shared" si="2"/>
        <v>25.625</v>
      </c>
      <c r="I54" s="28">
        <f t="shared" si="3"/>
        <v>0.07</v>
      </c>
      <c r="J54" s="29">
        <f t="shared" si="4"/>
        <v>27.55376344</v>
      </c>
      <c r="K54" s="30">
        <f t="shared" si="5"/>
        <v>27.55376344</v>
      </c>
      <c r="L54" s="30">
        <f t="shared" si="6"/>
        <v>25.625</v>
      </c>
      <c r="M54" s="31">
        <v>0.07</v>
      </c>
      <c r="N54" s="32"/>
      <c r="O54" s="35"/>
      <c r="P54" s="32" t="str">
        <f>'ALL DATA &amp; IT4PROFIT'!H57</f>
        <v/>
      </c>
      <c r="Q54" s="35" t="str">
        <f>'ALL DATA &amp; IT4PROFIT'!K57</f>
        <v/>
      </c>
      <c r="R54" s="35" t="str">
        <f>'ALL DATA &amp; IT4PROFIT'!D57</f>
        <v/>
      </c>
      <c r="S54" s="32"/>
      <c r="T54" s="9"/>
      <c r="U54" s="9"/>
    </row>
    <row r="55" ht="21.0" hidden="1" customHeight="1">
      <c r="A55" s="13"/>
      <c r="B55" s="24" t="str">
        <f>'ALL DATA &amp; IT4PROFIT'!A58</f>
        <v>SUNGROW</v>
      </c>
      <c r="C55" s="24" t="str">
        <f>'ALL DATA &amp; IT4PROFIT'!B58</f>
        <v>IVH SUNG SH5RT V112 S</v>
      </c>
      <c r="D55" s="24" t="str">
        <f>'ALL DATA &amp; IT4PROFIT'!C58</f>
        <v>3PH HYBRID</v>
      </c>
      <c r="E55" s="25">
        <v>1.0</v>
      </c>
      <c r="F55" s="26" t="str">
        <f>'ALL DATA &amp; IT4PROFIT'!J58</f>
        <v/>
      </c>
      <c r="G55" s="27">
        <f t="shared" si="8"/>
        <v>25</v>
      </c>
      <c r="H55" s="27">
        <f t="shared" si="2"/>
        <v>25.625</v>
      </c>
      <c r="I55" s="28">
        <f t="shared" si="3"/>
        <v>0.07</v>
      </c>
      <c r="J55" s="29">
        <f t="shared" si="4"/>
        <v>27.55376344</v>
      </c>
      <c r="K55" s="30">
        <f t="shared" si="5"/>
        <v>27.55376344</v>
      </c>
      <c r="L55" s="30">
        <f t="shared" si="6"/>
        <v>25.625</v>
      </c>
      <c r="M55" s="31">
        <v>0.07</v>
      </c>
      <c r="N55" s="32"/>
      <c r="O55" s="35"/>
      <c r="P55" s="32" t="str">
        <f>'ALL DATA &amp; IT4PROFIT'!H58</f>
        <v/>
      </c>
      <c r="Q55" s="35" t="str">
        <f>'ALL DATA &amp; IT4PROFIT'!K58</f>
        <v/>
      </c>
      <c r="R55" s="35" t="str">
        <f>'ALL DATA &amp; IT4PROFIT'!D58</f>
        <v/>
      </c>
      <c r="S55" s="32"/>
      <c r="T55" s="9"/>
      <c r="U55" s="9"/>
    </row>
    <row r="56" ht="21.0" hidden="1" customHeight="1">
      <c r="A56" s="13"/>
      <c r="B56" s="24" t="str">
        <f>'ALL DATA &amp; IT4PROFIT'!A59</f>
        <v>SUNGROW</v>
      </c>
      <c r="C56" s="24" t="str">
        <f>'ALL DATA &amp; IT4PROFIT'!B59</f>
        <v>IVH SUNG SH6RT V112 S</v>
      </c>
      <c r="D56" s="24" t="str">
        <f>'ALL DATA &amp; IT4PROFIT'!C59</f>
        <v>3PH HYBRID</v>
      </c>
      <c r="E56" s="25">
        <v>1.0</v>
      </c>
      <c r="F56" s="26" t="str">
        <f>'ALL DATA &amp; IT4PROFIT'!J59</f>
        <v/>
      </c>
      <c r="G56" s="27">
        <f t="shared" si="8"/>
        <v>25</v>
      </c>
      <c r="H56" s="27">
        <f t="shared" si="2"/>
        <v>25.625</v>
      </c>
      <c r="I56" s="28">
        <f t="shared" si="3"/>
        <v>0.07</v>
      </c>
      <c r="J56" s="29">
        <f t="shared" si="4"/>
        <v>27.55376344</v>
      </c>
      <c r="K56" s="30">
        <f t="shared" si="5"/>
        <v>27.55376344</v>
      </c>
      <c r="L56" s="30">
        <f t="shared" si="6"/>
        <v>25.625</v>
      </c>
      <c r="M56" s="31">
        <v>0.07</v>
      </c>
      <c r="N56" s="32"/>
      <c r="O56" s="35"/>
      <c r="P56" s="32" t="str">
        <f>'ALL DATA &amp; IT4PROFIT'!H59</f>
        <v/>
      </c>
      <c r="Q56" s="35" t="str">
        <f>'ALL DATA &amp; IT4PROFIT'!K59</f>
        <v/>
      </c>
      <c r="R56" s="35" t="str">
        <f>'ALL DATA &amp; IT4PROFIT'!D59</f>
        <v/>
      </c>
      <c r="S56" s="32"/>
      <c r="T56" s="9"/>
      <c r="U56" s="9"/>
    </row>
    <row r="57" ht="21.0" hidden="1" customHeight="1">
      <c r="A57" s="13"/>
      <c r="B57" s="24" t="str">
        <f>'ALL DATA &amp; IT4PROFIT'!A60</f>
        <v>SUNGROW</v>
      </c>
      <c r="C57" s="24" t="str">
        <f>'ALL DATA &amp; IT4PROFIT'!B60</f>
        <v>IVH SUNG SH8RT V112 S</v>
      </c>
      <c r="D57" s="24" t="str">
        <f>'ALL DATA &amp; IT4PROFIT'!C60</f>
        <v>3PH HYBRID</v>
      </c>
      <c r="E57" s="25">
        <v>1.0</v>
      </c>
      <c r="F57" s="26" t="str">
        <f>'ALL DATA &amp; IT4PROFIT'!J60</f>
        <v/>
      </c>
      <c r="G57" s="27">
        <f t="shared" si="8"/>
        <v>25</v>
      </c>
      <c r="H57" s="27">
        <f t="shared" si="2"/>
        <v>25.625</v>
      </c>
      <c r="I57" s="28">
        <f t="shared" si="3"/>
        <v>0.07</v>
      </c>
      <c r="J57" s="29">
        <f t="shared" si="4"/>
        <v>27.55376344</v>
      </c>
      <c r="K57" s="30">
        <f t="shared" si="5"/>
        <v>27.55376344</v>
      </c>
      <c r="L57" s="30">
        <f t="shared" si="6"/>
        <v>25.625</v>
      </c>
      <c r="M57" s="31">
        <v>0.07</v>
      </c>
      <c r="N57" s="32"/>
      <c r="O57" s="35"/>
      <c r="P57" s="32" t="str">
        <f>'ALL DATA &amp; IT4PROFIT'!H60</f>
        <v/>
      </c>
      <c r="Q57" s="35" t="str">
        <f>'ALL DATA &amp; IT4PROFIT'!K60</f>
        <v/>
      </c>
      <c r="R57" s="35" t="str">
        <f>'ALL DATA &amp; IT4PROFIT'!D60</f>
        <v/>
      </c>
      <c r="S57" s="32"/>
      <c r="T57" s="9"/>
      <c r="U57" s="9"/>
    </row>
    <row r="58" ht="21.0" hidden="1" customHeight="1">
      <c r="A58" s="13"/>
      <c r="B58" s="24" t="str">
        <f>'ALL DATA &amp; IT4PROFIT'!A61</f>
        <v>SUNGROW</v>
      </c>
      <c r="C58" s="24" t="str">
        <f>'ALL DATA &amp; IT4PROFIT'!B61</f>
        <v>IVH SUNG SH10RT V112 S</v>
      </c>
      <c r="D58" s="24" t="str">
        <f>'ALL DATA &amp; IT4PROFIT'!C61</f>
        <v>3PH HYBRID</v>
      </c>
      <c r="E58" s="25">
        <v>1.0</v>
      </c>
      <c r="F58" s="26" t="str">
        <f>'ALL DATA &amp; IT4PROFIT'!J61</f>
        <v/>
      </c>
      <c r="G58" s="27">
        <f t="shared" si="8"/>
        <v>25</v>
      </c>
      <c r="H58" s="27">
        <f t="shared" si="2"/>
        <v>25.625</v>
      </c>
      <c r="I58" s="28">
        <f t="shared" si="3"/>
        <v>0.07</v>
      </c>
      <c r="J58" s="29">
        <f t="shared" si="4"/>
        <v>27.55376344</v>
      </c>
      <c r="K58" s="30">
        <f t="shared" si="5"/>
        <v>27.55376344</v>
      </c>
      <c r="L58" s="30">
        <f t="shared" si="6"/>
        <v>25.625</v>
      </c>
      <c r="M58" s="31">
        <v>0.07</v>
      </c>
      <c r="N58" s="32"/>
      <c r="O58" s="35"/>
      <c r="P58" s="32" t="str">
        <f>'ALL DATA &amp; IT4PROFIT'!H61</f>
        <v/>
      </c>
      <c r="Q58" s="35" t="str">
        <f>'ALL DATA &amp; IT4PROFIT'!K61</f>
        <v/>
      </c>
      <c r="R58" s="35" t="str">
        <f>'ALL DATA &amp; IT4PROFIT'!D61</f>
        <v/>
      </c>
      <c r="S58" s="32"/>
      <c r="T58" s="9"/>
      <c r="U58" s="9"/>
    </row>
    <row r="59" ht="21.0" hidden="1" customHeight="1">
      <c r="A59" s="13"/>
      <c r="B59" s="24" t="str">
        <f>'ALL DATA &amp; IT4PROFIT'!A62</f>
        <v/>
      </c>
      <c r="C59" s="24" t="str">
        <f>'ALL DATA &amp; IT4PROFIT'!B62</f>
        <v/>
      </c>
      <c r="D59" s="24" t="str">
        <f>'ALL DATA &amp; IT4PROFIT'!C62</f>
        <v/>
      </c>
      <c r="E59" s="25">
        <v>1.0</v>
      </c>
      <c r="F59" s="26" t="str">
        <f>'ALL DATA &amp; IT4PROFIT'!J62</f>
        <v/>
      </c>
      <c r="G59" s="27">
        <f t="shared" si="8"/>
        <v>25</v>
      </c>
      <c r="H59" s="27">
        <f t="shared" si="2"/>
        <v>25.625</v>
      </c>
      <c r="I59" s="28">
        <f t="shared" si="3"/>
        <v>0.07</v>
      </c>
      <c r="J59" s="29">
        <f t="shared" si="4"/>
        <v>27.55376344</v>
      </c>
      <c r="K59" s="30">
        <f t="shared" si="5"/>
        <v>27.55376344</v>
      </c>
      <c r="L59" s="30">
        <f t="shared" si="6"/>
        <v>25.625</v>
      </c>
      <c r="M59" s="31">
        <v>0.07</v>
      </c>
      <c r="N59" s="32"/>
      <c r="O59" s="35"/>
      <c r="P59" s="32" t="str">
        <f>'ALL DATA &amp; IT4PROFIT'!H62</f>
        <v/>
      </c>
      <c r="Q59" s="35" t="str">
        <f>'ALL DATA &amp; IT4PROFIT'!K62</f>
        <v/>
      </c>
      <c r="R59" s="35" t="str">
        <f>'ALL DATA &amp; IT4PROFIT'!D62</f>
        <v/>
      </c>
      <c r="S59" s="32"/>
      <c r="T59" s="9"/>
      <c r="U59" s="9"/>
    </row>
    <row r="60" ht="21.0" customHeight="1">
      <c r="A60" s="13"/>
      <c r="B60" s="24" t="str">
        <f>'ALL DATA &amp; IT4PROFIT'!A63</f>
        <v>FRONIUS</v>
      </c>
      <c r="C60" s="24" t="str">
        <f>'ALL DATA &amp; IT4PROFIT'!B63</f>
        <v>PRIMO 3.0</v>
      </c>
      <c r="D60" s="24" t="str">
        <f>'ALL DATA &amp; IT4PROFIT'!C63</f>
        <v>1PH</v>
      </c>
      <c r="E60" s="25">
        <v>1.0</v>
      </c>
      <c r="F60" s="26">
        <f>'ALL DATA &amp; IT4PROFIT'!J63</f>
        <v>844</v>
      </c>
      <c r="G60" s="27">
        <f t="shared" si="8"/>
        <v>869</v>
      </c>
      <c r="H60" s="27">
        <f t="shared" si="2"/>
        <v>890.725</v>
      </c>
      <c r="I60" s="28">
        <f t="shared" si="3"/>
        <v>0.05242</v>
      </c>
      <c r="J60" s="29">
        <f t="shared" si="4"/>
        <v>939.9997889</v>
      </c>
      <c r="K60" s="30">
        <f t="shared" si="5"/>
        <v>939.9997889</v>
      </c>
      <c r="L60" s="30">
        <f t="shared" si="6"/>
        <v>890.725</v>
      </c>
      <c r="M60" s="31">
        <v>0.05242</v>
      </c>
      <c r="N60" s="32"/>
      <c r="O60" s="35">
        <f>1570-1570*0.42</f>
        <v>910.6</v>
      </c>
      <c r="P60" s="32">
        <f>'ALL DATA &amp; IT4PROFIT'!H63</f>
        <v>950</v>
      </c>
      <c r="Q60" s="35" t="str">
        <f>'ALL DATA &amp; IT4PROFIT'!K63</f>
        <v/>
      </c>
      <c r="R60" s="35" t="str">
        <f>'ALL DATA &amp; IT4PROFIT'!D63</f>
        <v/>
      </c>
      <c r="S60" s="32"/>
      <c r="T60" s="9"/>
      <c r="U60" s="9"/>
    </row>
    <row r="61" ht="21.0" hidden="1" customHeight="1">
      <c r="A61" s="13"/>
      <c r="B61" s="24" t="str">
        <f>'ALL DATA &amp; IT4PROFIT'!A64</f>
        <v>FRONIUS</v>
      </c>
      <c r="C61" s="24" t="str">
        <f>'ALL DATA &amp; IT4PROFIT'!B64</f>
        <v>Fronius Primo 3.6-1</v>
      </c>
      <c r="D61" s="24" t="str">
        <f>'ALL DATA &amp; IT4PROFIT'!C64</f>
        <v/>
      </c>
      <c r="E61" s="25">
        <v>1.0</v>
      </c>
      <c r="F61" s="26" t="str">
        <f>'ALL DATA &amp; IT4PROFIT'!J64</f>
        <v/>
      </c>
      <c r="G61" s="27">
        <f t="shared" si="8"/>
        <v>25</v>
      </c>
      <c r="H61" s="27">
        <f t="shared" si="2"/>
        <v>25.625</v>
      </c>
      <c r="I61" s="28">
        <f t="shared" si="3"/>
        <v>0.05</v>
      </c>
      <c r="J61" s="29">
        <f t="shared" si="4"/>
        <v>26.97368421</v>
      </c>
      <c r="K61" s="30">
        <f t="shared" si="5"/>
        <v>26.97368421</v>
      </c>
      <c r="L61" s="30">
        <f t="shared" si="6"/>
        <v>25.625</v>
      </c>
      <c r="M61" s="31">
        <v>0.05</v>
      </c>
      <c r="N61" s="32"/>
      <c r="O61" s="35"/>
      <c r="P61" s="32" t="str">
        <f>'ALL DATA &amp; IT4PROFIT'!H64</f>
        <v/>
      </c>
      <c r="Q61" s="35" t="str">
        <f>'ALL DATA &amp; IT4PROFIT'!K64</f>
        <v/>
      </c>
      <c r="R61" s="35" t="str">
        <f>'ALL DATA &amp; IT4PROFIT'!D64</f>
        <v/>
      </c>
      <c r="S61" s="32"/>
      <c r="T61" s="9"/>
      <c r="U61" s="9"/>
    </row>
    <row r="62" ht="21.0" customHeight="1">
      <c r="A62" s="13"/>
      <c r="B62" s="24" t="str">
        <f>'ALL DATA &amp; IT4PROFIT'!A65</f>
        <v>FRONIUS</v>
      </c>
      <c r="C62" s="24" t="str">
        <f>'ALL DATA &amp; IT4PROFIT'!B65</f>
        <v>PRIMO 4.0</v>
      </c>
      <c r="D62" s="24" t="str">
        <f>'ALL DATA &amp; IT4PROFIT'!C65</f>
        <v>1PH</v>
      </c>
      <c r="E62" s="25">
        <v>1.0</v>
      </c>
      <c r="F62" s="26">
        <f>'ALL DATA &amp; IT4PROFIT'!J65</f>
        <v>934</v>
      </c>
      <c r="G62" s="27">
        <f t="shared" si="8"/>
        <v>959</v>
      </c>
      <c r="H62" s="27">
        <f t="shared" si="2"/>
        <v>982.975</v>
      </c>
      <c r="I62" s="28">
        <f t="shared" si="3"/>
        <v>0.04</v>
      </c>
      <c r="J62" s="29">
        <f t="shared" si="4"/>
        <v>1023.932292</v>
      </c>
      <c r="K62" s="30">
        <f t="shared" si="5"/>
        <v>1023.932292</v>
      </c>
      <c r="L62" s="30">
        <f t="shared" si="6"/>
        <v>982.975</v>
      </c>
      <c r="M62" s="31">
        <v>0.04</v>
      </c>
      <c r="N62" s="32"/>
      <c r="O62" s="35">
        <f>1740-1740*0.42</f>
        <v>1009.2</v>
      </c>
      <c r="P62" s="32">
        <f>'ALL DATA &amp; IT4PROFIT'!H65</f>
        <v>1026</v>
      </c>
      <c r="Q62" s="35" t="str">
        <f>'ALL DATA &amp; IT4PROFIT'!K65</f>
        <v/>
      </c>
      <c r="R62" s="35" t="str">
        <f>'ALL DATA &amp; IT4PROFIT'!D65</f>
        <v/>
      </c>
      <c r="S62" s="32"/>
      <c r="T62" s="9"/>
      <c r="U62" s="9"/>
    </row>
    <row r="63" ht="21.0" hidden="1" customHeight="1">
      <c r="A63" s="13"/>
      <c r="B63" s="24" t="str">
        <f>'ALL DATA &amp; IT4PROFIT'!A66</f>
        <v>FRONIUS</v>
      </c>
      <c r="C63" s="24" t="str">
        <f>'ALL DATA &amp; IT4PROFIT'!B66</f>
        <v>Fronius Primo 4.6-1</v>
      </c>
      <c r="D63" s="24" t="str">
        <f>'ALL DATA &amp; IT4PROFIT'!C66</f>
        <v/>
      </c>
      <c r="E63" s="25">
        <v>1.0</v>
      </c>
      <c r="F63" s="26" t="str">
        <f>'ALL DATA &amp; IT4PROFIT'!J66</f>
        <v/>
      </c>
      <c r="G63" s="27">
        <f t="shared" si="8"/>
        <v>25</v>
      </c>
      <c r="H63" s="27">
        <f t="shared" si="2"/>
        <v>25.625</v>
      </c>
      <c r="I63" s="28">
        <f t="shared" si="3"/>
        <v>0.05</v>
      </c>
      <c r="J63" s="29">
        <f t="shared" si="4"/>
        <v>26.97368421</v>
      </c>
      <c r="K63" s="30">
        <f t="shared" si="5"/>
        <v>26.97368421</v>
      </c>
      <c r="L63" s="30">
        <f t="shared" si="6"/>
        <v>25.625</v>
      </c>
      <c r="M63" s="31">
        <v>0.05</v>
      </c>
      <c r="N63" s="32"/>
      <c r="O63" s="35"/>
      <c r="P63" s="32" t="str">
        <f>'ALL DATA &amp; IT4PROFIT'!H66</f>
        <v/>
      </c>
      <c r="Q63" s="35" t="str">
        <f>'ALL DATA &amp; IT4PROFIT'!K66</f>
        <v/>
      </c>
      <c r="R63" s="35" t="str">
        <f>'ALL DATA &amp; IT4PROFIT'!D66</f>
        <v/>
      </c>
      <c r="S63" s="32"/>
      <c r="T63" s="9"/>
      <c r="U63" s="9"/>
    </row>
    <row r="64" ht="21.0" customHeight="1">
      <c r="A64" s="13"/>
      <c r="B64" s="24" t="str">
        <f>'ALL DATA &amp; IT4PROFIT'!A67</f>
        <v>FRONIUS</v>
      </c>
      <c r="C64" s="24" t="str">
        <f>'ALL DATA &amp; IT4PROFIT'!B67</f>
        <v>PRIMO 5.0</v>
      </c>
      <c r="D64" s="24" t="str">
        <f>'ALL DATA &amp; IT4PROFIT'!C67</f>
        <v>1PH</v>
      </c>
      <c r="E64" s="25">
        <v>1.0</v>
      </c>
      <c r="F64" s="26">
        <f>'ALL DATA &amp; IT4PROFIT'!J67</f>
        <v>1027</v>
      </c>
      <c r="G64" s="27">
        <f t="shared" si="8"/>
        <v>1052</v>
      </c>
      <c r="H64" s="27">
        <f t="shared" si="2"/>
        <v>1078.3</v>
      </c>
      <c r="I64" s="28">
        <f t="shared" si="3"/>
        <v>0.025</v>
      </c>
      <c r="J64" s="29">
        <f t="shared" si="4"/>
        <v>1105.948718</v>
      </c>
      <c r="K64" s="30">
        <f t="shared" si="5"/>
        <v>1105.948718</v>
      </c>
      <c r="L64" s="30">
        <f t="shared" si="6"/>
        <v>1078.3</v>
      </c>
      <c r="M64" s="31">
        <v>0.025</v>
      </c>
      <c r="N64" s="32"/>
      <c r="O64" s="35">
        <f>1905-1905*0.42</f>
        <v>1104.9</v>
      </c>
      <c r="P64" s="32">
        <f>'ALL DATA &amp; IT4PROFIT'!H67</f>
        <v>1124</v>
      </c>
      <c r="Q64" s="35" t="str">
        <f>'ALL DATA &amp; IT4PROFIT'!K67</f>
        <v/>
      </c>
      <c r="R64" s="35" t="str">
        <f>'ALL DATA &amp; IT4PROFIT'!D67</f>
        <v/>
      </c>
      <c r="S64" s="32"/>
      <c r="T64" s="9"/>
      <c r="U64" s="9"/>
    </row>
    <row r="65" ht="21.0" hidden="1" customHeight="1">
      <c r="A65" s="13"/>
      <c r="B65" s="24" t="str">
        <f>'ALL DATA &amp; IT4PROFIT'!A68</f>
        <v/>
      </c>
      <c r="C65" s="24" t="str">
        <f>'ALL DATA &amp; IT4PROFIT'!B68</f>
        <v/>
      </c>
      <c r="D65" s="24" t="str">
        <f>'ALL DATA &amp; IT4PROFIT'!C68</f>
        <v/>
      </c>
      <c r="E65" s="25">
        <v>1.0</v>
      </c>
      <c r="F65" s="26" t="str">
        <f>'ALL DATA &amp; IT4PROFIT'!J68</f>
        <v/>
      </c>
      <c r="G65" s="27">
        <f t="shared" si="8"/>
        <v>25</v>
      </c>
      <c r="H65" s="27">
        <f t="shared" si="2"/>
        <v>25.625</v>
      </c>
      <c r="I65" s="28">
        <f t="shared" si="3"/>
        <v>0.05</v>
      </c>
      <c r="J65" s="29">
        <f t="shared" si="4"/>
        <v>26.97368421</v>
      </c>
      <c r="K65" s="30">
        <f t="shared" si="5"/>
        <v>26.97368421</v>
      </c>
      <c r="L65" s="30">
        <f t="shared" si="6"/>
        <v>25.625</v>
      </c>
      <c r="M65" s="31">
        <v>0.05</v>
      </c>
      <c r="N65" s="32"/>
      <c r="O65" s="35"/>
      <c r="P65" s="32" t="str">
        <f>'ALL DATA &amp; IT4PROFIT'!H68</f>
        <v/>
      </c>
      <c r="Q65" s="35" t="str">
        <f>'ALL DATA &amp; IT4PROFIT'!K68</f>
        <v/>
      </c>
      <c r="R65" s="35" t="str">
        <f>'ALL DATA &amp; IT4PROFIT'!D68</f>
        <v/>
      </c>
      <c r="S65" s="32"/>
      <c r="T65" s="9"/>
      <c r="U65" s="9"/>
    </row>
    <row r="66" ht="21.0" customHeight="1">
      <c r="A66" s="13"/>
      <c r="B66" s="24" t="str">
        <f>'ALL DATA &amp; IT4PROFIT'!A69</f>
        <v>FRONIUS</v>
      </c>
      <c r="C66" s="24" t="str">
        <f>'ALL DATA &amp; IT4PROFIT'!B69</f>
        <v>SYMO 3.0-S</v>
      </c>
      <c r="D66" s="24" t="str">
        <f>'ALL DATA &amp; IT4PROFIT'!C69</f>
        <v>3PH</v>
      </c>
      <c r="E66" s="25">
        <v>1.0</v>
      </c>
      <c r="F66" s="26">
        <f>'ALL DATA &amp; IT4PROFIT'!J69</f>
        <v>835</v>
      </c>
      <c r="G66" s="27">
        <f t="shared" si="8"/>
        <v>860</v>
      </c>
      <c r="H66" s="27">
        <f t="shared" si="2"/>
        <v>881.5</v>
      </c>
      <c r="I66" s="28">
        <f t="shared" si="3"/>
        <v>0.07</v>
      </c>
      <c r="J66" s="29">
        <f t="shared" si="4"/>
        <v>947.8494624</v>
      </c>
      <c r="K66" s="30">
        <f t="shared" si="5"/>
        <v>947.8494624</v>
      </c>
      <c r="L66" s="30">
        <f t="shared" si="6"/>
        <v>881.5</v>
      </c>
      <c r="M66" s="31">
        <v>0.07</v>
      </c>
      <c r="N66" s="32"/>
      <c r="O66" s="35">
        <f>1630-1630*0.42</f>
        <v>945.4</v>
      </c>
      <c r="P66" s="32">
        <f>'ALL DATA &amp; IT4PROFIT'!H69</f>
        <v>955</v>
      </c>
      <c r="Q66" s="35" t="str">
        <f>'ALL DATA &amp; IT4PROFIT'!K69</f>
        <v/>
      </c>
      <c r="R66" s="35" t="str">
        <f>'ALL DATA &amp; IT4PROFIT'!D69</f>
        <v/>
      </c>
      <c r="S66" s="32"/>
      <c r="T66" s="9"/>
      <c r="U66" s="9"/>
    </row>
    <row r="67" ht="21.0" hidden="1" customHeight="1">
      <c r="A67" s="13"/>
      <c r="B67" s="24" t="str">
        <f>'ALL DATA &amp; IT4PROFIT'!A70</f>
        <v>FRONIUS</v>
      </c>
      <c r="C67" s="24" t="str">
        <f>'ALL DATA &amp; IT4PROFIT'!B70</f>
        <v>SYMO 3.7-S</v>
      </c>
      <c r="D67" s="24" t="str">
        <f>'ALL DATA &amp; IT4PROFIT'!C70</f>
        <v>3PH</v>
      </c>
      <c r="E67" s="25">
        <v>1.0</v>
      </c>
      <c r="F67" s="26" t="str">
        <f>'ALL DATA &amp; IT4PROFIT'!J70</f>
        <v/>
      </c>
      <c r="G67" s="27">
        <f t="shared" si="8"/>
        <v>25</v>
      </c>
      <c r="H67" s="27">
        <f t="shared" si="2"/>
        <v>25.625</v>
      </c>
      <c r="I67" s="28">
        <f t="shared" si="3"/>
        <v>0.07</v>
      </c>
      <c r="J67" s="29">
        <f t="shared" si="4"/>
        <v>27.55376344</v>
      </c>
      <c r="K67" s="30">
        <f t="shared" si="5"/>
        <v>27.55376344</v>
      </c>
      <c r="L67" s="30">
        <f t="shared" si="6"/>
        <v>25.625</v>
      </c>
      <c r="M67" s="31">
        <v>0.07</v>
      </c>
      <c r="N67" s="32"/>
      <c r="O67" s="35">
        <f>1790-1790*0.42</f>
        <v>1038.2</v>
      </c>
      <c r="P67" s="32">
        <f>'ALL DATA &amp; IT4PROFIT'!H70</f>
        <v>960</v>
      </c>
      <c r="Q67" s="35" t="str">
        <f>'ALL DATA &amp; IT4PROFIT'!K70</f>
        <v/>
      </c>
      <c r="R67" s="35" t="str">
        <f>'ALL DATA &amp; IT4PROFIT'!D70</f>
        <v/>
      </c>
      <c r="S67" s="32"/>
      <c r="T67" s="9"/>
      <c r="U67" s="9"/>
    </row>
    <row r="68" ht="21.0" customHeight="1">
      <c r="A68" s="13"/>
      <c r="B68" s="24" t="str">
        <f>'ALL DATA &amp; IT4PROFIT'!A71</f>
        <v>FRONIUS</v>
      </c>
      <c r="C68" s="24" t="str">
        <f>'ALL DATA &amp; IT4PROFIT'!B71</f>
        <v>SYMO 4.5-S</v>
      </c>
      <c r="D68" s="24" t="str">
        <f>'ALL DATA &amp; IT4PROFIT'!C71</f>
        <v>3PH</v>
      </c>
      <c r="E68" s="25">
        <v>1.0</v>
      </c>
      <c r="F68" s="26">
        <f>'ALL DATA &amp; IT4PROFIT'!J71</f>
        <v>912</v>
      </c>
      <c r="G68" s="27">
        <f t="shared" si="8"/>
        <v>937</v>
      </c>
      <c r="H68" s="27">
        <f t="shared" si="2"/>
        <v>960.425</v>
      </c>
      <c r="I68" s="28">
        <f t="shared" si="3"/>
        <v>0.12</v>
      </c>
      <c r="J68" s="29">
        <f t="shared" si="4"/>
        <v>1091.392045</v>
      </c>
      <c r="K68" s="30">
        <f t="shared" si="5"/>
        <v>1091.392045</v>
      </c>
      <c r="L68" s="30">
        <f t="shared" si="6"/>
        <v>960.425</v>
      </c>
      <c r="M68" s="31">
        <v>0.12</v>
      </c>
      <c r="N68" s="32"/>
      <c r="O68" s="35">
        <f>1980-1980*0.42</f>
        <v>1148.4</v>
      </c>
      <c r="P68" s="32" t="str">
        <f>'ALL DATA &amp; IT4PROFIT'!H71</f>
        <v/>
      </c>
      <c r="Q68" s="35" t="str">
        <f>'ALL DATA &amp; IT4PROFIT'!K71</f>
        <v/>
      </c>
      <c r="R68" s="35" t="str">
        <f>'ALL DATA &amp; IT4PROFIT'!D71</f>
        <v/>
      </c>
      <c r="S68" s="32"/>
      <c r="T68" s="9"/>
      <c r="U68" s="9"/>
    </row>
    <row r="69" ht="21.0" customHeight="1">
      <c r="A69" s="13"/>
      <c r="B69" s="24" t="str">
        <f>'ALL DATA &amp; IT4PROFIT'!A72</f>
        <v>FRONIUS</v>
      </c>
      <c r="C69" s="24" t="str">
        <f>'ALL DATA &amp; IT4PROFIT'!B72</f>
        <v>SYMO 3.0-M</v>
      </c>
      <c r="D69" s="24" t="str">
        <f>'ALL DATA &amp; IT4PROFIT'!C72</f>
        <v>3PH</v>
      </c>
      <c r="E69" s="25">
        <v>1.0</v>
      </c>
      <c r="F69" s="26">
        <f>'ALL DATA &amp; IT4PROFIT'!J72</f>
        <v>925</v>
      </c>
      <c r="G69" s="27">
        <f t="shared" si="8"/>
        <v>950</v>
      </c>
      <c r="H69" s="27">
        <f t="shared" si="2"/>
        <v>973.75</v>
      </c>
      <c r="I69" s="28">
        <f t="shared" si="3"/>
        <v>0.06</v>
      </c>
      <c r="J69" s="29">
        <f t="shared" si="4"/>
        <v>1035.904255</v>
      </c>
      <c r="K69" s="30">
        <f t="shared" si="5"/>
        <v>1035.904255</v>
      </c>
      <c r="L69" s="30">
        <f t="shared" si="6"/>
        <v>973.75</v>
      </c>
      <c r="M69" s="31">
        <v>0.06</v>
      </c>
      <c r="N69" s="32"/>
      <c r="O69" s="35">
        <f>1800-1800*0.42</f>
        <v>1044</v>
      </c>
      <c r="P69" s="32">
        <f>'ALL DATA &amp; IT4PROFIT'!H72</f>
        <v>1040</v>
      </c>
      <c r="Q69" s="35" t="str">
        <f>'ALL DATA &amp; IT4PROFIT'!K72</f>
        <v/>
      </c>
      <c r="R69" s="35" t="str">
        <f>'ALL DATA &amp; IT4PROFIT'!D72</f>
        <v/>
      </c>
      <c r="S69" s="32"/>
      <c r="T69" s="9"/>
      <c r="U69" s="9"/>
    </row>
    <row r="70" ht="21.0" customHeight="1">
      <c r="A70" s="13"/>
      <c r="B70" s="24" t="str">
        <f>'ALL DATA &amp; IT4PROFIT'!A73</f>
        <v>FRONIUS</v>
      </c>
      <c r="C70" s="24" t="str">
        <f>'ALL DATA &amp; IT4PROFIT'!B73</f>
        <v>SYMO 3.7-M</v>
      </c>
      <c r="D70" s="24" t="str">
        <f>'ALL DATA &amp; IT4PROFIT'!C73</f>
        <v>3PH</v>
      </c>
      <c r="E70" s="25">
        <v>1.0</v>
      </c>
      <c r="F70" s="26">
        <f>'ALL DATA &amp; IT4PROFIT'!J73</f>
        <v>1015</v>
      </c>
      <c r="G70" s="27">
        <f t="shared" si="8"/>
        <v>1040</v>
      </c>
      <c r="H70" s="27">
        <f t="shared" si="2"/>
        <v>1066</v>
      </c>
      <c r="I70" s="28">
        <f t="shared" si="3"/>
        <v>0.07</v>
      </c>
      <c r="J70" s="29">
        <f t="shared" si="4"/>
        <v>1146.236559</v>
      </c>
      <c r="K70" s="30">
        <f t="shared" si="5"/>
        <v>1146.236559</v>
      </c>
      <c r="L70" s="30">
        <f t="shared" si="6"/>
        <v>1066</v>
      </c>
      <c r="M70" s="31">
        <v>0.07</v>
      </c>
      <c r="N70" s="32"/>
      <c r="O70" s="35">
        <f>1980-1980*0.42</f>
        <v>1148.4</v>
      </c>
      <c r="P70" s="32">
        <f>'ALL DATA &amp; IT4PROFIT'!H73</f>
        <v>1168</v>
      </c>
      <c r="Q70" s="35" t="str">
        <f>'ALL DATA &amp; IT4PROFIT'!K73</f>
        <v/>
      </c>
      <c r="R70" s="35" t="str">
        <f>'ALL DATA &amp; IT4PROFIT'!D73</f>
        <v/>
      </c>
      <c r="S70" s="32"/>
      <c r="T70" s="9"/>
      <c r="U70" s="9"/>
    </row>
    <row r="71" ht="21.0" customHeight="1">
      <c r="A71" s="13"/>
      <c r="B71" s="24" t="str">
        <f>'ALL DATA &amp; IT4PROFIT'!A74</f>
        <v>FRONIUS</v>
      </c>
      <c r="C71" s="24" t="str">
        <f>'ALL DATA &amp; IT4PROFIT'!B74</f>
        <v>SYMO 4.5-M</v>
      </c>
      <c r="D71" s="24" t="str">
        <f>'ALL DATA &amp; IT4PROFIT'!C74</f>
        <v>3PH</v>
      </c>
      <c r="E71" s="25">
        <v>1.0</v>
      </c>
      <c r="F71" s="26">
        <f>'ALL DATA &amp; IT4PROFIT'!J74</f>
        <v>1070</v>
      </c>
      <c r="G71" s="27">
        <f t="shared" si="8"/>
        <v>1095</v>
      </c>
      <c r="H71" s="27">
        <f t="shared" si="2"/>
        <v>1122.375</v>
      </c>
      <c r="I71" s="28">
        <f t="shared" si="3"/>
        <v>0.08</v>
      </c>
      <c r="J71" s="29">
        <f t="shared" si="4"/>
        <v>1219.972826</v>
      </c>
      <c r="K71" s="30">
        <f t="shared" si="5"/>
        <v>1219.972826</v>
      </c>
      <c r="L71" s="30">
        <f t="shared" si="6"/>
        <v>1122.375</v>
      </c>
      <c r="M71" s="31">
        <v>0.08</v>
      </c>
      <c r="N71" s="32"/>
      <c r="O71" s="35">
        <f>2090-2090*0.42</f>
        <v>1212.2</v>
      </c>
      <c r="P71" s="32">
        <f>'ALL DATA &amp; IT4PROFIT'!H74</f>
        <v>1240</v>
      </c>
      <c r="Q71" s="35" t="str">
        <f>'ALL DATA &amp; IT4PROFIT'!K74</f>
        <v/>
      </c>
      <c r="R71" s="35" t="str">
        <f>'ALL DATA &amp; IT4PROFIT'!D74</f>
        <v/>
      </c>
      <c r="S71" s="32"/>
      <c r="T71" s="9"/>
      <c r="U71" s="9"/>
    </row>
    <row r="72" ht="21.0" customHeight="1">
      <c r="A72" s="13"/>
      <c r="B72" s="24" t="str">
        <f>'ALL DATA &amp; IT4PROFIT'!A75</f>
        <v>FRONIUS</v>
      </c>
      <c r="C72" s="24" t="str">
        <f>'ALL DATA &amp; IT4PROFIT'!B75</f>
        <v>SYMO 5.0-M</v>
      </c>
      <c r="D72" s="24" t="str">
        <f>'ALL DATA &amp; IT4PROFIT'!C75</f>
        <v>3PH</v>
      </c>
      <c r="E72" s="25">
        <v>1.0</v>
      </c>
      <c r="F72" s="26">
        <f>'ALL DATA &amp; IT4PROFIT'!J75</f>
        <v>1090</v>
      </c>
      <c r="G72" s="27">
        <f t="shared" si="8"/>
        <v>1115</v>
      </c>
      <c r="H72" s="27">
        <f t="shared" si="2"/>
        <v>1142.875</v>
      </c>
      <c r="I72" s="28">
        <f t="shared" si="3"/>
        <v>0.07</v>
      </c>
      <c r="J72" s="29">
        <f t="shared" si="4"/>
        <v>1228.897849</v>
      </c>
      <c r="K72" s="30">
        <f t="shared" si="5"/>
        <v>1228.897849</v>
      </c>
      <c r="L72" s="30">
        <f t="shared" si="6"/>
        <v>1142.875</v>
      </c>
      <c r="M72" s="31">
        <v>0.07</v>
      </c>
      <c r="N72" s="32"/>
      <c r="O72" s="35">
        <f>2120-2120*0.42</f>
        <v>1229.6</v>
      </c>
      <c r="P72" s="32">
        <f>'ALL DATA &amp; IT4PROFIT'!H75</f>
        <v>1250</v>
      </c>
      <c r="Q72" s="35" t="str">
        <f>'ALL DATA &amp; IT4PROFIT'!K75</f>
        <v/>
      </c>
      <c r="R72" s="35" t="str">
        <f>'ALL DATA &amp; IT4PROFIT'!D75</f>
        <v/>
      </c>
      <c r="S72" s="32"/>
      <c r="T72" s="9"/>
      <c r="U72" s="9"/>
    </row>
    <row r="73" ht="21.0" customHeight="1">
      <c r="A73" s="13"/>
      <c r="B73" s="24" t="str">
        <f>'ALL DATA &amp; IT4PROFIT'!A76</f>
        <v>FRONIUS</v>
      </c>
      <c r="C73" s="24" t="str">
        <f>'ALL DATA &amp; IT4PROFIT'!B76</f>
        <v>SYMO 6.0-M</v>
      </c>
      <c r="D73" s="24" t="str">
        <f>'ALL DATA &amp; IT4PROFIT'!C76</f>
        <v>3PH</v>
      </c>
      <c r="E73" s="25">
        <v>1.0</v>
      </c>
      <c r="F73" s="26">
        <f>'ALL DATA &amp; IT4PROFIT'!J76</f>
        <v>1110</v>
      </c>
      <c r="G73" s="27">
        <f t="shared" si="8"/>
        <v>1135</v>
      </c>
      <c r="H73" s="27">
        <f t="shared" si="2"/>
        <v>1163.375</v>
      </c>
      <c r="I73" s="28">
        <f t="shared" si="3"/>
        <v>0.07</v>
      </c>
      <c r="J73" s="29">
        <f t="shared" si="4"/>
        <v>1250.94086</v>
      </c>
      <c r="K73" s="30">
        <f t="shared" si="5"/>
        <v>1250.94086</v>
      </c>
      <c r="L73" s="30">
        <f t="shared" si="6"/>
        <v>1163.375</v>
      </c>
      <c r="M73" s="31">
        <v>0.07</v>
      </c>
      <c r="N73" s="32"/>
      <c r="O73" s="35">
        <f>2160-2160*0.42</f>
        <v>1252.8</v>
      </c>
      <c r="P73" s="32">
        <f>'ALL DATA &amp; IT4PROFIT'!H76</f>
        <v>1274</v>
      </c>
      <c r="Q73" s="35" t="str">
        <f>'ALL DATA &amp; IT4PROFIT'!K76</f>
        <v/>
      </c>
      <c r="R73" s="35" t="str">
        <f>'ALL DATA &amp; IT4PROFIT'!D76</f>
        <v/>
      </c>
      <c r="S73" s="32"/>
      <c r="T73" s="9"/>
      <c r="U73" s="9"/>
    </row>
    <row r="74" ht="21.0" customHeight="1">
      <c r="A74" s="13"/>
      <c r="B74" s="24" t="str">
        <f>'ALL DATA &amp; IT4PROFIT'!A77</f>
        <v>FRONIUS</v>
      </c>
      <c r="C74" s="24" t="str">
        <f>'ALL DATA &amp; IT4PROFIT'!B77</f>
        <v>SYMO 7.0-M</v>
      </c>
      <c r="D74" s="24" t="str">
        <f>'ALL DATA &amp; IT4PROFIT'!C77</f>
        <v>3PH</v>
      </c>
      <c r="E74" s="25">
        <v>1.0</v>
      </c>
      <c r="F74" s="26">
        <f>'ALL DATA &amp; IT4PROFIT'!J77</f>
        <v>1375</v>
      </c>
      <c r="G74" s="27">
        <f t="shared" si="8"/>
        <v>1400</v>
      </c>
      <c r="H74" s="27">
        <f t="shared" si="2"/>
        <v>1435</v>
      </c>
      <c r="I74" s="28">
        <f t="shared" si="3"/>
        <v>0.07</v>
      </c>
      <c r="J74" s="29">
        <f t="shared" si="4"/>
        <v>1543.010753</v>
      </c>
      <c r="K74" s="30">
        <f t="shared" si="5"/>
        <v>1543.010753</v>
      </c>
      <c r="L74" s="30">
        <f t="shared" si="6"/>
        <v>1435</v>
      </c>
      <c r="M74" s="31">
        <v>0.07</v>
      </c>
      <c r="N74" s="32"/>
      <c r="O74" s="35">
        <f>2670-2670*0.42</f>
        <v>1548.6</v>
      </c>
      <c r="P74" s="32">
        <f>'ALL DATA &amp; IT4PROFIT'!H77</f>
        <v>1580</v>
      </c>
      <c r="Q74" s="35" t="str">
        <f>'ALL DATA &amp; IT4PROFIT'!K77</f>
        <v/>
      </c>
      <c r="R74" s="35" t="str">
        <f>'ALL DATA &amp; IT4PROFIT'!D77</f>
        <v/>
      </c>
      <c r="S74" s="32"/>
      <c r="T74" s="9"/>
      <c r="U74" s="9"/>
    </row>
    <row r="75" ht="21.0" customHeight="1">
      <c r="A75" s="13"/>
      <c r="B75" s="24" t="str">
        <f>'ALL DATA &amp; IT4PROFIT'!A78</f>
        <v>FRONIUS</v>
      </c>
      <c r="C75" s="24" t="str">
        <f>'ALL DATA &amp; IT4PROFIT'!B78</f>
        <v>SYMO 8.2-M</v>
      </c>
      <c r="D75" s="24" t="str">
        <f>'ALL DATA &amp; IT4PROFIT'!C78</f>
        <v>3PH</v>
      </c>
      <c r="E75" s="25">
        <v>1.0</v>
      </c>
      <c r="F75" s="26">
        <f>'ALL DATA &amp; IT4PROFIT'!J78</f>
        <v>1520</v>
      </c>
      <c r="G75" s="27">
        <f t="shared" si="8"/>
        <v>1545</v>
      </c>
      <c r="H75" s="27">
        <f t="shared" si="2"/>
        <v>1583.625</v>
      </c>
      <c r="I75" s="28">
        <f t="shared" si="3"/>
        <v>0.07</v>
      </c>
      <c r="J75" s="29">
        <f t="shared" si="4"/>
        <v>1702.822581</v>
      </c>
      <c r="K75" s="30">
        <f t="shared" si="5"/>
        <v>1702.822581</v>
      </c>
      <c r="L75" s="30">
        <f t="shared" si="6"/>
        <v>1583.625</v>
      </c>
      <c r="M75" s="31">
        <v>0.07</v>
      </c>
      <c r="N75" s="32"/>
      <c r="O75" s="35">
        <f>2950-2950*0.42</f>
        <v>1711</v>
      </c>
      <c r="P75" s="32">
        <f>'ALL DATA &amp; IT4PROFIT'!H78</f>
        <v>1740</v>
      </c>
      <c r="Q75" s="35" t="str">
        <f>'ALL DATA &amp; IT4PROFIT'!K78</f>
        <v/>
      </c>
      <c r="R75" s="35" t="str">
        <f>'ALL DATA &amp; IT4PROFIT'!D78</f>
        <v/>
      </c>
      <c r="S75" s="32"/>
      <c r="T75" s="9"/>
      <c r="U75" s="9"/>
    </row>
    <row r="76" ht="21.0" customHeight="1">
      <c r="A76" s="13"/>
      <c r="B76" s="24" t="str">
        <f>'ALL DATA &amp; IT4PROFIT'!A79</f>
        <v>FRONIUS</v>
      </c>
      <c r="C76" s="24" t="str">
        <f>'ALL DATA &amp; IT4PROFIT'!B79</f>
        <v>SYMO 10.0-M</v>
      </c>
      <c r="D76" s="24" t="str">
        <f>'ALL DATA &amp; IT4PROFIT'!C79</f>
        <v>3PH</v>
      </c>
      <c r="E76" s="25">
        <v>1.0</v>
      </c>
      <c r="F76" s="26">
        <f>'ALL DATA &amp; IT4PROFIT'!J79</f>
        <v>1600</v>
      </c>
      <c r="G76" s="27">
        <f t="shared" si="8"/>
        <v>1625</v>
      </c>
      <c r="H76" s="27">
        <f t="shared" si="2"/>
        <v>1665.625</v>
      </c>
      <c r="I76" s="28">
        <f t="shared" si="3"/>
        <v>0.07</v>
      </c>
      <c r="J76" s="29">
        <f t="shared" si="4"/>
        <v>1790.994624</v>
      </c>
      <c r="K76" s="30">
        <f t="shared" si="5"/>
        <v>1790.994624</v>
      </c>
      <c r="L76" s="30">
        <f t="shared" si="6"/>
        <v>1665.625</v>
      </c>
      <c r="M76" s="31">
        <v>0.07</v>
      </c>
      <c r="N76" s="32"/>
      <c r="O76" s="35">
        <f>3100-3100*0.42</f>
        <v>1798</v>
      </c>
      <c r="P76" s="32">
        <f>'ALL DATA &amp; IT4PROFIT'!H79</f>
        <v>1895</v>
      </c>
      <c r="Q76" s="35" t="str">
        <f>'ALL DATA &amp; IT4PROFIT'!K79</f>
        <v/>
      </c>
      <c r="R76" s="35" t="str">
        <f>'ALL DATA &amp; IT4PROFIT'!D79</f>
        <v/>
      </c>
      <c r="S76" s="32"/>
      <c r="T76" s="9"/>
      <c r="U76" s="9"/>
    </row>
    <row r="77" ht="21.0" customHeight="1">
      <c r="A77" s="13"/>
      <c r="B77" s="24" t="str">
        <f>'ALL DATA &amp; IT4PROFIT'!A80</f>
        <v>FRONIUS</v>
      </c>
      <c r="C77" s="24" t="str">
        <f>'ALL DATA &amp; IT4PROFIT'!B80</f>
        <v>SYMO 12.5-3-M</v>
      </c>
      <c r="D77" s="24" t="str">
        <f>'ALL DATA &amp; IT4PROFIT'!C80</f>
        <v>3PH</v>
      </c>
      <c r="E77" s="25">
        <v>1.0</v>
      </c>
      <c r="F77" s="26">
        <f>'ALL DATA &amp; IT4PROFIT'!J80</f>
        <v>1810</v>
      </c>
      <c r="G77" s="27">
        <f t="shared" si="8"/>
        <v>1835</v>
      </c>
      <c r="H77" s="27">
        <f t="shared" si="2"/>
        <v>1880.875</v>
      </c>
      <c r="I77" s="28">
        <f t="shared" si="3"/>
        <v>0.07</v>
      </c>
      <c r="J77" s="29">
        <f t="shared" si="4"/>
        <v>2022.446237</v>
      </c>
      <c r="K77" s="30">
        <f t="shared" si="5"/>
        <v>2022.446237</v>
      </c>
      <c r="L77" s="30">
        <f t="shared" si="6"/>
        <v>1880.875</v>
      </c>
      <c r="M77" s="31">
        <v>0.07</v>
      </c>
      <c r="N77" s="32"/>
      <c r="O77" s="35"/>
      <c r="P77" s="32" t="str">
        <f>'ALL DATA &amp; IT4PROFIT'!H80</f>
        <v/>
      </c>
      <c r="Q77" s="35" t="str">
        <f>'ALL DATA &amp; IT4PROFIT'!K80</f>
        <v/>
      </c>
      <c r="R77" s="35" t="str">
        <f>'ALL DATA &amp; IT4PROFIT'!D80</f>
        <v/>
      </c>
      <c r="S77" s="32"/>
      <c r="T77" s="9"/>
      <c r="U77" s="9"/>
    </row>
    <row r="78" ht="21.0" customHeight="1">
      <c r="A78" s="13"/>
      <c r="B78" s="24" t="str">
        <f>'ALL DATA &amp; IT4PROFIT'!A81</f>
        <v>FRONIUS</v>
      </c>
      <c r="C78" s="24" t="str">
        <f>'ALL DATA &amp; IT4PROFIT'!B81</f>
        <v>SYMO 15.0-3-M</v>
      </c>
      <c r="D78" s="24" t="str">
        <f>'ALL DATA &amp; IT4PROFIT'!C81</f>
        <v>3PH</v>
      </c>
      <c r="E78" s="25">
        <v>1.0</v>
      </c>
      <c r="F78" s="26">
        <f>'ALL DATA &amp; IT4PROFIT'!J81</f>
        <v>1825</v>
      </c>
      <c r="G78" s="27">
        <f t="shared" si="8"/>
        <v>1850</v>
      </c>
      <c r="H78" s="27">
        <f t="shared" si="2"/>
        <v>1896.25</v>
      </c>
      <c r="I78" s="28">
        <f t="shared" si="3"/>
        <v>0.07</v>
      </c>
      <c r="J78" s="29">
        <f t="shared" si="4"/>
        <v>2038.978495</v>
      </c>
      <c r="K78" s="30">
        <f t="shared" si="5"/>
        <v>2038.978495</v>
      </c>
      <c r="L78" s="30">
        <f t="shared" si="6"/>
        <v>1896.25</v>
      </c>
      <c r="M78" s="31">
        <v>0.07</v>
      </c>
      <c r="N78" s="32"/>
      <c r="O78" s="35"/>
      <c r="P78" s="32" t="str">
        <f>'ALL DATA &amp; IT4PROFIT'!H81</f>
        <v/>
      </c>
      <c r="Q78" s="35" t="str">
        <f>'ALL DATA &amp; IT4PROFIT'!K81</f>
        <v/>
      </c>
      <c r="R78" s="35" t="str">
        <f>'ALL DATA &amp; IT4PROFIT'!D81</f>
        <v/>
      </c>
      <c r="S78" s="32"/>
      <c r="T78" s="9"/>
      <c r="U78" s="9"/>
    </row>
    <row r="79" ht="21.0" customHeight="1">
      <c r="A79" s="13"/>
      <c r="B79" s="24" t="str">
        <f>'ALL DATA &amp; IT4PROFIT'!A82</f>
        <v>FRONIUS</v>
      </c>
      <c r="C79" s="24" t="str">
        <f>'ALL DATA &amp; IT4PROFIT'!B82</f>
        <v>SYMO 17.5-3-M</v>
      </c>
      <c r="D79" s="24" t="str">
        <f>'ALL DATA &amp; IT4PROFIT'!C82</f>
        <v>3PH</v>
      </c>
      <c r="E79" s="25">
        <v>1.0</v>
      </c>
      <c r="F79" s="26">
        <f>'ALL DATA &amp; IT4PROFIT'!J82</f>
        <v>1945</v>
      </c>
      <c r="G79" s="27">
        <f t="shared" si="8"/>
        <v>1970</v>
      </c>
      <c r="H79" s="27">
        <f t="shared" si="2"/>
        <v>2019.25</v>
      </c>
      <c r="I79" s="28">
        <f t="shared" si="3"/>
        <v>0.07</v>
      </c>
      <c r="J79" s="29">
        <f t="shared" si="4"/>
        <v>2171.236559</v>
      </c>
      <c r="K79" s="30">
        <f t="shared" si="5"/>
        <v>2171.236559</v>
      </c>
      <c r="L79" s="30">
        <f t="shared" si="6"/>
        <v>2019.25</v>
      </c>
      <c r="M79" s="31">
        <v>0.07</v>
      </c>
      <c r="N79" s="32"/>
      <c r="O79" s="35"/>
      <c r="P79" s="32" t="str">
        <f>'ALL DATA &amp; IT4PROFIT'!H82</f>
        <v/>
      </c>
      <c r="Q79" s="35" t="str">
        <f>'ALL DATA &amp; IT4PROFIT'!K82</f>
        <v/>
      </c>
      <c r="R79" s="35" t="str">
        <f>'ALL DATA &amp; IT4PROFIT'!D82</f>
        <v/>
      </c>
      <c r="S79" s="32"/>
      <c r="T79" s="9"/>
      <c r="U79" s="9"/>
    </row>
    <row r="80" ht="21.0" customHeight="1">
      <c r="A80" s="13"/>
      <c r="B80" s="24" t="str">
        <f>'ALL DATA &amp; IT4PROFIT'!A83</f>
        <v>FRONIUS</v>
      </c>
      <c r="C80" s="24" t="str">
        <f>'ALL DATA &amp; IT4PROFIT'!B83</f>
        <v>SYMO 20.0-3-M</v>
      </c>
      <c r="D80" s="24" t="str">
        <f>'ALL DATA &amp; IT4PROFIT'!C83</f>
        <v>3PH</v>
      </c>
      <c r="E80" s="25">
        <v>1.0</v>
      </c>
      <c r="F80" s="26">
        <f>'ALL DATA &amp; IT4PROFIT'!J83</f>
        <v>2035</v>
      </c>
      <c r="G80" s="27">
        <f t="shared" si="8"/>
        <v>2060</v>
      </c>
      <c r="H80" s="27">
        <f t="shared" si="2"/>
        <v>2111.5</v>
      </c>
      <c r="I80" s="28">
        <f t="shared" si="3"/>
        <v>0.07</v>
      </c>
      <c r="J80" s="29">
        <f t="shared" si="4"/>
        <v>2270.430108</v>
      </c>
      <c r="K80" s="30">
        <f t="shared" si="5"/>
        <v>2270.430108</v>
      </c>
      <c r="L80" s="30">
        <f t="shared" si="6"/>
        <v>2111.5</v>
      </c>
      <c r="M80" s="31">
        <v>0.07</v>
      </c>
      <c r="N80" s="32"/>
      <c r="O80" s="35"/>
      <c r="P80" s="32" t="str">
        <f>'ALL DATA &amp; IT4PROFIT'!H83</f>
        <v/>
      </c>
      <c r="Q80" s="35" t="str">
        <f>'ALL DATA &amp; IT4PROFIT'!K83</f>
        <v/>
      </c>
      <c r="R80" s="35" t="str">
        <f>'ALL DATA &amp; IT4PROFIT'!D83</f>
        <v/>
      </c>
      <c r="S80" s="32"/>
      <c r="T80" s="9"/>
      <c r="U80" s="9"/>
    </row>
    <row r="81" ht="21.0" hidden="1" customHeight="1">
      <c r="A81" s="13"/>
      <c r="B81" s="24" t="str">
        <f>'ALL DATA &amp; IT4PROFIT'!A84</f>
        <v/>
      </c>
      <c r="C81" s="24" t="str">
        <f>'ALL DATA &amp; IT4PROFIT'!B84</f>
        <v/>
      </c>
      <c r="D81" s="24" t="str">
        <f>'ALL DATA &amp; IT4PROFIT'!C84</f>
        <v/>
      </c>
      <c r="E81" s="25">
        <v>1.0</v>
      </c>
      <c r="F81" s="26" t="str">
        <f>'ALL DATA &amp; IT4PROFIT'!J84</f>
        <v/>
      </c>
      <c r="G81" s="27">
        <f t="shared" si="8"/>
        <v>25</v>
      </c>
      <c r="H81" s="27">
        <f t="shared" si="2"/>
        <v>25.625</v>
      </c>
      <c r="I81" s="28">
        <f t="shared" si="3"/>
        <v>0.07</v>
      </c>
      <c r="J81" s="29">
        <f t="shared" si="4"/>
        <v>27.55376344</v>
      </c>
      <c r="K81" s="30">
        <f t="shared" si="5"/>
        <v>27.55376344</v>
      </c>
      <c r="L81" s="30">
        <f t="shared" si="6"/>
        <v>25.625</v>
      </c>
      <c r="M81" s="31">
        <v>0.07</v>
      </c>
      <c r="N81" s="32"/>
      <c r="O81" s="35"/>
      <c r="P81" s="32" t="str">
        <f>'ALL DATA &amp; IT4PROFIT'!H84</f>
        <v/>
      </c>
      <c r="Q81" s="35" t="str">
        <f>'ALL DATA &amp; IT4PROFIT'!K84</f>
        <v/>
      </c>
      <c r="R81" s="35" t="str">
        <f>'ALL DATA &amp; IT4PROFIT'!D84</f>
        <v/>
      </c>
      <c r="S81" s="32"/>
      <c r="T81" s="9"/>
      <c r="U81" s="9"/>
    </row>
    <row r="82" ht="21.0" hidden="1" customHeight="1">
      <c r="A82" s="13"/>
      <c r="B82" s="24" t="str">
        <f>'ALL DATA &amp; IT4PROFIT'!A85</f>
        <v>FRONIUS</v>
      </c>
      <c r="C82" s="24" t="str">
        <f>'ALL DATA &amp; IT4PROFIT'!B85</f>
        <v>Fronius Symo GEN24 3.0</v>
      </c>
      <c r="D82" s="24" t="str">
        <f>'ALL DATA &amp; IT4PROFIT'!C85</f>
        <v>3PH H lock</v>
      </c>
      <c r="E82" s="25">
        <v>1.0</v>
      </c>
      <c r="F82" s="26" t="str">
        <f>'ALL DATA &amp; IT4PROFIT'!J85</f>
        <v/>
      </c>
      <c r="G82" s="27">
        <f t="shared" si="8"/>
        <v>25</v>
      </c>
      <c r="H82" s="27">
        <f t="shared" si="2"/>
        <v>25.625</v>
      </c>
      <c r="I82" s="28">
        <f t="shared" si="3"/>
        <v>0.07</v>
      </c>
      <c r="J82" s="29">
        <f t="shared" si="4"/>
        <v>27.55376344</v>
      </c>
      <c r="K82" s="30">
        <f t="shared" si="5"/>
        <v>27.55376344</v>
      </c>
      <c r="L82" s="30">
        <f t="shared" si="6"/>
        <v>25.625</v>
      </c>
      <c r="M82" s="31">
        <v>0.07</v>
      </c>
      <c r="N82" s="36"/>
      <c r="O82" s="35"/>
      <c r="P82" s="32" t="str">
        <f>'ALL DATA &amp; IT4PROFIT'!H85</f>
        <v/>
      </c>
      <c r="Q82" s="35" t="str">
        <f>'ALL DATA &amp; IT4PROFIT'!K85</f>
        <v/>
      </c>
      <c r="R82" s="35" t="str">
        <f>'ALL DATA &amp; IT4PROFIT'!D85</f>
        <v/>
      </c>
      <c r="S82" s="32"/>
      <c r="T82" s="9"/>
      <c r="U82" s="9"/>
    </row>
    <row r="83" ht="21.0" hidden="1" customHeight="1">
      <c r="A83" s="13"/>
      <c r="B83" s="24" t="str">
        <f>'ALL DATA &amp; IT4PROFIT'!A86</f>
        <v>FRONIUS</v>
      </c>
      <c r="C83" s="24" t="str">
        <f>'ALL DATA &amp; IT4PROFIT'!B86</f>
        <v>Fronius Symo GEN24 4.0</v>
      </c>
      <c r="D83" s="24" t="str">
        <f>'ALL DATA &amp; IT4PROFIT'!C86</f>
        <v>3PH H lock</v>
      </c>
      <c r="E83" s="25">
        <v>1.0</v>
      </c>
      <c r="F83" s="26" t="str">
        <f>'ALL DATA &amp; IT4PROFIT'!J86</f>
        <v/>
      </c>
      <c r="G83" s="27">
        <f t="shared" si="8"/>
        <v>25</v>
      </c>
      <c r="H83" s="27">
        <f t="shared" si="2"/>
        <v>25.625</v>
      </c>
      <c r="I83" s="28">
        <f t="shared" si="3"/>
        <v>0.07</v>
      </c>
      <c r="J83" s="29">
        <f t="shared" si="4"/>
        <v>27.55376344</v>
      </c>
      <c r="K83" s="30">
        <f t="shared" si="5"/>
        <v>27.55376344</v>
      </c>
      <c r="L83" s="30">
        <f t="shared" si="6"/>
        <v>25.625</v>
      </c>
      <c r="M83" s="31">
        <v>0.07</v>
      </c>
      <c r="N83" s="36"/>
      <c r="O83" s="35"/>
      <c r="P83" s="32" t="str">
        <f>'ALL DATA &amp; IT4PROFIT'!H86</f>
        <v/>
      </c>
      <c r="Q83" s="35" t="str">
        <f>'ALL DATA &amp; IT4PROFIT'!K86</f>
        <v/>
      </c>
      <c r="R83" s="35" t="str">
        <f>'ALL DATA &amp; IT4PROFIT'!D86</f>
        <v/>
      </c>
      <c r="S83" s="32"/>
      <c r="T83" s="9"/>
      <c r="U83" s="9"/>
    </row>
    <row r="84" ht="21.0" hidden="1" customHeight="1">
      <c r="A84" s="13"/>
      <c r="B84" s="24" t="str">
        <f>'ALL DATA &amp; IT4PROFIT'!A87</f>
        <v>FRONIUS</v>
      </c>
      <c r="C84" s="24" t="str">
        <f>'ALL DATA &amp; IT4PROFIT'!B87</f>
        <v>Fronius Symo GEN24 5.0</v>
      </c>
      <c r="D84" s="24" t="str">
        <f>'ALL DATA &amp; IT4PROFIT'!C87</f>
        <v>3PH H lock</v>
      </c>
      <c r="E84" s="25">
        <v>1.0</v>
      </c>
      <c r="F84" s="26" t="str">
        <f>'ALL DATA &amp; IT4PROFIT'!J87</f>
        <v/>
      </c>
      <c r="G84" s="27">
        <f t="shared" si="8"/>
        <v>25</v>
      </c>
      <c r="H84" s="27">
        <f t="shared" si="2"/>
        <v>25.625</v>
      </c>
      <c r="I84" s="28">
        <f t="shared" si="3"/>
        <v>0.07</v>
      </c>
      <c r="J84" s="29">
        <f t="shared" si="4"/>
        <v>27.55376344</v>
      </c>
      <c r="K84" s="30">
        <f t="shared" si="5"/>
        <v>27.55376344</v>
      </c>
      <c r="L84" s="30">
        <f t="shared" si="6"/>
        <v>25.625</v>
      </c>
      <c r="M84" s="31">
        <v>0.07</v>
      </c>
      <c r="N84" s="36"/>
      <c r="O84" s="35"/>
      <c r="P84" s="32" t="str">
        <f>'ALL DATA &amp; IT4PROFIT'!H87</f>
        <v/>
      </c>
      <c r="Q84" s="35" t="str">
        <f>'ALL DATA &amp; IT4PROFIT'!K87</f>
        <v/>
      </c>
      <c r="R84" s="35" t="str">
        <f>'ALL DATA &amp; IT4PROFIT'!D87</f>
        <v/>
      </c>
      <c r="S84" s="32"/>
      <c r="T84" s="9"/>
      <c r="U84" s="9"/>
    </row>
    <row r="85" ht="21.0" hidden="1" customHeight="1">
      <c r="A85" s="13"/>
      <c r="B85" s="24" t="str">
        <f>'ALL DATA &amp; IT4PROFIT'!A88</f>
        <v>FRONIUS</v>
      </c>
      <c r="C85" s="24" t="str">
        <f>'ALL DATA &amp; IT4PROFIT'!B88</f>
        <v>Fronius Symo GEN24 6.0</v>
      </c>
      <c r="D85" s="24" t="str">
        <f>'ALL DATA &amp; IT4PROFIT'!C88</f>
        <v>3PH H lock</v>
      </c>
      <c r="E85" s="25">
        <v>1.0</v>
      </c>
      <c r="F85" s="26" t="str">
        <f>'ALL DATA &amp; IT4PROFIT'!J88</f>
        <v/>
      </c>
      <c r="G85" s="27">
        <f t="shared" si="8"/>
        <v>25</v>
      </c>
      <c r="H85" s="27">
        <f t="shared" si="2"/>
        <v>25.625</v>
      </c>
      <c r="I85" s="28">
        <f t="shared" si="3"/>
        <v>0.07</v>
      </c>
      <c r="J85" s="29">
        <f t="shared" si="4"/>
        <v>27.55376344</v>
      </c>
      <c r="K85" s="30">
        <f t="shared" si="5"/>
        <v>27.55376344</v>
      </c>
      <c r="L85" s="30">
        <f t="shared" si="6"/>
        <v>25.625</v>
      </c>
      <c r="M85" s="31">
        <v>0.07</v>
      </c>
      <c r="N85" s="32"/>
      <c r="O85" s="35"/>
      <c r="P85" s="32" t="str">
        <f>'ALL DATA &amp; IT4PROFIT'!H88</f>
        <v/>
      </c>
      <c r="Q85" s="35" t="str">
        <f>'ALL DATA &amp; IT4PROFIT'!K88</f>
        <v/>
      </c>
      <c r="R85" s="35" t="str">
        <f>'ALL DATA &amp; IT4PROFIT'!D88</f>
        <v/>
      </c>
      <c r="S85" s="32"/>
      <c r="T85" s="9"/>
      <c r="U85" s="9"/>
    </row>
    <row r="86" ht="21.0" hidden="1" customHeight="1">
      <c r="A86" s="13"/>
      <c r="B86" s="24" t="str">
        <f>'ALL DATA &amp; IT4PROFIT'!A89</f>
        <v>FRONIUS</v>
      </c>
      <c r="C86" s="24" t="str">
        <f>'ALL DATA &amp; IT4PROFIT'!B89</f>
        <v>Fronius Symo GEN24 8.0</v>
      </c>
      <c r="D86" s="24" t="str">
        <f>'ALL DATA &amp; IT4PROFIT'!C89</f>
        <v>3PH H lock</v>
      </c>
      <c r="E86" s="25">
        <v>1.0</v>
      </c>
      <c r="F86" s="26" t="str">
        <f>'ALL DATA &amp; IT4PROFIT'!J89</f>
        <v/>
      </c>
      <c r="G86" s="27">
        <f t="shared" si="8"/>
        <v>25</v>
      </c>
      <c r="H86" s="27">
        <f t="shared" si="2"/>
        <v>25.625</v>
      </c>
      <c r="I86" s="28">
        <f t="shared" si="3"/>
        <v>0.07</v>
      </c>
      <c r="J86" s="29">
        <f t="shared" si="4"/>
        <v>27.55376344</v>
      </c>
      <c r="K86" s="30">
        <f t="shared" si="5"/>
        <v>27.55376344</v>
      </c>
      <c r="L86" s="30">
        <f t="shared" si="6"/>
        <v>25.625</v>
      </c>
      <c r="M86" s="31">
        <v>0.07</v>
      </c>
      <c r="N86" s="32"/>
      <c r="O86" s="35"/>
      <c r="P86" s="32" t="str">
        <f>'ALL DATA &amp; IT4PROFIT'!H89</f>
        <v/>
      </c>
      <c r="Q86" s="35" t="str">
        <f>'ALL DATA &amp; IT4PROFIT'!K89</f>
        <v/>
      </c>
      <c r="R86" s="35" t="str">
        <f>'ALL DATA &amp; IT4PROFIT'!D89</f>
        <v/>
      </c>
      <c r="S86" s="32"/>
      <c r="T86" s="9"/>
      <c r="U86" s="9"/>
    </row>
    <row r="87" ht="21.0" hidden="1" customHeight="1">
      <c r="A87" s="13"/>
      <c r="B87" s="24" t="str">
        <f>'ALL DATA &amp; IT4PROFIT'!A90</f>
        <v>FRONIUS</v>
      </c>
      <c r="C87" s="24" t="str">
        <f>'ALL DATA &amp; IT4PROFIT'!B90</f>
        <v>Fronius Symo GEN24 10.0</v>
      </c>
      <c r="D87" s="24" t="str">
        <f>'ALL DATA &amp; IT4PROFIT'!C90</f>
        <v>3PH H lock</v>
      </c>
      <c r="E87" s="25">
        <v>1.0</v>
      </c>
      <c r="F87" s="26" t="str">
        <f>'ALL DATA &amp; IT4PROFIT'!J90</f>
        <v/>
      </c>
      <c r="G87" s="27">
        <f t="shared" si="8"/>
        <v>25</v>
      </c>
      <c r="H87" s="27">
        <f t="shared" si="2"/>
        <v>25.625</v>
      </c>
      <c r="I87" s="28">
        <f t="shared" si="3"/>
        <v>0.07</v>
      </c>
      <c r="J87" s="29">
        <f t="shared" si="4"/>
        <v>27.55376344</v>
      </c>
      <c r="K87" s="30">
        <f t="shared" si="5"/>
        <v>27.55376344</v>
      </c>
      <c r="L87" s="30">
        <f t="shared" si="6"/>
        <v>25.625</v>
      </c>
      <c r="M87" s="31">
        <v>0.07</v>
      </c>
      <c r="N87" s="32"/>
      <c r="O87" s="35"/>
      <c r="P87" s="32" t="str">
        <f>'ALL DATA &amp; IT4PROFIT'!H90</f>
        <v/>
      </c>
      <c r="Q87" s="35" t="str">
        <f>'ALL DATA &amp; IT4PROFIT'!K90</f>
        <v/>
      </c>
      <c r="R87" s="35" t="str">
        <f>'ALL DATA &amp; IT4PROFIT'!D90</f>
        <v/>
      </c>
      <c r="S87" s="32"/>
      <c r="T87" s="9"/>
      <c r="U87" s="9"/>
    </row>
    <row r="88" ht="21.0" hidden="1" customHeight="1">
      <c r="A88" s="13"/>
      <c r="B88" s="24" t="str">
        <f>'ALL DATA &amp; IT4PROFIT'!A91</f>
        <v/>
      </c>
      <c r="C88" s="24" t="str">
        <f>'ALL DATA &amp; IT4PROFIT'!B91</f>
        <v/>
      </c>
      <c r="D88" s="24" t="str">
        <f>'ALL DATA &amp; IT4PROFIT'!C91</f>
        <v/>
      </c>
      <c r="E88" s="25">
        <v>1.0</v>
      </c>
      <c r="F88" s="26" t="str">
        <f>'ALL DATA &amp; IT4PROFIT'!J91</f>
        <v/>
      </c>
      <c r="G88" s="27">
        <f t="shared" si="8"/>
        <v>25</v>
      </c>
      <c r="H88" s="27">
        <f t="shared" si="2"/>
        <v>25.625</v>
      </c>
      <c r="I88" s="28">
        <f t="shared" si="3"/>
        <v>0.07</v>
      </c>
      <c r="J88" s="29">
        <f t="shared" si="4"/>
        <v>27.55376344</v>
      </c>
      <c r="K88" s="30">
        <f t="shared" si="5"/>
        <v>27.55376344</v>
      </c>
      <c r="L88" s="30">
        <f t="shared" si="6"/>
        <v>25.625</v>
      </c>
      <c r="M88" s="31">
        <v>0.07</v>
      </c>
      <c r="N88" s="32"/>
      <c r="O88" s="35"/>
      <c r="P88" s="32" t="str">
        <f>'ALL DATA &amp; IT4PROFIT'!H91</f>
        <v/>
      </c>
      <c r="Q88" s="35" t="str">
        <f>'ALL DATA &amp; IT4PROFIT'!K91</f>
        <v/>
      </c>
      <c r="R88" s="35" t="str">
        <f>'ALL DATA &amp; IT4PROFIT'!D91</f>
        <v/>
      </c>
      <c r="S88" s="32"/>
      <c r="T88" s="9"/>
      <c r="U88" s="9"/>
    </row>
    <row r="89" ht="21.0" customHeight="1">
      <c r="A89" s="13"/>
      <c r="B89" s="24" t="str">
        <f>'ALL DATA &amp; IT4PROFIT'!A92</f>
        <v>FRONIUS</v>
      </c>
      <c r="C89" s="24" t="str">
        <f>'ALL DATA &amp; IT4PROFIT'!B92</f>
        <v>Fronius Primo Gen24 3.0 Plus</v>
      </c>
      <c r="D89" s="24" t="str">
        <f>'ALL DATA &amp; IT4PROFIT'!C92</f>
        <v>1PH HYBRID</v>
      </c>
      <c r="E89" s="25">
        <v>1.0</v>
      </c>
      <c r="F89" s="26">
        <f>'ALL DATA &amp; IT4PROFIT'!J92</f>
        <v>1222</v>
      </c>
      <c r="G89" s="27">
        <f t="shared" si="8"/>
        <v>1247</v>
      </c>
      <c r="H89" s="27">
        <f t="shared" si="2"/>
        <v>1278.175</v>
      </c>
      <c r="I89" s="28">
        <f t="shared" si="3"/>
        <v>0.07</v>
      </c>
      <c r="J89" s="29">
        <f t="shared" si="4"/>
        <v>1374.38172</v>
      </c>
      <c r="K89" s="30">
        <f t="shared" si="5"/>
        <v>1374.38172</v>
      </c>
      <c r="L89" s="30">
        <f t="shared" si="6"/>
        <v>1278.175</v>
      </c>
      <c r="M89" s="31">
        <v>0.07</v>
      </c>
      <c r="N89" s="32"/>
      <c r="O89" s="35"/>
      <c r="P89" s="32" t="str">
        <f>'ALL DATA &amp; IT4PROFIT'!H92</f>
        <v/>
      </c>
      <c r="Q89" s="35" t="str">
        <f>'ALL DATA &amp; IT4PROFIT'!K92</f>
        <v/>
      </c>
      <c r="R89" s="35" t="str">
        <f>'ALL DATA &amp; IT4PROFIT'!D92</f>
        <v/>
      </c>
      <c r="S89" s="32"/>
      <c r="T89" s="9"/>
      <c r="U89" s="9"/>
    </row>
    <row r="90" ht="21.0" hidden="1" customHeight="1">
      <c r="A90" s="13"/>
      <c r="B90" s="24" t="str">
        <f>'ALL DATA &amp; IT4PROFIT'!A93</f>
        <v>FRONIUS</v>
      </c>
      <c r="C90" s="24" t="str">
        <f>'ALL DATA &amp; IT4PROFIT'!B93</f>
        <v>Fronius Primo Gen24 3.6 Plus</v>
      </c>
      <c r="D90" s="24" t="str">
        <f>'ALL DATA &amp; IT4PROFIT'!C93</f>
        <v>1PH HYBRID</v>
      </c>
      <c r="E90" s="25">
        <v>1.0</v>
      </c>
      <c r="F90" s="26" t="str">
        <f>'ALL DATA &amp; IT4PROFIT'!J93</f>
        <v/>
      </c>
      <c r="G90" s="27">
        <f t="shared" si="8"/>
        <v>25</v>
      </c>
      <c r="H90" s="27">
        <f t="shared" si="2"/>
        <v>25.625</v>
      </c>
      <c r="I90" s="28">
        <f t="shared" si="3"/>
        <v>0.07</v>
      </c>
      <c r="J90" s="29">
        <f t="shared" si="4"/>
        <v>27.55376344</v>
      </c>
      <c r="K90" s="30">
        <f t="shared" si="5"/>
        <v>27.55376344</v>
      </c>
      <c r="L90" s="30">
        <f t="shared" si="6"/>
        <v>25.625</v>
      </c>
      <c r="M90" s="31">
        <v>0.07</v>
      </c>
      <c r="N90" s="32"/>
      <c r="O90" s="35"/>
      <c r="P90" s="32" t="str">
        <f>'ALL DATA &amp; IT4PROFIT'!H93</f>
        <v/>
      </c>
      <c r="Q90" s="35" t="str">
        <f>'ALL DATA &amp; IT4PROFIT'!K93</f>
        <v/>
      </c>
      <c r="R90" s="35" t="str">
        <f>'ALL DATA &amp; IT4PROFIT'!D93</f>
        <v/>
      </c>
      <c r="S90" s="32"/>
      <c r="T90" s="9"/>
      <c r="U90" s="9"/>
    </row>
    <row r="91" ht="21.0" customHeight="1">
      <c r="A91" s="13"/>
      <c r="B91" s="24" t="str">
        <f>'ALL DATA &amp; IT4PROFIT'!A94</f>
        <v>FRONIUS</v>
      </c>
      <c r="C91" s="24" t="str">
        <f>'ALL DATA &amp; IT4PROFIT'!B94</f>
        <v>Fronius Primo Gen24 4.0 Plus</v>
      </c>
      <c r="D91" s="24" t="str">
        <f>'ALL DATA &amp; IT4PROFIT'!C94</f>
        <v>1PH HYBRID</v>
      </c>
      <c r="E91" s="25">
        <v>1.0</v>
      </c>
      <c r="F91" s="26">
        <f>'ALL DATA &amp; IT4PROFIT'!J94</f>
        <v>1313</v>
      </c>
      <c r="G91" s="27">
        <f t="shared" si="8"/>
        <v>1338</v>
      </c>
      <c r="H91" s="27">
        <f t="shared" si="2"/>
        <v>1371.45</v>
      </c>
      <c r="I91" s="28">
        <f t="shared" si="3"/>
        <v>0.07</v>
      </c>
      <c r="J91" s="29">
        <f t="shared" si="4"/>
        <v>1474.677419</v>
      </c>
      <c r="K91" s="30">
        <f t="shared" si="5"/>
        <v>1474.677419</v>
      </c>
      <c r="L91" s="30">
        <f t="shared" si="6"/>
        <v>1371.45</v>
      </c>
      <c r="M91" s="31">
        <v>0.07</v>
      </c>
      <c r="N91" s="32"/>
      <c r="O91" s="35"/>
      <c r="P91" s="32" t="str">
        <f>'ALL DATA &amp; IT4PROFIT'!H94</f>
        <v/>
      </c>
      <c r="Q91" s="35" t="str">
        <f>'ALL DATA &amp; IT4PROFIT'!K94</f>
        <v/>
      </c>
      <c r="R91" s="35" t="str">
        <f>'ALL DATA &amp; IT4PROFIT'!D94</f>
        <v/>
      </c>
      <c r="S91" s="32"/>
      <c r="T91" s="9"/>
      <c r="U91" s="9"/>
    </row>
    <row r="92" ht="21.0" hidden="1" customHeight="1">
      <c r="A92" s="13"/>
      <c r="B92" s="24" t="str">
        <f>'ALL DATA &amp; IT4PROFIT'!A95</f>
        <v>FRONIUS</v>
      </c>
      <c r="C92" s="24" t="str">
        <f>'ALL DATA &amp; IT4PROFIT'!B95</f>
        <v>Fronius Primo Gen24 4.6 Plus</v>
      </c>
      <c r="D92" s="24" t="str">
        <f>'ALL DATA &amp; IT4PROFIT'!C95</f>
        <v>1PH HYBRID</v>
      </c>
      <c r="E92" s="25">
        <v>1.0</v>
      </c>
      <c r="F92" s="26" t="str">
        <f>'ALL DATA &amp; IT4PROFIT'!J95</f>
        <v/>
      </c>
      <c r="G92" s="27">
        <f t="shared" si="8"/>
        <v>25</v>
      </c>
      <c r="H92" s="27">
        <f t="shared" si="2"/>
        <v>25.625</v>
      </c>
      <c r="I92" s="28">
        <f t="shared" si="3"/>
        <v>0.07</v>
      </c>
      <c r="J92" s="29">
        <f t="shared" si="4"/>
        <v>27.55376344</v>
      </c>
      <c r="K92" s="30">
        <f t="shared" si="5"/>
        <v>27.55376344</v>
      </c>
      <c r="L92" s="30">
        <f t="shared" si="6"/>
        <v>25.625</v>
      </c>
      <c r="M92" s="31">
        <v>0.07</v>
      </c>
      <c r="N92" s="32"/>
      <c r="O92" s="35"/>
      <c r="P92" s="32" t="str">
        <f>'ALL DATA &amp; IT4PROFIT'!H95</f>
        <v/>
      </c>
      <c r="Q92" s="35" t="str">
        <f>'ALL DATA &amp; IT4PROFIT'!K95</f>
        <v/>
      </c>
      <c r="R92" s="35" t="str">
        <f>'ALL DATA &amp; IT4PROFIT'!D95</f>
        <v/>
      </c>
      <c r="S92" s="32"/>
      <c r="T92" s="9"/>
      <c r="U92" s="9"/>
    </row>
    <row r="93" ht="21.0" customHeight="1">
      <c r="A93" s="13"/>
      <c r="B93" s="24" t="str">
        <f>'ALL DATA &amp; IT4PROFIT'!A96</f>
        <v>FRONIUS</v>
      </c>
      <c r="C93" s="24" t="str">
        <f>'ALL DATA &amp; IT4PROFIT'!B96</f>
        <v>Fronius Primo Gen24 5.0 Plus</v>
      </c>
      <c r="D93" s="24" t="str">
        <f>'ALL DATA &amp; IT4PROFIT'!C96</f>
        <v>1PH HYBRID</v>
      </c>
      <c r="E93" s="25">
        <v>1.0</v>
      </c>
      <c r="F93" s="26">
        <f>'ALL DATA &amp; IT4PROFIT'!J96</f>
        <v>1482</v>
      </c>
      <c r="G93" s="27">
        <f t="shared" si="8"/>
        <v>1507</v>
      </c>
      <c r="H93" s="27">
        <f t="shared" si="2"/>
        <v>1544.675</v>
      </c>
      <c r="I93" s="28">
        <f t="shared" si="3"/>
        <v>0.07</v>
      </c>
      <c r="J93" s="29">
        <f t="shared" si="4"/>
        <v>1660.94086</v>
      </c>
      <c r="K93" s="30">
        <f t="shared" si="5"/>
        <v>1660.94086</v>
      </c>
      <c r="L93" s="30">
        <f t="shared" si="6"/>
        <v>1544.675</v>
      </c>
      <c r="M93" s="31">
        <v>0.07</v>
      </c>
      <c r="N93" s="32"/>
      <c r="O93" s="35"/>
      <c r="P93" s="32" t="str">
        <f>'ALL DATA &amp; IT4PROFIT'!H96</f>
        <v/>
      </c>
      <c r="Q93" s="35" t="str">
        <f>'ALL DATA &amp; IT4PROFIT'!K96</f>
        <v/>
      </c>
      <c r="R93" s="35" t="str">
        <f>'ALL DATA &amp; IT4PROFIT'!D96</f>
        <v/>
      </c>
      <c r="S93" s="32"/>
      <c r="T93" s="9"/>
      <c r="U93" s="9"/>
    </row>
    <row r="94" ht="21.0" hidden="1" customHeight="1">
      <c r="A94" s="13"/>
      <c r="B94" s="24" t="str">
        <f>'ALL DATA &amp; IT4PROFIT'!A97</f>
        <v>FRONIUS</v>
      </c>
      <c r="C94" s="24" t="str">
        <f>'ALL DATA &amp; IT4PROFIT'!B97</f>
        <v>Fronius Primo Gen24 6.0 Plus</v>
      </c>
      <c r="D94" s="24" t="str">
        <f>'ALL DATA &amp; IT4PROFIT'!C97</f>
        <v>1PH HYBRID</v>
      </c>
      <c r="E94" s="25">
        <v>1.0</v>
      </c>
      <c r="F94" s="26" t="str">
        <f>'ALL DATA &amp; IT4PROFIT'!J97</f>
        <v/>
      </c>
      <c r="G94" s="27">
        <f t="shared" si="8"/>
        <v>25</v>
      </c>
      <c r="H94" s="27">
        <f t="shared" si="2"/>
        <v>25.625</v>
      </c>
      <c r="I94" s="28">
        <f t="shared" si="3"/>
        <v>0.07</v>
      </c>
      <c r="J94" s="29">
        <f t="shared" si="4"/>
        <v>27.55376344</v>
      </c>
      <c r="K94" s="30">
        <f t="shared" si="5"/>
        <v>27.55376344</v>
      </c>
      <c r="L94" s="30">
        <f t="shared" si="6"/>
        <v>25.625</v>
      </c>
      <c r="M94" s="31">
        <v>0.07</v>
      </c>
      <c r="N94" s="32"/>
      <c r="O94" s="35"/>
      <c r="P94" s="32" t="str">
        <f>'ALL DATA &amp; IT4PROFIT'!H97</f>
        <v/>
      </c>
      <c r="Q94" s="35" t="str">
        <f>'ALL DATA &amp; IT4PROFIT'!K97</f>
        <v/>
      </c>
      <c r="R94" s="35" t="str">
        <f>'ALL DATA &amp; IT4PROFIT'!D97</f>
        <v/>
      </c>
      <c r="S94" s="32"/>
      <c r="T94" s="9"/>
      <c r="U94" s="9"/>
    </row>
    <row r="95" ht="21.0" hidden="1" customHeight="1">
      <c r="A95" s="13"/>
      <c r="B95" s="24" t="str">
        <f>'ALL DATA &amp; IT4PROFIT'!A98</f>
        <v/>
      </c>
      <c r="C95" s="24" t="str">
        <f>'ALL DATA &amp; IT4PROFIT'!B98</f>
        <v/>
      </c>
      <c r="D95" s="24" t="str">
        <f>'ALL DATA &amp; IT4PROFIT'!C98</f>
        <v/>
      </c>
      <c r="E95" s="25">
        <v>1.0</v>
      </c>
      <c r="F95" s="26" t="str">
        <f>'ALL DATA &amp; IT4PROFIT'!J98</f>
        <v/>
      </c>
      <c r="G95" s="27">
        <f t="shared" si="8"/>
        <v>25</v>
      </c>
      <c r="H95" s="27">
        <f t="shared" si="2"/>
        <v>25.625</v>
      </c>
      <c r="I95" s="28">
        <f t="shared" si="3"/>
        <v>0.07</v>
      </c>
      <c r="J95" s="29">
        <f t="shared" si="4"/>
        <v>27.55376344</v>
      </c>
      <c r="K95" s="30">
        <f t="shared" si="5"/>
        <v>27.55376344</v>
      </c>
      <c r="L95" s="30">
        <f t="shared" si="6"/>
        <v>25.625</v>
      </c>
      <c r="M95" s="31">
        <v>0.07</v>
      </c>
      <c r="N95" s="32"/>
      <c r="O95" s="35"/>
      <c r="P95" s="32" t="str">
        <f>'ALL DATA &amp; IT4PROFIT'!H98</f>
        <v/>
      </c>
      <c r="Q95" s="35" t="str">
        <f>'ALL DATA &amp; IT4PROFIT'!K98</f>
        <v/>
      </c>
      <c r="R95" s="35" t="str">
        <f>'ALL DATA &amp; IT4PROFIT'!D98</f>
        <v/>
      </c>
      <c r="S95" s="32"/>
      <c r="T95" s="9"/>
      <c r="U95" s="9"/>
    </row>
    <row r="96" ht="21.0" customHeight="1">
      <c r="A96" s="13"/>
      <c r="B96" s="24" t="str">
        <f>'ALL DATA &amp; IT4PROFIT'!A99</f>
        <v>FRONIUS</v>
      </c>
      <c r="C96" s="24" t="str">
        <f>'ALL DATA &amp; IT4PROFIT'!B99</f>
        <v>Fronius Symo GEN24 3.0 Plus</v>
      </c>
      <c r="D96" s="24" t="str">
        <f>'ALL DATA &amp; IT4PROFIT'!C99</f>
        <v>3PH HYBRID</v>
      </c>
      <c r="E96" s="25">
        <v>1.0</v>
      </c>
      <c r="F96" s="26">
        <f>'ALL DATA &amp; IT4PROFIT'!J99</f>
        <v>1400</v>
      </c>
      <c r="G96" s="27">
        <f t="shared" si="8"/>
        <v>1425</v>
      </c>
      <c r="H96" s="27">
        <f t="shared" si="2"/>
        <v>1460.625</v>
      </c>
      <c r="I96" s="28">
        <f t="shared" si="3"/>
        <v>0.07</v>
      </c>
      <c r="J96" s="29">
        <f t="shared" si="4"/>
        <v>1570.564516</v>
      </c>
      <c r="K96" s="30">
        <f t="shared" si="5"/>
        <v>1570.564516</v>
      </c>
      <c r="L96" s="30">
        <f t="shared" si="6"/>
        <v>1460.625</v>
      </c>
      <c r="M96" s="31">
        <v>0.07</v>
      </c>
      <c r="N96" s="32"/>
      <c r="O96" s="35"/>
      <c r="P96" s="32" t="str">
        <f>'ALL DATA &amp; IT4PROFIT'!H99</f>
        <v/>
      </c>
      <c r="Q96" s="35" t="str">
        <f>'ALL DATA &amp; IT4PROFIT'!K99</f>
        <v/>
      </c>
      <c r="R96" s="35" t="str">
        <f>'ALL DATA &amp; IT4PROFIT'!D99</f>
        <v/>
      </c>
      <c r="S96" s="32"/>
      <c r="T96" s="9"/>
      <c r="U96" s="9"/>
    </row>
    <row r="97" ht="21.0" customHeight="1">
      <c r="A97" s="13"/>
      <c r="B97" s="24" t="str">
        <f>'ALL DATA &amp; IT4PROFIT'!A100</f>
        <v>FRONIUS</v>
      </c>
      <c r="C97" s="24" t="str">
        <f>'ALL DATA &amp; IT4PROFIT'!B100</f>
        <v>Fronius Symo GEN24 4.0 Plus</v>
      </c>
      <c r="D97" s="24" t="str">
        <f>'ALL DATA &amp; IT4PROFIT'!C100</f>
        <v>3PH HYBRID</v>
      </c>
      <c r="E97" s="25">
        <v>1.0</v>
      </c>
      <c r="F97" s="26">
        <f>'ALL DATA &amp; IT4PROFIT'!J100</f>
        <v>1495</v>
      </c>
      <c r="G97" s="27">
        <f t="shared" si="8"/>
        <v>1520</v>
      </c>
      <c r="H97" s="27">
        <f t="shared" si="2"/>
        <v>1558</v>
      </c>
      <c r="I97" s="28">
        <f t="shared" si="3"/>
        <v>0.07</v>
      </c>
      <c r="J97" s="29">
        <f t="shared" si="4"/>
        <v>1675.268817</v>
      </c>
      <c r="K97" s="30">
        <f t="shared" si="5"/>
        <v>1675.268817</v>
      </c>
      <c r="L97" s="30">
        <f t="shared" si="6"/>
        <v>1558</v>
      </c>
      <c r="M97" s="31">
        <v>0.07</v>
      </c>
      <c r="N97" s="32"/>
      <c r="O97" s="35"/>
      <c r="P97" s="32" t="str">
        <f>'ALL DATA &amp; IT4PROFIT'!H100</f>
        <v/>
      </c>
      <c r="Q97" s="35" t="str">
        <f>'ALL DATA &amp; IT4PROFIT'!K100</f>
        <v/>
      </c>
      <c r="R97" s="35" t="str">
        <f>'ALL DATA &amp; IT4PROFIT'!D100</f>
        <v/>
      </c>
      <c r="S97" s="32"/>
      <c r="T97" s="9"/>
      <c r="U97" s="9"/>
    </row>
    <row r="98" ht="21.0" customHeight="1">
      <c r="A98" s="13"/>
      <c r="B98" s="24" t="str">
        <f>'ALL DATA &amp; IT4PROFIT'!A101</f>
        <v>FRONIUS</v>
      </c>
      <c r="C98" s="24" t="str">
        <f>'ALL DATA &amp; IT4PROFIT'!B101</f>
        <v>Fronius Symo GEN24 5.0 Plus</v>
      </c>
      <c r="D98" s="24" t="str">
        <f>'ALL DATA &amp; IT4PROFIT'!C101</f>
        <v>3PH HYBRID</v>
      </c>
      <c r="E98" s="25">
        <v>1.0</v>
      </c>
      <c r="F98" s="26">
        <f>'ALL DATA &amp; IT4PROFIT'!J101</f>
        <v>1572</v>
      </c>
      <c r="G98" s="27">
        <f t="shared" si="8"/>
        <v>1597</v>
      </c>
      <c r="H98" s="27">
        <f t="shared" si="2"/>
        <v>1636.925</v>
      </c>
      <c r="I98" s="28">
        <f t="shared" si="3"/>
        <v>0.07</v>
      </c>
      <c r="J98" s="29">
        <f t="shared" si="4"/>
        <v>1760.134409</v>
      </c>
      <c r="K98" s="30">
        <f t="shared" si="5"/>
        <v>1760.134409</v>
      </c>
      <c r="L98" s="30">
        <f t="shared" si="6"/>
        <v>1636.925</v>
      </c>
      <c r="M98" s="31">
        <v>0.07</v>
      </c>
      <c r="N98" s="32"/>
      <c r="O98" s="35"/>
      <c r="P98" s="32" t="str">
        <f>'ALL DATA &amp; IT4PROFIT'!H101</f>
        <v/>
      </c>
      <c r="Q98" s="35" t="str">
        <f>'ALL DATA &amp; IT4PROFIT'!K101</f>
        <v/>
      </c>
      <c r="R98" s="35" t="str">
        <f>'ALL DATA &amp; IT4PROFIT'!D101</f>
        <v/>
      </c>
      <c r="S98" s="32"/>
      <c r="T98" s="9"/>
      <c r="U98" s="9"/>
    </row>
    <row r="99" ht="21.0" customHeight="1">
      <c r="A99" s="13"/>
      <c r="B99" s="24" t="str">
        <f>'ALL DATA &amp; IT4PROFIT'!A102</f>
        <v>FRONIUS</v>
      </c>
      <c r="C99" s="24" t="str">
        <f>'ALL DATA &amp; IT4PROFIT'!B102</f>
        <v>Fronius Symo GEN24 6.0 Plus</v>
      </c>
      <c r="D99" s="24" t="str">
        <f>'ALL DATA &amp; IT4PROFIT'!C102</f>
        <v>3PH HYBRID</v>
      </c>
      <c r="E99" s="25">
        <v>1.0</v>
      </c>
      <c r="F99" s="26">
        <f>'ALL DATA &amp; IT4PROFIT'!J102</f>
        <v>1870</v>
      </c>
      <c r="G99" s="27">
        <f t="shared" si="8"/>
        <v>1895</v>
      </c>
      <c r="H99" s="27">
        <f t="shared" si="2"/>
        <v>1942.375</v>
      </c>
      <c r="I99" s="28">
        <f t="shared" si="3"/>
        <v>0.07</v>
      </c>
      <c r="J99" s="29">
        <f t="shared" si="4"/>
        <v>2088.575269</v>
      </c>
      <c r="K99" s="30">
        <f t="shared" si="5"/>
        <v>2088.575269</v>
      </c>
      <c r="L99" s="30">
        <f t="shared" si="6"/>
        <v>1942.375</v>
      </c>
      <c r="M99" s="31">
        <v>0.07</v>
      </c>
      <c r="N99" s="32"/>
      <c r="O99" s="35"/>
      <c r="P99" s="32" t="str">
        <f>'ALL DATA &amp; IT4PROFIT'!H102</f>
        <v/>
      </c>
      <c r="Q99" s="35" t="str">
        <f>'ALL DATA &amp; IT4PROFIT'!K102</f>
        <v/>
      </c>
      <c r="R99" s="35" t="str">
        <f>'ALL DATA &amp; IT4PROFIT'!D102</f>
        <v/>
      </c>
      <c r="S99" s="32"/>
      <c r="T99" s="9"/>
      <c r="U99" s="9"/>
    </row>
    <row r="100" ht="21.0" customHeight="1">
      <c r="A100" s="13"/>
      <c r="B100" s="24" t="str">
        <f>'ALL DATA &amp; IT4PROFIT'!A103</f>
        <v>FRONIUS</v>
      </c>
      <c r="C100" s="24" t="str">
        <f>'ALL DATA &amp; IT4PROFIT'!B103</f>
        <v>Fronius Symo GEN24 8.0 Plus</v>
      </c>
      <c r="D100" s="24" t="str">
        <f>'ALL DATA &amp; IT4PROFIT'!C103</f>
        <v>3PH HYBRID</v>
      </c>
      <c r="E100" s="25">
        <v>1.0</v>
      </c>
      <c r="F100" s="26">
        <f>'ALL DATA &amp; IT4PROFIT'!J103</f>
        <v>2110</v>
      </c>
      <c r="G100" s="27">
        <f t="shared" si="8"/>
        <v>2135</v>
      </c>
      <c r="H100" s="27">
        <f t="shared" si="2"/>
        <v>2188.375</v>
      </c>
      <c r="I100" s="28">
        <f t="shared" si="3"/>
        <v>0.07</v>
      </c>
      <c r="J100" s="29">
        <f t="shared" si="4"/>
        <v>2353.091398</v>
      </c>
      <c r="K100" s="30">
        <f t="shared" si="5"/>
        <v>2353.091398</v>
      </c>
      <c r="L100" s="30">
        <f t="shared" si="6"/>
        <v>2188.375</v>
      </c>
      <c r="M100" s="31">
        <v>0.07</v>
      </c>
      <c r="N100" s="32"/>
      <c r="O100" s="35"/>
      <c r="P100" s="32" t="str">
        <f>'ALL DATA &amp; IT4PROFIT'!H103</f>
        <v/>
      </c>
      <c r="Q100" s="35" t="str">
        <f>'ALL DATA &amp; IT4PROFIT'!K103</f>
        <v/>
      </c>
      <c r="R100" s="35" t="str">
        <f>'ALL DATA &amp; IT4PROFIT'!D103</f>
        <v/>
      </c>
      <c r="S100" s="32"/>
      <c r="T100" s="9"/>
      <c r="U100" s="9"/>
    </row>
    <row r="101" ht="21.0" customHeight="1">
      <c r="A101" s="13"/>
      <c r="B101" s="24" t="str">
        <f>'ALL DATA &amp; IT4PROFIT'!A104</f>
        <v>FRONIUS</v>
      </c>
      <c r="C101" s="24" t="str">
        <f>'ALL DATA &amp; IT4PROFIT'!B104</f>
        <v>Fronius Symo GEN24 10.0 Plus</v>
      </c>
      <c r="D101" s="24" t="str">
        <f>'ALL DATA &amp; IT4PROFIT'!C104</f>
        <v>3PH HYBRID</v>
      </c>
      <c r="E101" s="25">
        <v>1.0</v>
      </c>
      <c r="F101" s="26">
        <f>'ALL DATA &amp; IT4PROFIT'!J104</f>
        <v>2215</v>
      </c>
      <c r="G101" s="27">
        <f t="shared" si="8"/>
        <v>2240</v>
      </c>
      <c r="H101" s="27">
        <f t="shared" si="2"/>
        <v>2296</v>
      </c>
      <c r="I101" s="28">
        <f t="shared" si="3"/>
        <v>0.07</v>
      </c>
      <c r="J101" s="29">
        <f t="shared" si="4"/>
        <v>2468.817204</v>
      </c>
      <c r="K101" s="30">
        <f t="shared" si="5"/>
        <v>2468.817204</v>
      </c>
      <c r="L101" s="30">
        <f t="shared" si="6"/>
        <v>2296</v>
      </c>
      <c r="M101" s="31">
        <v>0.07</v>
      </c>
      <c r="N101" s="32"/>
      <c r="O101" s="35"/>
      <c r="P101" s="32" t="str">
        <f>'ALL DATA &amp; IT4PROFIT'!H104</f>
        <v/>
      </c>
      <c r="Q101" s="35" t="str">
        <f>'ALL DATA &amp; IT4PROFIT'!K104</f>
        <v/>
      </c>
      <c r="R101" s="35" t="str">
        <f>'ALL DATA &amp; IT4PROFIT'!D104</f>
        <v/>
      </c>
      <c r="S101" s="32"/>
      <c r="T101" s="9"/>
      <c r="U101" s="9"/>
    </row>
    <row r="102" ht="21.0" hidden="1" customHeight="1">
      <c r="A102" s="13"/>
      <c r="B102" s="24" t="str">
        <f>'ALL DATA &amp; IT4PROFIT'!A105</f>
        <v/>
      </c>
      <c r="C102" s="24" t="str">
        <f>'ALL DATA &amp; IT4PROFIT'!B105</f>
        <v/>
      </c>
      <c r="D102" s="24" t="str">
        <f>'ALL DATA &amp; IT4PROFIT'!C105</f>
        <v/>
      </c>
      <c r="E102" s="25">
        <v>1.0</v>
      </c>
      <c r="F102" s="26" t="str">
        <f>'ALL DATA &amp; IT4PROFIT'!J105</f>
        <v/>
      </c>
      <c r="G102" s="27">
        <f t="shared" si="8"/>
        <v>25</v>
      </c>
      <c r="H102" s="27">
        <f t="shared" si="2"/>
        <v>25.625</v>
      </c>
      <c r="I102" s="28">
        <f t="shared" si="3"/>
        <v>0.07</v>
      </c>
      <c r="J102" s="29">
        <f t="shared" si="4"/>
        <v>27.55376344</v>
      </c>
      <c r="K102" s="30">
        <f t="shared" si="5"/>
        <v>27.55376344</v>
      </c>
      <c r="L102" s="30">
        <f t="shared" si="6"/>
        <v>25.625</v>
      </c>
      <c r="M102" s="31">
        <v>0.07</v>
      </c>
      <c r="N102" s="32"/>
      <c r="O102" s="35"/>
      <c r="P102" s="32" t="str">
        <f>'ALL DATA &amp; IT4PROFIT'!H105</f>
        <v/>
      </c>
      <c r="Q102" s="35" t="str">
        <f>'ALL DATA &amp; IT4PROFIT'!K105</f>
        <v/>
      </c>
      <c r="R102" s="35" t="str">
        <f>'ALL DATA &amp; IT4PROFIT'!D105</f>
        <v/>
      </c>
      <c r="S102" s="32"/>
      <c r="T102" s="9"/>
      <c r="U102" s="9"/>
    </row>
    <row r="103" ht="21.0" hidden="1" customHeight="1">
      <c r="A103" s="13"/>
      <c r="B103" s="24" t="str">
        <f>'ALL DATA &amp; IT4PROFIT'!A125</f>
        <v>SOLAREDGE</v>
      </c>
      <c r="C103" s="24" t="str">
        <f>'ALL DATA &amp; IT4PROFIT'!B125</f>
        <v>SE 17 k SETAPP WITH PLASTIC COVER</v>
      </c>
      <c r="D103" s="24" t="str">
        <f>'ALL DATA &amp; IT4PROFIT'!C125</f>
        <v>3PH</v>
      </c>
      <c r="E103" s="25">
        <v>1.0</v>
      </c>
      <c r="F103" s="26" t="str">
        <f>'ALL DATA &amp; IT4PROFIT'!J125</f>
        <v/>
      </c>
      <c r="G103" s="27">
        <f t="shared" si="8"/>
        <v>25</v>
      </c>
      <c r="H103" s="27">
        <f t="shared" si="2"/>
        <v>25.625</v>
      </c>
      <c r="I103" s="28">
        <f t="shared" si="3"/>
        <v>0.07</v>
      </c>
      <c r="J103" s="29">
        <f t="shared" si="4"/>
        <v>27.55376344</v>
      </c>
      <c r="K103" s="30">
        <f t="shared" si="5"/>
        <v>27.55376344</v>
      </c>
      <c r="L103" s="30">
        <f t="shared" si="6"/>
        <v>25.625</v>
      </c>
      <c r="M103" s="31">
        <v>0.07</v>
      </c>
      <c r="N103" s="32"/>
      <c r="O103" s="35"/>
      <c r="P103" s="32" t="str">
        <f>'ALL DATA &amp; IT4PROFIT'!H125</f>
        <v/>
      </c>
      <c r="Q103" s="35" t="str">
        <f>'ALL DATA &amp; IT4PROFIT'!K125</f>
        <v/>
      </c>
      <c r="R103" s="35" t="str">
        <f>'ALL DATA &amp; IT4PROFIT'!D125</f>
        <v/>
      </c>
      <c r="S103" s="32"/>
      <c r="T103" s="9"/>
      <c r="U103" s="9"/>
    </row>
    <row r="104" ht="21.0" hidden="1" customHeight="1">
      <c r="A104" s="13"/>
      <c r="B104" s="24" t="str">
        <f>'ALL DATA &amp; IT4PROFIT'!A126</f>
        <v>SOLAREDGE</v>
      </c>
      <c r="C104" s="24" t="str">
        <f>'ALL DATA &amp; IT4PROFIT'!B126</f>
        <v>SE20 k SETAPP</v>
      </c>
      <c r="D104" s="24" t="str">
        <f>'ALL DATA &amp; IT4PROFIT'!C126</f>
        <v>3PH</v>
      </c>
      <c r="E104" s="25">
        <v>1.0</v>
      </c>
      <c r="F104" s="26" t="str">
        <f>'ALL DATA &amp; IT4PROFIT'!J126</f>
        <v/>
      </c>
      <c r="G104" s="27">
        <f t="shared" si="8"/>
        <v>25</v>
      </c>
      <c r="H104" s="27">
        <f t="shared" si="2"/>
        <v>25.625</v>
      </c>
      <c r="I104" s="28">
        <f t="shared" si="3"/>
        <v>0.07</v>
      </c>
      <c r="J104" s="29">
        <f t="shared" si="4"/>
        <v>27.55376344</v>
      </c>
      <c r="K104" s="30">
        <f t="shared" si="5"/>
        <v>27.55376344</v>
      </c>
      <c r="L104" s="30">
        <f t="shared" si="6"/>
        <v>25.625</v>
      </c>
      <c r="M104" s="31">
        <v>0.07</v>
      </c>
      <c r="N104" s="32"/>
      <c r="O104" s="35"/>
      <c r="P104" s="32" t="str">
        <f>'ALL DATA &amp; IT4PROFIT'!H126</f>
        <v/>
      </c>
      <c r="Q104" s="35" t="str">
        <f>'ALL DATA &amp; IT4PROFIT'!K126</f>
        <v/>
      </c>
      <c r="R104" s="35" t="str">
        <f>'ALL DATA &amp; IT4PROFIT'!D126</f>
        <v/>
      </c>
      <c r="S104" s="32"/>
      <c r="T104" s="9"/>
      <c r="U104" s="9"/>
    </row>
    <row r="105" ht="21.0" customHeight="1">
      <c r="A105" s="13"/>
      <c r="B105" s="24" t="str">
        <f>'ALL DATA &amp; IT4PROFIT'!$A$287</f>
        <v>JINKO</v>
      </c>
      <c r="C105" s="24" t="str">
        <f>'ALL DATA &amp; IT4PROFIT'!$B$343</f>
        <v>JinkoSolar JKM435N-54HL4R-V</v>
      </c>
      <c r="D105" s="24" t="s">
        <v>25</v>
      </c>
      <c r="E105" s="25">
        <v>36.0</v>
      </c>
      <c r="F105" s="26">
        <f>'ALL DATA &amp; IT4PROFIT'!$J$343</f>
        <v>62.64</v>
      </c>
      <c r="G105" s="27">
        <f>F105+2</f>
        <v>64.64</v>
      </c>
      <c r="H105" s="27">
        <f t="shared" si="2"/>
        <v>66.256</v>
      </c>
      <c r="I105" s="28">
        <f t="shared" si="3"/>
        <v>0.1282</v>
      </c>
      <c r="J105" s="29">
        <f t="shared" si="4"/>
        <v>75.99908236</v>
      </c>
      <c r="K105" s="30">
        <f t="shared" si="5"/>
        <v>2735.966965</v>
      </c>
      <c r="L105" s="30">
        <f t="shared" si="6"/>
        <v>2385.216</v>
      </c>
      <c r="M105" s="31">
        <v>0.1282</v>
      </c>
      <c r="N105" s="9"/>
      <c r="O105" s="35"/>
      <c r="P105" s="32" t="str">
        <f>'ALL DATA &amp; IT4PROFIT'!H143</f>
        <v/>
      </c>
      <c r="Q105" s="35" t="str">
        <f>'ALL DATA &amp; IT4PROFIT'!K143</f>
        <v/>
      </c>
      <c r="R105" s="35" t="str">
        <f>'ALL DATA &amp; IT4PROFIT'!D143</f>
        <v/>
      </c>
      <c r="S105" s="32"/>
      <c r="T105" s="9"/>
      <c r="U105" s="9"/>
    </row>
    <row r="106" ht="21.0" customHeight="1">
      <c r="A106" s="13"/>
      <c r="B106" s="24" t="str">
        <f>'ALL DATA &amp; IT4PROFIT'!$A$287</f>
        <v>JINKO</v>
      </c>
      <c r="C106" s="24" t="str">
        <f>'ALL DATA &amp; IT4PROFIT'!B287</f>
        <v>JKM440N-54HL4R</v>
      </c>
      <c r="D106" s="24" t="s">
        <v>25</v>
      </c>
      <c r="E106" s="25">
        <v>36.0</v>
      </c>
      <c r="F106" s="26">
        <f>'ALL DATA &amp; IT4PROFIT'!S287</f>
        <v>63.8</v>
      </c>
      <c r="G106" s="27">
        <f t="shared" ref="G106:G107" si="9">F106+$G$195</f>
        <v>71.8</v>
      </c>
      <c r="H106" s="27">
        <f t="shared" si="2"/>
        <v>73.595</v>
      </c>
      <c r="I106" s="28">
        <f t="shared" si="3"/>
        <v>0.07</v>
      </c>
      <c r="J106" s="29">
        <f t="shared" si="4"/>
        <v>79.1344086</v>
      </c>
      <c r="K106" s="30">
        <f t="shared" si="5"/>
        <v>2848.83871</v>
      </c>
      <c r="L106" s="30">
        <f t="shared" si="6"/>
        <v>2649.42</v>
      </c>
      <c r="M106" s="31">
        <v>0.07</v>
      </c>
      <c r="N106" s="9"/>
      <c r="O106" s="35"/>
      <c r="P106" s="32" t="str">
        <f>'ALL DATA &amp; IT4PROFIT'!H144</f>
        <v/>
      </c>
      <c r="Q106" s="35" t="str">
        <f>'ALL DATA &amp; IT4PROFIT'!K144</f>
        <v/>
      </c>
      <c r="R106" s="35" t="str">
        <f>'ALL DATA &amp; IT4PROFIT'!D144</f>
        <v/>
      </c>
      <c r="S106" s="32"/>
      <c r="T106" s="9"/>
      <c r="U106" s="9"/>
    </row>
    <row r="107" ht="21.0" customHeight="1">
      <c r="A107" s="13"/>
      <c r="B107" s="24" t="str">
        <f>'ALL DATA &amp; IT4PROFIT'!A288</f>
        <v>LONGI</v>
      </c>
      <c r="C107" s="24" t="str">
        <f>'ALL DATA &amp; IT4PROFIT'!B288</f>
        <v>LR5-72HTH 585</v>
      </c>
      <c r="D107" s="24" t="s">
        <v>25</v>
      </c>
      <c r="E107" s="25">
        <v>31.0</v>
      </c>
      <c r="F107" s="26">
        <f>'ALL DATA &amp; IT4PROFIT'!S288</f>
        <v>87.75</v>
      </c>
      <c r="G107" s="27">
        <f t="shared" si="9"/>
        <v>95.75</v>
      </c>
      <c r="H107" s="27">
        <f t="shared" si="2"/>
        <v>98.14375</v>
      </c>
      <c r="I107" s="28">
        <f t="shared" si="3"/>
        <v>0.07</v>
      </c>
      <c r="J107" s="29">
        <f t="shared" si="4"/>
        <v>105.530914</v>
      </c>
      <c r="K107" s="30">
        <f t="shared" si="5"/>
        <v>3271.458333</v>
      </c>
      <c r="L107" s="30">
        <f t="shared" si="6"/>
        <v>3042.45625</v>
      </c>
      <c r="M107" s="31">
        <v>0.07</v>
      </c>
      <c r="N107" s="9"/>
      <c r="O107" s="35"/>
      <c r="P107" s="32" t="str">
        <f>'ALL DATA &amp; IT4PROFIT'!H159</f>
        <v/>
      </c>
      <c r="Q107" s="35" t="str">
        <f>'ALL DATA &amp; IT4PROFIT'!K159</f>
        <v/>
      </c>
      <c r="R107" s="35" t="str">
        <f>'ALL DATA &amp; IT4PROFIT'!D159</f>
        <v/>
      </c>
      <c r="S107" s="32"/>
      <c r="T107" s="9"/>
      <c r="U107" s="9"/>
    </row>
    <row r="108" ht="21.0" hidden="1" customHeight="1">
      <c r="A108" s="13"/>
      <c r="B108" s="24" t="str">
        <f>'ALL DATA &amp; IT4PROFIT'!A160</f>
        <v/>
      </c>
      <c r="C108" s="24" t="str">
        <f>'ALL DATA &amp; IT4PROFIT'!B160</f>
        <v/>
      </c>
      <c r="D108" s="24" t="str">
        <f>'ALL DATA &amp; IT4PROFIT'!C160</f>
        <v/>
      </c>
      <c r="E108" s="25">
        <v>1.0</v>
      </c>
      <c r="F108" s="26" t="str">
        <f>'ALL DATA &amp; IT4PROFIT'!J160</f>
        <v/>
      </c>
      <c r="G108" s="27">
        <f t="shared" ref="G108:G176" si="10">F108+$G$193</f>
        <v>25</v>
      </c>
      <c r="H108" s="27">
        <f t="shared" si="2"/>
        <v>25.625</v>
      </c>
      <c r="I108" s="28">
        <f t="shared" si="3"/>
        <v>0.07</v>
      </c>
      <c r="J108" s="29">
        <f t="shared" si="4"/>
        <v>27.55376344</v>
      </c>
      <c r="K108" s="30">
        <f t="shared" si="5"/>
        <v>27.55376344</v>
      </c>
      <c r="L108" s="30">
        <f t="shared" si="6"/>
        <v>25.625</v>
      </c>
      <c r="M108" s="31">
        <v>0.07</v>
      </c>
      <c r="N108" s="9"/>
      <c r="O108" s="35"/>
      <c r="P108" s="32" t="str">
        <f>'ALL DATA &amp; IT4PROFIT'!H160</f>
        <v/>
      </c>
      <c r="Q108" s="35" t="str">
        <f>'ALL DATA &amp; IT4PROFIT'!K160</f>
        <v/>
      </c>
      <c r="R108" s="35" t="str">
        <f>'ALL DATA &amp; IT4PROFIT'!D160</f>
        <v/>
      </c>
      <c r="S108" s="32"/>
      <c r="T108" s="9"/>
      <c r="U108" s="9"/>
    </row>
    <row r="109" ht="21.0" hidden="1" customHeight="1">
      <c r="A109" s="13"/>
      <c r="B109" s="24" t="str">
        <f>'ALL DATA &amp; IT4PROFIT'!A161</f>
        <v/>
      </c>
      <c r="C109" s="24" t="str">
        <f>'ALL DATA &amp; IT4PROFIT'!B161</f>
        <v/>
      </c>
      <c r="D109" s="24" t="str">
        <f>'ALL DATA &amp; IT4PROFIT'!C161</f>
        <v/>
      </c>
      <c r="E109" s="25">
        <v>1.0</v>
      </c>
      <c r="F109" s="26" t="str">
        <f>'ALL DATA &amp; IT4PROFIT'!J161</f>
        <v/>
      </c>
      <c r="G109" s="27">
        <f t="shared" si="10"/>
        <v>25</v>
      </c>
      <c r="H109" s="27">
        <f t="shared" si="2"/>
        <v>25.625</v>
      </c>
      <c r="I109" s="28">
        <f t="shared" si="3"/>
        <v>0.07</v>
      </c>
      <c r="J109" s="29">
        <f t="shared" si="4"/>
        <v>27.55376344</v>
      </c>
      <c r="K109" s="30">
        <f t="shared" si="5"/>
        <v>27.55376344</v>
      </c>
      <c r="L109" s="30">
        <f t="shared" si="6"/>
        <v>25.625</v>
      </c>
      <c r="M109" s="31">
        <v>0.07</v>
      </c>
      <c r="N109" s="9"/>
      <c r="O109" s="35"/>
      <c r="P109" s="32" t="str">
        <f>'ALL DATA &amp; IT4PROFIT'!H161</f>
        <v/>
      </c>
      <c r="Q109" s="35" t="str">
        <f>'ALL DATA &amp; IT4PROFIT'!K161</f>
        <v/>
      </c>
      <c r="R109" s="35" t="str">
        <f>'ALL DATA &amp; IT4PROFIT'!D161</f>
        <v/>
      </c>
      <c r="S109" s="32"/>
      <c r="T109" s="9"/>
      <c r="U109" s="9"/>
    </row>
    <row r="110" ht="21.0" hidden="1" customHeight="1">
      <c r="A110" s="13"/>
      <c r="B110" s="24" t="str">
        <f>'ALL DATA &amp; IT4PROFIT'!A162</f>
        <v>SOLAX</v>
      </c>
      <c r="C110" s="24" t="str">
        <f>'ALL DATA &amp; IT4PROFIT'!B162</f>
        <v>X1 2.0-S-D(L) Mini G3</v>
      </c>
      <c r="D110" s="24" t="str">
        <f>'ALL DATA &amp; IT4PROFIT'!C162</f>
        <v>1PH</v>
      </c>
      <c r="E110" s="25">
        <v>1.0</v>
      </c>
      <c r="F110" s="26" t="str">
        <f>'ALL DATA &amp; IT4PROFIT'!J162</f>
        <v/>
      </c>
      <c r="G110" s="27">
        <f t="shared" si="10"/>
        <v>25</v>
      </c>
      <c r="H110" s="27">
        <f t="shared" si="2"/>
        <v>25.625</v>
      </c>
      <c r="I110" s="28">
        <f t="shared" si="3"/>
        <v>0.07</v>
      </c>
      <c r="J110" s="29">
        <f t="shared" si="4"/>
        <v>27.55376344</v>
      </c>
      <c r="K110" s="30">
        <f t="shared" si="5"/>
        <v>27.55376344</v>
      </c>
      <c r="L110" s="30">
        <f t="shared" si="6"/>
        <v>25.625</v>
      </c>
      <c r="M110" s="31">
        <v>0.07</v>
      </c>
      <c r="N110" s="9"/>
      <c r="O110" s="35">
        <f>615-615*0.4</f>
        <v>369</v>
      </c>
      <c r="P110" s="32" t="str">
        <f>'ALL DATA &amp; IT4PROFIT'!H162</f>
        <v/>
      </c>
      <c r="Q110" s="35" t="str">
        <f>'ALL DATA &amp; IT4PROFIT'!K162</f>
        <v/>
      </c>
      <c r="R110" s="35" t="str">
        <f>'ALL DATA &amp; IT4PROFIT'!D162</f>
        <v/>
      </c>
      <c r="S110" s="32"/>
      <c r="T110" s="9"/>
      <c r="U110" s="9"/>
    </row>
    <row r="111" ht="21.0" hidden="1" customHeight="1">
      <c r="A111" s="13"/>
      <c r="B111" s="24" t="str">
        <f>'ALL DATA &amp; IT4PROFIT'!A163</f>
        <v>SOLAX</v>
      </c>
      <c r="C111" s="24" t="str">
        <f>'ALL DATA &amp; IT4PROFIT'!B163</f>
        <v>X1 3.3-T-D(L) BOOST</v>
      </c>
      <c r="D111" s="24" t="str">
        <f>'ALL DATA &amp; IT4PROFIT'!C163</f>
        <v>1PH</v>
      </c>
      <c r="E111" s="25">
        <v>1.0</v>
      </c>
      <c r="F111" s="26" t="str">
        <f>'ALL DATA &amp; IT4PROFIT'!J163</f>
        <v/>
      </c>
      <c r="G111" s="27">
        <f t="shared" si="10"/>
        <v>25</v>
      </c>
      <c r="H111" s="27">
        <f t="shared" si="2"/>
        <v>25.625</v>
      </c>
      <c r="I111" s="28">
        <f t="shared" si="3"/>
        <v>0.07</v>
      </c>
      <c r="J111" s="29">
        <f t="shared" si="4"/>
        <v>27.55376344</v>
      </c>
      <c r="K111" s="30">
        <f t="shared" si="5"/>
        <v>27.55376344</v>
      </c>
      <c r="L111" s="30">
        <f t="shared" si="6"/>
        <v>25.625</v>
      </c>
      <c r="M111" s="31">
        <v>0.07</v>
      </c>
      <c r="N111" s="9"/>
      <c r="O111" s="35">
        <f>920-920*0.4</f>
        <v>552</v>
      </c>
      <c r="P111" s="32" t="str">
        <f>'ALL DATA &amp; IT4PROFIT'!H163</f>
        <v/>
      </c>
      <c r="Q111" s="35" t="str">
        <f>'ALL DATA &amp; IT4PROFIT'!K163</f>
        <v/>
      </c>
      <c r="R111" s="35" t="str">
        <f>'ALL DATA &amp; IT4PROFIT'!D163</f>
        <v/>
      </c>
      <c r="S111" s="32"/>
      <c r="T111" s="9"/>
      <c r="U111" s="9"/>
    </row>
    <row r="112" ht="21.0" hidden="1" customHeight="1">
      <c r="A112" s="13"/>
      <c r="B112" s="24" t="str">
        <f>'ALL DATA &amp; IT4PROFIT'!A164</f>
        <v>SOLAX</v>
      </c>
      <c r="C112" s="24" t="str">
        <f>'ALL DATA &amp; IT4PROFIT'!B164</f>
        <v>X1 4.2-T-D(L) BOOST</v>
      </c>
      <c r="D112" s="24" t="str">
        <f>'ALL DATA &amp; IT4PROFIT'!C164</f>
        <v>1PH</v>
      </c>
      <c r="E112" s="25">
        <v>1.0</v>
      </c>
      <c r="F112" s="26" t="str">
        <f>'ALL DATA &amp; IT4PROFIT'!J164</f>
        <v/>
      </c>
      <c r="G112" s="27">
        <f t="shared" si="10"/>
        <v>25</v>
      </c>
      <c r="H112" s="27">
        <f t="shared" si="2"/>
        <v>25.625</v>
      </c>
      <c r="I112" s="28">
        <f t="shared" si="3"/>
        <v>0.07</v>
      </c>
      <c r="J112" s="29">
        <f t="shared" si="4"/>
        <v>27.55376344</v>
      </c>
      <c r="K112" s="30">
        <f t="shared" si="5"/>
        <v>27.55376344</v>
      </c>
      <c r="L112" s="30">
        <f t="shared" si="6"/>
        <v>25.625</v>
      </c>
      <c r="M112" s="31">
        <v>0.07</v>
      </c>
      <c r="N112" s="9"/>
      <c r="O112" s="35">
        <f>985-985*0.4</f>
        <v>591</v>
      </c>
      <c r="P112" s="32" t="str">
        <f>'ALL DATA &amp; IT4PROFIT'!H164</f>
        <v/>
      </c>
      <c r="Q112" s="35" t="str">
        <f>'ALL DATA &amp; IT4PROFIT'!K164</f>
        <v/>
      </c>
      <c r="R112" s="35" t="str">
        <f>'ALL DATA &amp; IT4PROFIT'!D164</f>
        <v/>
      </c>
      <c r="S112" s="32"/>
      <c r="T112" s="9"/>
      <c r="U112" s="9"/>
    </row>
    <row r="113" ht="21.0" hidden="1" customHeight="1">
      <c r="A113" s="13"/>
      <c r="B113" s="24" t="str">
        <f>'ALL DATA &amp; IT4PROFIT'!A165</f>
        <v>SOLAX</v>
      </c>
      <c r="C113" s="24" t="str">
        <f>'ALL DATA &amp; IT4PROFIT'!B165</f>
        <v>X1 5.0-T-D(L) BOOST</v>
      </c>
      <c r="D113" s="24" t="str">
        <f>'ALL DATA &amp; IT4PROFIT'!C165</f>
        <v>1PH</v>
      </c>
      <c r="E113" s="25">
        <v>1.0</v>
      </c>
      <c r="F113" s="26" t="str">
        <f>'ALL DATA &amp; IT4PROFIT'!J165</f>
        <v/>
      </c>
      <c r="G113" s="27">
        <f t="shared" si="10"/>
        <v>25</v>
      </c>
      <c r="H113" s="27">
        <f t="shared" si="2"/>
        <v>25.625</v>
      </c>
      <c r="I113" s="28">
        <f t="shared" si="3"/>
        <v>0.07</v>
      </c>
      <c r="J113" s="29">
        <f t="shared" si="4"/>
        <v>27.55376344</v>
      </c>
      <c r="K113" s="30">
        <f t="shared" si="5"/>
        <v>27.55376344</v>
      </c>
      <c r="L113" s="30">
        <f t="shared" si="6"/>
        <v>25.625</v>
      </c>
      <c r="M113" s="31">
        <v>0.07</v>
      </c>
      <c r="N113" s="9"/>
      <c r="O113" s="35">
        <f>1055-1055*0.4</f>
        <v>633</v>
      </c>
      <c r="P113" s="32" t="str">
        <f>'ALL DATA &amp; IT4PROFIT'!H165</f>
        <v/>
      </c>
      <c r="Q113" s="35" t="str">
        <f>'ALL DATA &amp; IT4PROFIT'!K165</f>
        <v/>
      </c>
      <c r="R113" s="35" t="str">
        <f>'ALL DATA &amp; IT4PROFIT'!D165</f>
        <v/>
      </c>
      <c r="S113" s="32"/>
      <c r="T113" s="9"/>
      <c r="U113" s="9"/>
    </row>
    <row r="114" ht="21.0" hidden="1" customHeight="1">
      <c r="A114" s="13"/>
      <c r="B114" s="24" t="str">
        <f>'ALL DATA &amp; IT4PROFIT'!A166</f>
        <v>SOLAX</v>
      </c>
      <c r="C114" s="24" t="str">
        <f>'ALL DATA &amp; IT4PROFIT'!B166</f>
        <v>X3-MIC-4.0K-G2</v>
      </c>
      <c r="D114" s="24" t="str">
        <f>'ALL DATA &amp; IT4PROFIT'!C166</f>
        <v>3PH</v>
      </c>
      <c r="E114" s="25">
        <v>1.0</v>
      </c>
      <c r="F114" s="26" t="str">
        <f>'ALL DATA &amp; IT4PROFIT'!J166</f>
        <v/>
      </c>
      <c r="G114" s="27">
        <f t="shared" si="10"/>
        <v>25</v>
      </c>
      <c r="H114" s="27">
        <f t="shared" si="2"/>
        <v>25.625</v>
      </c>
      <c r="I114" s="28">
        <f t="shared" si="3"/>
        <v>0.07</v>
      </c>
      <c r="J114" s="29">
        <f t="shared" si="4"/>
        <v>27.55376344</v>
      </c>
      <c r="K114" s="30">
        <f t="shared" si="5"/>
        <v>27.55376344</v>
      </c>
      <c r="L114" s="30">
        <f t="shared" si="6"/>
        <v>25.625</v>
      </c>
      <c r="M114" s="31">
        <v>0.07</v>
      </c>
      <c r="N114" s="9"/>
      <c r="O114" s="35">
        <f>1465-1465*0.4</f>
        <v>879</v>
      </c>
      <c r="P114" s="32" t="str">
        <f>'ALL DATA &amp; IT4PROFIT'!H166</f>
        <v/>
      </c>
      <c r="Q114" s="35" t="str">
        <f>'ALL DATA &amp; IT4PROFIT'!K166</f>
        <v/>
      </c>
      <c r="R114" s="35" t="str">
        <f>'ALL DATA &amp; IT4PROFIT'!D166</f>
        <v/>
      </c>
      <c r="S114" s="32"/>
      <c r="T114" s="9"/>
      <c r="U114" s="9"/>
    </row>
    <row r="115" ht="21.0" hidden="1" customHeight="1">
      <c r="A115" s="13"/>
      <c r="B115" s="24" t="str">
        <f>'ALL DATA &amp; IT4PROFIT'!A167</f>
        <v>SOLAX</v>
      </c>
      <c r="C115" s="24" t="str">
        <f>'ALL DATA &amp; IT4PROFIT'!B167</f>
        <v>X3-MIC-5.0K-G2</v>
      </c>
      <c r="D115" s="24" t="str">
        <f>'ALL DATA &amp; IT4PROFIT'!C167</f>
        <v>3PH</v>
      </c>
      <c r="E115" s="25">
        <v>1.0</v>
      </c>
      <c r="F115" s="26" t="str">
        <f>'ALL DATA &amp; IT4PROFIT'!J167</f>
        <v/>
      </c>
      <c r="G115" s="27">
        <f t="shared" si="10"/>
        <v>25</v>
      </c>
      <c r="H115" s="27">
        <f t="shared" si="2"/>
        <v>25.625</v>
      </c>
      <c r="I115" s="28">
        <f t="shared" si="3"/>
        <v>0.07</v>
      </c>
      <c r="J115" s="29">
        <f t="shared" si="4"/>
        <v>27.55376344</v>
      </c>
      <c r="K115" s="30">
        <f t="shared" si="5"/>
        <v>27.55376344</v>
      </c>
      <c r="L115" s="30">
        <f t="shared" si="6"/>
        <v>25.625</v>
      </c>
      <c r="M115" s="31">
        <v>0.07</v>
      </c>
      <c r="N115" s="9"/>
      <c r="O115" s="35">
        <f>1530-1530*0.4</f>
        <v>918</v>
      </c>
      <c r="P115" s="32" t="str">
        <f>'ALL DATA &amp; IT4PROFIT'!H167</f>
        <v/>
      </c>
      <c r="Q115" s="35" t="str">
        <f>'ALL DATA &amp; IT4PROFIT'!K167</f>
        <v/>
      </c>
      <c r="R115" s="35" t="str">
        <f>'ALL DATA &amp; IT4PROFIT'!D167</f>
        <v/>
      </c>
      <c r="S115" s="32"/>
      <c r="T115" s="9"/>
      <c r="U115" s="9"/>
    </row>
    <row r="116" ht="21.0" hidden="1" customHeight="1">
      <c r="A116" s="13"/>
      <c r="B116" s="24" t="str">
        <f>'ALL DATA &amp; IT4PROFIT'!A168</f>
        <v>SOLAX</v>
      </c>
      <c r="C116" s="24" t="str">
        <f>'ALL DATA &amp; IT4PROFIT'!B168</f>
        <v>X3-MIC-6.0K-G2</v>
      </c>
      <c r="D116" s="24" t="str">
        <f>'ALL DATA &amp; IT4PROFIT'!C168</f>
        <v>3PH</v>
      </c>
      <c r="E116" s="25">
        <v>1.0</v>
      </c>
      <c r="F116" s="26" t="str">
        <f>'ALL DATA &amp; IT4PROFIT'!J168</f>
        <v/>
      </c>
      <c r="G116" s="27">
        <f t="shared" si="10"/>
        <v>25</v>
      </c>
      <c r="H116" s="27">
        <f t="shared" si="2"/>
        <v>25.625</v>
      </c>
      <c r="I116" s="28">
        <f t="shared" si="3"/>
        <v>0.07</v>
      </c>
      <c r="J116" s="29">
        <f t="shared" si="4"/>
        <v>27.55376344</v>
      </c>
      <c r="K116" s="30">
        <f t="shared" si="5"/>
        <v>27.55376344</v>
      </c>
      <c r="L116" s="30">
        <f t="shared" si="6"/>
        <v>25.625</v>
      </c>
      <c r="M116" s="31">
        <v>0.07</v>
      </c>
      <c r="N116" s="9"/>
      <c r="O116" s="35">
        <f>1625-1625*0.4</f>
        <v>975</v>
      </c>
      <c r="P116" s="32" t="str">
        <f>'ALL DATA &amp; IT4PROFIT'!H168</f>
        <v/>
      </c>
      <c r="Q116" s="35" t="str">
        <f>'ALL DATA &amp; IT4PROFIT'!K168</f>
        <v/>
      </c>
      <c r="R116" s="35" t="str">
        <f>'ALL DATA &amp; IT4PROFIT'!D168</f>
        <v/>
      </c>
      <c r="S116" s="32"/>
      <c r="T116" s="9"/>
      <c r="U116" s="9"/>
    </row>
    <row r="117" ht="21.0" hidden="1" customHeight="1">
      <c r="A117" s="13"/>
      <c r="B117" s="24" t="str">
        <f>'ALL DATA &amp; IT4PROFIT'!A169</f>
        <v>SOLAX</v>
      </c>
      <c r="C117" s="24" t="str">
        <f>'ALL DATA &amp; IT4PROFIT'!B169</f>
        <v>X3-MIC-8.0K-G2</v>
      </c>
      <c r="D117" s="24" t="str">
        <f>'ALL DATA &amp; IT4PROFIT'!C169</f>
        <v>3PH</v>
      </c>
      <c r="E117" s="25">
        <v>1.0</v>
      </c>
      <c r="F117" s="26" t="str">
        <f>'ALL DATA &amp; IT4PROFIT'!J169</f>
        <v/>
      </c>
      <c r="G117" s="27">
        <f t="shared" si="10"/>
        <v>25</v>
      </c>
      <c r="H117" s="27">
        <f t="shared" si="2"/>
        <v>25.625</v>
      </c>
      <c r="I117" s="28">
        <f t="shared" si="3"/>
        <v>0.07</v>
      </c>
      <c r="J117" s="29">
        <f t="shared" si="4"/>
        <v>27.55376344</v>
      </c>
      <c r="K117" s="30">
        <f t="shared" si="5"/>
        <v>27.55376344</v>
      </c>
      <c r="L117" s="30">
        <f t="shared" si="6"/>
        <v>25.625</v>
      </c>
      <c r="M117" s="31">
        <v>0.07</v>
      </c>
      <c r="N117" s="9"/>
      <c r="O117" s="35">
        <f>1680-1680*0.4</f>
        <v>1008</v>
      </c>
      <c r="P117" s="32" t="str">
        <f>'ALL DATA &amp; IT4PROFIT'!H169</f>
        <v/>
      </c>
      <c r="Q117" s="35" t="str">
        <f>'ALL DATA &amp; IT4PROFIT'!K169</f>
        <v/>
      </c>
      <c r="R117" s="35" t="str">
        <f>'ALL DATA &amp; IT4PROFIT'!D169</f>
        <v/>
      </c>
      <c r="S117" s="32"/>
      <c r="T117" s="9"/>
      <c r="U117" s="9"/>
    </row>
    <row r="118" ht="21.0" hidden="1" customHeight="1">
      <c r="A118" s="13"/>
      <c r="B118" s="24" t="str">
        <f>'ALL DATA &amp; IT4PROFIT'!A170</f>
        <v>SOLAX</v>
      </c>
      <c r="C118" s="24" t="str">
        <f>'ALL DATA &amp; IT4PROFIT'!B170</f>
        <v>X3-MIC-10.0K-G2</v>
      </c>
      <c r="D118" s="24" t="str">
        <f>'ALL DATA &amp; IT4PROFIT'!C170</f>
        <v>3PH</v>
      </c>
      <c r="E118" s="25">
        <v>1.0</v>
      </c>
      <c r="F118" s="26" t="str">
        <f>'ALL DATA &amp; IT4PROFIT'!J170</f>
        <v/>
      </c>
      <c r="G118" s="27">
        <f t="shared" si="10"/>
        <v>25</v>
      </c>
      <c r="H118" s="27">
        <f t="shared" si="2"/>
        <v>25.625</v>
      </c>
      <c r="I118" s="28">
        <f t="shared" si="3"/>
        <v>0.07</v>
      </c>
      <c r="J118" s="29">
        <f t="shared" si="4"/>
        <v>27.55376344</v>
      </c>
      <c r="K118" s="30">
        <f t="shared" si="5"/>
        <v>27.55376344</v>
      </c>
      <c r="L118" s="30">
        <f t="shared" si="6"/>
        <v>25.625</v>
      </c>
      <c r="M118" s="31">
        <v>0.07</v>
      </c>
      <c r="N118" s="9"/>
      <c r="O118" s="35">
        <f>1840-1840*0.4</f>
        <v>1104</v>
      </c>
      <c r="P118" s="32" t="str">
        <f>'ALL DATA &amp; IT4PROFIT'!H170</f>
        <v/>
      </c>
      <c r="Q118" s="35" t="str">
        <f>'ALL DATA &amp; IT4PROFIT'!K170</f>
        <v/>
      </c>
      <c r="R118" s="35" t="str">
        <f>'ALL DATA &amp; IT4PROFIT'!D170</f>
        <v/>
      </c>
      <c r="S118" s="32"/>
      <c r="T118" s="9"/>
      <c r="U118" s="9"/>
    </row>
    <row r="119" ht="21.0" hidden="1" customHeight="1">
      <c r="A119" s="13"/>
      <c r="B119" s="24" t="str">
        <f>'ALL DATA &amp; IT4PROFIT'!A171</f>
        <v>SOLAX</v>
      </c>
      <c r="C119" s="24" t="str">
        <f>'ALL DATA &amp; IT4PROFIT'!B171</f>
        <v>Pocket Wifi (2 years warranty)</v>
      </c>
      <c r="D119" s="24" t="str">
        <f>'ALL DATA &amp; IT4PROFIT'!C171</f>
        <v/>
      </c>
      <c r="E119" s="25">
        <v>1.0</v>
      </c>
      <c r="F119" s="26" t="str">
        <f>'ALL DATA &amp; IT4PROFIT'!J171</f>
        <v/>
      </c>
      <c r="G119" s="27">
        <f t="shared" si="10"/>
        <v>25</v>
      </c>
      <c r="H119" s="27">
        <f t="shared" si="2"/>
        <v>25.625</v>
      </c>
      <c r="I119" s="28">
        <f t="shared" si="3"/>
        <v>0.07</v>
      </c>
      <c r="J119" s="29">
        <f t="shared" si="4"/>
        <v>27.55376344</v>
      </c>
      <c r="K119" s="30">
        <f t="shared" si="5"/>
        <v>27.55376344</v>
      </c>
      <c r="L119" s="30">
        <f t="shared" si="6"/>
        <v>25.625</v>
      </c>
      <c r="M119" s="31">
        <v>0.07</v>
      </c>
      <c r="N119" s="9"/>
      <c r="O119" s="35">
        <f t="shared" ref="O119:O120" si="11">50-50*0.4</f>
        <v>30</v>
      </c>
      <c r="P119" s="32" t="str">
        <f>'ALL DATA &amp; IT4PROFIT'!H171</f>
        <v/>
      </c>
      <c r="Q119" s="35" t="str">
        <f>'ALL DATA &amp; IT4PROFIT'!K171</f>
        <v/>
      </c>
      <c r="R119" s="35" t="str">
        <f>'ALL DATA &amp; IT4PROFIT'!D171</f>
        <v/>
      </c>
      <c r="S119" s="32"/>
      <c r="T119" s="9"/>
      <c r="U119" s="9"/>
    </row>
    <row r="120" ht="21.0" hidden="1" customHeight="1">
      <c r="A120" s="13"/>
      <c r="B120" s="24" t="str">
        <f>'ALL DATA &amp; IT4PROFIT'!A172</f>
        <v>SOLAX</v>
      </c>
      <c r="C120" s="24" t="str">
        <f>'ALL DATA &amp; IT4PROFIT'!B172</f>
        <v>Pocket Lan 3.0 (2 years warranty)</v>
      </c>
      <c r="D120" s="24" t="str">
        <f>'ALL DATA &amp; IT4PROFIT'!C172</f>
        <v/>
      </c>
      <c r="E120" s="25">
        <v>1.0</v>
      </c>
      <c r="F120" s="26" t="str">
        <f>'ALL DATA &amp; IT4PROFIT'!J172</f>
        <v/>
      </c>
      <c r="G120" s="27">
        <f t="shared" si="10"/>
        <v>25</v>
      </c>
      <c r="H120" s="27">
        <f t="shared" si="2"/>
        <v>25.625</v>
      </c>
      <c r="I120" s="28">
        <f t="shared" si="3"/>
        <v>0.07</v>
      </c>
      <c r="J120" s="29">
        <f t="shared" si="4"/>
        <v>27.55376344</v>
      </c>
      <c r="K120" s="30">
        <f t="shared" si="5"/>
        <v>27.55376344</v>
      </c>
      <c r="L120" s="30">
        <f t="shared" si="6"/>
        <v>25.625</v>
      </c>
      <c r="M120" s="31">
        <v>0.07</v>
      </c>
      <c r="N120" s="9"/>
      <c r="O120" s="35">
        <f t="shared" si="11"/>
        <v>30</v>
      </c>
      <c r="P120" s="32" t="str">
        <f>'ALL DATA &amp; IT4PROFIT'!H172</f>
        <v/>
      </c>
      <c r="Q120" s="35" t="str">
        <f>'ALL DATA &amp; IT4PROFIT'!K172</f>
        <v/>
      </c>
      <c r="R120" s="35" t="str">
        <f>'ALL DATA &amp; IT4PROFIT'!D172</f>
        <v/>
      </c>
      <c r="S120" s="32"/>
      <c r="T120" s="9"/>
      <c r="U120" s="9"/>
    </row>
    <row r="121" ht="21.0" hidden="1" customHeight="1">
      <c r="A121" s="13"/>
      <c r="B121" s="24" t="str">
        <f>'ALL DATA &amp; IT4PROFIT'!A173</f>
        <v/>
      </c>
      <c r="C121" s="24" t="str">
        <f>'ALL DATA &amp; IT4PROFIT'!B173</f>
        <v/>
      </c>
      <c r="D121" s="24" t="str">
        <f>'ALL DATA &amp; IT4PROFIT'!C173</f>
        <v/>
      </c>
      <c r="E121" s="25">
        <v>1.0</v>
      </c>
      <c r="F121" s="26" t="str">
        <f>'ALL DATA &amp; IT4PROFIT'!J173</f>
        <v/>
      </c>
      <c r="G121" s="27">
        <f t="shared" si="10"/>
        <v>25</v>
      </c>
      <c r="H121" s="27">
        <f t="shared" si="2"/>
        <v>25.625</v>
      </c>
      <c r="I121" s="28">
        <f t="shared" si="3"/>
        <v>0.07</v>
      </c>
      <c r="J121" s="29">
        <f t="shared" si="4"/>
        <v>27.55376344</v>
      </c>
      <c r="K121" s="30">
        <f t="shared" si="5"/>
        <v>27.55376344</v>
      </c>
      <c r="L121" s="30">
        <f t="shared" si="6"/>
        <v>25.625</v>
      </c>
      <c r="M121" s="31">
        <v>0.07</v>
      </c>
      <c r="N121" s="9"/>
      <c r="O121" s="35"/>
      <c r="P121" s="32" t="str">
        <f>'ALL DATA &amp; IT4PROFIT'!H173</f>
        <v/>
      </c>
      <c r="Q121" s="35" t="str">
        <f>'ALL DATA &amp; IT4PROFIT'!K173</f>
        <v/>
      </c>
      <c r="R121" s="35" t="str">
        <f>'ALL DATA &amp; IT4PROFIT'!D173</f>
        <v/>
      </c>
      <c r="S121" s="32"/>
      <c r="T121" s="9"/>
      <c r="U121" s="9"/>
    </row>
    <row r="122" ht="21.0" hidden="1" customHeight="1">
      <c r="A122" s="13"/>
      <c r="B122" s="24" t="str">
        <f>'ALL DATA &amp; IT4PROFIT'!A174</f>
        <v>SMA</v>
      </c>
      <c r="C122" s="24" t="str">
        <f>'ALL DATA &amp; IT4PROFIT'!B174</f>
        <v>SMA Hybrid Sunny Tripower 5.0 Smart Energy</v>
      </c>
      <c r="D122" s="24" t="str">
        <f>'ALL DATA &amp; IT4PROFIT'!C174</f>
        <v>3PH HYBRID</v>
      </c>
      <c r="E122" s="25">
        <v>1.0</v>
      </c>
      <c r="F122" s="26" t="str">
        <f>'ALL DATA &amp; IT4PROFIT'!J174</f>
        <v/>
      </c>
      <c r="G122" s="27">
        <f t="shared" si="10"/>
        <v>25</v>
      </c>
      <c r="H122" s="27">
        <f t="shared" si="2"/>
        <v>25.625</v>
      </c>
      <c r="I122" s="28">
        <f t="shared" si="3"/>
        <v>0.07</v>
      </c>
      <c r="J122" s="29">
        <f t="shared" si="4"/>
        <v>27.55376344</v>
      </c>
      <c r="K122" s="30">
        <f t="shared" si="5"/>
        <v>27.55376344</v>
      </c>
      <c r="L122" s="30">
        <f t="shared" si="6"/>
        <v>25.625</v>
      </c>
      <c r="M122" s="31">
        <v>0.07</v>
      </c>
      <c r="N122" s="9"/>
      <c r="O122" s="35"/>
      <c r="P122" s="32" t="str">
        <f>'ALL DATA &amp; IT4PROFIT'!H174</f>
        <v/>
      </c>
      <c r="Q122" s="35" t="str">
        <f>'ALL DATA &amp; IT4PROFIT'!K174</f>
        <v/>
      </c>
      <c r="R122" s="35" t="str">
        <f>'ALL DATA &amp; IT4PROFIT'!D174</f>
        <v/>
      </c>
      <c r="S122" s="32"/>
      <c r="T122" s="9"/>
      <c r="U122" s="9"/>
    </row>
    <row r="123" ht="21.0" hidden="1" customHeight="1">
      <c r="A123" s="13"/>
      <c r="B123" s="24" t="str">
        <f>'ALL DATA &amp; IT4PROFIT'!A175</f>
        <v>SMA</v>
      </c>
      <c r="C123" s="24" t="str">
        <f>'ALL DATA &amp; IT4PROFIT'!B175</f>
        <v>SMA Hybrid Sunny Tripower 6.0 Smart Energy</v>
      </c>
      <c r="D123" s="24" t="str">
        <f>'ALL DATA &amp; IT4PROFIT'!C175</f>
        <v>3PH HYBRID</v>
      </c>
      <c r="E123" s="25">
        <v>1.0</v>
      </c>
      <c r="F123" s="26" t="str">
        <f>'ALL DATA &amp; IT4PROFIT'!J175</f>
        <v/>
      </c>
      <c r="G123" s="27">
        <f t="shared" si="10"/>
        <v>25</v>
      </c>
      <c r="H123" s="27">
        <f t="shared" si="2"/>
        <v>25.625</v>
      </c>
      <c r="I123" s="28">
        <f t="shared" si="3"/>
        <v>0.07</v>
      </c>
      <c r="J123" s="29">
        <f t="shared" si="4"/>
        <v>27.55376344</v>
      </c>
      <c r="K123" s="30">
        <f t="shared" si="5"/>
        <v>27.55376344</v>
      </c>
      <c r="L123" s="30">
        <f t="shared" si="6"/>
        <v>25.625</v>
      </c>
      <c r="M123" s="31">
        <v>0.07</v>
      </c>
      <c r="N123" s="9"/>
      <c r="O123" s="35"/>
      <c r="P123" s="32" t="str">
        <f>'ALL DATA &amp; IT4PROFIT'!H175</f>
        <v/>
      </c>
      <c r="Q123" s="35" t="str">
        <f>'ALL DATA &amp; IT4PROFIT'!K175</f>
        <v/>
      </c>
      <c r="R123" s="35" t="str">
        <f>'ALL DATA &amp; IT4PROFIT'!D175</f>
        <v/>
      </c>
      <c r="S123" s="32"/>
      <c r="T123" s="9"/>
      <c r="U123" s="9"/>
    </row>
    <row r="124" ht="21.0" hidden="1" customHeight="1">
      <c r="A124" s="13"/>
      <c r="B124" s="24" t="str">
        <f>'ALL DATA &amp; IT4PROFIT'!A176</f>
        <v>SMA</v>
      </c>
      <c r="C124" s="24" t="str">
        <f>'ALL DATA &amp; IT4PROFIT'!B176</f>
        <v>SMA Hybrid Sunny Tripower 8.0 Smart Energy</v>
      </c>
      <c r="D124" s="24" t="str">
        <f>'ALL DATA &amp; IT4PROFIT'!C176</f>
        <v>3PH HYBRID</v>
      </c>
      <c r="E124" s="25">
        <v>1.0</v>
      </c>
      <c r="F124" s="26" t="str">
        <f>'ALL DATA &amp; IT4PROFIT'!J176</f>
        <v/>
      </c>
      <c r="G124" s="27">
        <f t="shared" si="10"/>
        <v>25</v>
      </c>
      <c r="H124" s="27">
        <f t="shared" si="2"/>
        <v>25.625</v>
      </c>
      <c r="I124" s="28">
        <f t="shared" si="3"/>
        <v>0.07</v>
      </c>
      <c r="J124" s="29">
        <f t="shared" si="4"/>
        <v>27.55376344</v>
      </c>
      <c r="K124" s="30">
        <f t="shared" si="5"/>
        <v>27.55376344</v>
      </c>
      <c r="L124" s="30">
        <f t="shared" si="6"/>
        <v>25.625</v>
      </c>
      <c r="M124" s="31">
        <v>0.07</v>
      </c>
      <c r="N124" s="9"/>
      <c r="O124" s="35"/>
      <c r="P124" s="32" t="str">
        <f>'ALL DATA &amp; IT4PROFIT'!H176</f>
        <v/>
      </c>
      <c r="Q124" s="35" t="str">
        <f>'ALL DATA &amp; IT4PROFIT'!K176</f>
        <v/>
      </c>
      <c r="R124" s="35" t="str">
        <f>'ALL DATA &amp; IT4PROFIT'!D176</f>
        <v/>
      </c>
      <c r="S124" s="32"/>
      <c r="T124" s="9"/>
      <c r="U124" s="9"/>
    </row>
    <row r="125" ht="21.0" hidden="1" customHeight="1">
      <c r="A125" s="13"/>
      <c r="B125" s="24" t="str">
        <f>'ALL DATA &amp; IT4PROFIT'!A177</f>
        <v>SMA</v>
      </c>
      <c r="C125" s="24" t="str">
        <f>'ALL DATA &amp; IT4PROFIT'!B177</f>
        <v>SMA Hybrid Sunny Tripower 10.0 Smart Energy</v>
      </c>
      <c r="D125" s="24" t="str">
        <f>'ALL DATA &amp; IT4PROFIT'!C177</f>
        <v>3PH HYBRID</v>
      </c>
      <c r="E125" s="25">
        <v>1.0</v>
      </c>
      <c r="F125" s="26" t="str">
        <f>'ALL DATA &amp; IT4PROFIT'!J177</f>
        <v/>
      </c>
      <c r="G125" s="27">
        <f t="shared" si="10"/>
        <v>25</v>
      </c>
      <c r="H125" s="27">
        <f t="shared" si="2"/>
        <v>25.625</v>
      </c>
      <c r="I125" s="28">
        <f t="shared" si="3"/>
        <v>0.07</v>
      </c>
      <c r="J125" s="29">
        <f t="shared" si="4"/>
        <v>27.55376344</v>
      </c>
      <c r="K125" s="30">
        <f t="shared" si="5"/>
        <v>27.55376344</v>
      </c>
      <c r="L125" s="30">
        <f t="shared" si="6"/>
        <v>25.625</v>
      </c>
      <c r="M125" s="31">
        <v>0.07</v>
      </c>
      <c r="N125" s="9"/>
      <c r="O125" s="35"/>
      <c r="P125" s="32" t="str">
        <f>'ALL DATA &amp; IT4PROFIT'!H177</f>
        <v/>
      </c>
      <c r="Q125" s="35" t="str">
        <f>'ALL DATA &amp; IT4PROFIT'!K177</f>
        <v/>
      </c>
      <c r="R125" s="35" t="str">
        <f>'ALL DATA &amp; IT4PROFIT'!D177</f>
        <v/>
      </c>
      <c r="S125" s="32"/>
      <c r="T125" s="9"/>
      <c r="U125" s="9"/>
    </row>
    <row r="126" ht="21.0" hidden="1" customHeight="1">
      <c r="A126" s="13"/>
      <c r="B126" s="24" t="str">
        <f>'ALL DATA &amp; IT4PROFIT'!A178</f>
        <v>SMA</v>
      </c>
      <c r="C126" s="24" t="str">
        <f>'ALL DATA &amp; IT4PROFIT'!B178</f>
        <v>SMA Sunny Boy 1.5</v>
      </c>
      <c r="D126" s="24" t="str">
        <f>'ALL DATA &amp; IT4PROFIT'!C178</f>
        <v>1PH</v>
      </c>
      <c r="E126" s="25">
        <v>1.0</v>
      </c>
      <c r="F126" s="26" t="str">
        <f>'ALL DATA &amp; IT4PROFIT'!J178</f>
        <v/>
      </c>
      <c r="G126" s="27">
        <f t="shared" si="10"/>
        <v>25</v>
      </c>
      <c r="H126" s="27">
        <f t="shared" si="2"/>
        <v>25.625</v>
      </c>
      <c r="I126" s="28">
        <f t="shared" si="3"/>
        <v>0.07</v>
      </c>
      <c r="J126" s="29">
        <f t="shared" si="4"/>
        <v>27.55376344</v>
      </c>
      <c r="K126" s="30">
        <f t="shared" si="5"/>
        <v>27.55376344</v>
      </c>
      <c r="L126" s="30">
        <f t="shared" si="6"/>
        <v>25.625</v>
      </c>
      <c r="M126" s="31">
        <v>0.07</v>
      </c>
      <c r="N126" s="9"/>
      <c r="O126" s="35"/>
      <c r="P126" s="32" t="str">
        <f>'ALL DATA &amp; IT4PROFIT'!H178</f>
        <v/>
      </c>
      <c r="Q126" s="35" t="str">
        <f>'ALL DATA &amp; IT4PROFIT'!K178</f>
        <v/>
      </c>
      <c r="R126" s="35" t="str">
        <f>'ALL DATA &amp; IT4PROFIT'!D178</f>
        <v/>
      </c>
      <c r="S126" s="32"/>
      <c r="T126" s="9"/>
      <c r="U126" s="9"/>
    </row>
    <row r="127" ht="21.0" hidden="1" customHeight="1">
      <c r="A127" s="13"/>
      <c r="B127" s="24" t="str">
        <f>'ALL DATA &amp; IT4PROFIT'!A179</f>
        <v>SMA</v>
      </c>
      <c r="C127" s="24" t="str">
        <f>'ALL DATA &amp; IT4PROFIT'!B179</f>
        <v>SMA Sunny Boy 2.5</v>
      </c>
      <c r="D127" s="24" t="str">
        <f>'ALL DATA &amp; IT4PROFIT'!C179</f>
        <v>1PH</v>
      </c>
      <c r="E127" s="25">
        <v>1.0</v>
      </c>
      <c r="F127" s="26" t="str">
        <f>'ALL DATA &amp; IT4PROFIT'!J179</f>
        <v/>
      </c>
      <c r="G127" s="27">
        <f t="shared" si="10"/>
        <v>25</v>
      </c>
      <c r="H127" s="27">
        <f t="shared" si="2"/>
        <v>25.625</v>
      </c>
      <c r="I127" s="28">
        <f t="shared" si="3"/>
        <v>0.07</v>
      </c>
      <c r="J127" s="29">
        <f t="shared" si="4"/>
        <v>27.55376344</v>
      </c>
      <c r="K127" s="30">
        <f t="shared" si="5"/>
        <v>27.55376344</v>
      </c>
      <c r="L127" s="30">
        <f t="shared" si="6"/>
        <v>25.625</v>
      </c>
      <c r="M127" s="31">
        <v>0.07</v>
      </c>
      <c r="N127" s="9"/>
      <c r="O127" s="35"/>
      <c r="P127" s="32" t="str">
        <f>'ALL DATA &amp; IT4PROFIT'!H179</f>
        <v/>
      </c>
      <c r="Q127" s="35" t="str">
        <f>'ALL DATA &amp; IT4PROFIT'!K179</f>
        <v/>
      </c>
      <c r="R127" s="35" t="str">
        <f>'ALL DATA &amp; IT4PROFIT'!D179</f>
        <v/>
      </c>
      <c r="S127" s="32"/>
      <c r="T127" s="9"/>
      <c r="U127" s="9"/>
    </row>
    <row r="128" ht="21.0" hidden="1" customHeight="1">
      <c r="A128" s="13"/>
      <c r="B128" s="24" t="str">
        <f>'ALL DATA &amp; IT4PROFIT'!A180</f>
        <v>SMA</v>
      </c>
      <c r="C128" s="24" t="str">
        <f>'ALL DATA &amp; IT4PROFIT'!B180</f>
        <v>SMA Sunny Boy 3.0</v>
      </c>
      <c r="D128" s="24" t="str">
        <f>'ALL DATA &amp; IT4PROFIT'!C180</f>
        <v>1PH</v>
      </c>
      <c r="E128" s="25">
        <v>1.0</v>
      </c>
      <c r="F128" s="26" t="str">
        <f>'ALL DATA &amp; IT4PROFIT'!J180</f>
        <v/>
      </c>
      <c r="G128" s="27">
        <f t="shared" si="10"/>
        <v>25</v>
      </c>
      <c r="H128" s="27">
        <f t="shared" si="2"/>
        <v>25.625</v>
      </c>
      <c r="I128" s="28">
        <f t="shared" si="3"/>
        <v>0.07</v>
      </c>
      <c r="J128" s="29">
        <f t="shared" si="4"/>
        <v>27.55376344</v>
      </c>
      <c r="K128" s="30">
        <f t="shared" si="5"/>
        <v>27.55376344</v>
      </c>
      <c r="L128" s="30">
        <f t="shared" si="6"/>
        <v>25.625</v>
      </c>
      <c r="M128" s="31">
        <v>0.07</v>
      </c>
      <c r="N128" s="9"/>
      <c r="O128" s="35"/>
      <c r="P128" s="32" t="str">
        <f>'ALL DATA &amp; IT4PROFIT'!H180</f>
        <v/>
      </c>
      <c r="Q128" s="35" t="str">
        <f>'ALL DATA &amp; IT4PROFIT'!K180</f>
        <v/>
      </c>
      <c r="R128" s="35" t="str">
        <f>'ALL DATA &amp; IT4PROFIT'!D180</f>
        <v/>
      </c>
      <c r="S128" s="32"/>
      <c r="T128" s="9"/>
      <c r="U128" s="9"/>
    </row>
    <row r="129" ht="21.0" hidden="1" customHeight="1">
      <c r="A129" s="13"/>
      <c r="B129" s="24" t="str">
        <f>'ALL DATA &amp; IT4PROFIT'!A181</f>
        <v>SMA</v>
      </c>
      <c r="C129" s="24" t="str">
        <f>'ALL DATA &amp; IT4PROFIT'!B181</f>
        <v>SMA Sunny Boy 3.6</v>
      </c>
      <c r="D129" s="24" t="str">
        <f>'ALL DATA &amp; IT4PROFIT'!C181</f>
        <v>1PH</v>
      </c>
      <c r="E129" s="25">
        <v>1.0</v>
      </c>
      <c r="F129" s="26" t="str">
        <f>'ALL DATA &amp; IT4PROFIT'!J181</f>
        <v/>
      </c>
      <c r="G129" s="27">
        <f t="shared" si="10"/>
        <v>25</v>
      </c>
      <c r="H129" s="27">
        <f t="shared" si="2"/>
        <v>25.625</v>
      </c>
      <c r="I129" s="28">
        <f t="shared" si="3"/>
        <v>0.07</v>
      </c>
      <c r="J129" s="29">
        <f t="shared" si="4"/>
        <v>27.55376344</v>
      </c>
      <c r="K129" s="30">
        <f t="shared" si="5"/>
        <v>27.55376344</v>
      </c>
      <c r="L129" s="30">
        <f t="shared" si="6"/>
        <v>25.625</v>
      </c>
      <c r="M129" s="31">
        <v>0.07</v>
      </c>
      <c r="N129" s="9"/>
      <c r="O129" s="35"/>
      <c r="P129" s="32" t="str">
        <f>'ALL DATA &amp; IT4PROFIT'!H181</f>
        <v/>
      </c>
      <c r="Q129" s="35" t="str">
        <f>'ALL DATA &amp; IT4PROFIT'!K181</f>
        <v/>
      </c>
      <c r="R129" s="35" t="str">
        <f>'ALL DATA &amp; IT4PROFIT'!D181</f>
        <v/>
      </c>
      <c r="S129" s="32"/>
      <c r="T129" s="9"/>
      <c r="U129" s="9"/>
    </row>
    <row r="130" ht="21.0" hidden="1" customHeight="1">
      <c r="A130" s="13"/>
      <c r="B130" s="24" t="str">
        <f>'ALL DATA &amp; IT4PROFIT'!A182</f>
        <v>SMA</v>
      </c>
      <c r="C130" s="24" t="str">
        <f>'ALL DATA &amp; IT4PROFIT'!B182</f>
        <v>SMA Sunny Boy 4.0</v>
      </c>
      <c r="D130" s="24" t="str">
        <f>'ALL DATA &amp; IT4PROFIT'!C182</f>
        <v>1PH</v>
      </c>
      <c r="E130" s="25">
        <v>1.0</v>
      </c>
      <c r="F130" s="26" t="str">
        <f>'ALL DATA &amp; IT4PROFIT'!J182</f>
        <v/>
      </c>
      <c r="G130" s="27">
        <f t="shared" si="10"/>
        <v>25</v>
      </c>
      <c r="H130" s="27">
        <f t="shared" si="2"/>
        <v>25.625</v>
      </c>
      <c r="I130" s="28">
        <f t="shared" si="3"/>
        <v>0.07</v>
      </c>
      <c r="J130" s="29">
        <f t="shared" si="4"/>
        <v>27.55376344</v>
      </c>
      <c r="K130" s="30">
        <f t="shared" si="5"/>
        <v>27.55376344</v>
      </c>
      <c r="L130" s="30">
        <f t="shared" si="6"/>
        <v>25.625</v>
      </c>
      <c r="M130" s="31">
        <v>0.07</v>
      </c>
      <c r="N130" s="9"/>
      <c r="O130" s="35"/>
      <c r="P130" s="32" t="str">
        <f>'ALL DATA &amp; IT4PROFIT'!H182</f>
        <v/>
      </c>
      <c r="Q130" s="35" t="str">
        <f>'ALL DATA &amp; IT4PROFIT'!K182</f>
        <v/>
      </c>
      <c r="R130" s="35" t="str">
        <f>'ALL DATA &amp; IT4PROFIT'!D182</f>
        <v/>
      </c>
      <c r="S130" s="32"/>
      <c r="T130" s="9"/>
      <c r="U130" s="9"/>
    </row>
    <row r="131" ht="21.0" hidden="1" customHeight="1">
      <c r="A131" s="13"/>
      <c r="B131" s="24" t="str">
        <f>'ALL DATA &amp; IT4PROFIT'!A183</f>
        <v>SMA</v>
      </c>
      <c r="C131" s="24" t="str">
        <f>'ALL DATA &amp; IT4PROFIT'!B183</f>
        <v>SMA Sunny Boy 5.0</v>
      </c>
      <c r="D131" s="24" t="str">
        <f>'ALL DATA &amp; IT4PROFIT'!C183</f>
        <v>1PH</v>
      </c>
      <c r="E131" s="25">
        <v>1.0</v>
      </c>
      <c r="F131" s="26" t="str">
        <f>'ALL DATA &amp; IT4PROFIT'!J183</f>
        <v/>
      </c>
      <c r="G131" s="27">
        <f t="shared" si="10"/>
        <v>25</v>
      </c>
      <c r="H131" s="27">
        <f t="shared" si="2"/>
        <v>25.625</v>
      </c>
      <c r="I131" s="28">
        <f t="shared" si="3"/>
        <v>0.07</v>
      </c>
      <c r="J131" s="29">
        <f t="shared" si="4"/>
        <v>27.55376344</v>
      </c>
      <c r="K131" s="30">
        <f t="shared" si="5"/>
        <v>27.55376344</v>
      </c>
      <c r="L131" s="30">
        <f t="shared" si="6"/>
        <v>25.625</v>
      </c>
      <c r="M131" s="31">
        <v>0.07</v>
      </c>
      <c r="N131" s="9"/>
      <c r="O131" s="35"/>
      <c r="P131" s="32" t="str">
        <f>'ALL DATA &amp; IT4PROFIT'!H183</f>
        <v/>
      </c>
      <c r="Q131" s="35" t="str">
        <f>'ALL DATA &amp; IT4PROFIT'!K183</f>
        <v/>
      </c>
      <c r="R131" s="35" t="str">
        <f>'ALL DATA &amp; IT4PROFIT'!D183</f>
        <v/>
      </c>
      <c r="S131" s="32"/>
      <c r="T131" s="9"/>
      <c r="U131" s="9"/>
    </row>
    <row r="132" ht="21.0" hidden="1" customHeight="1">
      <c r="A132" s="13"/>
      <c r="B132" s="24" t="str">
        <f>'ALL DATA &amp; IT4PROFIT'!A184</f>
        <v>SMA</v>
      </c>
      <c r="C132" s="24" t="str">
        <f>'ALL DATA &amp; IT4PROFIT'!B184</f>
        <v>SMA Sunny Tripower 3.0</v>
      </c>
      <c r="D132" s="24" t="str">
        <f>'ALL DATA &amp; IT4PROFIT'!C184</f>
        <v>3PH</v>
      </c>
      <c r="E132" s="25">
        <v>1.0</v>
      </c>
      <c r="F132" s="26" t="str">
        <f>'ALL DATA &amp; IT4PROFIT'!J184</f>
        <v/>
      </c>
      <c r="G132" s="27">
        <f t="shared" si="10"/>
        <v>25</v>
      </c>
      <c r="H132" s="27">
        <f t="shared" si="2"/>
        <v>25.625</v>
      </c>
      <c r="I132" s="28">
        <f t="shared" si="3"/>
        <v>0.07</v>
      </c>
      <c r="J132" s="29">
        <f t="shared" si="4"/>
        <v>27.55376344</v>
      </c>
      <c r="K132" s="30">
        <f t="shared" si="5"/>
        <v>27.55376344</v>
      </c>
      <c r="L132" s="30">
        <f t="shared" si="6"/>
        <v>25.625</v>
      </c>
      <c r="M132" s="31">
        <v>0.07</v>
      </c>
      <c r="N132" s="9"/>
      <c r="O132" s="35"/>
      <c r="P132" s="32" t="str">
        <f>'ALL DATA &amp; IT4PROFIT'!H184</f>
        <v/>
      </c>
      <c r="Q132" s="35" t="str">
        <f>'ALL DATA &amp; IT4PROFIT'!K184</f>
        <v/>
      </c>
      <c r="R132" s="35" t="str">
        <f>'ALL DATA &amp; IT4PROFIT'!D184</f>
        <v/>
      </c>
      <c r="S132" s="32"/>
      <c r="T132" s="9"/>
      <c r="U132" s="9"/>
    </row>
    <row r="133" ht="21.0" hidden="1" customHeight="1">
      <c r="A133" s="13"/>
      <c r="B133" s="24" t="str">
        <f>'ALL DATA &amp; IT4PROFIT'!A185</f>
        <v>SMA</v>
      </c>
      <c r="C133" s="24" t="str">
        <f>'ALL DATA &amp; IT4PROFIT'!B185</f>
        <v>SMA Sunny Tripower 4.0</v>
      </c>
      <c r="D133" s="24" t="str">
        <f>'ALL DATA &amp; IT4PROFIT'!C185</f>
        <v>3PH</v>
      </c>
      <c r="E133" s="25">
        <v>1.0</v>
      </c>
      <c r="F133" s="26" t="str">
        <f>'ALL DATA &amp; IT4PROFIT'!J185</f>
        <v/>
      </c>
      <c r="G133" s="27">
        <f t="shared" si="10"/>
        <v>25</v>
      </c>
      <c r="H133" s="27">
        <f t="shared" si="2"/>
        <v>25.625</v>
      </c>
      <c r="I133" s="28">
        <f t="shared" si="3"/>
        <v>0.07</v>
      </c>
      <c r="J133" s="29">
        <f t="shared" si="4"/>
        <v>27.55376344</v>
      </c>
      <c r="K133" s="30">
        <f t="shared" si="5"/>
        <v>27.55376344</v>
      </c>
      <c r="L133" s="30">
        <f t="shared" si="6"/>
        <v>25.625</v>
      </c>
      <c r="M133" s="31">
        <v>0.07</v>
      </c>
      <c r="N133" s="9"/>
      <c r="O133" s="35"/>
      <c r="P133" s="32" t="str">
        <f>'ALL DATA &amp; IT4PROFIT'!H185</f>
        <v/>
      </c>
      <c r="Q133" s="35" t="str">
        <f>'ALL DATA &amp; IT4PROFIT'!K185</f>
        <v/>
      </c>
      <c r="R133" s="35" t="str">
        <f>'ALL DATA &amp; IT4PROFIT'!D185</f>
        <v/>
      </c>
      <c r="S133" s="32"/>
      <c r="T133" s="9"/>
      <c r="U133" s="9"/>
    </row>
    <row r="134" ht="21.0" hidden="1" customHeight="1">
      <c r="A134" s="13"/>
      <c r="B134" s="24" t="str">
        <f>'ALL DATA &amp; IT4PROFIT'!A186</f>
        <v>SMA</v>
      </c>
      <c r="C134" s="24" t="str">
        <f>'ALL DATA &amp; IT4PROFIT'!B186</f>
        <v>SMA Sunny Tripower 5.0</v>
      </c>
      <c r="D134" s="24" t="str">
        <f>'ALL DATA &amp; IT4PROFIT'!C186</f>
        <v>3PH</v>
      </c>
      <c r="E134" s="25">
        <v>1.0</v>
      </c>
      <c r="F134" s="26" t="str">
        <f>'ALL DATA &amp; IT4PROFIT'!J186</f>
        <v/>
      </c>
      <c r="G134" s="27">
        <f t="shared" si="10"/>
        <v>25</v>
      </c>
      <c r="H134" s="27">
        <f t="shared" si="2"/>
        <v>25.625</v>
      </c>
      <c r="I134" s="28">
        <f t="shared" si="3"/>
        <v>0.07</v>
      </c>
      <c r="J134" s="29">
        <f t="shared" si="4"/>
        <v>27.55376344</v>
      </c>
      <c r="K134" s="30">
        <f t="shared" si="5"/>
        <v>27.55376344</v>
      </c>
      <c r="L134" s="30">
        <f t="shared" si="6"/>
        <v>25.625</v>
      </c>
      <c r="M134" s="31">
        <v>0.07</v>
      </c>
      <c r="N134" s="9"/>
      <c r="O134" s="35"/>
      <c r="P134" s="32" t="str">
        <f>'ALL DATA &amp; IT4PROFIT'!H186</f>
        <v/>
      </c>
      <c r="Q134" s="35" t="str">
        <f>'ALL DATA &amp; IT4PROFIT'!K186</f>
        <v/>
      </c>
      <c r="R134" s="35" t="str">
        <f>'ALL DATA &amp; IT4PROFIT'!D186</f>
        <v/>
      </c>
      <c r="S134" s="32"/>
      <c r="T134" s="9"/>
      <c r="U134" s="9"/>
    </row>
    <row r="135" ht="21.0" hidden="1" customHeight="1">
      <c r="A135" s="13"/>
      <c r="B135" s="24" t="str">
        <f>'ALL DATA &amp; IT4PROFIT'!A187</f>
        <v>SMA</v>
      </c>
      <c r="C135" s="24" t="str">
        <f>'ALL DATA &amp; IT4PROFIT'!B187</f>
        <v>SMA Sunny Tripower 6.0</v>
      </c>
      <c r="D135" s="24" t="str">
        <f>'ALL DATA &amp; IT4PROFIT'!C187</f>
        <v>3PH</v>
      </c>
      <c r="E135" s="25">
        <v>1.0</v>
      </c>
      <c r="F135" s="26" t="str">
        <f>'ALL DATA &amp; IT4PROFIT'!J187</f>
        <v/>
      </c>
      <c r="G135" s="27">
        <f t="shared" si="10"/>
        <v>25</v>
      </c>
      <c r="H135" s="27">
        <f t="shared" si="2"/>
        <v>25.625</v>
      </c>
      <c r="I135" s="28">
        <f t="shared" si="3"/>
        <v>0.07</v>
      </c>
      <c r="J135" s="29">
        <f t="shared" si="4"/>
        <v>27.55376344</v>
      </c>
      <c r="K135" s="30">
        <f t="shared" si="5"/>
        <v>27.55376344</v>
      </c>
      <c r="L135" s="30">
        <f t="shared" si="6"/>
        <v>25.625</v>
      </c>
      <c r="M135" s="31">
        <v>0.07</v>
      </c>
      <c r="N135" s="9"/>
      <c r="O135" s="35"/>
      <c r="P135" s="32" t="str">
        <f>'ALL DATA &amp; IT4PROFIT'!H187</f>
        <v/>
      </c>
      <c r="Q135" s="35" t="str">
        <f>'ALL DATA &amp; IT4PROFIT'!K187</f>
        <v/>
      </c>
      <c r="R135" s="35" t="str">
        <f>'ALL DATA &amp; IT4PROFIT'!D187</f>
        <v/>
      </c>
      <c r="S135" s="32"/>
      <c r="T135" s="9"/>
      <c r="U135" s="9"/>
    </row>
    <row r="136" ht="21.0" hidden="1" customHeight="1">
      <c r="A136" s="13"/>
      <c r="B136" s="24" t="str">
        <f>'ALL DATA &amp; IT4PROFIT'!A188</f>
        <v>SMA</v>
      </c>
      <c r="C136" s="24" t="str">
        <f>'ALL DATA &amp; IT4PROFIT'!B188</f>
        <v>SMA Sunny Tripower 8.0</v>
      </c>
      <c r="D136" s="24" t="str">
        <f>'ALL DATA &amp; IT4PROFIT'!C188</f>
        <v>3PH</v>
      </c>
      <c r="E136" s="25">
        <v>1.0</v>
      </c>
      <c r="F136" s="26" t="str">
        <f>'ALL DATA &amp; IT4PROFIT'!J188</f>
        <v/>
      </c>
      <c r="G136" s="27">
        <f t="shared" si="10"/>
        <v>25</v>
      </c>
      <c r="H136" s="27">
        <f t="shared" si="2"/>
        <v>25.625</v>
      </c>
      <c r="I136" s="28">
        <f t="shared" si="3"/>
        <v>0.07</v>
      </c>
      <c r="J136" s="29">
        <f t="shared" si="4"/>
        <v>27.55376344</v>
      </c>
      <c r="K136" s="30">
        <f t="shared" si="5"/>
        <v>27.55376344</v>
      </c>
      <c r="L136" s="30">
        <f t="shared" si="6"/>
        <v>25.625</v>
      </c>
      <c r="M136" s="31">
        <v>0.07</v>
      </c>
      <c r="N136" s="9"/>
      <c r="O136" s="35"/>
      <c r="P136" s="32" t="str">
        <f>'ALL DATA &amp; IT4PROFIT'!H188</f>
        <v/>
      </c>
      <c r="Q136" s="35" t="str">
        <f>'ALL DATA &amp; IT4PROFIT'!K188</f>
        <v/>
      </c>
      <c r="R136" s="35" t="str">
        <f>'ALL DATA &amp; IT4PROFIT'!D188</f>
        <v/>
      </c>
      <c r="S136" s="32"/>
      <c r="T136" s="9"/>
      <c r="U136" s="9"/>
    </row>
    <row r="137" ht="21.0" hidden="1" customHeight="1">
      <c r="A137" s="13"/>
      <c r="B137" s="24" t="str">
        <f>'ALL DATA &amp; IT4PROFIT'!A189</f>
        <v>SMA</v>
      </c>
      <c r="C137" s="24" t="str">
        <f>'ALL DATA &amp; IT4PROFIT'!B189</f>
        <v>SMA Sunny Tripower 10.0</v>
      </c>
      <c r="D137" s="24" t="str">
        <f>'ALL DATA &amp; IT4PROFIT'!C189</f>
        <v>3PH</v>
      </c>
      <c r="E137" s="25">
        <v>1.0</v>
      </c>
      <c r="F137" s="26" t="str">
        <f>'ALL DATA &amp; IT4PROFIT'!J189</f>
        <v/>
      </c>
      <c r="G137" s="27">
        <f t="shared" si="10"/>
        <v>25</v>
      </c>
      <c r="H137" s="27">
        <f t="shared" si="2"/>
        <v>25.625</v>
      </c>
      <c r="I137" s="28">
        <f t="shared" si="3"/>
        <v>0.07</v>
      </c>
      <c r="J137" s="29">
        <f t="shared" si="4"/>
        <v>27.55376344</v>
      </c>
      <c r="K137" s="30">
        <f t="shared" si="5"/>
        <v>27.55376344</v>
      </c>
      <c r="L137" s="30">
        <f t="shared" si="6"/>
        <v>25.625</v>
      </c>
      <c r="M137" s="31">
        <v>0.07</v>
      </c>
      <c r="N137" s="9"/>
      <c r="O137" s="35"/>
      <c r="P137" s="32" t="str">
        <f>'ALL DATA &amp; IT4PROFIT'!H189</f>
        <v/>
      </c>
      <c r="Q137" s="35" t="str">
        <f>'ALL DATA &amp; IT4PROFIT'!K189</f>
        <v/>
      </c>
      <c r="R137" s="35" t="str">
        <f>'ALL DATA &amp; IT4PROFIT'!D189</f>
        <v/>
      </c>
      <c r="S137" s="32"/>
      <c r="T137" s="9"/>
      <c r="U137" s="9"/>
    </row>
    <row r="138" ht="21.0" hidden="1" customHeight="1">
      <c r="A138" s="13"/>
      <c r="B138" s="24" t="str">
        <f>'ALL DATA &amp; IT4PROFIT'!A190</f>
        <v>SMA</v>
      </c>
      <c r="C138" s="24" t="str">
        <f>'ALL DATA &amp; IT4PROFIT'!B190</f>
        <v>SMA Sunny Tripower X 12</v>
      </c>
      <c r="D138" s="24" t="str">
        <f>'ALL DATA &amp; IT4PROFIT'!C190</f>
        <v>3PH</v>
      </c>
      <c r="E138" s="25">
        <v>1.0</v>
      </c>
      <c r="F138" s="26" t="str">
        <f>'ALL DATA &amp; IT4PROFIT'!J190</f>
        <v/>
      </c>
      <c r="G138" s="27">
        <f t="shared" si="10"/>
        <v>25</v>
      </c>
      <c r="H138" s="27">
        <f t="shared" si="2"/>
        <v>25.625</v>
      </c>
      <c r="I138" s="28">
        <f t="shared" si="3"/>
        <v>0.07</v>
      </c>
      <c r="J138" s="29">
        <f t="shared" si="4"/>
        <v>27.55376344</v>
      </c>
      <c r="K138" s="30">
        <f t="shared" si="5"/>
        <v>27.55376344</v>
      </c>
      <c r="L138" s="30">
        <f t="shared" si="6"/>
        <v>25.625</v>
      </c>
      <c r="M138" s="31">
        <v>0.07</v>
      </c>
      <c r="N138" s="9"/>
      <c r="O138" s="35"/>
      <c r="P138" s="32" t="str">
        <f>'ALL DATA &amp; IT4PROFIT'!H190</f>
        <v/>
      </c>
      <c r="Q138" s="35" t="str">
        <f>'ALL DATA &amp; IT4PROFIT'!K190</f>
        <v/>
      </c>
      <c r="R138" s="35" t="str">
        <f>'ALL DATA &amp; IT4PROFIT'!D190</f>
        <v/>
      </c>
      <c r="S138" s="32"/>
      <c r="T138" s="9"/>
      <c r="U138" s="9"/>
    </row>
    <row r="139" ht="21.0" hidden="1" customHeight="1">
      <c r="A139" s="13"/>
      <c r="B139" s="24" t="str">
        <f>'ALL DATA &amp; IT4PROFIT'!A191</f>
        <v>SMA</v>
      </c>
      <c r="C139" s="24" t="str">
        <f>'ALL DATA &amp; IT4PROFIT'!B191</f>
        <v>SMA Sunny Tripower X 15</v>
      </c>
      <c r="D139" s="24" t="str">
        <f>'ALL DATA &amp; IT4PROFIT'!C191</f>
        <v>3PH</v>
      </c>
      <c r="E139" s="25">
        <v>1.0</v>
      </c>
      <c r="F139" s="26" t="str">
        <f>'ALL DATA &amp; IT4PROFIT'!J191</f>
        <v/>
      </c>
      <c r="G139" s="27">
        <f t="shared" si="10"/>
        <v>25</v>
      </c>
      <c r="H139" s="27">
        <f t="shared" si="2"/>
        <v>25.625</v>
      </c>
      <c r="I139" s="28">
        <f t="shared" si="3"/>
        <v>0.07</v>
      </c>
      <c r="J139" s="29">
        <f t="shared" si="4"/>
        <v>27.55376344</v>
      </c>
      <c r="K139" s="30">
        <f t="shared" si="5"/>
        <v>27.55376344</v>
      </c>
      <c r="L139" s="30">
        <f t="shared" si="6"/>
        <v>25.625</v>
      </c>
      <c r="M139" s="31">
        <v>0.07</v>
      </c>
      <c r="N139" s="9"/>
      <c r="O139" s="35"/>
      <c r="P139" s="32" t="str">
        <f>'ALL DATA &amp; IT4PROFIT'!H191</f>
        <v/>
      </c>
      <c r="Q139" s="35" t="str">
        <f>'ALL DATA &amp; IT4PROFIT'!K191</f>
        <v/>
      </c>
      <c r="R139" s="35" t="str">
        <f>'ALL DATA &amp; IT4PROFIT'!D191</f>
        <v/>
      </c>
      <c r="S139" s="32"/>
      <c r="T139" s="9"/>
      <c r="U139" s="9"/>
    </row>
    <row r="140" ht="21.0" hidden="1" customHeight="1">
      <c r="A140" s="13"/>
      <c r="B140" s="24" t="str">
        <f>'ALL DATA &amp; IT4PROFIT'!A192</f>
        <v>SMA</v>
      </c>
      <c r="C140" s="24" t="str">
        <f>'ALL DATA &amp; IT4PROFIT'!B192</f>
        <v>SMA Sunny Tripower X 20</v>
      </c>
      <c r="D140" s="24" t="str">
        <f>'ALL DATA &amp; IT4PROFIT'!C192</f>
        <v>3PH</v>
      </c>
      <c r="E140" s="25">
        <v>1.0</v>
      </c>
      <c r="F140" s="26" t="str">
        <f>'ALL DATA &amp; IT4PROFIT'!J192</f>
        <v/>
      </c>
      <c r="G140" s="27">
        <f t="shared" si="10"/>
        <v>25</v>
      </c>
      <c r="H140" s="27">
        <f t="shared" si="2"/>
        <v>25.625</v>
      </c>
      <c r="I140" s="28">
        <f t="shared" si="3"/>
        <v>0.07</v>
      </c>
      <c r="J140" s="29">
        <f t="shared" si="4"/>
        <v>27.55376344</v>
      </c>
      <c r="K140" s="30">
        <f t="shared" si="5"/>
        <v>27.55376344</v>
      </c>
      <c r="L140" s="30">
        <f t="shared" si="6"/>
        <v>25.625</v>
      </c>
      <c r="M140" s="31">
        <v>0.07</v>
      </c>
      <c r="N140" s="9"/>
      <c r="O140" s="35"/>
      <c r="P140" s="32" t="str">
        <f>'ALL DATA &amp; IT4PROFIT'!H192</f>
        <v/>
      </c>
      <c r="Q140" s="35" t="str">
        <f>'ALL DATA &amp; IT4PROFIT'!K192</f>
        <v/>
      </c>
      <c r="R140" s="35" t="str">
        <f>'ALL DATA &amp; IT4PROFIT'!D192</f>
        <v/>
      </c>
      <c r="S140" s="32"/>
      <c r="T140" s="9"/>
      <c r="U140" s="9"/>
    </row>
    <row r="141" ht="21.0" hidden="1" customHeight="1">
      <c r="A141" s="13"/>
      <c r="B141" s="24" t="str">
        <f>'ALL DATA &amp; IT4PROFIT'!A193</f>
        <v>SMA</v>
      </c>
      <c r="C141" s="24" t="str">
        <f>'ALL DATA &amp; IT4PROFIT'!B193</f>
        <v>SMA Sunny Tripower X 25</v>
      </c>
      <c r="D141" s="24" t="str">
        <f>'ALL DATA &amp; IT4PROFIT'!C193</f>
        <v>3PH</v>
      </c>
      <c r="E141" s="25">
        <v>1.0</v>
      </c>
      <c r="F141" s="26" t="str">
        <f>'ALL DATA &amp; IT4PROFIT'!J193</f>
        <v/>
      </c>
      <c r="G141" s="27">
        <f t="shared" si="10"/>
        <v>25</v>
      </c>
      <c r="H141" s="27">
        <f t="shared" si="2"/>
        <v>25.625</v>
      </c>
      <c r="I141" s="28">
        <f t="shared" si="3"/>
        <v>0.07</v>
      </c>
      <c r="J141" s="29">
        <f t="shared" si="4"/>
        <v>27.55376344</v>
      </c>
      <c r="K141" s="30">
        <f t="shared" si="5"/>
        <v>27.55376344</v>
      </c>
      <c r="L141" s="30">
        <f t="shared" si="6"/>
        <v>25.625</v>
      </c>
      <c r="M141" s="31">
        <v>0.07</v>
      </c>
      <c r="N141" s="9"/>
      <c r="O141" s="35"/>
      <c r="P141" s="32" t="str">
        <f>'ALL DATA &amp; IT4PROFIT'!H193</f>
        <v/>
      </c>
      <c r="Q141" s="35" t="str">
        <f>'ALL DATA &amp; IT4PROFIT'!K193</f>
        <v/>
      </c>
      <c r="R141" s="35" t="str">
        <f>'ALL DATA &amp; IT4PROFIT'!D193</f>
        <v/>
      </c>
      <c r="S141" s="32"/>
      <c r="T141" s="9"/>
      <c r="U141" s="9"/>
    </row>
    <row r="142" ht="21.0" hidden="1" customHeight="1">
      <c r="A142" s="13"/>
      <c r="B142" s="24" t="str">
        <f>'ALL DATA &amp; IT4PROFIT'!A194</f>
        <v>SMA</v>
      </c>
      <c r="C142" s="24" t="str">
        <f>'ALL DATA &amp; IT4PROFIT'!B194</f>
        <v>SMA Sunny Tripower 50-41 CORE 1</v>
      </c>
      <c r="D142" s="24" t="str">
        <f>'ALL DATA &amp; IT4PROFIT'!C194</f>
        <v>3PH</v>
      </c>
      <c r="E142" s="25">
        <v>1.0</v>
      </c>
      <c r="F142" s="26" t="str">
        <f>'ALL DATA &amp; IT4PROFIT'!J194</f>
        <v/>
      </c>
      <c r="G142" s="27">
        <f t="shared" si="10"/>
        <v>25</v>
      </c>
      <c r="H142" s="27">
        <f t="shared" si="2"/>
        <v>25.625</v>
      </c>
      <c r="I142" s="28">
        <f t="shared" si="3"/>
        <v>0.07</v>
      </c>
      <c r="J142" s="29">
        <f t="shared" si="4"/>
        <v>27.55376344</v>
      </c>
      <c r="K142" s="30">
        <f t="shared" si="5"/>
        <v>27.55376344</v>
      </c>
      <c r="L142" s="30">
        <f t="shared" si="6"/>
        <v>25.625</v>
      </c>
      <c r="M142" s="31">
        <v>0.07</v>
      </c>
      <c r="N142" s="9"/>
      <c r="O142" s="35"/>
      <c r="P142" s="32" t="str">
        <f>'ALL DATA &amp; IT4PROFIT'!H194</f>
        <v/>
      </c>
      <c r="Q142" s="35" t="str">
        <f>'ALL DATA &amp; IT4PROFIT'!K194</f>
        <v/>
      </c>
      <c r="R142" s="35" t="str">
        <f>'ALL DATA &amp; IT4PROFIT'!D194</f>
        <v/>
      </c>
      <c r="S142" s="32"/>
      <c r="T142" s="9"/>
      <c r="U142" s="9"/>
    </row>
    <row r="143" ht="21.0" hidden="1" customHeight="1">
      <c r="A143" s="13"/>
      <c r="B143" s="24" t="str">
        <f>'ALL DATA &amp; IT4PROFIT'!A195</f>
        <v>SMA</v>
      </c>
      <c r="C143" s="24" t="str">
        <f>'ALL DATA &amp; IT4PROFIT'!B195</f>
        <v>SMA Sunny Tripower CORE 2 (AFCI)</v>
      </c>
      <c r="D143" s="24" t="str">
        <f>'ALL DATA &amp; IT4PROFIT'!C195</f>
        <v>3PH</v>
      </c>
      <c r="E143" s="25">
        <v>1.0</v>
      </c>
      <c r="F143" s="26" t="str">
        <f>'ALL DATA &amp; IT4PROFIT'!J195</f>
        <v/>
      </c>
      <c r="G143" s="27">
        <f t="shared" si="10"/>
        <v>25</v>
      </c>
      <c r="H143" s="27">
        <f t="shared" si="2"/>
        <v>25.625</v>
      </c>
      <c r="I143" s="28">
        <f t="shared" si="3"/>
        <v>0.07</v>
      </c>
      <c r="J143" s="29">
        <f t="shared" si="4"/>
        <v>27.55376344</v>
      </c>
      <c r="K143" s="30">
        <f t="shared" si="5"/>
        <v>27.55376344</v>
      </c>
      <c r="L143" s="30">
        <f t="shared" si="6"/>
        <v>25.625</v>
      </c>
      <c r="M143" s="31">
        <v>0.07</v>
      </c>
      <c r="N143" s="9"/>
      <c r="O143" s="35"/>
      <c r="P143" s="32" t="str">
        <f>'ALL DATA &amp; IT4PROFIT'!H195</f>
        <v/>
      </c>
      <c r="Q143" s="35" t="str">
        <f>'ALL DATA &amp; IT4PROFIT'!K195</f>
        <v/>
      </c>
      <c r="R143" s="35" t="str">
        <f>'ALL DATA &amp; IT4PROFIT'!D195</f>
        <v/>
      </c>
      <c r="S143" s="32"/>
      <c r="T143" s="9"/>
      <c r="U143" s="9"/>
    </row>
    <row r="144" ht="21.0" hidden="1" customHeight="1">
      <c r="A144" s="13"/>
      <c r="B144" s="24" t="str">
        <f>'ALL DATA &amp; IT4PROFIT'!A196</f>
        <v>SMA</v>
      </c>
      <c r="C144" s="24" t="str">
        <f>'ALL DATA &amp; IT4PROFIT'!B196</f>
        <v>SMA Sunny Island 4.4M-13</v>
      </c>
      <c r="D144" s="24" t="str">
        <f>'ALL DATA &amp; IT4PROFIT'!C196</f>
        <v>3PH HYBRID</v>
      </c>
      <c r="E144" s="25">
        <v>1.0</v>
      </c>
      <c r="F144" s="26" t="str">
        <f>'ALL DATA &amp; IT4PROFIT'!J196</f>
        <v/>
      </c>
      <c r="G144" s="27">
        <f t="shared" si="10"/>
        <v>25</v>
      </c>
      <c r="H144" s="27">
        <f t="shared" si="2"/>
        <v>25.625</v>
      </c>
      <c r="I144" s="28">
        <f t="shared" si="3"/>
        <v>0.07</v>
      </c>
      <c r="J144" s="29">
        <f t="shared" si="4"/>
        <v>27.55376344</v>
      </c>
      <c r="K144" s="30">
        <f t="shared" si="5"/>
        <v>27.55376344</v>
      </c>
      <c r="L144" s="30">
        <f t="shared" si="6"/>
        <v>25.625</v>
      </c>
      <c r="M144" s="31">
        <v>0.07</v>
      </c>
      <c r="N144" s="9"/>
      <c r="O144" s="35"/>
      <c r="P144" s="32" t="str">
        <f>'ALL DATA &amp; IT4PROFIT'!H196</f>
        <v/>
      </c>
      <c r="Q144" s="35" t="str">
        <f>'ALL DATA &amp; IT4PROFIT'!K196</f>
        <v/>
      </c>
      <c r="R144" s="35" t="str">
        <f>'ALL DATA &amp; IT4PROFIT'!D196</f>
        <v/>
      </c>
      <c r="S144" s="32"/>
      <c r="T144" s="9"/>
      <c r="U144" s="9"/>
    </row>
    <row r="145" ht="21.0" hidden="1" customHeight="1">
      <c r="A145" s="13"/>
      <c r="B145" s="24" t="str">
        <f>'ALL DATA &amp; IT4PROFIT'!A197</f>
        <v>SMA</v>
      </c>
      <c r="C145" s="24" t="str">
        <f>'ALL DATA &amp; IT4PROFIT'!B197</f>
        <v>SMA Sunny Island 6.0H-13</v>
      </c>
      <c r="D145" s="24" t="str">
        <f>'ALL DATA &amp; IT4PROFIT'!C197</f>
        <v>3PH HYBRID</v>
      </c>
      <c r="E145" s="25">
        <v>1.0</v>
      </c>
      <c r="F145" s="26" t="str">
        <f>'ALL DATA &amp; IT4PROFIT'!J197</f>
        <v/>
      </c>
      <c r="G145" s="27">
        <f t="shared" si="10"/>
        <v>25</v>
      </c>
      <c r="H145" s="27">
        <f t="shared" si="2"/>
        <v>25.625</v>
      </c>
      <c r="I145" s="28">
        <f t="shared" si="3"/>
        <v>0.07</v>
      </c>
      <c r="J145" s="29">
        <f t="shared" si="4"/>
        <v>27.55376344</v>
      </c>
      <c r="K145" s="30">
        <f t="shared" si="5"/>
        <v>27.55376344</v>
      </c>
      <c r="L145" s="30">
        <f t="shared" si="6"/>
        <v>25.625</v>
      </c>
      <c r="M145" s="31">
        <v>0.07</v>
      </c>
      <c r="N145" s="9"/>
      <c r="O145" s="35"/>
      <c r="P145" s="32" t="str">
        <f>'ALL DATA &amp; IT4PROFIT'!H197</f>
        <v/>
      </c>
      <c r="Q145" s="35" t="str">
        <f>'ALL DATA &amp; IT4PROFIT'!K197</f>
        <v/>
      </c>
      <c r="R145" s="35" t="str">
        <f>'ALL DATA &amp; IT4PROFIT'!D197</f>
        <v/>
      </c>
      <c r="S145" s="32"/>
      <c r="T145" s="9"/>
      <c r="U145" s="9"/>
    </row>
    <row r="146" ht="21.0" hidden="1" customHeight="1">
      <c r="A146" s="13"/>
      <c r="B146" s="24" t="str">
        <f>'ALL DATA &amp; IT4PROFIT'!A198</f>
        <v>SMA</v>
      </c>
      <c r="C146" s="24" t="str">
        <f>'ALL DATA &amp; IT4PROFIT'!B198</f>
        <v>SMA Sunny Island 8.0H-13</v>
      </c>
      <c r="D146" s="24" t="str">
        <f>'ALL DATA &amp; IT4PROFIT'!C198</f>
        <v>3PH HYBRID</v>
      </c>
      <c r="E146" s="25">
        <v>1.0</v>
      </c>
      <c r="F146" s="26" t="str">
        <f>'ALL DATA &amp; IT4PROFIT'!J198</f>
        <v/>
      </c>
      <c r="G146" s="27">
        <f t="shared" si="10"/>
        <v>25</v>
      </c>
      <c r="H146" s="27">
        <f t="shared" si="2"/>
        <v>25.625</v>
      </c>
      <c r="I146" s="28">
        <f t="shared" si="3"/>
        <v>0.07</v>
      </c>
      <c r="J146" s="29">
        <f t="shared" si="4"/>
        <v>27.55376344</v>
      </c>
      <c r="K146" s="30">
        <f t="shared" si="5"/>
        <v>27.55376344</v>
      </c>
      <c r="L146" s="30">
        <f t="shared" si="6"/>
        <v>25.625</v>
      </c>
      <c r="M146" s="31">
        <v>0.07</v>
      </c>
      <c r="N146" s="9"/>
      <c r="O146" s="35"/>
      <c r="P146" s="32" t="str">
        <f>'ALL DATA &amp; IT4PROFIT'!H198</f>
        <v/>
      </c>
      <c r="Q146" s="35" t="str">
        <f>'ALL DATA &amp; IT4PROFIT'!K198</f>
        <v/>
      </c>
      <c r="R146" s="35" t="str">
        <f>'ALL DATA &amp; IT4PROFIT'!D198</f>
        <v/>
      </c>
      <c r="S146" s="32"/>
      <c r="T146" s="9"/>
      <c r="U146" s="9"/>
    </row>
    <row r="147" ht="21.0" hidden="1" customHeight="1">
      <c r="A147" s="13"/>
      <c r="B147" s="24" t="str">
        <f>'ALL DATA &amp; IT4PROFIT'!A199</f>
        <v>SMA</v>
      </c>
      <c r="C147" s="24" t="str">
        <f>'ALL DATA &amp; IT4PROFIT'!B199</f>
        <v>SMA SI 4.4M-13 3-Phasen Paket</v>
      </c>
      <c r="D147" s="24" t="str">
        <f>'ALL DATA &amp; IT4PROFIT'!C199</f>
        <v>3PH SI</v>
      </c>
      <c r="E147" s="25">
        <v>1.0</v>
      </c>
      <c r="F147" s="26" t="str">
        <f>'ALL DATA &amp; IT4PROFIT'!J199</f>
        <v/>
      </c>
      <c r="G147" s="27">
        <f t="shared" si="10"/>
        <v>25</v>
      </c>
      <c r="H147" s="27">
        <f t="shared" si="2"/>
        <v>25.625</v>
      </c>
      <c r="I147" s="28">
        <f t="shared" si="3"/>
        <v>0.07</v>
      </c>
      <c r="J147" s="29">
        <f t="shared" si="4"/>
        <v>27.55376344</v>
      </c>
      <c r="K147" s="30">
        <f t="shared" si="5"/>
        <v>27.55376344</v>
      </c>
      <c r="L147" s="30">
        <f t="shared" si="6"/>
        <v>25.625</v>
      </c>
      <c r="M147" s="31">
        <v>0.07</v>
      </c>
      <c r="N147" s="9"/>
      <c r="O147" s="35"/>
      <c r="P147" s="32" t="str">
        <f>'ALL DATA &amp; IT4PROFIT'!H199</f>
        <v/>
      </c>
      <c r="Q147" s="35" t="str">
        <f>'ALL DATA &amp; IT4PROFIT'!K199</f>
        <v/>
      </c>
      <c r="R147" s="35" t="str">
        <f>'ALL DATA &amp; IT4PROFIT'!D199</f>
        <v/>
      </c>
      <c r="S147" s="32"/>
      <c r="T147" s="9"/>
      <c r="U147" s="9"/>
    </row>
    <row r="148" ht="21.0" hidden="1" customHeight="1">
      <c r="A148" s="13"/>
      <c r="B148" s="24" t="str">
        <f>'ALL DATA &amp; IT4PROFIT'!A200</f>
        <v>SMA</v>
      </c>
      <c r="C148" s="24" t="str">
        <f>'ALL DATA &amp; IT4PROFIT'!B200</f>
        <v>SMA SI 6.0H-13 3-Phasen Paket</v>
      </c>
      <c r="D148" s="24" t="str">
        <f>'ALL DATA &amp; IT4PROFIT'!C200</f>
        <v>3PH SI</v>
      </c>
      <c r="E148" s="25">
        <v>1.0</v>
      </c>
      <c r="F148" s="26" t="str">
        <f>'ALL DATA &amp; IT4PROFIT'!J200</f>
        <v/>
      </c>
      <c r="G148" s="27">
        <f t="shared" si="10"/>
        <v>25</v>
      </c>
      <c r="H148" s="27">
        <f t="shared" si="2"/>
        <v>25.625</v>
      </c>
      <c r="I148" s="28">
        <f t="shared" si="3"/>
        <v>0.07</v>
      </c>
      <c r="J148" s="29">
        <f t="shared" si="4"/>
        <v>27.55376344</v>
      </c>
      <c r="K148" s="30">
        <f t="shared" si="5"/>
        <v>27.55376344</v>
      </c>
      <c r="L148" s="30">
        <f t="shared" si="6"/>
        <v>25.625</v>
      </c>
      <c r="M148" s="31">
        <v>0.07</v>
      </c>
      <c r="N148" s="9"/>
      <c r="O148" s="35"/>
      <c r="P148" s="32" t="str">
        <f>'ALL DATA &amp; IT4PROFIT'!H200</f>
        <v/>
      </c>
      <c r="Q148" s="35" t="str">
        <f>'ALL DATA &amp; IT4PROFIT'!K200</f>
        <v/>
      </c>
      <c r="R148" s="35" t="str">
        <f>'ALL DATA &amp; IT4PROFIT'!D200</f>
        <v/>
      </c>
      <c r="S148" s="32"/>
      <c r="T148" s="9"/>
      <c r="U148" s="9"/>
    </row>
    <row r="149" ht="21.0" hidden="1" customHeight="1">
      <c r="A149" s="13"/>
      <c r="B149" s="24" t="str">
        <f>'ALL DATA &amp; IT4PROFIT'!A201</f>
        <v>SMA</v>
      </c>
      <c r="C149" s="24" t="str">
        <f>'ALL DATA &amp; IT4PROFIT'!B201</f>
        <v>SMA SI 8.0H-13 3-Phasen Paket</v>
      </c>
      <c r="D149" s="24" t="str">
        <f>'ALL DATA &amp; IT4PROFIT'!C201</f>
        <v>3PH SI</v>
      </c>
      <c r="E149" s="25">
        <v>1.0</v>
      </c>
      <c r="F149" s="26" t="str">
        <f>'ALL DATA &amp; IT4PROFIT'!J201</f>
        <v/>
      </c>
      <c r="G149" s="27">
        <f t="shared" si="10"/>
        <v>25</v>
      </c>
      <c r="H149" s="27">
        <f t="shared" si="2"/>
        <v>25.625</v>
      </c>
      <c r="I149" s="28">
        <f t="shared" si="3"/>
        <v>0.07</v>
      </c>
      <c r="J149" s="29">
        <f t="shared" si="4"/>
        <v>27.55376344</v>
      </c>
      <c r="K149" s="30">
        <f t="shared" si="5"/>
        <v>27.55376344</v>
      </c>
      <c r="L149" s="30">
        <f t="shared" si="6"/>
        <v>25.625</v>
      </c>
      <c r="M149" s="31">
        <v>0.07</v>
      </c>
      <c r="N149" s="9"/>
      <c r="O149" s="35"/>
      <c r="P149" s="32" t="str">
        <f>'ALL DATA &amp; IT4PROFIT'!H201</f>
        <v/>
      </c>
      <c r="Q149" s="35" t="str">
        <f>'ALL DATA &amp; IT4PROFIT'!K201</f>
        <v/>
      </c>
      <c r="R149" s="35" t="str">
        <f>'ALL DATA &amp; IT4PROFIT'!D201</f>
        <v/>
      </c>
      <c r="S149" s="32"/>
      <c r="T149" s="9"/>
      <c r="U149" s="9"/>
    </row>
    <row r="150" ht="21.0" hidden="1" customHeight="1">
      <c r="A150" s="13"/>
      <c r="B150" s="24" t="str">
        <f>'ALL DATA &amp; IT4PROFIT'!A202</f>
        <v>SMA</v>
      </c>
      <c r="C150" s="24" t="str">
        <f>'ALL DATA &amp; IT4PROFIT'!B202</f>
        <v>SMA Sunny Boy Storage 2.5</v>
      </c>
      <c r="D150" s="24" t="str">
        <f>'ALL DATA &amp; IT4PROFIT'!C202</f>
        <v>3PH SUNNY</v>
      </c>
      <c r="E150" s="25">
        <v>1.0</v>
      </c>
      <c r="F150" s="26" t="str">
        <f>'ALL DATA &amp; IT4PROFIT'!J202</f>
        <v/>
      </c>
      <c r="G150" s="27">
        <f t="shared" si="10"/>
        <v>25</v>
      </c>
      <c r="H150" s="27">
        <f t="shared" si="2"/>
        <v>25.625</v>
      </c>
      <c r="I150" s="28">
        <f t="shared" si="3"/>
        <v>0.07</v>
      </c>
      <c r="J150" s="29">
        <f t="shared" si="4"/>
        <v>27.55376344</v>
      </c>
      <c r="K150" s="30">
        <f t="shared" si="5"/>
        <v>27.55376344</v>
      </c>
      <c r="L150" s="30">
        <f t="shared" si="6"/>
        <v>25.625</v>
      </c>
      <c r="M150" s="31">
        <v>0.07</v>
      </c>
      <c r="N150" s="9"/>
      <c r="O150" s="35"/>
      <c r="P150" s="32" t="str">
        <f>'ALL DATA &amp; IT4PROFIT'!H202</f>
        <v/>
      </c>
      <c r="Q150" s="35" t="str">
        <f>'ALL DATA &amp; IT4PROFIT'!K202</f>
        <v/>
      </c>
      <c r="R150" s="35" t="str">
        <f>'ALL DATA &amp; IT4PROFIT'!D202</f>
        <v/>
      </c>
      <c r="S150" s="32"/>
      <c r="T150" s="9"/>
      <c r="U150" s="9"/>
    </row>
    <row r="151" ht="21.0" hidden="1" customHeight="1">
      <c r="A151" s="13"/>
      <c r="B151" s="24" t="str">
        <f>'ALL DATA &amp; IT4PROFIT'!A203</f>
        <v>SMA</v>
      </c>
      <c r="C151" s="24" t="str">
        <f>'ALL DATA &amp; IT4PROFIT'!B203</f>
        <v>SMA Sunny Boy Storage 3.7</v>
      </c>
      <c r="D151" s="24" t="str">
        <f>'ALL DATA &amp; IT4PROFIT'!C203</f>
        <v>3PH SUNNY</v>
      </c>
      <c r="E151" s="25">
        <v>1.0</v>
      </c>
      <c r="F151" s="26" t="str">
        <f>'ALL DATA &amp; IT4PROFIT'!J203</f>
        <v/>
      </c>
      <c r="G151" s="27">
        <f t="shared" si="10"/>
        <v>25</v>
      </c>
      <c r="H151" s="27">
        <f t="shared" si="2"/>
        <v>25.625</v>
      </c>
      <c r="I151" s="28">
        <f t="shared" si="3"/>
        <v>0.07</v>
      </c>
      <c r="J151" s="29">
        <f t="shared" si="4"/>
        <v>27.55376344</v>
      </c>
      <c r="K151" s="30">
        <f t="shared" si="5"/>
        <v>27.55376344</v>
      </c>
      <c r="L151" s="30">
        <f t="shared" si="6"/>
        <v>25.625</v>
      </c>
      <c r="M151" s="31">
        <v>0.07</v>
      </c>
      <c r="N151" s="9"/>
      <c r="O151" s="35"/>
      <c r="P151" s="32" t="str">
        <f>'ALL DATA &amp; IT4PROFIT'!H203</f>
        <v/>
      </c>
      <c r="Q151" s="35" t="str">
        <f>'ALL DATA &amp; IT4PROFIT'!K203</f>
        <v/>
      </c>
      <c r="R151" s="35" t="str">
        <f>'ALL DATA &amp; IT4PROFIT'!D203</f>
        <v/>
      </c>
      <c r="S151" s="32"/>
      <c r="T151" s="9"/>
      <c r="U151" s="9"/>
    </row>
    <row r="152" ht="21.0" hidden="1" customHeight="1">
      <c r="A152" s="13"/>
      <c r="B152" s="24" t="str">
        <f>'ALL DATA &amp; IT4PROFIT'!A204</f>
        <v>SMA</v>
      </c>
      <c r="C152" s="24" t="str">
        <f>'ALL DATA &amp; IT4PROFIT'!B204</f>
        <v>SMA Sunny Boy Storage 5.0</v>
      </c>
      <c r="D152" s="24" t="str">
        <f>'ALL DATA &amp; IT4PROFIT'!C204</f>
        <v>3PH SUNNY</v>
      </c>
      <c r="E152" s="25">
        <v>1.0</v>
      </c>
      <c r="F152" s="26" t="str">
        <f>'ALL DATA &amp; IT4PROFIT'!J204</f>
        <v/>
      </c>
      <c r="G152" s="27">
        <f t="shared" si="10"/>
        <v>25</v>
      </c>
      <c r="H152" s="27">
        <f t="shared" si="2"/>
        <v>25.625</v>
      </c>
      <c r="I152" s="28">
        <f t="shared" si="3"/>
        <v>0.07</v>
      </c>
      <c r="J152" s="29">
        <f t="shared" si="4"/>
        <v>27.55376344</v>
      </c>
      <c r="K152" s="30">
        <f t="shared" si="5"/>
        <v>27.55376344</v>
      </c>
      <c r="L152" s="30">
        <f t="shared" si="6"/>
        <v>25.625</v>
      </c>
      <c r="M152" s="31">
        <v>0.07</v>
      </c>
      <c r="N152" s="9"/>
      <c r="O152" s="35"/>
      <c r="P152" s="32" t="str">
        <f>'ALL DATA &amp; IT4PROFIT'!H204</f>
        <v/>
      </c>
      <c r="Q152" s="35" t="str">
        <f>'ALL DATA &amp; IT4PROFIT'!K204</f>
        <v/>
      </c>
      <c r="R152" s="35" t="str">
        <f>'ALL DATA &amp; IT4PROFIT'!D204</f>
        <v/>
      </c>
      <c r="S152" s="32"/>
      <c r="T152" s="9"/>
      <c r="U152" s="9"/>
    </row>
    <row r="153" ht="21.0" hidden="1" customHeight="1">
      <c r="A153" s="13"/>
      <c r="B153" s="24" t="str">
        <f>'ALL DATA &amp; IT4PROFIT'!A205</f>
        <v>SMA</v>
      </c>
      <c r="C153" s="24" t="str">
        <f>'ALL DATA &amp; IT4PROFIT'!B205</f>
        <v>SMA Sunny Boy Storage 6.0</v>
      </c>
      <c r="D153" s="24" t="str">
        <f>'ALL DATA &amp; IT4PROFIT'!C205</f>
        <v>3PH SUNNY</v>
      </c>
      <c r="E153" s="25">
        <v>1.0</v>
      </c>
      <c r="F153" s="26" t="str">
        <f>'ALL DATA &amp; IT4PROFIT'!J205</f>
        <v/>
      </c>
      <c r="G153" s="27">
        <f t="shared" si="10"/>
        <v>25</v>
      </c>
      <c r="H153" s="27">
        <f t="shared" si="2"/>
        <v>25.625</v>
      </c>
      <c r="I153" s="28">
        <f t="shared" si="3"/>
        <v>0.07</v>
      </c>
      <c r="J153" s="29">
        <f t="shared" si="4"/>
        <v>27.55376344</v>
      </c>
      <c r="K153" s="30">
        <f t="shared" si="5"/>
        <v>27.55376344</v>
      </c>
      <c r="L153" s="30">
        <f t="shared" si="6"/>
        <v>25.625</v>
      </c>
      <c r="M153" s="31">
        <v>0.07</v>
      </c>
      <c r="N153" s="9"/>
      <c r="O153" s="35"/>
      <c r="P153" s="32" t="str">
        <f>'ALL DATA &amp; IT4PROFIT'!H205</f>
        <v/>
      </c>
      <c r="Q153" s="35" t="str">
        <f>'ALL DATA &amp; IT4PROFIT'!K205</f>
        <v/>
      </c>
      <c r="R153" s="35" t="str">
        <f>'ALL DATA &amp; IT4PROFIT'!D205</f>
        <v/>
      </c>
      <c r="S153" s="32"/>
      <c r="T153" s="9"/>
      <c r="U153" s="9"/>
    </row>
    <row r="154" ht="21.0" hidden="1" customHeight="1">
      <c r="A154" s="13"/>
      <c r="B154" s="24" t="str">
        <f>'ALL DATA &amp; IT4PROFIT'!A206</f>
        <v>SMA</v>
      </c>
      <c r="C154" s="24" t="str">
        <f>'ALL DATA &amp; IT4PROFIT'!B206</f>
        <v>SMA Sunny Boy 2.0</v>
      </c>
      <c r="D154" s="24" t="str">
        <f>'ALL DATA &amp; IT4PROFIT'!C206</f>
        <v>3PH SUNNY</v>
      </c>
      <c r="E154" s="25">
        <v>1.0</v>
      </c>
      <c r="F154" s="26" t="str">
        <f>'ALL DATA &amp; IT4PROFIT'!J206</f>
        <v/>
      </c>
      <c r="G154" s="27">
        <f t="shared" si="10"/>
        <v>25</v>
      </c>
      <c r="H154" s="27">
        <f t="shared" si="2"/>
        <v>25.625</v>
      </c>
      <c r="I154" s="28">
        <f t="shared" si="3"/>
        <v>0.07</v>
      </c>
      <c r="J154" s="29">
        <f t="shared" si="4"/>
        <v>27.55376344</v>
      </c>
      <c r="K154" s="30">
        <f t="shared" si="5"/>
        <v>27.55376344</v>
      </c>
      <c r="L154" s="30">
        <f t="shared" si="6"/>
        <v>25.625</v>
      </c>
      <c r="M154" s="31">
        <v>0.07</v>
      </c>
      <c r="N154" s="9"/>
      <c r="O154" s="35"/>
      <c r="P154" s="32" t="str">
        <f>'ALL DATA &amp; IT4PROFIT'!H206</f>
        <v/>
      </c>
      <c r="Q154" s="35" t="str">
        <f>'ALL DATA &amp; IT4PROFIT'!K206</f>
        <v/>
      </c>
      <c r="R154" s="35" t="str">
        <f>'ALL DATA &amp; IT4PROFIT'!D206</f>
        <v/>
      </c>
      <c r="S154" s="32"/>
      <c r="T154" s="9"/>
      <c r="U154" s="9"/>
    </row>
    <row r="155" ht="21.0" hidden="1" customHeight="1">
      <c r="A155" s="13"/>
      <c r="B155" s="24" t="str">
        <f>'ALL DATA &amp; IT4PROFIT'!A207</f>
        <v>SMA</v>
      </c>
      <c r="C155" s="24" t="str">
        <f>'ALL DATA &amp; IT4PROFIT'!B207</f>
        <v>SMA Sunny Boy 6.0-1AV-41</v>
      </c>
      <c r="D155" s="24" t="str">
        <f>'ALL DATA &amp; IT4PROFIT'!C207</f>
        <v>3PH SUNNY</v>
      </c>
      <c r="E155" s="25">
        <v>1.0</v>
      </c>
      <c r="F155" s="26" t="str">
        <f>'ALL DATA &amp; IT4PROFIT'!J207</f>
        <v/>
      </c>
      <c r="G155" s="27">
        <f t="shared" si="10"/>
        <v>25</v>
      </c>
      <c r="H155" s="27">
        <f t="shared" si="2"/>
        <v>25.625</v>
      </c>
      <c r="I155" s="28">
        <f t="shared" si="3"/>
        <v>0.07</v>
      </c>
      <c r="J155" s="29">
        <f t="shared" si="4"/>
        <v>27.55376344</v>
      </c>
      <c r="K155" s="30">
        <f t="shared" si="5"/>
        <v>27.55376344</v>
      </c>
      <c r="L155" s="30">
        <f t="shared" si="6"/>
        <v>25.625</v>
      </c>
      <c r="M155" s="31">
        <v>0.07</v>
      </c>
      <c r="N155" s="9"/>
      <c r="O155" s="35"/>
      <c r="P155" s="32" t="str">
        <f>'ALL DATA &amp; IT4PROFIT'!H207</f>
        <v/>
      </c>
      <c r="Q155" s="35" t="str">
        <f>'ALL DATA &amp; IT4PROFIT'!K207</f>
        <v/>
      </c>
      <c r="R155" s="35" t="str">
        <f>'ALL DATA &amp; IT4PROFIT'!D207</f>
        <v/>
      </c>
      <c r="S155" s="32"/>
      <c r="T155" s="9"/>
      <c r="U155" s="9"/>
    </row>
    <row r="156" ht="21.0" hidden="1" customHeight="1">
      <c r="A156" s="13"/>
      <c r="B156" s="24" t="str">
        <f>'ALL DATA &amp; IT4PROFIT'!A208</f>
        <v>SMA</v>
      </c>
      <c r="C156" s="24" t="str">
        <f>'ALL DATA &amp; IT4PROFIT'!B208</f>
        <v>SMA Sunny Boy Smart Energy 3,6 kW</v>
      </c>
      <c r="D156" s="24" t="str">
        <f>'ALL DATA &amp; IT4PROFIT'!C208</f>
        <v>3PH SUNNY</v>
      </c>
      <c r="E156" s="25">
        <v>1.0</v>
      </c>
      <c r="F156" s="26" t="str">
        <f>'ALL DATA &amp; IT4PROFIT'!J208</f>
        <v/>
      </c>
      <c r="G156" s="27">
        <f t="shared" si="10"/>
        <v>25</v>
      </c>
      <c r="H156" s="27">
        <f t="shared" si="2"/>
        <v>25.625</v>
      </c>
      <c r="I156" s="28">
        <f t="shared" si="3"/>
        <v>0.07</v>
      </c>
      <c r="J156" s="29">
        <f t="shared" si="4"/>
        <v>27.55376344</v>
      </c>
      <c r="K156" s="30">
        <f t="shared" si="5"/>
        <v>27.55376344</v>
      </c>
      <c r="L156" s="30">
        <f t="shared" si="6"/>
        <v>25.625</v>
      </c>
      <c r="M156" s="31">
        <v>0.07</v>
      </c>
      <c r="N156" s="9"/>
      <c r="O156" s="35"/>
      <c r="P156" s="32" t="str">
        <f>'ALL DATA &amp; IT4PROFIT'!H208</f>
        <v/>
      </c>
      <c r="Q156" s="35" t="str">
        <f>'ALL DATA &amp; IT4PROFIT'!K208</f>
        <v/>
      </c>
      <c r="R156" s="35" t="str">
        <f>'ALL DATA &amp; IT4PROFIT'!D208</f>
        <v/>
      </c>
      <c r="S156" s="32"/>
      <c r="T156" s="9"/>
      <c r="U156" s="9"/>
    </row>
    <row r="157" ht="21.0" hidden="1" customHeight="1">
      <c r="A157" s="13"/>
      <c r="B157" s="24" t="str">
        <f>'ALL DATA &amp; IT4PROFIT'!A209</f>
        <v>SMA</v>
      </c>
      <c r="C157" s="24" t="str">
        <f>'ALL DATA &amp; IT4PROFIT'!B209</f>
        <v>SMA Sunny Boy Smart Energy 4 kW</v>
      </c>
      <c r="D157" s="24" t="str">
        <f>'ALL DATA &amp; IT4PROFIT'!C209</f>
        <v>3PH SUNNY</v>
      </c>
      <c r="E157" s="25">
        <v>1.0</v>
      </c>
      <c r="F157" s="26" t="str">
        <f>'ALL DATA &amp; IT4PROFIT'!J209</f>
        <v/>
      </c>
      <c r="G157" s="27">
        <f t="shared" si="10"/>
        <v>25</v>
      </c>
      <c r="H157" s="27">
        <f t="shared" si="2"/>
        <v>25.625</v>
      </c>
      <c r="I157" s="28">
        <f t="shared" si="3"/>
        <v>0.07</v>
      </c>
      <c r="J157" s="29">
        <f t="shared" si="4"/>
        <v>27.55376344</v>
      </c>
      <c r="K157" s="30">
        <f t="shared" si="5"/>
        <v>27.55376344</v>
      </c>
      <c r="L157" s="30">
        <f t="shared" si="6"/>
        <v>25.625</v>
      </c>
      <c r="M157" s="31">
        <v>0.07</v>
      </c>
      <c r="N157" s="9"/>
      <c r="O157" s="35"/>
      <c r="P157" s="32" t="str">
        <f>'ALL DATA &amp; IT4PROFIT'!H209</f>
        <v/>
      </c>
      <c r="Q157" s="35" t="str">
        <f>'ALL DATA &amp; IT4PROFIT'!K209</f>
        <v/>
      </c>
      <c r="R157" s="35" t="str">
        <f>'ALL DATA &amp; IT4PROFIT'!D209</f>
        <v/>
      </c>
      <c r="S157" s="32"/>
      <c r="T157" s="9"/>
      <c r="U157" s="9"/>
    </row>
    <row r="158" ht="21.0" hidden="1" customHeight="1">
      <c r="A158" s="13"/>
      <c r="B158" s="24" t="str">
        <f>'ALL DATA &amp; IT4PROFIT'!A210</f>
        <v>SMA</v>
      </c>
      <c r="C158" s="24" t="str">
        <f>'ALL DATA &amp; IT4PROFIT'!B210</f>
        <v>SMA Sunny Boy Smart Energy 5 kW</v>
      </c>
      <c r="D158" s="24" t="str">
        <f>'ALL DATA &amp; IT4PROFIT'!C210</f>
        <v>3PH SUNNY</v>
      </c>
      <c r="E158" s="25">
        <v>1.0</v>
      </c>
      <c r="F158" s="26" t="str">
        <f>'ALL DATA &amp; IT4PROFIT'!J210</f>
        <v/>
      </c>
      <c r="G158" s="27">
        <f t="shared" si="10"/>
        <v>25</v>
      </c>
      <c r="H158" s="27">
        <f t="shared" si="2"/>
        <v>25.625</v>
      </c>
      <c r="I158" s="28">
        <f t="shared" si="3"/>
        <v>0.07</v>
      </c>
      <c r="J158" s="29">
        <f t="shared" si="4"/>
        <v>27.55376344</v>
      </c>
      <c r="K158" s="30">
        <f t="shared" si="5"/>
        <v>27.55376344</v>
      </c>
      <c r="L158" s="30">
        <f t="shared" si="6"/>
        <v>25.625</v>
      </c>
      <c r="M158" s="31">
        <v>0.07</v>
      </c>
      <c r="N158" s="9"/>
      <c r="O158" s="35"/>
      <c r="P158" s="32" t="str">
        <f>'ALL DATA &amp; IT4PROFIT'!H210</f>
        <v/>
      </c>
      <c r="Q158" s="35" t="str">
        <f>'ALL DATA &amp; IT4PROFIT'!K210</f>
        <v/>
      </c>
      <c r="R158" s="35" t="str">
        <f>'ALL DATA &amp; IT4PROFIT'!D210</f>
        <v/>
      </c>
      <c r="S158" s="32"/>
      <c r="T158" s="9"/>
      <c r="U158" s="9"/>
    </row>
    <row r="159" ht="21.0" hidden="1" customHeight="1">
      <c r="A159" s="13"/>
      <c r="B159" s="24" t="str">
        <f>'ALL DATA &amp; IT4PROFIT'!A211</f>
        <v>SMA</v>
      </c>
      <c r="C159" s="24" t="str">
        <f>'ALL DATA &amp; IT4PROFIT'!B211</f>
        <v>SMA Sunny Boy Smart Energy 6 kW</v>
      </c>
      <c r="D159" s="24" t="str">
        <f>'ALL DATA &amp; IT4PROFIT'!C211</f>
        <v>3PH SUNNY</v>
      </c>
      <c r="E159" s="25">
        <v>1.0</v>
      </c>
      <c r="F159" s="26" t="str">
        <f>'ALL DATA &amp; IT4PROFIT'!J211</f>
        <v/>
      </c>
      <c r="G159" s="27">
        <f t="shared" si="10"/>
        <v>25</v>
      </c>
      <c r="H159" s="27">
        <f t="shared" si="2"/>
        <v>25.625</v>
      </c>
      <c r="I159" s="28">
        <f t="shared" si="3"/>
        <v>0.07</v>
      </c>
      <c r="J159" s="29">
        <f t="shared" si="4"/>
        <v>27.55376344</v>
      </c>
      <c r="K159" s="30">
        <f t="shared" si="5"/>
        <v>27.55376344</v>
      </c>
      <c r="L159" s="30">
        <f t="shared" si="6"/>
        <v>25.625</v>
      </c>
      <c r="M159" s="31">
        <v>0.07</v>
      </c>
      <c r="N159" s="9"/>
      <c r="O159" s="35"/>
      <c r="P159" s="32" t="str">
        <f>'ALL DATA &amp; IT4PROFIT'!H211</f>
        <v/>
      </c>
      <c r="Q159" s="35" t="str">
        <f>'ALL DATA &amp; IT4PROFIT'!K211</f>
        <v/>
      </c>
      <c r="R159" s="35" t="str">
        <f>'ALL DATA &amp; IT4PROFIT'!D211</f>
        <v/>
      </c>
      <c r="S159" s="32"/>
      <c r="T159" s="9"/>
      <c r="U159" s="9"/>
    </row>
    <row r="160" ht="21.0" hidden="1" customHeight="1">
      <c r="A160" s="13"/>
      <c r="B160" s="24" t="str">
        <f>'ALL DATA &amp; IT4PROFIT'!A212</f>
        <v>SMA</v>
      </c>
      <c r="C160" s="24" t="str">
        <f>'ALL DATA &amp; IT4PROFIT'!B212</f>
        <v>SMA Sunny Highpower PEAK3 SHP 150-21</v>
      </c>
      <c r="D160" s="24" t="str">
        <f>'ALL DATA &amp; IT4PROFIT'!C212</f>
        <v>3PH SUNNY</v>
      </c>
      <c r="E160" s="25">
        <v>1.0</v>
      </c>
      <c r="F160" s="26" t="str">
        <f>'ALL DATA &amp; IT4PROFIT'!J212</f>
        <v/>
      </c>
      <c r="G160" s="27">
        <f t="shared" si="10"/>
        <v>25</v>
      </c>
      <c r="H160" s="27">
        <f t="shared" si="2"/>
        <v>25.625</v>
      </c>
      <c r="I160" s="28">
        <f t="shared" si="3"/>
        <v>0.07</v>
      </c>
      <c r="J160" s="29">
        <f t="shared" si="4"/>
        <v>27.55376344</v>
      </c>
      <c r="K160" s="30">
        <f t="shared" si="5"/>
        <v>27.55376344</v>
      </c>
      <c r="L160" s="30">
        <f t="shared" si="6"/>
        <v>25.625</v>
      </c>
      <c r="M160" s="31">
        <v>0.07</v>
      </c>
      <c r="N160" s="9"/>
      <c r="O160" s="35"/>
      <c r="P160" s="32" t="str">
        <f>'ALL DATA &amp; IT4PROFIT'!H212</f>
        <v/>
      </c>
      <c r="Q160" s="35" t="str">
        <f>'ALL DATA &amp; IT4PROFIT'!K212</f>
        <v/>
      </c>
      <c r="R160" s="35" t="str">
        <f>'ALL DATA &amp; IT4PROFIT'!D212</f>
        <v/>
      </c>
      <c r="S160" s="32"/>
      <c r="T160" s="9"/>
      <c r="U160" s="9"/>
    </row>
    <row r="161" ht="21.0" hidden="1" customHeight="1">
      <c r="A161" s="13"/>
      <c r="B161" s="24" t="str">
        <f>'ALL DATA &amp; IT4PROFIT'!A213</f>
        <v>SMA</v>
      </c>
      <c r="C161" s="24" t="str">
        <f>'ALL DATA &amp; IT4PROFIT'!B213</f>
        <v>SMA Sunny Highpower PEAK3 SHP 172-21</v>
      </c>
      <c r="D161" s="24" t="str">
        <f>'ALL DATA &amp; IT4PROFIT'!C213</f>
        <v>3PH SUNNY</v>
      </c>
      <c r="E161" s="25">
        <v>1.0</v>
      </c>
      <c r="F161" s="26" t="str">
        <f>'ALL DATA &amp; IT4PROFIT'!J213</f>
        <v/>
      </c>
      <c r="G161" s="27">
        <f t="shared" si="10"/>
        <v>25</v>
      </c>
      <c r="H161" s="27">
        <f t="shared" si="2"/>
        <v>25.625</v>
      </c>
      <c r="I161" s="28">
        <f t="shared" si="3"/>
        <v>0.07</v>
      </c>
      <c r="J161" s="29">
        <f t="shared" si="4"/>
        <v>27.55376344</v>
      </c>
      <c r="K161" s="30">
        <f t="shared" si="5"/>
        <v>27.55376344</v>
      </c>
      <c r="L161" s="30">
        <f t="shared" si="6"/>
        <v>25.625</v>
      </c>
      <c r="M161" s="31">
        <v>0.07</v>
      </c>
      <c r="N161" s="9"/>
      <c r="O161" s="35"/>
      <c r="P161" s="32" t="str">
        <f>'ALL DATA &amp; IT4PROFIT'!H213</f>
        <v/>
      </c>
      <c r="Q161" s="35" t="str">
        <f>'ALL DATA &amp; IT4PROFIT'!K213</f>
        <v/>
      </c>
      <c r="R161" s="35" t="str">
        <f>'ALL DATA &amp; IT4PROFIT'!D213</f>
        <v/>
      </c>
      <c r="S161" s="32"/>
      <c r="T161" s="9"/>
      <c r="U161" s="9"/>
    </row>
    <row r="162" ht="21.0" hidden="1" customHeight="1">
      <c r="A162" s="13"/>
      <c r="B162" s="24" t="str">
        <f>'ALL DATA &amp; IT4PROFIT'!A214</f>
        <v>SMA</v>
      </c>
      <c r="C162" s="24" t="str">
        <f>'ALL DATA &amp; IT4PROFIT'!B214</f>
        <v>SMA Sunny Highpower PEAK3 SHP 180-21</v>
      </c>
      <c r="D162" s="24" t="str">
        <f>'ALL DATA &amp; IT4PROFIT'!C214</f>
        <v>3PH SUNNY</v>
      </c>
      <c r="E162" s="25">
        <v>1.0</v>
      </c>
      <c r="F162" s="26" t="str">
        <f>'ALL DATA &amp; IT4PROFIT'!J214</f>
        <v/>
      </c>
      <c r="G162" s="27">
        <f t="shared" si="10"/>
        <v>25</v>
      </c>
      <c r="H162" s="27">
        <f t="shared" si="2"/>
        <v>25.625</v>
      </c>
      <c r="I162" s="28">
        <f t="shared" si="3"/>
        <v>0.07</v>
      </c>
      <c r="J162" s="29">
        <f t="shared" si="4"/>
        <v>27.55376344</v>
      </c>
      <c r="K162" s="30">
        <f t="shared" si="5"/>
        <v>27.55376344</v>
      </c>
      <c r="L162" s="30">
        <f t="shared" si="6"/>
        <v>25.625</v>
      </c>
      <c r="M162" s="31">
        <v>0.07</v>
      </c>
      <c r="N162" s="9"/>
      <c r="O162" s="35"/>
      <c r="P162" s="32" t="str">
        <f>'ALL DATA &amp; IT4PROFIT'!H214</f>
        <v/>
      </c>
      <c r="Q162" s="35" t="str">
        <f>'ALL DATA &amp; IT4PROFIT'!K214</f>
        <v/>
      </c>
      <c r="R162" s="35" t="str">
        <f>'ALL DATA &amp; IT4PROFIT'!D214</f>
        <v/>
      </c>
      <c r="S162" s="32"/>
      <c r="T162" s="9"/>
      <c r="U162" s="9"/>
    </row>
    <row r="163" ht="21.0" hidden="1" customHeight="1">
      <c r="A163" s="13"/>
      <c r="B163" s="24" t="str">
        <f>'ALL DATA &amp; IT4PROFIT'!A215</f>
        <v/>
      </c>
      <c r="C163" s="24" t="str">
        <f>'ALL DATA &amp; IT4PROFIT'!B215</f>
        <v/>
      </c>
      <c r="D163" s="24" t="str">
        <f>'ALL DATA &amp; IT4PROFIT'!C215</f>
        <v/>
      </c>
      <c r="E163" s="25">
        <v>1.0</v>
      </c>
      <c r="F163" s="26" t="str">
        <f>'ALL DATA &amp; IT4PROFIT'!J215</f>
        <v/>
      </c>
      <c r="G163" s="27">
        <f t="shared" si="10"/>
        <v>25</v>
      </c>
      <c r="H163" s="27">
        <f t="shared" si="2"/>
        <v>25.625</v>
      </c>
      <c r="I163" s="28">
        <f t="shared" si="3"/>
        <v>0.07</v>
      </c>
      <c r="J163" s="29">
        <f t="shared" si="4"/>
        <v>27.55376344</v>
      </c>
      <c r="K163" s="30">
        <f t="shared" si="5"/>
        <v>27.55376344</v>
      </c>
      <c r="L163" s="30">
        <f t="shared" si="6"/>
        <v>25.625</v>
      </c>
      <c r="M163" s="31">
        <v>0.07</v>
      </c>
      <c r="N163" s="9"/>
      <c r="O163" s="9"/>
      <c r="P163" s="9"/>
      <c r="Q163" s="9"/>
      <c r="R163" s="9"/>
      <c r="S163" s="9"/>
      <c r="T163" s="9"/>
      <c r="U163" s="9"/>
    </row>
    <row r="164" ht="21.0" hidden="1" customHeight="1">
      <c r="A164" s="13"/>
      <c r="B164" s="24" t="str">
        <f>'ALL DATA &amp; IT4PROFIT'!A216</f>
        <v/>
      </c>
      <c r="C164" s="24" t="str">
        <f>'ALL DATA &amp; IT4PROFIT'!B216</f>
        <v/>
      </c>
      <c r="D164" s="24" t="str">
        <f>'ALL DATA &amp; IT4PROFIT'!C216</f>
        <v/>
      </c>
      <c r="E164" s="25">
        <v>1.0</v>
      </c>
      <c r="F164" s="26" t="str">
        <f>'ALL DATA &amp; IT4PROFIT'!J216</f>
        <v/>
      </c>
      <c r="G164" s="27">
        <f t="shared" si="10"/>
        <v>25</v>
      </c>
      <c r="H164" s="27">
        <f t="shared" si="2"/>
        <v>25.625</v>
      </c>
      <c r="I164" s="28">
        <f t="shared" si="3"/>
        <v>0.07</v>
      </c>
      <c r="J164" s="29">
        <f t="shared" si="4"/>
        <v>27.55376344</v>
      </c>
      <c r="K164" s="30">
        <f t="shared" si="5"/>
        <v>27.55376344</v>
      </c>
      <c r="L164" s="30">
        <f t="shared" si="6"/>
        <v>25.625</v>
      </c>
      <c r="M164" s="31">
        <v>0.07</v>
      </c>
      <c r="N164" s="9"/>
      <c r="O164" s="9"/>
      <c r="P164" s="9"/>
      <c r="Q164" s="9"/>
      <c r="R164" s="9"/>
      <c r="S164" s="9"/>
      <c r="T164" s="9"/>
      <c r="U164" s="9"/>
    </row>
    <row r="165" ht="21.0" hidden="1" customHeight="1">
      <c r="A165" s="13"/>
      <c r="B165" s="24" t="str">
        <f>'ALL DATA &amp; IT4PROFIT'!A217</f>
        <v/>
      </c>
      <c r="C165" s="24" t="str">
        <f>'ALL DATA &amp; IT4PROFIT'!B217</f>
        <v/>
      </c>
      <c r="D165" s="24" t="str">
        <f>'ALL DATA &amp; IT4PROFIT'!C217</f>
        <v/>
      </c>
      <c r="E165" s="25">
        <v>1.0</v>
      </c>
      <c r="F165" s="26" t="str">
        <f>'ALL DATA &amp; IT4PROFIT'!F217</f>
        <v/>
      </c>
      <c r="G165" s="27">
        <f t="shared" si="10"/>
        <v>25</v>
      </c>
      <c r="H165" s="27">
        <f t="shared" si="2"/>
        <v>25.625</v>
      </c>
      <c r="I165" s="28">
        <f t="shared" si="3"/>
        <v>0.07</v>
      </c>
      <c r="J165" s="29">
        <f t="shared" si="4"/>
        <v>27.55376344</v>
      </c>
      <c r="K165" s="30">
        <f t="shared" si="5"/>
        <v>27.55376344</v>
      </c>
      <c r="L165" s="30">
        <f t="shared" si="6"/>
        <v>25.625</v>
      </c>
      <c r="M165" s="31">
        <v>0.07</v>
      </c>
      <c r="N165" s="9"/>
      <c r="O165" s="9"/>
      <c r="P165" s="9"/>
      <c r="Q165" s="9"/>
      <c r="R165" s="9"/>
      <c r="S165" s="9"/>
      <c r="T165" s="9"/>
      <c r="U165" s="9"/>
    </row>
    <row r="166" ht="21.0" hidden="1" customHeight="1">
      <c r="A166" s="13"/>
      <c r="B166" s="24"/>
      <c r="C166" s="24"/>
      <c r="D166" s="24"/>
      <c r="E166" s="25">
        <v>1.0</v>
      </c>
      <c r="F166" s="26"/>
      <c r="G166" s="27">
        <f t="shared" si="10"/>
        <v>25</v>
      </c>
      <c r="H166" s="27">
        <f t="shared" si="2"/>
        <v>25.625</v>
      </c>
      <c r="I166" s="28">
        <f t="shared" si="3"/>
        <v>0.07</v>
      </c>
      <c r="J166" s="29">
        <f t="shared" si="4"/>
        <v>27.55376344</v>
      </c>
      <c r="K166" s="30">
        <f t="shared" si="5"/>
        <v>27.55376344</v>
      </c>
      <c r="L166" s="30">
        <f t="shared" si="6"/>
        <v>25.625</v>
      </c>
      <c r="M166" s="31">
        <v>0.07</v>
      </c>
      <c r="N166" s="9"/>
      <c r="O166" s="9"/>
      <c r="P166" s="9"/>
      <c r="Q166" s="9"/>
      <c r="R166" s="9"/>
      <c r="S166" s="9"/>
      <c r="T166" s="9"/>
      <c r="U166" s="9"/>
    </row>
    <row r="167" ht="21.0" hidden="1" customHeight="1">
      <c r="A167" s="13"/>
      <c r="B167" s="24"/>
      <c r="C167" s="24"/>
      <c r="D167" s="24"/>
      <c r="E167" s="25">
        <v>1.0</v>
      </c>
      <c r="F167" s="26"/>
      <c r="G167" s="27">
        <f t="shared" si="10"/>
        <v>25</v>
      </c>
      <c r="H167" s="27">
        <f t="shared" si="2"/>
        <v>25.625</v>
      </c>
      <c r="I167" s="28">
        <f t="shared" si="3"/>
        <v>0.07</v>
      </c>
      <c r="J167" s="29">
        <f t="shared" si="4"/>
        <v>27.55376344</v>
      </c>
      <c r="K167" s="30">
        <f t="shared" si="5"/>
        <v>27.55376344</v>
      </c>
      <c r="L167" s="30">
        <f t="shared" si="6"/>
        <v>25.625</v>
      </c>
      <c r="M167" s="31">
        <v>0.07</v>
      </c>
      <c r="N167" s="9"/>
      <c r="O167" s="9"/>
      <c r="P167" s="9"/>
      <c r="Q167" s="9"/>
      <c r="R167" s="9"/>
      <c r="S167" s="9"/>
      <c r="T167" s="9"/>
      <c r="U167" s="9"/>
    </row>
    <row r="168" ht="21.0" hidden="1" customHeight="1">
      <c r="A168" s="13"/>
      <c r="B168" s="24"/>
      <c r="C168" s="24"/>
      <c r="D168" s="24"/>
      <c r="E168" s="25">
        <v>1.0</v>
      </c>
      <c r="F168" s="26"/>
      <c r="G168" s="27">
        <f t="shared" si="10"/>
        <v>25</v>
      </c>
      <c r="H168" s="27">
        <f t="shared" si="2"/>
        <v>25.625</v>
      </c>
      <c r="I168" s="28">
        <f t="shared" si="3"/>
        <v>0.07</v>
      </c>
      <c r="J168" s="29">
        <f t="shared" si="4"/>
        <v>27.55376344</v>
      </c>
      <c r="K168" s="30">
        <f t="shared" si="5"/>
        <v>27.55376344</v>
      </c>
      <c r="L168" s="30">
        <f t="shared" si="6"/>
        <v>25.625</v>
      </c>
      <c r="M168" s="31">
        <v>0.07</v>
      </c>
      <c r="N168" s="9"/>
      <c r="O168" s="9"/>
      <c r="P168" s="9"/>
      <c r="Q168" s="9"/>
      <c r="R168" s="9"/>
      <c r="S168" s="9"/>
      <c r="T168" s="9"/>
      <c r="U168" s="9"/>
    </row>
    <row r="169" ht="21.0" hidden="1" customHeight="1">
      <c r="A169" s="13"/>
      <c r="B169" s="24"/>
      <c r="C169" s="24"/>
      <c r="D169" s="24"/>
      <c r="E169" s="25">
        <v>1.0</v>
      </c>
      <c r="F169" s="26"/>
      <c r="G169" s="27">
        <f t="shared" si="10"/>
        <v>25</v>
      </c>
      <c r="H169" s="27">
        <f t="shared" si="2"/>
        <v>25.625</v>
      </c>
      <c r="I169" s="28">
        <f t="shared" si="3"/>
        <v>0.07</v>
      </c>
      <c r="J169" s="29">
        <f t="shared" si="4"/>
        <v>27.55376344</v>
      </c>
      <c r="K169" s="30">
        <f t="shared" si="5"/>
        <v>27.55376344</v>
      </c>
      <c r="L169" s="30">
        <f t="shared" si="6"/>
        <v>25.625</v>
      </c>
      <c r="M169" s="31">
        <v>0.07</v>
      </c>
      <c r="N169" s="9"/>
      <c r="O169" s="9"/>
      <c r="P169" s="9"/>
      <c r="Q169" s="9"/>
      <c r="R169" s="9"/>
      <c r="S169" s="9"/>
      <c r="T169" s="9"/>
      <c r="U169" s="9"/>
    </row>
    <row r="170" ht="21.0" hidden="1" customHeight="1">
      <c r="A170" s="13"/>
      <c r="B170" s="24"/>
      <c r="C170" s="24"/>
      <c r="D170" s="24"/>
      <c r="E170" s="25">
        <v>1.0</v>
      </c>
      <c r="F170" s="26"/>
      <c r="G170" s="27">
        <f t="shared" si="10"/>
        <v>25</v>
      </c>
      <c r="H170" s="27">
        <f t="shared" si="2"/>
        <v>25.625</v>
      </c>
      <c r="I170" s="28">
        <f t="shared" si="3"/>
        <v>0.07</v>
      </c>
      <c r="J170" s="29">
        <f t="shared" si="4"/>
        <v>27.55376344</v>
      </c>
      <c r="K170" s="30">
        <f t="shared" si="5"/>
        <v>27.55376344</v>
      </c>
      <c r="L170" s="30">
        <f t="shared" si="6"/>
        <v>25.625</v>
      </c>
      <c r="M170" s="31">
        <v>0.07</v>
      </c>
      <c r="N170" s="9"/>
      <c r="O170" s="9"/>
      <c r="P170" s="9"/>
      <c r="Q170" s="9"/>
      <c r="R170" s="9"/>
      <c r="S170" s="9"/>
      <c r="T170" s="9"/>
      <c r="U170" s="9"/>
    </row>
    <row r="171" ht="21.0" hidden="1" customHeight="1">
      <c r="A171" s="13"/>
      <c r="B171" s="24"/>
      <c r="C171" s="24"/>
      <c r="D171" s="24"/>
      <c r="E171" s="25">
        <v>1.0</v>
      </c>
      <c r="F171" s="26"/>
      <c r="G171" s="27">
        <f t="shared" si="10"/>
        <v>25</v>
      </c>
      <c r="H171" s="27">
        <f t="shared" si="2"/>
        <v>25.625</v>
      </c>
      <c r="I171" s="28">
        <f t="shared" si="3"/>
        <v>0.07</v>
      </c>
      <c r="J171" s="29">
        <f t="shared" si="4"/>
        <v>27.55376344</v>
      </c>
      <c r="K171" s="30">
        <f t="shared" si="5"/>
        <v>27.55376344</v>
      </c>
      <c r="L171" s="30">
        <f t="shared" si="6"/>
        <v>25.625</v>
      </c>
      <c r="M171" s="31">
        <v>0.07</v>
      </c>
      <c r="N171" s="9"/>
      <c r="O171" s="9"/>
      <c r="P171" s="9"/>
      <c r="Q171" s="9"/>
      <c r="R171" s="9"/>
      <c r="S171" s="9"/>
      <c r="T171" s="9"/>
      <c r="U171" s="9"/>
    </row>
    <row r="172" ht="21.0" hidden="1" customHeight="1">
      <c r="A172" s="13"/>
      <c r="B172" s="24"/>
      <c r="C172" s="24"/>
      <c r="D172" s="24"/>
      <c r="E172" s="25">
        <v>1.0</v>
      </c>
      <c r="F172" s="26"/>
      <c r="G172" s="27">
        <f t="shared" si="10"/>
        <v>25</v>
      </c>
      <c r="H172" s="27">
        <f t="shared" si="2"/>
        <v>25.625</v>
      </c>
      <c r="I172" s="28">
        <f t="shared" si="3"/>
        <v>0.07</v>
      </c>
      <c r="J172" s="29">
        <f t="shared" si="4"/>
        <v>27.55376344</v>
      </c>
      <c r="K172" s="30">
        <f t="shared" si="5"/>
        <v>27.55376344</v>
      </c>
      <c r="L172" s="30">
        <f t="shared" si="6"/>
        <v>25.625</v>
      </c>
      <c r="M172" s="31">
        <v>0.07</v>
      </c>
      <c r="N172" s="9"/>
      <c r="O172" s="9"/>
      <c r="P172" s="9"/>
      <c r="Q172" s="9"/>
      <c r="R172" s="9"/>
      <c r="S172" s="9"/>
      <c r="T172" s="9"/>
      <c r="U172" s="9"/>
    </row>
    <row r="173" ht="21.0" hidden="1" customHeight="1">
      <c r="A173" s="13"/>
      <c r="B173" s="24"/>
      <c r="C173" s="24"/>
      <c r="D173" s="24"/>
      <c r="E173" s="25">
        <v>1.0</v>
      </c>
      <c r="F173" s="26"/>
      <c r="G173" s="27">
        <f t="shared" si="10"/>
        <v>25</v>
      </c>
      <c r="H173" s="27">
        <f t="shared" si="2"/>
        <v>25.625</v>
      </c>
      <c r="I173" s="28">
        <f t="shared" si="3"/>
        <v>0.07</v>
      </c>
      <c r="J173" s="29">
        <f t="shared" si="4"/>
        <v>27.55376344</v>
      </c>
      <c r="K173" s="30">
        <f t="shared" si="5"/>
        <v>27.55376344</v>
      </c>
      <c r="L173" s="30">
        <f t="shared" si="6"/>
        <v>25.625</v>
      </c>
      <c r="M173" s="31">
        <v>0.07</v>
      </c>
      <c r="N173" s="9"/>
      <c r="O173" s="9"/>
      <c r="P173" s="9"/>
      <c r="Q173" s="9"/>
      <c r="R173" s="9"/>
      <c r="S173" s="9"/>
      <c r="T173" s="9"/>
      <c r="U173" s="9"/>
    </row>
    <row r="174" ht="21.0" hidden="1" customHeight="1">
      <c r="A174" s="13"/>
      <c r="B174" s="24"/>
      <c r="C174" s="24"/>
      <c r="D174" s="24"/>
      <c r="E174" s="25">
        <v>1.0</v>
      </c>
      <c r="F174" s="26"/>
      <c r="G174" s="27">
        <f t="shared" si="10"/>
        <v>25</v>
      </c>
      <c r="H174" s="27">
        <f t="shared" si="2"/>
        <v>25.625</v>
      </c>
      <c r="I174" s="28">
        <f t="shared" si="3"/>
        <v>0.07</v>
      </c>
      <c r="J174" s="29">
        <f t="shared" si="4"/>
        <v>27.55376344</v>
      </c>
      <c r="K174" s="30">
        <f t="shared" si="5"/>
        <v>27.55376344</v>
      </c>
      <c r="L174" s="30">
        <f t="shared" si="6"/>
        <v>25.625</v>
      </c>
      <c r="M174" s="31">
        <v>0.07</v>
      </c>
      <c r="N174" s="9"/>
      <c r="O174" s="9"/>
      <c r="P174" s="9"/>
      <c r="Q174" s="9"/>
      <c r="R174" s="9"/>
      <c r="S174" s="9"/>
      <c r="T174" s="9"/>
      <c r="U174" s="9"/>
    </row>
    <row r="175" ht="21.0" hidden="1" customHeight="1">
      <c r="A175" s="13"/>
      <c r="B175" s="24"/>
      <c r="C175" s="24"/>
      <c r="D175" s="24"/>
      <c r="E175" s="25">
        <v>1.0</v>
      </c>
      <c r="F175" s="26"/>
      <c r="G175" s="27">
        <f t="shared" si="10"/>
        <v>25</v>
      </c>
      <c r="H175" s="27">
        <f t="shared" si="2"/>
        <v>25.625</v>
      </c>
      <c r="I175" s="28">
        <f t="shared" si="3"/>
        <v>0.07</v>
      </c>
      <c r="J175" s="29">
        <f t="shared" si="4"/>
        <v>27.55376344</v>
      </c>
      <c r="K175" s="30">
        <f t="shared" si="5"/>
        <v>27.55376344</v>
      </c>
      <c r="L175" s="30">
        <f t="shared" si="6"/>
        <v>25.625</v>
      </c>
      <c r="M175" s="31">
        <v>0.07</v>
      </c>
      <c r="N175" s="9"/>
      <c r="O175" s="9"/>
      <c r="P175" s="9"/>
      <c r="Q175" s="9"/>
      <c r="R175" s="9"/>
      <c r="S175" s="9"/>
      <c r="T175" s="9"/>
      <c r="U175" s="9"/>
    </row>
    <row r="176" ht="21.0" hidden="1" customHeight="1">
      <c r="A176" s="13"/>
      <c r="B176" s="24"/>
      <c r="C176" s="24"/>
      <c r="D176" s="24"/>
      <c r="E176" s="25">
        <v>1.0</v>
      </c>
      <c r="F176" s="26"/>
      <c r="G176" s="27">
        <f t="shared" si="10"/>
        <v>25</v>
      </c>
      <c r="H176" s="27">
        <f t="shared" si="2"/>
        <v>25.625</v>
      </c>
      <c r="I176" s="28">
        <f t="shared" si="3"/>
        <v>0.07</v>
      </c>
      <c r="J176" s="29">
        <f t="shared" si="4"/>
        <v>27.55376344</v>
      </c>
      <c r="K176" s="30">
        <f t="shared" si="5"/>
        <v>27.55376344</v>
      </c>
      <c r="L176" s="30">
        <f t="shared" si="6"/>
        <v>25.625</v>
      </c>
      <c r="M176" s="31">
        <v>0.07</v>
      </c>
      <c r="N176" s="9"/>
      <c r="O176" s="9"/>
      <c r="P176" s="9"/>
      <c r="Q176" s="9"/>
      <c r="R176" s="9"/>
      <c r="S176" s="9"/>
      <c r="T176" s="9"/>
      <c r="U176" s="9"/>
    </row>
    <row r="177" ht="18.0" customHeight="1">
      <c r="A177" s="9"/>
      <c r="B177" s="37"/>
      <c r="C177" s="37"/>
      <c r="D177" s="37"/>
      <c r="E177" s="38"/>
      <c r="F177" s="38"/>
      <c r="G177" s="38"/>
      <c r="H177" s="27">
        <f t="shared" si="2"/>
        <v>0</v>
      </c>
      <c r="I177" s="39"/>
      <c r="J177" s="40" t="s">
        <v>26</v>
      </c>
      <c r="K177" s="41" t="s">
        <v>27</v>
      </c>
      <c r="L177" s="42" t="s">
        <v>27</v>
      </c>
      <c r="M177" s="43"/>
      <c r="N177" s="9"/>
      <c r="O177" s="9"/>
      <c r="P177" s="9"/>
      <c r="Q177" s="9"/>
      <c r="R177" s="9"/>
      <c r="S177" s="9"/>
      <c r="T177" s="9"/>
      <c r="U177" s="9"/>
    </row>
    <row r="178" ht="21.75" customHeight="1">
      <c r="A178" s="9"/>
      <c r="B178" s="37"/>
      <c r="C178" s="37"/>
      <c r="D178" s="37"/>
      <c r="E178" s="44"/>
      <c r="F178" s="38"/>
      <c r="G178" s="45"/>
      <c r="H178" s="27">
        <f t="shared" si="2"/>
        <v>0</v>
      </c>
      <c r="I178" s="39"/>
      <c r="J178" s="2">
        <v>1.0</v>
      </c>
      <c r="K178" s="41" t="s">
        <v>28</v>
      </c>
      <c r="L178" s="42" t="s">
        <v>29</v>
      </c>
      <c r="M178" s="43"/>
      <c r="N178" s="9"/>
      <c r="O178" s="9"/>
      <c r="P178" s="9"/>
      <c r="Q178" s="9"/>
      <c r="R178" s="9"/>
      <c r="S178" s="9"/>
      <c r="T178" s="9"/>
      <c r="U178" s="9"/>
    </row>
    <row r="179" ht="21.0" customHeight="1">
      <c r="A179" s="9"/>
      <c r="B179" s="46"/>
      <c r="C179" s="46"/>
      <c r="D179" s="46"/>
      <c r="E179" s="44"/>
      <c r="F179" s="44"/>
      <c r="G179" s="45"/>
      <c r="H179" s="45"/>
      <c r="I179" s="47"/>
      <c r="J179" s="45"/>
      <c r="K179" s="48" t="str">
        <f t="shared" ref="K179:L179" si="12">SUM(K4:K176)</f>
        <v>#VALUE!</v>
      </c>
      <c r="L179" s="49" t="str">
        <f t="shared" si="12"/>
        <v>#VALUE!</v>
      </c>
      <c r="M179" s="43"/>
      <c r="N179" s="9"/>
      <c r="O179" s="9"/>
      <c r="P179" s="9"/>
      <c r="Q179" s="9"/>
      <c r="R179" s="9"/>
      <c r="S179" s="9"/>
      <c r="T179" s="9"/>
      <c r="U179" s="9"/>
    </row>
    <row r="180" ht="3.0" customHeight="1">
      <c r="A180" s="9"/>
      <c r="B180" s="46"/>
      <c r="C180" s="46"/>
      <c r="D180" s="46"/>
      <c r="E180" s="44"/>
      <c r="F180" s="44"/>
      <c r="G180" s="45"/>
      <c r="H180" s="9"/>
      <c r="I180" s="47"/>
      <c r="J180" s="45"/>
      <c r="K180" s="41"/>
      <c r="L180" s="50"/>
      <c r="M180" s="43"/>
      <c r="N180" s="45"/>
      <c r="O180" s="45"/>
      <c r="P180" s="45"/>
      <c r="Q180" s="45"/>
      <c r="R180" s="45"/>
      <c r="S180" s="45"/>
      <c r="T180" s="45"/>
      <c r="U180" s="9"/>
    </row>
    <row r="181" ht="21.0" customHeight="1">
      <c r="A181" s="9"/>
      <c r="B181" s="46"/>
      <c r="C181" s="46"/>
      <c r="D181" s="46"/>
      <c r="E181" s="44"/>
      <c r="F181" s="44"/>
      <c r="G181" s="45"/>
      <c r="H181" s="45"/>
      <c r="I181" s="47"/>
      <c r="J181" s="45"/>
      <c r="K181" s="51" t="s">
        <v>30</v>
      </c>
      <c r="L181" s="52" t="str">
        <f>(K179-L179)/K179</f>
        <v>#VALUE!</v>
      </c>
      <c r="M181" s="43"/>
      <c r="N181" s="9"/>
      <c r="O181" s="9"/>
      <c r="P181" s="9"/>
      <c r="Q181" s="9"/>
      <c r="R181" s="9"/>
      <c r="S181" s="9"/>
      <c r="T181" s="9"/>
      <c r="U181" s="9"/>
    </row>
    <row r="182" ht="3.0" customHeight="1">
      <c r="A182" s="9"/>
      <c r="B182" s="46"/>
      <c r="C182" s="46"/>
      <c r="D182" s="46"/>
      <c r="E182" s="44"/>
      <c r="F182" s="44"/>
      <c r="G182" s="45"/>
      <c r="H182" s="45"/>
      <c r="I182" s="47"/>
      <c r="J182" s="45"/>
      <c r="K182" s="41"/>
      <c r="L182" s="50"/>
      <c r="M182" s="43"/>
      <c r="N182" s="45"/>
      <c r="O182" s="45"/>
      <c r="P182" s="45"/>
      <c r="Q182" s="45"/>
      <c r="R182" s="45"/>
      <c r="S182" s="45"/>
      <c r="T182" s="45"/>
      <c r="U182" s="9"/>
    </row>
    <row r="183" ht="21.0" customHeight="1">
      <c r="A183" s="9"/>
      <c r="B183" s="46"/>
      <c r="C183" s="46"/>
      <c r="D183" s="46"/>
      <c r="E183" s="44"/>
      <c r="F183" s="44"/>
      <c r="G183" s="46"/>
      <c r="H183" s="46"/>
      <c r="I183" s="47"/>
      <c r="J183" s="46"/>
      <c r="K183" s="51" t="s">
        <v>31</v>
      </c>
      <c r="L183" s="53" t="str">
        <f>K179-L179</f>
        <v>#VALUE!</v>
      </c>
      <c r="M183" s="43"/>
      <c r="N183" s="9"/>
      <c r="O183" s="9"/>
      <c r="P183" s="9"/>
      <c r="Q183" s="9"/>
      <c r="R183" s="9"/>
      <c r="S183" s="9"/>
      <c r="T183" s="9"/>
      <c r="U183" s="9"/>
    </row>
    <row r="184" ht="21.0" customHeight="1">
      <c r="A184" s="9"/>
      <c r="B184" s="9"/>
      <c r="C184" s="9"/>
      <c r="D184" s="9"/>
      <c r="E184" s="10"/>
      <c r="F184" s="10"/>
      <c r="G184" s="9"/>
      <c r="H184" s="9"/>
      <c r="I184" s="11"/>
      <c r="J184" s="9"/>
      <c r="K184" s="9"/>
      <c r="L184" s="9"/>
      <c r="M184" s="43"/>
      <c r="N184" s="9"/>
      <c r="O184" s="9"/>
      <c r="P184" s="9"/>
      <c r="Q184" s="9"/>
      <c r="R184" s="9"/>
      <c r="S184" s="9"/>
      <c r="T184" s="9"/>
      <c r="U184" s="9"/>
    </row>
    <row r="185" ht="21.0" customHeight="1">
      <c r="A185" s="54" t="s">
        <v>32</v>
      </c>
      <c r="B185" s="55" t="s">
        <v>33</v>
      </c>
      <c r="C185" s="55" t="s">
        <v>34</v>
      </c>
      <c r="D185" s="55" t="s">
        <v>35</v>
      </c>
      <c r="E185" s="56">
        <v>60.0</v>
      </c>
      <c r="F185" s="57">
        <v>440.0</v>
      </c>
      <c r="G185" s="58">
        <f t="shared" ref="G185:G186" si="13">E185/F185</f>
        <v>0.1363636364</v>
      </c>
      <c r="H185" s="57">
        <v>36.0</v>
      </c>
      <c r="I185" s="59">
        <f t="shared" ref="I185:I186" si="14">$I$21/H185</f>
        <v>0.001388888889</v>
      </c>
      <c r="J185" s="58">
        <f t="shared" ref="J185:J186" si="15">E185+I185</f>
        <v>60.00138889</v>
      </c>
      <c r="K185" s="59">
        <f t="shared" ref="K185:K186" si="16">(J185*$K$21)+J185</f>
        <v>1678.459905</v>
      </c>
      <c r="L185" s="60">
        <f t="shared" ref="L185:L186" si="17">(M185-K185)/M185</f>
        <v>1825</v>
      </c>
      <c r="M185" s="61">
        <f t="shared" ref="M185:M186" si="18">K185/(1-$N$21)</f>
        <v>-0.9202082812</v>
      </c>
      <c r="N185" s="58">
        <f t="shared" ref="N185:N186" si="19">M185/F185</f>
        <v>-0.002091382457</v>
      </c>
      <c r="O185" s="62"/>
      <c r="P185" s="63">
        <f t="shared" ref="P185:P186" si="20">(M185-K185)*H185</f>
        <v>-60457.68408</v>
      </c>
      <c r="Q185" s="62"/>
      <c r="R185" s="62"/>
      <c r="S185" s="62"/>
      <c r="T185" s="64" t="s">
        <v>36</v>
      </c>
      <c r="U185" s="62" t="s">
        <v>37</v>
      </c>
    </row>
    <row r="186" ht="21.0" customHeight="1">
      <c r="A186" s="54" t="s">
        <v>38</v>
      </c>
      <c r="B186" s="55" t="s">
        <v>39</v>
      </c>
      <c r="C186" s="55" t="s">
        <v>34</v>
      </c>
      <c r="D186" s="55" t="s">
        <v>35</v>
      </c>
      <c r="E186" s="56">
        <v>86.58</v>
      </c>
      <c r="F186" s="57">
        <v>585.0</v>
      </c>
      <c r="G186" s="58">
        <f t="shared" si="13"/>
        <v>0.148</v>
      </c>
      <c r="H186" s="57">
        <v>31.0</v>
      </c>
      <c r="I186" s="59">
        <f t="shared" si="14"/>
        <v>0.001612903226</v>
      </c>
      <c r="J186" s="58">
        <f t="shared" si="15"/>
        <v>86.5816129</v>
      </c>
      <c r="K186" s="59">
        <f t="shared" si="16"/>
        <v>2422.006698</v>
      </c>
      <c r="L186" s="60">
        <f t="shared" si="17"/>
        <v>1825</v>
      </c>
      <c r="M186" s="61">
        <f t="shared" si="18"/>
        <v>-1.327854549</v>
      </c>
      <c r="N186" s="58">
        <f t="shared" si="19"/>
        <v>-0.002269836836</v>
      </c>
      <c r="O186" s="62"/>
      <c r="P186" s="63">
        <f t="shared" si="20"/>
        <v>-75123.37112</v>
      </c>
      <c r="Q186" s="62"/>
      <c r="R186" s="62"/>
      <c r="S186" s="62"/>
      <c r="T186" s="64" t="s">
        <v>40</v>
      </c>
      <c r="U186" s="62" t="s">
        <v>41</v>
      </c>
    </row>
    <row r="187" ht="21.0" customHeight="1">
      <c r="A187" s="9"/>
      <c r="B187" s="9"/>
      <c r="C187" s="9"/>
      <c r="D187" s="9"/>
      <c r="E187" s="10"/>
      <c r="F187" s="10"/>
      <c r="G187" s="9"/>
      <c r="H187" s="9"/>
      <c r="I187" s="11"/>
      <c r="J187" s="9"/>
      <c r="K187" s="9"/>
      <c r="L187" s="9"/>
      <c r="M187" s="43"/>
      <c r="N187" s="9"/>
      <c r="O187" s="9"/>
      <c r="P187" s="9"/>
      <c r="Q187" s="9"/>
      <c r="R187" s="9"/>
      <c r="S187" s="9"/>
      <c r="T187" s="9"/>
      <c r="U187" s="9"/>
    </row>
    <row r="188" ht="21.0" customHeight="1">
      <c r="A188" s="9"/>
      <c r="B188" s="9"/>
      <c r="C188" s="9"/>
      <c r="D188" s="9"/>
      <c r="E188" s="10"/>
      <c r="F188" s="10"/>
      <c r="G188" s="9"/>
      <c r="H188" s="9"/>
      <c r="I188" s="11"/>
      <c r="J188" s="9"/>
      <c r="K188" s="9"/>
      <c r="L188" s="9"/>
      <c r="M188" s="43"/>
      <c r="N188" s="9"/>
      <c r="O188" s="9"/>
      <c r="P188" s="9"/>
      <c r="Q188" s="9"/>
      <c r="R188" s="9"/>
      <c r="S188" s="9"/>
      <c r="T188" s="9"/>
      <c r="U188" s="9"/>
    </row>
    <row r="189" ht="21.0" customHeight="1">
      <c r="A189" s="9"/>
      <c r="B189" s="9"/>
      <c r="C189" s="9"/>
      <c r="D189" s="9"/>
      <c r="E189" s="10"/>
      <c r="F189" s="10"/>
      <c r="G189" s="9"/>
      <c r="H189" s="9"/>
      <c r="I189" s="11"/>
      <c r="J189" s="9"/>
      <c r="K189" s="9"/>
      <c r="L189" s="9"/>
      <c r="M189" s="43"/>
      <c r="N189" s="9"/>
      <c r="O189" s="9"/>
      <c r="P189" s="9"/>
      <c r="Q189" s="9"/>
      <c r="R189" s="9"/>
      <c r="S189" s="9"/>
      <c r="T189" s="9"/>
      <c r="U189" s="9"/>
    </row>
    <row r="190" ht="21.0" customHeight="1">
      <c r="A190" s="9"/>
      <c r="B190" s="9"/>
      <c r="C190" s="9"/>
      <c r="D190" s="9"/>
      <c r="E190" s="10"/>
      <c r="F190" s="10"/>
      <c r="G190" s="9"/>
      <c r="H190" s="9"/>
      <c r="I190" s="11"/>
      <c r="J190" s="9"/>
      <c r="K190" s="9"/>
      <c r="L190" s="9"/>
      <c r="M190" s="43"/>
      <c r="N190" s="9"/>
      <c r="O190" s="9"/>
      <c r="P190" s="9"/>
      <c r="Q190" s="9"/>
      <c r="R190" s="9"/>
      <c r="S190" s="9"/>
      <c r="T190" s="9"/>
      <c r="U190" s="9"/>
    </row>
    <row r="191" ht="21.0" customHeight="1">
      <c r="A191" s="9"/>
      <c r="B191" s="9"/>
      <c r="C191" s="65" t="s">
        <v>42</v>
      </c>
      <c r="D191" s="66"/>
      <c r="E191" s="67"/>
      <c r="F191" s="68" t="s">
        <v>43</v>
      </c>
      <c r="G191" s="69"/>
      <c r="H191" s="9"/>
      <c r="I191" s="11"/>
      <c r="J191" s="9"/>
      <c r="K191" s="9"/>
      <c r="L191" s="9"/>
      <c r="M191" s="43"/>
      <c r="N191" s="9"/>
      <c r="O191" s="9"/>
      <c r="P191" s="9"/>
      <c r="Q191" s="9"/>
      <c r="R191" s="9"/>
      <c r="S191" s="9"/>
      <c r="T191" s="9"/>
      <c r="U191" s="9"/>
    </row>
    <row r="192" ht="21.0" customHeight="1">
      <c r="A192" s="9"/>
      <c r="B192" s="9"/>
      <c r="C192" s="70" t="s">
        <v>44</v>
      </c>
      <c r="D192" s="70"/>
      <c r="E192" s="71">
        <v>0.025</v>
      </c>
      <c r="F192" s="72" t="s">
        <v>45</v>
      </c>
      <c r="G192" s="73">
        <v>150.0</v>
      </c>
      <c r="H192" s="9"/>
      <c r="I192" s="11"/>
      <c r="J192" s="9"/>
      <c r="K192" s="9"/>
      <c r="L192" s="9"/>
      <c r="M192" s="43"/>
      <c r="N192" s="9"/>
      <c r="O192" s="9"/>
      <c r="P192" s="9"/>
      <c r="Q192" s="9"/>
      <c r="R192" s="9"/>
      <c r="S192" s="9"/>
      <c r="T192" s="9"/>
      <c r="U192" s="9"/>
    </row>
    <row r="193" ht="21.0" customHeight="1">
      <c r="A193" s="9"/>
      <c r="B193" s="9"/>
      <c r="C193" s="70" t="s">
        <v>46</v>
      </c>
      <c r="D193" s="70"/>
      <c r="E193" s="71">
        <v>0.025</v>
      </c>
      <c r="F193" s="72" t="s">
        <v>47</v>
      </c>
      <c r="G193" s="73">
        <v>25.0</v>
      </c>
      <c r="H193" s="9"/>
      <c r="I193" s="11"/>
      <c r="J193" s="9"/>
      <c r="K193" s="9"/>
      <c r="L193" s="9"/>
      <c r="M193" s="43"/>
      <c r="N193" s="9"/>
      <c r="O193" s="9"/>
      <c r="P193" s="9"/>
      <c r="Q193" s="9"/>
      <c r="R193" s="9"/>
      <c r="S193" s="9"/>
      <c r="T193" s="9"/>
      <c r="U193" s="9"/>
    </row>
    <row r="194" ht="21.0" customHeight="1">
      <c r="A194" s="9"/>
      <c r="B194" s="9"/>
      <c r="C194" s="70" t="s">
        <v>48</v>
      </c>
      <c r="D194" s="70"/>
      <c r="E194" s="71">
        <v>0.025</v>
      </c>
      <c r="F194" s="72" t="s">
        <v>49</v>
      </c>
      <c r="G194" s="73">
        <v>3.0</v>
      </c>
      <c r="H194" s="9"/>
      <c r="I194" s="11"/>
      <c r="J194" s="9"/>
      <c r="K194" s="9"/>
      <c r="L194" s="9"/>
      <c r="M194" s="43"/>
      <c r="N194" s="9"/>
      <c r="O194" s="9"/>
      <c r="P194" s="9"/>
      <c r="Q194" s="9"/>
      <c r="R194" s="9"/>
      <c r="S194" s="9"/>
      <c r="T194" s="9"/>
      <c r="U194" s="9"/>
    </row>
    <row r="195" ht="21.0" customHeight="1">
      <c r="A195" s="9"/>
      <c r="B195" s="9"/>
      <c r="C195" s="70" t="s">
        <v>50</v>
      </c>
      <c r="D195" s="70"/>
      <c r="E195" s="71">
        <v>0.025</v>
      </c>
      <c r="F195" s="72" t="s">
        <v>25</v>
      </c>
      <c r="G195" s="73">
        <v>8.0</v>
      </c>
      <c r="H195" s="9"/>
      <c r="I195" s="11"/>
      <c r="J195" s="9"/>
      <c r="K195" s="9"/>
      <c r="L195" s="9"/>
      <c r="M195" s="43"/>
      <c r="N195" s="9"/>
      <c r="O195" s="9"/>
      <c r="P195" s="9"/>
      <c r="Q195" s="9"/>
      <c r="R195" s="9"/>
      <c r="S195" s="9"/>
      <c r="T195" s="9"/>
      <c r="U195" s="9"/>
    </row>
    <row r="196" ht="21.0" customHeight="1">
      <c r="A196" s="9"/>
      <c r="B196" s="9"/>
      <c r="C196" s="70" t="s">
        <v>51</v>
      </c>
      <c r="D196" s="70"/>
      <c r="E196" s="71">
        <v>0.025</v>
      </c>
      <c r="F196" s="72" t="s">
        <v>48</v>
      </c>
      <c r="G196" s="73">
        <v>60.0</v>
      </c>
      <c r="H196" s="12"/>
      <c r="I196" s="11"/>
      <c r="J196" s="9"/>
      <c r="K196" s="9"/>
      <c r="L196" s="9"/>
      <c r="M196" s="12"/>
      <c r="N196" s="9"/>
      <c r="O196" s="9"/>
      <c r="P196" s="9"/>
      <c r="Q196" s="9"/>
      <c r="R196" s="9"/>
      <c r="S196" s="9"/>
      <c r="T196" s="9"/>
      <c r="U196" s="9"/>
    </row>
    <row r="197" ht="21.0" customHeight="1">
      <c r="A197" s="9"/>
      <c r="B197" s="9"/>
      <c r="C197" s="70"/>
      <c r="D197" s="70"/>
      <c r="E197" s="71">
        <v>0.03</v>
      </c>
      <c r="F197" s="72" t="s">
        <v>51</v>
      </c>
      <c r="G197" s="73">
        <v>20.0</v>
      </c>
      <c r="H197" s="12"/>
      <c r="I197" s="11"/>
      <c r="J197" s="9"/>
      <c r="K197" s="9"/>
      <c r="L197" s="9"/>
      <c r="M197" s="12"/>
      <c r="N197" s="9"/>
      <c r="O197" s="9"/>
      <c r="P197" s="9"/>
      <c r="Q197" s="9"/>
      <c r="R197" s="9"/>
      <c r="S197" s="9"/>
      <c r="T197" s="9"/>
      <c r="U197" s="9"/>
    </row>
    <row r="198" ht="21.0" customHeight="1">
      <c r="A198" s="9"/>
      <c r="B198" s="9"/>
      <c r="C198" s="70"/>
      <c r="D198" s="70"/>
      <c r="E198" s="71">
        <v>0.025</v>
      </c>
      <c r="F198" s="72"/>
      <c r="G198" s="73"/>
      <c r="H198" s="12"/>
      <c r="I198" s="11"/>
      <c r="J198" s="9"/>
      <c r="K198" s="9"/>
      <c r="L198" s="9"/>
      <c r="M198" s="12"/>
      <c r="N198" s="9"/>
      <c r="O198" s="9"/>
      <c r="P198" s="9"/>
      <c r="Q198" s="9"/>
      <c r="R198" s="9"/>
      <c r="S198" s="9"/>
      <c r="T198" s="9"/>
      <c r="U198" s="9"/>
    </row>
    <row r="199" ht="21.0" customHeight="1">
      <c r="A199" s="9"/>
      <c r="B199" s="9"/>
      <c r="C199" s="70"/>
      <c r="D199" s="70"/>
      <c r="E199" s="71">
        <v>0.025</v>
      </c>
      <c r="F199" s="72"/>
      <c r="G199" s="73"/>
      <c r="H199" s="12"/>
      <c r="I199" s="11"/>
      <c r="J199" s="9"/>
      <c r="K199" s="9"/>
      <c r="L199" s="9"/>
      <c r="M199" s="12"/>
      <c r="N199" s="9"/>
      <c r="O199" s="9"/>
      <c r="P199" s="9"/>
      <c r="Q199" s="9"/>
      <c r="R199" s="9"/>
      <c r="S199" s="9"/>
      <c r="T199" s="9"/>
      <c r="U199" s="9"/>
    </row>
    <row r="200" ht="21.0" customHeight="1">
      <c r="A200" s="9"/>
      <c r="B200" s="9"/>
      <c r="C200" s="70"/>
      <c r="D200" s="70"/>
      <c r="E200" s="71">
        <v>0.025</v>
      </c>
      <c r="F200" s="72"/>
      <c r="G200" s="73"/>
      <c r="H200" s="12"/>
      <c r="I200" s="11"/>
      <c r="J200" s="9"/>
      <c r="K200" s="9"/>
      <c r="L200" s="9"/>
      <c r="M200" s="12"/>
      <c r="N200" s="9"/>
      <c r="O200" s="9"/>
      <c r="P200" s="9"/>
      <c r="Q200" s="9"/>
      <c r="R200" s="9"/>
      <c r="S200" s="9"/>
      <c r="T200" s="9"/>
      <c r="U200" s="9"/>
    </row>
    <row r="201" ht="21.0" customHeight="1">
      <c r="A201" s="9"/>
      <c r="B201" s="9"/>
      <c r="C201" s="70"/>
      <c r="D201" s="70"/>
      <c r="E201" s="71">
        <v>0.04</v>
      </c>
      <c r="F201" s="72"/>
      <c r="G201" s="73"/>
      <c r="H201" s="12"/>
      <c r="I201" s="11"/>
      <c r="J201" s="9"/>
      <c r="K201" s="9"/>
      <c r="L201" s="9"/>
      <c r="M201" s="12"/>
      <c r="N201" s="9"/>
      <c r="O201" s="9"/>
      <c r="P201" s="9"/>
      <c r="Q201" s="9"/>
      <c r="R201" s="9"/>
      <c r="S201" s="9"/>
      <c r="T201" s="9"/>
      <c r="U201" s="9"/>
    </row>
    <row r="202" ht="21.0" customHeight="1">
      <c r="A202" s="9"/>
      <c r="B202" s="9"/>
      <c r="C202" s="70"/>
      <c r="D202" s="70"/>
      <c r="E202" s="71">
        <v>0.06</v>
      </c>
      <c r="F202" s="72"/>
      <c r="G202" s="73"/>
      <c r="H202" s="12"/>
      <c r="I202" s="11"/>
      <c r="J202" s="9"/>
      <c r="K202" s="9"/>
      <c r="L202" s="9"/>
      <c r="M202" s="12"/>
      <c r="N202" s="9"/>
      <c r="O202" s="9"/>
      <c r="P202" s="9"/>
      <c r="Q202" s="9"/>
      <c r="R202" s="9"/>
      <c r="S202" s="9"/>
      <c r="T202" s="9"/>
      <c r="U202" s="9"/>
    </row>
    <row r="203" ht="21.0" customHeight="1">
      <c r="A203" s="9"/>
      <c r="B203" s="9"/>
      <c r="C203" s="70"/>
      <c r="D203" s="70"/>
      <c r="E203" s="71">
        <v>0.025</v>
      </c>
      <c r="F203" s="72"/>
      <c r="G203" s="73"/>
      <c r="H203" s="12"/>
      <c r="I203" s="11"/>
      <c r="J203" s="9"/>
      <c r="K203" s="9"/>
      <c r="L203" s="9"/>
      <c r="M203" s="12"/>
      <c r="N203" s="9"/>
      <c r="O203" s="9"/>
      <c r="P203" s="9"/>
      <c r="Q203" s="9"/>
      <c r="R203" s="9"/>
      <c r="S203" s="9"/>
      <c r="T203" s="9"/>
      <c r="U203" s="9"/>
    </row>
    <row r="204" ht="21.0" customHeight="1">
      <c r="A204" s="9"/>
      <c r="B204" s="9"/>
      <c r="C204" s="70"/>
      <c r="D204" s="70"/>
      <c r="E204" s="71">
        <v>0.06</v>
      </c>
      <c r="F204" s="72"/>
      <c r="G204" s="73"/>
      <c r="H204" s="12"/>
      <c r="I204" s="11"/>
      <c r="J204" s="9"/>
      <c r="K204" s="9"/>
      <c r="L204" s="9"/>
      <c r="M204" s="12"/>
      <c r="N204" s="9"/>
      <c r="O204" s="9"/>
      <c r="P204" s="9"/>
      <c r="Q204" s="9"/>
      <c r="R204" s="9"/>
      <c r="S204" s="9"/>
      <c r="T204" s="9"/>
      <c r="U204" s="9"/>
    </row>
    <row r="205" ht="21.0" customHeight="1">
      <c r="A205" s="9"/>
      <c r="B205" s="9"/>
      <c r="C205" s="70"/>
      <c r="D205" s="70"/>
      <c r="E205" s="71">
        <v>0.025</v>
      </c>
      <c r="F205" s="72"/>
      <c r="G205" s="73"/>
      <c r="H205" s="12"/>
      <c r="I205" s="11"/>
      <c r="J205" s="9"/>
      <c r="K205" s="9"/>
      <c r="L205" s="9"/>
      <c r="M205" s="12"/>
      <c r="N205" s="9"/>
      <c r="O205" s="9"/>
      <c r="P205" s="9"/>
      <c r="Q205" s="9"/>
      <c r="R205" s="9"/>
      <c r="S205" s="9"/>
      <c r="T205" s="9"/>
      <c r="U205" s="9"/>
    </row>
    <row r="206" ht="21.0" customHeight="1">
      <c r="A206" s="9"/>
      <c r="B206" s="9"/>
      <c r="C206" s="70"/>
      <c r="D206" s="70"/>
      <c r="E206" s="71">
        <v>0.025</v>
      </c>
      <c r="F206" s="72"/>
      <c r="G206" s="73"/>
      <c r="H206" s="12"/>
      <c r="I206" s="11"/>
      <c r="J206" s="9"/>
      <c r="K206" s="9"/>
      <c r="L206" s="9"/>
      <c r="M206" s="12"/>
      <c r="N206" s="9"/>
      <c r="O206" s="9"/>
      <c r="P206" s="9"/>
      <c r="Q206" s="9"/>
      <c r="R206" s="9"/>
      <c r="S206" s="9"/>
      <c r="T206" s="9"/>
      <c r="U206" s="9"/>
    </row>
    <row r="207" ht="21.0" customHeight="1">
      <c r="A207" s="9"/>
      <c r="B207" s="9"/>
      <c r="C207" s="70"/>
      <c r="D207" s="70"/>
      <c r="E207" s="71">
        <v>0.025</v>
      </c>
      <c r="F207" s="72"/>
      <c r="G207" s="73"/>
      <c r="H207" s="12"/>
      <c r="I207" s="11"/>
      <c r="J207" s="9"/>
      <c r="K207" s="9"/>
      <c r="L207" s="9"/>
      <c r="M207" s="12"/>
      <c r="N207" s="9"/>
      <c r="O207" s="9"/>
      <c r="P207" s="9"/>
      <c r="Q207" s="9"/>
      <c r="R207" s="9"/>
      <c r="S207" s="9"/>
      <c r="T207" s="9"/>
      <c r="U207" s="9"/>
    </row>
    <row r="208" ht="21.0" customHeight="1">
      <c r="A208" s="9"/>
      <c r="B208" s="9"/>
      <c r="C208" s="70"/>
      <c r="D208" s="70"/>
      <c r="E208" s="71">
        <v>0.025</v>
      </c>
      <c r="F208" s="72"/>
      <c r="G208" s="73"/>
      <c r="H208" s="12"/>
      <c r="I208" s="11"/>
      <c r="J208" s="9"/>
      <c r="K208" s="9"/>
      <c r="L208" s="9"/>
      <c r="M208" s="12"/>
      <c r="N208" s="9"/>
      <c r="O208" s="9"/>
      <c r="P208" s="9"/>
      <c r="Q208" s="9"/>
      <c r="R208" s="9"/>
      <c r="S208" s="9"/>
      <c r="T208" s="9"/>
      <c r="U208" s="9"/>
    </row>
    <row r="209" ht="21.0" customHeight="1">
      <c r="A209" s="9"/>
      <c r="B209" s="9"/>
      <c r="C209" s="70"/>
      <c r="D209" s="70"/>
      <c r="E209" s="71">
        <v>0.025</v>
      </c>
      <c r="F209" s="72"/>
      <c r="G209" s="73"/>
      <c r="H209" s="12"/>
      <c r="I209" s="11"/>
      <c r="J209" s="9"/>
      <c r="K209" s="9"/>
      <c r="L209" s="9"/>
      <c r="M209" s="12"/>
      <c r="N209" s="9"/>
      <c r="O209" s="9"/>
      <c r="P209" s="9"/>
      <c r="Q209" s="9"/>
      <c r="R209" s="9"/>
      <c r="S209" s="9"/>
      <c r="T209" s="9"/>
      <c r="U209" s="9"/>
    </row>
    <row r="210" ht="21.0" customHeight="1">
      <c r="A210" s="9"/>
      <c r="B210" s="9"/>
      <c r="C210" s="70"/>
      <c r="D210" s="70"/>
      <c r="E210" s="71">
        <v>0.025</v>
      </c>
      <c r="F210" s="72"/>
      <c r="G210" s="73"/>
      <c r="H210" s="12"/>
      <c r="I210" s="11"/>
      <c r="J210" s="9"/>
      <c r="K210" s="9"/>
      <c r="L210" s="9"/>
      <c r="M210" s="12"/>
      <c r="N210" s="9"/>
      <c r="O210" s="9"/>
      <c r="P210" s="9"/>
      <c r="Q210" s="9"/>
      <c r="R210" s="9"/>
      <c r="S210" s="9"/>
      <c r="T210" s="9"/>
      <c r="U210" s="9"/>
    </row>
    <row r="211" ht="21.0" customHeight="1">
      <c r="A211" s="9"/>
      <c r="B211" s="9"/>
      <c r="C211" s="74"/>
      <c r="D211" s="74"/>
      <c r="E211" s="71">
        <v>0.025</v>
      </c>
      <c r="F211" s="72"/>
      <c r="G211" s="73"/>
      <c r="H211" s="12"/>
      <c r="I211" s="11"/>
      <c r="J211" s="9"/>
      <c r="K211" s="9"/>
      <c r="L211" s="9"/>
      <c r="M211" s="12"/>
      <c r="N211" s="9"/>
      <c r="O211" s="9"/>
      <c r="P211" s="9"/>
      <c r="Q211" s="9"/>
      <c r="R211" s="9"/>
      <c r="S211" s="9"/>
      <c r="T211" s="9"/>
      <c r="U211" s="9"/>
    </row>
    <row r="212" ht="21.0" customHeight="1">
      <c r="A212" s="9"/>
      <c r="B212" s="9"/>
      <c r="C212" s="74"/>
      <c r="D212" s="74"/>
      <c r="E212" s="71">
        <v>0.025</v>
      </c>
      <c r="F212" s="72"/>
      <c r="G212" s="73"/>
      <c r="H212" s="9"/>
      <c r="I212" s="11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</row>
    <row r="213" ht="21.0" customHeight="1">
      <c r="A213" s="9"/>
      <c r="B213" s="9"/>
      <c r="C213" s="74"/>
      <c r="D213" s="74"/>
      <c r="E213" s="71">
        <v>0.025</v>
      </c>
      <c r="F213" s="72"/>
      <c r="G213" s="73"/>
      <c r="H213" s="9"/>
      <c r="I213" s="11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</row>
    <row r="214" ht="21.0" customHeight="1">
      <c r="A214" s="9"/>
      <c r="B214" s="9"/>
      <c r="C214" s="74"/>
      <c r="D214" s="74"/>
      <c r="E214" s="71">
        <v>0.025</v>
      </c>
      <c r="F214" s="72"/>
      <c r="G214" s="73"/>
      <c r="H214" s="9"/>
      <c r="I214" s="11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</row>
    <row r="215" ht="21.0" customHeight="1">
      <c r="A215" s="9"/>
      <c r="B215" s="9"/>
      <c r="C215" s="74"/>
      <c r="D215" s="74"/>
      <c r="E215" s="71">
        <v>0.025</v>
      </c>
      <c r="F215" s="75"/>
      <c r="G215" s="9"/>
      <c r="H215" s="9"/>
      <c r="I215" s="11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</row>
    <row r="216" ht="21.0" customHeight="1">
      <c r="A216" s="9"/>
      <c r="B216" s="9"/>
      <c r="C216" s="74"/>
      <c r="D216" s="74"/>
      <c r="E216" s="71">
        <v>0.025</v>
      </c>
      <c r="F216" s="75"/>
      <c r="G216" s="9"/>
      <c r="H216" s="9"/>
      <c r="I216" s="11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</row>
    <row r="217" ht="21.0" customHeight="1">
      <c r="A217" s="9"/>
      <c r="B217" s="9"/>
      <c r="C217" s="74"/>
      <c r="D217" s="74"/>
      <c r="E217" s="71">
        <v>0.025</v>
      </c>
      <c r="F217" s="75"/>
      <c r="G217" s="12"/>
      <c r="H217" s="9"/>
      <c r="I217" s="76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</row>
    <row r="218" ht="21.0" customHeight="1">
      <c r="A218" s="9"/>
      <c r="B218" s="9"/>
      <c r="C218" s="74"/>
      <c r="D218" s="74"/>
      <c r="E218" s="71">
        <v>0.025</v>
      </c>
      <c r="F218" s="75"/>
      <c r="G218" s="9"/>
      <c r="H218" s="9"/>
      <c r="I218" s="11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</row>
    <row r="219" ht="21.0" customHeight="1">
      <c r="A219" s="9"/>
      <c r="B219" s="9"/>
      <c r="C219" s="74"/>
      <c r="D219" s="74"/>
      <c r="E219" s="71">
        <v>0.025</v>
      </c>
      <c r="F219" s="75"/>
      <c r="G219" s="12"/>
      <c r="H219" s="9"/>
      <c r="I219" s="76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</row>
    <row r="220" ht="21.0" customHeight="1">
      <c r="A220" s="9"/>
      <c r="B220" s="9"/>
      <c r="C220" s="74"/>
      <c r="D220" s="74"/>
      <c r="E220" s="71">
        <v>0.025</v>
      </c>
      <c r="F220" s="75"/>
      <c r="G220" s="9"/>
      <c r="H220" s="9"/>
      <c r="I220" s="11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</row>
    <row r="221" ht="21.0" customHeight="1">
      <c r="A221" s="9"/>
      <c r="B221" s="9"/>
      <c r="C221" s="74"/>
      <c r="D221" s="74"/>
      <c r="E221" s="71">
        <v>0.025</v>
      </c>
      <c r="F221" s="75"/>
      <c r="G221" s="9"/>
      <c r="H221" s="9"/>
      <c r="I221" s="11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</row>
    <row r="222" ht="21.0" customHeight="1">
      <c r="A222" s="9"/>
      <c r="B222" s="9"/>
      <c r="C222" s="74"/>
      <c r="D222" s="74"/>
      <c r="E222" s="71">
        <v>0.025</v>
      </c>
      <c r="F222" s="75"/>
      <c r="G222" s="9"/>
      <c r="H222" s="9"/>
      <c r="I222" s="11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</row>
    <row r="223" ht="21.0" customHeight="1">
      <c r="A223" s="9"/>
      <c r="B223" s="9"/>
      <c r="C223" s="74"/>
      <c r="D223" s="74"/>
      <c r="E223" s="71">
        <v>0.025</v>
      </c>
      <c r="F223" s="75"/>
      <c r="G223" s="9"/>
      <c r="H223" s="9"/>
      <c r="I223" s="11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</row>
    <row r="224" ht="21.0" customHeight="1">
      <c r="A224" s="9"/>
      <c r="B224" s="9"/>
      <c r="C224" s="74"/>
      <c r="D224" s="74"/>
      <c r="E224" s="71">
        <v>0.025</v>
      </c>
      <c r="F224" s="75"/>
      <c r="G224" s="9"/>
      <c r="H224" s="9"/>
      <c r="I224" s="11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</row>
    <row r="225" ht="21.0" customHeight="1">
      <c r="A225" s="9"/>
      <c r="B225" s="9"/>
      <c r="C225" s="74"/>
      <c r="D225" s="74"/>
      <c r="E225" s="71">
        <v>0.025</v>
      </c>
      <c r="F225" s="75"/>
      <c r="G225" s="12"/>
      <c r="H225" s="9"/>
      <c r="I225" s="76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</row>
    <row r="226" ht="21.0" customHeight="1">
      <c r="A226" s="9"/>
      <c r="B226" s="9"/>
      <c r="C226" s="74"/>
      <c r="D226" s="74"/>
      <c r="E226" s="71">
        <v>0.025</v>
      </c>
      <c r="F226" s="75"/>
      <c r="G226" s="9"/>
      <c r="H226" s="9"/>
      <c r="I226" s="11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</row>
    <row r="227" ht="21.0" customHeight="1">
      <c r="A227" s="9"/>
      <c r="B227" s="9"/>
      <c r="C227" s="74"/>
      <c r="D227" s="74"/>
      <c r="E227" s="71">
        <v>0.025</v>
      </c>
      <c r="F227" s="75"/>
      <c r="G227" s="9"/>
      <c r="H227" s="9"/>
      <c r="I227" s="11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</row>
    <row r="228" ht="21.0" customHeight="1">
      <c r="A228" s="9"/>
      <c r="B228" s="9"/>
      <c r="C228" s="74"/>
      <c r="D228" s="74"/>
      <c r="E228" s="71">
        <v>0.025</v>
      </c>
      <c r="F228" s="75"/>
      <c r="G228" s="9"/>
      <c r="H228" s="9"/>
      <c r="I228" s="11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</row>
    <row r="229" ht="21.0" customHeight="1">
      <c r="A229" s="9"/>
      <c r="B229" s="9"/>
      <c r="C229" s="74"/>
      <c r="D229" s="74"/>
      <c r="E229" s="71">
        <v>0.06</v>
      </c>
      <c r="F229" s="75"/>
      <c r="G229" s="9"/>
      <c r="H229" s="9"/>
      <c r="I229" s="11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</row>
    <row r="230" ht="21.0" customHeight="1">
      <c r="A230" s="9"/>
      <c r="B230" s="9"/>
      <c r="C230" s="74"/>
      <c r="D230" s="74"/>
      <c r="E230" s="71">
        <v>0.025</v>
      </c>
      <c r="F230" s="75"/>
      <c r="G230" s="9"/>
      <c r="H230" s="9"/>
      <c r="I230" s="11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</row>
    <row r="231" ht="21.0" customHeight="1">
      <c r="A231" s="9"/>
      <c r="B231" s="9"/>
      <c r="C231" s="74"/>
      <c r="D231" s="74"/>
      <c r="E231" s="71">
        <v>0.025</v>
      </c>
      <c r="F231" s="75"/>
      <c r="G231" s="9"/>
      <c r="H231" s="9"/>
      <c r="I231" s="11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</row>
    <row r="232" ht="21.0" customHeight="1">
      <c r="A232" s="9"/>
      <c r="B232" s="9"/>
      <c r="C232" s="74"/>
      <c r="D232" s="74"/>
      <c r="E232" s="71">
        <v>0.025</v>
      </c>
      <c r="F232" s="75"/>
      <c r="G232" s="9"/>
      <c r="H232" s="9"/>
      <c r="I232" s="11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</row>
    <row r="233" ht="21.0" customHeight="1">
      <c r="A233" s="9"/>
      <c r="B233" s="9"/>
      <c r="C233" s="74"/>
      <c r="D233" s="74"/>
      <c r="E233" s="71">
        <v>0.025</v>
      </c>
      <c r="F233" s="75"/>
      <c r="G233" s="9"/>
      <c r="H233" s="9"/>
      <c r="I233" s="11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</row>
    <row r="234" ht="21.0" customHeight="1">
      <c r="A234" s="9"/>
      <c r="B234" s="9"/>
      <c r="C234" s="74"/>
      <c r="D234" s="74"/>
      <c r="E234" s="71">
        <v>0.025</v>
      </c>
      <c r="F234" s="75"/>
      <c r="G234" s="9"/>
      <c r="H234" s="9"/>
      <c r="I234" s="11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</row>
    <row r="235" ht="21.0" customHeight="1">
      <c r="A235" s="9"/>
      <c r="B235" s="9"/>
      <c r="C235" s="74"/>
      <c r="D235" s="74"/>
      <c r="E235" s="71">
        <v>0.025</v>
      </c>
      <c r="F235" s="75"/>
      <c r="G235" s="9"/>
      <c r="H235" s="9"/>
      <c r="I235" s="11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</row>
    <row r="236" ht="21.0" customHeight="1">
      <c r="A236" s="9"/>
      <c r="B236" s="9"/>
      <c r="C236" s="74"/>
      <c r="D236" s="74"/>
      <c r="E236" s="71">
        <v>0.025</v>
      </c>
      <c r="F236" s="75"/>
      <c r="G236" s="9"/>
      <c r="H236" s="9"/>
      <c r="I236" s="11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</row>
    <row r="237" ht="21.0" customHeight="1">
      <c r="A237" s="9"/>
      <c r="B237" s="9"/>
      <c r="C237" s="74"/>
      <c r="D237" s="74"/>
      <c r="E237" s="71">
        <v>0.025</v>
      </c>
      <c r="F237" s="75"/>
      <c r="G237" s="9"/>
      <c r="H237" s="9"/>
      <c r="I237" s="11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</row>
    <row r="238" ht="21.0" customHeight="1">
      <c r="A238" s="9"/>
      <c r="B238" s="9"/>
      <c r="C238" s="74"/>
      <c r="D238" s="74"/>
      <c r="E238" s="71">
        <v>0.025</v>
      </c>
      <c r="F238" s="75"/>
      <c r="G238" s="9"/>
      <c r="H238" s="9"/>
      <c r="I238" s="11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</row>
    <row r="239" ht="21.0" customHeight="1">
      <c r="A239" s="9"/>
      <c r="B239" s="9"/>
      <c r="C239" s="74"/>
      <c r="D239" s="74"/>
      <c r="E239" s="71">
        <v>0.025</v>
      </c>
      <c r="F239" s="75"/>
      <c r="G239" s="9"/>
      <c r="H239" s="9"/>
      <c r="I239" s="11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</row>
    <row r="240" ht="21.0" customHeight="1">
      <c r="A240" s="9"/>
      <c r="B240" s="9"/>
      <c r="C240" s="74"/>
      <c r="D240" s="74"/>
      <c r="E240" s="71">
        <v>0.025</v>
      </c>
      <c r="F240" s="75"/>
      <c r="G240" s="9"/>
      <c r="H240" s="9"/>
      <c r="I240" s="11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</row>
    <row r="241" ht="21.0" customHeight="1">
      <c r="A241" s="9"/>
      <c r="B241" s="9"/>
      <c r="C241" s="74"/>
      <c r="D241" s="74"/>
      <c r="E241" s="71">
        <v>0.025</v>
      </c>
      <c r="F241" s="75"/>
      <c r="G241" s="9"/>
      <c r="H241" s="9"/>
      <c r="I241" s="11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</row>
    <row r="242" ht="21.0" customHeight="1">
      <c r="A242" s="9"/>
      <c r="B242" s="9"/>
      <c r="C242" s="74"/>
      <c r="D242" s="74"/>
      <c r="E242" s="71">
        <v>0.025</v>
      </c>
      <c r="F242" s="75"/>
      <c r="G242" s="9"/>
      <c r="H242" s="9"/>
      <c r="I242" s="11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</row>
    <row r="243" ht="21.0" customHeight="1">
      <c r="A243" s="9"/>
      <c r="B243" s="9"/>
      <c r="C243" s="74"/>
      <c r="D243" s="74"/>
      <c r="E243" s="71">
        <v>0.025</v>
      </c>
      <c r="F243" s="75"/>
      <c r="G243" s="9"/>
      <c r="H243" s="9"/>
      <c r="I243" s="11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</row>
    <row r="244" ht="21.0" customHeight="1">
      <c r="A244" s="9"/>
      <c r="B244" s="9"/>
      <c r="C244" s="74"/>
      <c r="D244" s="74"/>
      <c r="E244" s="71">
        <v>0.025</v>
      </c>
      <c r="F244" s="75"/>
      <c r="G244" s="9"/>
      <c r="H244" s="9"/>
      <c r="I244" s="11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191:E191"/>
  </mergeCells>
  <conditionalFormatting sqref="M4:M107">
    <cfRule type="cellIs" dxfId="0" priority="1" operator="between">
      <formula>5%</formula>
      <formula>6%</formula>
    </cfRule>
  </conditionalFormatting>
  <conditionalFormatting sqref="M4:M176">
    <cfRule type="cellIs" dxfId="1" priority="2" operator="between">
      <formula>0.04</formula>
      <formula>0</formula>
    </cfRule>
  </conditionalFormatting>
  <hyperlinks>
    <hyperlink r:id="rId2" ref="T185"/>
    <hyperlink r:id="rId3" ref="T186"/>
  </hyperlinks>
  <printOptions/>
  <pageMargins bottom="0.75" footer="0.0" header="0.0" left="0.7" right="0.7" top="0.75"/>
  <pageSetup fitToHeight="0" paperSize="9"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0.1" defaultRowHeight="15.0"/>
  <cols>
    <col customWidth="1" min="1" max="1" width="7.5"/>
    <col customWidth="1" min="2" max="2" width="19.9"/>
    <col customWidth="1" min="3" max="3" width="39.0"/>
    <col customWidth="1" min="4" max="4" width="16.5"/>
    <col customWidth="1" min="5" max="5" width="11.6"/>
    <col customWidth="1" min="6" max="6" width="20.1"/>
    <col customWidth="1" min="7" max="7" width="19.6"/>
    <col customWidth="1" min="8" max="8" width="18.6"/>
    <col customWidth="1" min="9" max="9" width="9.5"/>
    <col customWidth="1" min="10" max="10" width="20.4"/>
    <col customWidth="1" min="11" max="11" width="20.7"/>
    <col customWidth="1" min="12" max="12" width="17.9"/>
    <col customWidth="1" min="13" max="13" width="12.4"/>
    <col customWidth="1" min="14" max="15" width="14.1"/>
    <col customWidth="1" min="16" max="16" width="13.9"/>
    <col customWidth="1" min="17" max="20" width="13.4"/>
    <col customWidth="1" min="21" max="26" width="12.6"/>
  </cols>
  <sheetData>
    <row r="1" ht="36.0" customHeight="1">
      <c r="A1" s="1" t="s">
        <v>0</v>
      </c>
      <c r="B1" s="2"/>
      <c r="C1" s="3" t="s">
        <v>1</v>
      </c>
      <c r="D1" s="3"/>
      <c r="E1" s="2"/>
      <c r="F1" s="2"/>
      <c r="G1" s="1" t="s">
        <v>2</v>
      </c>
      <c r="H1" s="4"/>
      <c r="I1" s="5"/>
      <c r="J1" s="1"/>
      <c r="K1" s="2"/>
      <c r="L1" s="6"/>
      <c r="M1" s="6" t="s">
        <v>3</v>
      </c>
      <c r="N1" s="7"/>
      <c r="O1" s="7"/>
      <c r="P1" s="8" t="s">
        <v>4</v>
      </c>
      <c r="Q1" s="7"/>
      <c r="R1" s="7"/>
      <c r="S1" s="7"/>
      <c r="T1" s="7"/>
    </row>
    <row r="2" ht="21.0" customHeight="1">
      <c r="A2" s="9"/>
      <c r="B2" s="9"/>
      <c r="C2" s="9"/>
      <c r="D2" s="9"/>
      <c r="E2" s="10"/>
      <c r="F2" s="10"/>
      <c r="G2" s="9" t="s">
        <v>5</v>
      </c>
      <c r="H2" s="9"/>
      <c r="I2" s="11"/>
      <c r="J2" s="9" t="s">
        <v>6</v>
      </c>
      <c r="K2" s="9"/>
      <c r="L2" s="9"/>
      <c r="M2" s="12"/>
      <c r="N2" s="9"/>
      <c r="O2" s="9"/>
      <c r="P2" s="9"/>
      <c r="Q2" s="9"/>
      <c r="R2" s="9"/>
      <c r="S2" s="9"/>
      <c r="T2" s="9"/>
    </row>
    <row r="3" ht="21.0" customHeight="1">
      <c r="A3" s="13"/>
      <c r="B3" s="14" t="s">
        <v>7</v>
      </c>
      <c r="C3" s="15" t="s">
        <v>8</v>
      </c>
      <c r="D3" s="15" t="s">
        <v>9</v>
      </c>
      <c r="E3" s="15" t="s">
        <v>10</v>
      </c>
      <c r="F3" s="77" t="s">
        <v>52</v>
      </c>
      <c r="G3" s="17" t="s">
        <v>12</v>
      </c>
      <c r="H3" s="17" t="s">
        <v>13</v>
      </c>
      <c r="I3" s="18" t="s">
        <v>14</v>
      </c>
      <c r="J3" s="17" t="s">
        <v>15</v>
      </c>
      <c r="K3" s="15" t="s">
        <v>16</v>
      </c>
      <c r="L3" s="17" t="s">
        <v>17</v>
      </c>
      <c r="M3" s="19" t="s">
        <v>18</v>
      </c>
      <c r="N3" s="20" t="s">
        <v>19</v>
      </c>
      <c r="O3" s="21" t="s">
        <v>20</v>
      </c>
      <c r="P3" s="20" t="s">
        <v>21</v>
      </c>
      <c r="Q3" s="20" t="s">
        <v>22</v>
      </c>
      <c r="R3" s="22" t="s">
        <v>23</v>
      </c>
      <c r="S3" s="22"/>
      <c r="T3" s="23"/>
    </row>
    <row r="4" ht="21.0" customHeight="1">
      <c r="A4" s="13"/>
      <c r="B4" s="24" t="str">
        <f>'ALL DATA &amp; IT4PROFIT'!A6</f>
        <v>HUAWEI</v>
      </c>
      <c r="C4" s="24" t="str">
        <f>'ALL DATA &amp; IT4PROFIT'!B6</f>
        <v>SUN2000-2KTL-L1</v>
      </c>
      <c r="D4" s="24" t="str">
        <f>'ALL DATA &amp; IT4PROFIT'!C6</f>
        <v>1PH HYBRID</v>
      </c>
      <c r="E4" s="25">
        <v>1.0</v>
      </c>
      <c r="F4" s="26">
        <f>'ALL DATA &amp; IT4PROFIT'!F6</f>
        <v>0</v>
      </c>
      <c r="G4" s="27">
        <f t="shared" ref="G4:G31" si="1">F4+$G$204</f>
        <v>30</v>
      </c>
      <c r="H4" s="27">
        <f t="shared" ref="H4:H101" si="2">(G4*$E$204)+G4</f>
        <v>30.75</v>
      </c>
      <c r="I4" s="28">
        <f t="shared" ref="I4:I101" si="3">(J4-H4)/J4</f>
        <v>0.07</v>
      </c>
      <c r="J4" s="29">
        <f t="shared" ref="J4:J101" si="4">H4/(1-M4)</f>
        <v>33.06451613</v>
      </c>
      <c r="K4" s="30">
        <f t="shared" ref="K4:K101" si="5">SUM(E4*J4)</f>
        <v>33.06451613</v>
      </c>
      <c r="L4" s="30">
        <f t="shared" ref="L4:L101" si="6">SUM(E4*H4)</f>
        <v>30.75</v>
      </c>
      <c r="M4" s="31">
        <v>0.07</v>
      </c>
      <c r="N4" s="32">
        <f>'ALL DATA &amp; IT4PROFIT'!L6</f>
        <v>420</v>
      </c>
      <c r="O4" s="33"/>
      <c r="P4" s="32">
        <f>'ALL DATA &amp; IT4PROFIT'!H6</f>
        <v>557</v>
      </c>
      <c r="Q4" s="33">
        <f>'ALL DATA &amp; IT4PROFIT'!K6</f>
        <v>344</v>
      </c>
      <c r="R4" s="33">
        <f>'ALL DATA &amp; IT4PROFIT'!D6</f>
        <v>489</v>
      </c>
      <c r="S4" s="9"/>
      <c r="T4" s="34"/>
    </row>
    <row r="5" ht="21.0" customHeight="1">
      <c r="A5" s="13"/>
      <c r="B5" s="24" t="str">
        <f>'ALL DATA &amp; IT4PROFIT'!A7</f>
        <v>HUAWEI</v>
      </c>
      <c r="C5" s="24" t="str">
        <f>'ALL DATA &amp; IT4PROFIT'!B7</f>
        <v>SUN2000-3KTL-L1</v>
      </c>
      <c r="D5" s="24" t="str">
        <f>'ALL DATA &amp; IT4PROFIT'!C7</f>
        <v>1PH HYBRID</v>
      </c>
      <c r="E5" s="25">
        <v>1.0</v>
      </c>
      <c r="F5" s="26">
        <f>'ALL DATA &amp; IT4PROFIT'!F7</f>
        <v>355.8</v>
      </c>
      <c r="G5" s="27">
        <f t="shared" si="1"/>
        <v>385.8</v>
      </c>
      <c r="H5" s="27">
        <f t="shared" si="2"/>
        <v>395.445</v>
      </c>
      <c r="I5" s="28">
        <f t="shared" si="3"/>
        <v>0.20911</v>
      </c>
      <c r="J5" s="29">
        <f t="shared" si="4"/>
        <v>500</v>
      </c>
      <c r="K5" s="30">
        <f t="shared" si="5"/>
        <v>500</v>
      </c>
      <c r="L5" s="30">
        <f t="shared" si="6"/>
        <v>395.445</v>
      </c>
      <c r="M5" s="31">
        <v>0.20911</v>
      </c>
      <c r="N5" s="32">
        <f>'ALL DATA &amp; IT4PROFIT'!L7</f>
        <v>510</v>
      </c>
      <c r="O5" s="35"/>
      <c r="P5" s="32">
        <f>'ALL DATA &amp; IT4PROFIT'!H7</f>
        <v>545</v>
      </c>
      <c r="Q5" s="35">
        <f>'ALL DATA &amp; IT4PROFIT'!K7</f>
        <v>432</v>
      </c>
      <c r="R5" s="35">
        <f>'ALL DATA &amp; IT4PROFIT'!D7</f>
        <v>575</v>
      </c>
      <c r="S5" s="9"/>
      <c r="T5" s="9"/>
    </row>
    <row r="6" ht="21.0" customHeight="1">
      <c r="A6" s="13"/>
      <c r="B6" s="24" t="str">
        <f>'ALL DATA &amp; IT4PROFIT'!A8</f>
        <v>HUAWEI</v>
      </c>
      <c r="C6" s="24" t="str">
        <f>'ALL DATA &amp; IT4PROFIT'!B8</f>
        <v>SUN2000-3.68KTL-L1</v>
      </c>
      <c r="D6" s="24" t="str">
        <f>'ALL DATA &amp; IT4PROFIT'!C8</f>
        <v>1PH HYBRID</v>
      </c>
      <c r="E6" s="25">
        <v>1.0</v>
      </c>
      <c r="F6" s="26">
        <f>'ALL DATA &amp; IT4PROFIT'!F8</f>
        <v>0</v>
      </c>
      <c r="G6" s="27">
        <f t="shared" si="1"/>
        <v>30</v>
      </c>
      <c r="H6" s="27">
        <f t="shared" si="2"/>
        <v>30.75</v>
      </c>
      <c r="I6" s="28">
        <f t="shared" si="3"/>
        <v>0.05</v>
      </c>
      <c r="J6" s="29">
        <f t="shared" si="4"/>
        <v>32.36842105</v>
      </c>
      <c r="K6" s="30">
        <f t="shared" si="5"/>
        <v>32.36842105</v>
      </c>
      <c r="L6" s="30">
        <f t="shared" si="6"/>
        <v>30.75</v>
      </c>
      <c r="M6" s="31">
        <v>0.05</v>
      </c>
      <c r="N6" s="32">
        <f>'ALL DATA &amp; IT4PROFIT'!L8</f>
        <v>580</v>
      </c>
      <c r="O6" s="35"/>
      <c r="P6" s="32" t="str">
        <f>'ALL DATA &amp; IT4PROFIT'!H8</f>
        <v/>
      </c>
      <c r="Q6" s="35" t="str">
        <f>'ALL DATA &amp; IT4PROFIT'!K8</f>
        <v/>
      </c>
      <c r="R6" s="35">
        <f>'ALL DATA &amp; IT4PROFIT'!D8</f>
        <v>677</v>
      </c>
      <c r="S6" s="9"/>
      <c r="T6" s="9"/>
    </row>
    <row r="7" ht="21.0" customHeight="1">
      <c r="A7" s="13"/>
      <c r="B7" s="24" t="str">
        <f>'ALL DATA &amp; IT4PROFIT'!A9</f>
        <v>HUAWEI</v>
      </c>
      <c r="C7" s="24" t="str">
        <f>'ALL DATA &amp; IT4PROFIT'!B9</f>
        <v>SUN2000-4KTL-L1</v>
      </c>
      <c r="D7" s="24" t="str">
        <f>'ALL DATA &amp; IT4PROFIT'!C9</f>
        <v>1PH HYBRID</v>
      </c>
      <c r="E7" s="25">
        <v>1.0</v>
      </c>
      <c r="F7" s="26">
        <f>'ALL DATA &amp; IT4PROFIT'!F9</f>
        <v>417.6</v>
      </c>
      <c r="G7" s="27">
        <f t="shared" si="1"/>
        <v>447.6</v>
      </c>
      <c r="H7" s="27">
        <f t="shared" si="2"/>
        <v>458.79</v>
      </c>
      <c r="I7" s="28">
        <f t="shared" si="3"/>
        <v>0.18073</v>
      </c>
      <c r="J7" s="29">
        <f t="shared" si="4"/>
        <v>559.9985353</v>
      </c>
      <c r="K7" s="30">
        <f t="shared" si="5"/>
        <v>559.9985353</v>
      </c>
      <c r="L7" s="30">
        <f t="shared" si="6"/>
        <v>458.79</v>
      </c>
      <c r="M7" s="31">
        <v>0.18073</v>
      </c>
      <c r="N7" s="32">
        <f>'ALL DATA &amp; IT4PROFIT'!L9</f>
        <v>620</v>
      </c>
      <c r="O7" s="35"/>
      <c r="P7" s="32">
        <f>'ALL DATA &amp; IT4PROFIT'!H9</f>
        <v>580</v>
      </c>
      <c r="Q7" s="35">
        <f>'ALL DATA &amp; IT4PROFIT'!K9</f>
        <v>563</v>
      </c>
      <c r="R7" s="35">
        <f>'ALL DATA &amp; IT4PROFIT'!D9</f>
        <v>705</v>
      </c>
      <c r="S7" s="9"/>
      <c r="T7" s="9"/>
    </row>
    <row r="8" ht="21.0" customHeight="1">
      <c r="A8" s="13"/>
      <c r="B8" s="24" t="str">
        <f>'ALL DATA &amp; IT4PROFIT'!A10</f>
        <v>HUAWEI</v>
      </c>
      <c r="C8" s="24" t="str">
        <f>'ALL DATA &amp; IT4PROFIT'!B10</f>
        <v>SUN2000-4.6KTL-L1</v>
      </c>
      <c r="D8" s="24" t="str">
        <f>'ALL DATA &amp; IT4PROFIT'!C10</f>
        <v>1PH HYBRID</v>
      </c>
      <c r="E8" s="25">
        <v>1.0</v>
      </c>
      <c r="F8" s="26">
        <f>'ALL DATA &amp; IT4PROFIT'!F10</f>
        <v>518.4</v>
      </c>
      <c r="G8" s="27">
        <f t="shared" si="1"/>
        <v>548.4</v>
      </c>
      <c r="H8" s="27">
        <f t="shared" si="2"/>
        <v>562.11</v>
      </c>
      <c r="I8" s="28">
        <f t="shared" si="3"/>
        <v>0.10063</v>
      </c>
      <c r="J8" s="29">
        <f t="shared" si="4"/>
        <v>625.0041696</v>
      </c>
      <c r="K8" s="30">
        <f t="shared" si="5"/>
        <v>625.0041696</v>
      </c>
      <c r="L8" s="30">
        <f t="shared" si="6"/>
        <v>562.11</v>
      </c>
      <c r="M8" s="31">
        <v>0.10063</v>
      </c>
      <c r="N8" s="32">
        <f>'ALL DATA &amp; IT4PROFIT'!L10</f>
        <v>645</v>
      </c>
      <c r="O8" s="35"/>
      <c r="P8" s="32">
        <f>'ALL DATA &amp; IT4PROFIT'!H10</f>
        <v>595</v>
      </c>
      <c r="Q8" s="35">
        <f>'ALL DATA &amp; IT4PROFIT'!K10</f>
        <v>616</v>
      </c>
      <c r="R8" s="35">
        <f>'ALL DATA &amp; IT4PROFIT'!D10</f>
        <v>756</v>
      </c>
      <c r="S8" s="9"/>
      <c r="T8" s="9"/>
    </row>
    <row r="9" ht="21.0" customHeight="1">
      <c r="A9" s="13"/>
      <c r="B9" s="24" t="str">
        <f>'ALL DATA &amp; IT4PROFIT'!A11</f>
        <v>HUAWEI</v>
      </c>
      <c r="C9" s="24" t="str">
        <f>'ALL DATA &amp; IT4PROFIT'!B11</f>
        <v>SUN2000-5KTL-L1</v>
      </c>
      <c r="D9" s="24" t="str">
        <f>'ALL DATA &amp; IT4PROFIT'!C11</f>
        <v>1PH HYBRID</v>
      </c>
      <c r="E9" s="25">
        <v>1.0</v>
      </c>
      <c r="F9" s="26">
        <f>'ALL DATA &amp; IT4PROFIT'!F11</f>
        <v>465.6</v>
      </c>
      <c r="G9" s="27">
        <f t="shared" si="1"/>
        <v>495.6</v>
      </c>
      <c r="H9" s="27">
        <f t="shared" si="2"/>
        <v>507.99</v>
      </c>
      <c r="I9" s="28">
        <f t="shared" si="3"/>
        <v>0.20001</v>
      </c>
      <c r="J9" s="29">
        <f t="shared" si="4"/>
        <v>634.9954374</v>
      </c>
      <c r="K9" s="30">
        <f t="shared" si="5"/>
        <v>634.9954374</v>
      </c>
      <c r="L9" s="30">
        <f t="shared" si="6"/>
        <v>507.99</v>
      </c>
      <c r="M9" s="31">
        <v>0.20001</v>
      </c>
      <c r="N9" s="32">
        <f>'ALL DATA &amp; IT4PROFIT'!L11</f>
        <v>660</v>
      </c>
      <c r="O9" s="35"/>
      <c r="P9" s="32">
        <f>'ALL DATA &amp; IT4PROFIT'!H11</f>
        <v>620</v>
      </c>
      <c r="Q9" s="35">
        <f>'ALL DATA &amp; IT4PROFIT'!K11</f>
        <v>624</v>
      </c>
      <c r="R9" s="35">
        <f>'ALL DATA &amp; IT4PROFIT'!D11</f>
        <v>764</v>
      </c>
      <c r="S9" s="9"/>
      <c r="T9" s="9"/>
    </row>
    <row r="10" ht="21.0" customHeight="1">
      <c r="A10" s="13"/>
      <c r="B10" s="24" t="str">
        <f>'ALL DATA &amp; IT4PROFIT'!A12</f>
        <v>HUAWEI</v>
      </c>
      <c r="C10" s="24" t="str">
        <f>'ALL DATA &amp; IT4PROFIT'!B12</f>
        <v>SUN2000-6KTL-L1</v>
      </c>
      <c r="D10" s="24" t="str">
        <f>'ALL DATA &amp; IT4PROFIT'!C12</f>
        <v>1PH HYBRID</v>
      </c>
      <c r="E10" s="25">
        <v>1.0</v>
      </c>
      <c r="F10" s="26">
        <f>'ALL DATA &amp; IT4PROFIT'!F12</f>
        <v>445.8</v>
      </c>
      <c r="G10" s="27">
        <f t="shared" si="1"/>
        <v>475.8</v>
      </c>
      <c r="H10" s="27">
        <f t="shared" si="2"/>
        <v>487.695</v>
      </c>
      <c r="I10" s="28">
        <f t="shared" si="3"/>
        <v>0</v>
      </c>
      <c r="J10" s="29">
        <f t="shared" si="4"/>
        <v>487.695</v>
      </c>
      <c r="K10" s="30">
        <f t="shared" si="5"/>
        <v>487.695</v>
      </c>
      <c r="L10" s="30">
        <f t="shared" si="6"/>
        <v>487.695</v>
      </c>
      <c r="M10" s="31"/>
      <c r="N10" s="32" t="str">
        <f>'ALL DATA &amp; IT4PROFIT'!L12</f>
        <v/>
      </c>
      <c r="O10" s="35"/>
      <c r="P10" s="32" t="str">
        <f>'ALL DATA &amp; IT4PROFIT'!H12</f>
        <v/>
      </c>
      <c r="Q10" s="35" t="str">
        <f>'ALL DATA &amp; IT4PROFIT'!K12</f>
        <v/>
      </c>
      <c r="R10" s="35">
        <f>'ALL DATA &amp; IT4PROFIT'!D12</f>
        <v>868</v>
      </c>
      <c r="S10" s="9"/>
      <c r="T10" s="9"/>
    </row>
    <row r="11" ht="21.0" customHeight="1">
      <c r="A11" s="13"/>
      <c r="B11" s="24" t="str">
        <f>'ALL DATA &amp; IT4PROFIT'!A13</f>
        <v>HUAWEI</v>
      </c>
      <c r="C11" s="24" t="str">
        <f>'ALL DATA &amp; IT4PROFIT'!B13</f>
        <v>SUN2000-3KTL-M1</v>
      </c>
      <c r="D11" s="24" t="str">
        <f>'ALL DATA &amp; IT4PROFIT'!C13</f>
        <v>3PH HYBRID</v>
      </c>
      <c r="E11" s="25">
        <v>1.0</v>
      </c>
      <c r="F11" s="26">
        <f>'ALL DATA &amp; IT4PROFIT'!F13</f>
        <v>808.2</v>
      </c>
      <c r="G11" s="27">
        <f t="shared" si="1"/>
        <v>838.2</v>
      </c>
      <c r="H11" s="27">
        <f t="shared" si="2"/>
        <v>859.155</v>
      </c>
      <c r="I11" s="28">
        <f t="shared" si="3"/>
        <v>0.05</v>
      </c>
      <c r="J11" s="29">
        <f t="shared" si="4"/>
        <v>904.3736842</v>
      </c>
      <c r="K11" s="30">
        <f t="shared" si="5"/>
        <v>904.3736842</v>
      </c>
      <c r="L11" s="30">
        <f t="shared" si="6"/>
        <v>859.155</v>
      </c>
      <c r="M11" s="31">
        <v>0.05</v>
      </c>
      <c r="N11" s="32">
        <f>'ALL DATA &amp; IT4PROFIT'!L13</f>
        <v>845</v>
      </c>
      <c r="O11" s="35"/>
      <c r="P11" s="32">
        <f>'ALL DATA &amp; IT4PROFIT'!H13</f>
        <v>907</v>
      </c>
      <c r="Q11" s="35">
        <f>'ALL DATA &amp; IT4PROFIT'!K13</f>
        <v>832</v>
      </c>
      <c r="R11" s="35">
        <f>'ALL DATA &amp; IT4PROFIT'!D13</f>
        <v>880</v>
      </c>
      <c r="S11" s="9"/>
      <c r="T11" s="9"/>
    </row>
    <row r="12" ht="21.0" customHeight="1">
      <c r="A12" s="13"/>
      <c r="B12" s="24" t="str">
        <f>'ALL DATA &amp; IT4PROFIT'!A14</f>
        <v>HUAWEI</v>
      </c>
      <c r="C12" s="24" t="str">
        <f>'ALL DATA &amp; IT4PROFIT'!B14</f>
        <v>SUN2000-4KTL-M1</v>
      </c>
      <c r="D12" s="24" t="str">
        <f>'ALL DATA &amp; IT4PROFIT'!C14</f>
        <v>3PH HYBRID</v>
      </c>
      <c r="E12" s="25">
        <v>1.0</v>
      </c>
      <c r="F12" s="26">
        <f>'ALL DATA &amp; IT4PROFIT'!F14</f>
        <v>844.8</v>
      </c>
      <c r="G12" s="27">
        <f t="shared" si="1"/>
        <v>874.8</v>
      </c>
      <c r="H12" s="27">
        <f t="shared" si="2"/>
        <v>896.67</v>
      </c>
      <c r="I12" s="28">
        <f t="shared" si="3"/>
        <v>0.05</v>
      </c>
      <c r="J12" s="29">
        <f t="shared" si="4"/>
        <v>943.8631579</v>
      </c>
      <c r="K12" s="30">
        <f t="shared" si="5"/>
        <v>943.8631579</v>
      </c>
      <c r="L12" s="30">
        <f t="shared" si="6"/>
        <v>896.67</v>
      </c>
      <c r="M12" s="31">
        <v>0.05</v>
      </c>
      <c r="N12" s="32">
        <f>'ALL DATA &amp; IT4PROFIT'!L14</f>
        <v>880</v>
      </c>
      <c r="O12" s="35"/>
      <c r="P12" s="32">
        <f>'ALL DATA &amp; IT4PROFIT'!H14</f>
        <v>906</v>
      </c>
      <c r="Q12" s="35">
        <f>'ALL DATA &amp; IT4PROFIT'!K14</f>
        <v>871</v>
      </c>
      <c r="R12" s="35">
        <f>'ALL DATA &amp; IT4PROFIT'!D14</f>
        <v>920</v>
      </c>
      <c r="S12" s="9"/>
      <c r="T12" s="9"/>
    </row>
    <row r="13" ht="21.0" customHeight="1">
      <c r="A13" s="13"/>
      <c r="B13" s="24" t="str">
        <f>'ALL DATA &amp; IT4PROFIT'!A15</f>
        <v>HUAWEI</v>
      </c>
      <c r="C13" s="24" t="str">
        <f>'ALL DATA &amp; IT4PROFIT'!B15</f>
        <v>SUN2000-5KTL-M1</v>
      </c>
      <c r="D13" s="24" t="str">
        <f>'ALL DATA &amp; IT4PROFIT'!C15</f>
        <v>3PH HYBRID</v>
      </c>
      <c r="E13" s="25">
        <v>1.0</v>
      </c>
      <c r="F13" s="26">
        <f>'ALL DATA &amp; IT4PROFIT'!F15</f>
        <v>891</v>
      </c>
      <c r="G13" s="27">
        <f t="shared" si="1"/>
        <v>921</v>
      </c>
      <c r="H13" s="27">
        <f t="shared" si="2"/>
        <v>944.025</v>
      </c>
      <c r="I13" s="28">
        <f t="shared" si="3"/>
        <v>0.05</v>
      </c>
      <c r="J13" s="29">
        <f t="shared" si="4"/>
        <v>993.7105263</v>
      </c>
      <c r="K13" s="30">
        <f t="shared" si="5"/>
        <v>993.7105263</v>
      </c>
      <c r="L13" s="30">
        <f t="shared" si="6"/>
        <v>944.025</v>
      </c>
      <c r="M13" s="31">
        <v>0.05</v>
      </c>
      <c r="N13" s="32">
        <f>'ALL DATA &amp; IT4PROFIT'!L15</f>
        <v>930</v>
      </c>
      <c r="O13" s="35"/>
      <c r="P13" s="32">
        <f>'ALL DATA &amp; IT4PROFIT'!H15</f>
        <v>930</v>
      </c>
      <c r="Q13" s="35">
        <f>'ALL DATA &amp; IT4PROFIT'!K15</f>
        <v>919</v>
      </c>
      <c r="R13" s="35">
        <f>'ALL DATA &amp; IT4PROFIT'!D15</f>
        <v>971</v>
      </c>
      <c r="S13" s="9"/>
      <c r="T13" s="9"/>
    </row>
    <row r="14" ht="21.0" customHeight="1">
      <c r="A14" s="13"/>
      <c r="B14" s="24" t="str">
        <f>'ALL DATA &amp; IT4PROFIT'!A16</f>
        <v>HUAWEI</v>
      </c>
      <c r="C14" s="24" t="str">
        <f>'ALL DATA &amp; IT4PROFIT'!B16</f>
        <v>SUN2000-6KTL-M1</v>
      </c>
      <c r="D14" s="24" t="str">
        <f>'ALL DATA &amp; IT4PROFIT'!C16</f>
        <v>3PH HYBRID</v>
      </c>
      <c r="E14" s="25">
        <v>1.0</v>
      </c>
      <c r="F14" s="26">
        <f>'ALL DATA &amp; IT4PROFIT'!F16</f>
        <v>996</v>
      </c>
      <c r="G14" s="27">
        <f t="shared" si="1"/>
        <v>1026</v>
      </c>
      <c r="H14" s="27">
        <f t="shared" si="2"/>
        <v>1051.65</v>
      </c>
      <c r="I14" s="28">
        <f t="shared" si="3"/>
        <v>0.05</v>
      </c>
      <c r="J14" s="29">
        <f t="shared" si="4"/>
        <v>1107</v>
      </c>
      <c r="K14" s="30">
        <f t="shared" si="5"/>
        <v>1107</v>
      </c>
      <c r="L14" s="30">
        <f t="shared" si="6"/>
        <v>1051.65</v>
      </c>
      <c r="M14" s="31">
        <v>0.05</v>
      </c>
      <c r="N14" s="32">
        <f>'ALL DATA &amp; IT4PROFIT'!L16</f>
        <v>1040</v>
      </c>
      <c r="O14" s="35"/>
      <c r="P14" s="32">
        <f>'ALL DATA &amp; IT4PROFIT'!H16</f>
        <v>1090</v>
      </c>
      <c r="Q14" s="35">
        <f>'ALL DATA &amp; IT4PROFIT'!K16</f>
        <v>1028</v>
      </c>
      <c r="R14" s="35">
        <f>'ALL DATA &amp; IT4PROFIT'!D16</f>
        <v>1086</v>
      </c>
      <c r="S14" s="9"/>
      <c r="T14" s="9"/>
    </row>
    <row r="15" ht="21.0" customHeight="1">
      <c r="A15" s="13"/>
      <c r="B15" s="24" t="str">
        <f>'ALL DATA &amp; IT4PROFIT'!A17</f>
        <v>HUAWEI</v>
      </c>
      <c r="C15" s="24" t="str">
        <f>'ALL DATA &amp; IT4PROFIT'!B17</f>
        <v>SUN2000-8KTL-M1</v>
      </c>
      <c r="D15" s="24" t="str">
        <f>'ALL DATA &amp; IT4PROFIT'!C17</f>
        <v>3PH HYBRID</v>
      </c>
      <c r="E15" s="25">
        <v>1.0</v>
      </c>
      <c r="F15" s="26">
        <f>'ALL DATA &amp; IT4PROFIT'!F17</f>
        <v>1179.6</v>
      </c>
      <c r="G15" s="27">
        <f t="shared" si="1"/>
        <v>1209.6</v>
      </c>
      <c r="H15" s="27">
        <f t="shared" si="2"/>
        <v>1239.84</v>
      </c>
      <c r="I15" s="28">
        <f t="shared" si="3"/>
        <v>0.05</v>
      </c>
      <c r="J15" s="29">
        <f t="shared" si="4"/>
        <v>1305.094737</v>
      </c>
      <c r="K15" s="30">
        <f t="shared" si="5"/>
        <v>1305.094737</v>
      </c>
      <c r="L15" s="30">
        <f t="shared" si="6"/>
        <v>1239.84</v>
      </c>
      <c r="M15" s="31">
        <v>0.05</v>
      </c>
      <c r="N15" s="32">
        <f>'ALL DATA &amp; IT4PROFIT'!L17</f>
        <v>1235</v>
      </c>
      <c r="O15" s="35"/>
      <c r="P15" s="32">
        <f>'ALL DATA &amp; IT4PROFIT'!H17</f>
        <v>1260</v>
      </c>
      <c r="Q15" s="35">
        <f>'ALL DATA &amp; IT4PROFIT'!K17</f>
        <v>1219</v>
      </c>
      <c r="R15" s="35">
        <f>'ALL DATA &amp; IT4PROFIT'!D17</f>
        <v>1289</v>
      </c>
      <c r="S15" s="9"/>
      <c r="T15" s="9"/>
    </row>
    <row r="16" ht="21.0" customHeight="1">
      <c r="A16" s="13"/>
      <c r="B16" s="24" t="str">
        <f>'ALL DATA &amp; IT4PROFIT'!A18</f>
        <v>HUAWEI</v>
      </c>
      <c r="C16" s="24" t="str">
        <f>'ALL DATA &amp; IT4PROFIT'!B18</f>
        <v>SUN2000-10KTL-M1</v>
      </c>
      <c r="D16" s="24" t="str">
        <f>'ALL DATA &amp; IT4PROFIT'!C18</f>
        <v>3PH HYBRID</v>
      </c>
      <c r="E16" s="25">
        <v>1.0</v>
      </c>
      <c r="F16" s="26">
        <f>'ALL DATA &amp; IT4PROFIT'!F18</f>
        <v>1324.2</v>
      </c>
      <c r="G16" s="27">
        <f t="shared" si="1"/>
        <v>1354.2</v>
      </c>
      <c r="H16" s="27">
        <f t="shared" si="2"/>
        <v>1388.055</v>
      </c>
      <c r="I16" s="28">
        <f t="shared" si="3"/>
        <v>0.05</v>
      </c>
      <c r="J16" s="29">
        <f t="shared" si="4"/>
        <v>1461.110526</v>
      </c>
      <c r="K16" s="30">
        <f t="shared" si="5"/>
        <v>1461.110526</v>
      </c>
      <c r="L16" s="30">
        <f t="shared" si="6"/>
        <v>1388.055</v>
      </c>
      <c r="M16" s="31">
        <v>0.05</v>
      </c>
      <c r="N16" s="32">
        <f>'ALL DATA &amp; IT4PROFIT'!L18</f>
        <v>1385</v>
      </c>
      <c r="O16" s="35"/>
      <c r="P16" s="32">
        <f>'ALL DATA &amp; IT4PROFIT'!H18</f>
        <v>1385</v>
      </c>
      <c r="Q16" s="35">
        <f>'ALL DATA &amp; IT4PROFIT'!K18</f>
        <v>1369</v>
      </c>
      <c r="R16" s="35">
        <f>'ALL DATA &amp; IT4PROFIT'!D18</f>
        <v>1448</v>
      </c>
      <c r="S16" s="9"/>
      <c r="T16" s="9"/>
    </row>
    <row r="17" ht="21.0" customHeight="1">
      <c r="A17" s="13"/>
      <c r="B17" s="24" t="str">
        <f>'ALL DATA &amp; IT4PROFIT'!A19</f>
        <v>HUAWEI</v>
      </c>
      <c r="C17" s="24" t="str">
        <f>'ALL DATA &amp; IT4PROFIT'!B19</f>
        <v>SUN2000-12KTL-M5</v>
      </c>
      <c r="D17" s="24" t="str">
        <f>'ALL DATA &amp; IT4PROFIT'!C19</f>
        <v>3PH HYBRID</v>
      </c>
      <c r="E17" s="25">
        <v>1.0</v>
      </c>
      <c r="F17" s="26">
        <f>'ALL DATA &amp; IT4PROFIT'!F19</f>
        <v>1387.2</v>
      </c>
      <c r="G17" s="27">
        <f t="shared" si="1"/>
        <v>1417.2</v>
      </c>
      <c r="H17" s="27">
        <f t="shared" si="2"/>
        <v>1452.63</v>
      </c>
      <c r="I17" s="28">
        <f t="shared" si="3"/>
        <v>0.05</v>
      </c>
      <c r="J17" s="29">
        <f t="shared" si="4"/>
        <v>1529.084211</v>
      </c>
      <c r="K17" s="30">
        <f t="shared" si="5"/>
        <v>1529.084211</v>
      </c>
      <c r="L17" s="30">
        <f t="shared" si="6"/>
        <v>1452.63</v>
      </c>
      <c r="M17" s="31">
        <v>0.05</v>
      </c>
      <c r="N17" s="32">
        <f>'ALL DATA &amp; IT4PROFIT'!L19</f>
        <v>1450</v>
      </c>
      <c r="O17" s="35"/>
      <c r="P17" s="32" t="str">
        <f>'ALL DATA &amp; IT4PROFIT'!H19</f>
        <v/>
      </c>
      <c r="Q17" s="35">
        <f>'ALL DATA &amp; IT4PROFIT'!K19</f>
        <v>947.6</v>
      </c>
      <c r="R17" s="35">
        <f>'ALL DATA &amp; IT4PROFIT'!D19</f>
        <v>1515</v>
      </c>
      <c r="S17" s="9"/>
      <c r="T17" s="9"/>
    </row>
    <row r="18" ht="21.0" customHeight="1">
      <c r="A18" s="13"/>
      <c r="B18" s="24" t="str">
        <f>'ALL DATA &amp; IT4PROFIT'!A20</f>
        <v>HUAWEI</v>
      </c>
      <c r="C18" s="24" t="str">
        <f>'ALL DATA &amp; IT4PROFIT'!B20</f>
        <v>SUN2000-15KTL-M5</v>
      </c>
      <c r="D18" s="24" t="str">
        <f>'ALL DATA &amp; IT4PROFIT'!C20</f>
        <v>3PH HYBRID</v>
      </c>
      <c r="E18" s="25">
        <v>1.0</v>
      </c>
      <c r="F18" s="26">
        <f>'ALL DATA &amp; IT4PROFIT'!F20</f>
        <v>1564.2</v>
      </c>
      <c r="G18" s="27">
        <f t="shared" si="1"/>
        <v>1594.2</v>
      </c>
      <c r="H18" s="27">
        <f t="shared" si="2"/>
        <v>1634.055</v>
      </c>
      <c r="I18" s="28">
        <f t="shared" si="3"/>
        <v>0.05</v>
      </c>
      <c r="J18" s="29">
        <f t="shared" si="4"/>
        <v>1720.057895</v>
      </c>
      <c r="K18" s="30">
        <f t="shared" si="5"/>
        <v>1720.057895</v>
      </c>
      <c r="L18" s="30">
        <f t="shared" si="6"/>
        <v>1634.055</v>
      </c>
      <c r="M18" s="31">
        <v>0.05</v>
      </c>
      <c r="N18" s="32">
        <f>'ALL DATA &amp; IT4PROFIT'!L20</f>
        <v>1640</v>
      </c>
      <c r="O18" s="35"/>
      <c r="P18" s="32" t="str">
        <f>'ALL DATA &amp; IT4PROFIT'!H20</f>
        <v/>
      </c>
      <c r="Q18" s="35">
        <f>'ALL DATA &amp; IT4PROFIT'!K20</f>
        <v>1133.5</v>
      </c>
      <c r="R18" s="35">
        <f>'ALL DATA &amp; IT4PROFIT'!D20</f>
        <v>1710</v>
      </c>
      <c r="S18" s="9"/>
      <c r="T18" s="9"/>
    </row>
    <row r="19" ht="21.0" customHeight="1">
      <c r="A19" s="13"/>
      <c r="B19" s="24" t="str">
        <f>'ALL DATA &amp; IT4PROFIT'!A21</f>
        <v>HUAWEI</v>
      </c>
      <c r="C19" s="24" t="str">
        <f>'ALL DATA &amp; IT4PROFIT'!B21</f>
        <v>SUN2000-17KTL-M5</v>
      </c>
      <c r="D19" s="24" t="str">
        <f>'ALL DATA &amp; IT4PROFIT'!C21</f>
        <v>3PH HYBRID</v>
      </c>
      <c r="E19" s="25">
        <v>1.0</v>
      </c>
      <c r="F19" s="26">
        <f>'ALL DATA &amp; IT4PROFIT'!F21</f>
        <v>1597.2</v>
      </c>
      <c r="G19" s="27">
        <f t="shared" si="1"/>
        <v>1627.2</v>
      </c>
      <c r="H19" s="27">
        <f t="shared" si="2"/>
        <v>1667.88</v>
      </c>
      <c r="I19" s="28">
        <f t="shared" si="3"/>
        <v>0.05</v>
      </c>
      <c r="J19" s="29">
        <f t="shared" si="4"/>
        <v>1755.663158</v>
      </c>
      <c r="K19" s="30">
        <f t="shared" si="5"/>
        <v>1755.663158</v>
      </c>
      <c r="L19" s="30">
        <f t="shared" si="6"/>
        <v>1667.88</v>
      </c>
      <c r="M19" s="31">
        <v>0.05</v>
      </c>
      <c r="N19" s="32">
        <f>'ALL DATA &amp; IT4PROFIT'!L21</f>
        <v>1675</v>
      </c>
      <c r="O19" s="35"/>
      <c r="P19" s="32" t="str">
        <f>'ALL DATA &amp; IT4PROFIT'!H21</f>
        <v/>
      </c>
      <c r="Q19" s="35">
        <f>'ALL DATA &amp; IT4PROFIT'!K21</f>
        <v>1167.6</v>
      </c>
      <c r="R19" s="35">
        <f>'ALL DATA &amp; IT4PROFIT'!D21</f>
        <v>1447</v>
      </c>
      <c r="S19" s="9"/>
      <c r="T19" s="9"/>
    </row>
    <row r="20" ht="21.0" customHeight="1">
      <c r="A20" s="13"/>
      <c r="B20" s="24" t="str">
        <f>'ALL DATA &amp; IT4PROFIT'!A22</f>
        <v>HUAWEI</v>
      </c>
      <c r="C20" s="24" t="str">
        <f>'ALL DATA &amp; IT4PROFIT'!B22</f>
        <v>SUN2000-20KTL-M5</v>
      </c>
      <c r="D20" s="24" t="str">
        <f>'ALL DATA &amp; IT4PROFIT'!C22</f>
        <v>3PH HYBRID</v>
      </c>
      <c r="E20" s="25">
        <v>1.0</v>
      </c>
      <c r="F20" s="26">
        <f>'ALL DATA &amp; IT4PROFIT'!F22</f>
        <v>1687.2</v>
      </c>
      <c r="G20" s="27">
        <f t="shared" si="1"/>
        <v>1717.2</v>
      </c>
      <c r="H20" s="27">
        <f t="shared" si="2"/>
        <v>1760.13</v>
      </c>
      <c r="I20" s="28">
        <f t="shared" si="3"/>
        <v>0.05</v>
      </c>
      <c r="J20" s="29">
        <f t="shared" si="4"/>
        <v>1852.768421</v>
      </c>
      <c r="K20" s="30">
        <f t="shared" si="5"/>
        <v>1852.768421</v>
      </c>
      <c r="L20" s="30">
        <f t="shared" si="6"/>
        <v>1760.13</v>
      </c>
      <c r="M20" s="31">
        <v>0.05</v>
      </c>
      <c r="N20" s="32">
        <f>'ALL DATA &amp; IT4PROFIT'!L22</f>
        <v>1790</v>
      </c>
      <c r="O20" s="35"/>
      <c r="P20" s="32" t="str">
        <f>'ALL DATA &amp; IT4PROFIT'!H22</f>
        <v/>
      </c>
      <c r="Q20" s="35">
        <f>'ALL DATA &amp; IT4PROFIT'!K22</f>
        <v>1262.2</v>
      </c>
      <c r="R20" s="35">
        <f>'ALL DATA &amp; IT4PROFIT'!D22</f>
        <v>1844</v>
      </c>
      <c r="S20" s="9"/>
      <c r="T20" s="9"/>
    </row>
    <row r="21" ht="21.0" customHeight="1">
      <c r="A21" s="13"/>
      <c r="B21" s="24" t="str">
        <f>'ALL DATA &amp; IT4PROFIT'!A23</f>
        <v>HUAWEI</v>
      </c>
      <c r="C21" s="24" t="str">
        <f>'ALL DATA &amp; IT4PROFIT'!B23</f>
        <v>SUN2000-25KTL-M5</v>
      </c>
      <c r="D21" s="24" t="str">
        <f>'ALL DATA &amp; IT4PROFIT'!C23</f>
        <v>3PH HYBRID</v>
      </c>
      <c r="E21" s="25">
        <v>1.0</v>
      </c>
      <c r="F21" s="26">
        <f>'ALL DATA &amp; IT4PROFIT'!F23</f>
        <v>1742.4</v>
      </c>
      <c r="G21" s="27">
        <f t="shared" si="1"/>
        <v>1772.4</v>
      </c>
      <c r="H21" s="27">
        <f t="shared" si="2"/>
        <v>1816.71</v>
      </c>
      <c r="I21" s="28">
        <f t="shared" si="3"/>
        <v>0.05</v>
      </c>
      <c r="J21" s="29">
        <f t="shared" si="4"/>
        <v>1912.326316</v>
      </c>
      <c r="K21" s="30">
        <f t="shared" si="5"/>
        <v>1912.326316</v>
      </c>
      <c r="L21" s="30">
        <f t="shared" si="6"/>
        <v>1816.71</v>
      </c>
      <c r="M21" s="31">
        <v>0.05</v>
      </c>
      <c r="N21" s="32">
        <f>'ALL DATA &amp; IT4PROFIT'!L23</f>
        <v>1825</v>
      </c>
      <c r="O21" s="35"/>
      <c r="P21" s="32" t="str">
        <f>'ALL DATA &amp; IT4PROFIT'!H23</f>
        <v/>
      </c>
      <c r="Q21" s="35">
        <f>'ALL DATA &amp; IT4PROFIT'!K23</f>
        <v>1320.5</v>
      </c>
      <c r="R21" s="35">
        <f>'ALL DATA &amp; IT4PROFIT'!D23</f>
        <v>1906</v>
      </c>
      <c r="S21" s="9"/>
      <c r="T21" s="9"/>
    </row>
    <row r="22" ht="21.0" customHeight="1">
      <c r="A22" s="13"/>
      <c r="B22" s="24" t="str">
        <f>'ALL DATA &amp; IT4PROFIT'!A24</f>
        <v>HUAWEI</v>
      </c>
      <c r="C22" s="24" t="str">
        <f>'ALL DATA &amp; IT4PROFIT'!B24</f>
        <v>SUN2000-30KTL-M3</v>
      </c>
      <c r="D22" s="24" t="str">
        <f>'ALL DATA &amp; IT4PROFIT'!C24</f>
        <v>3PH HYBRID</v>
      </c>
      <c r="E22" s="25">
        <v>1.0</v>
      </c>
      <c r="F22" s="26">
        <f>'ALL DATA &amp; IT4PROFIT'!F24</f>
        <v>1926</v>
      </c>
      <c r="G22" s="27">
        <f t="shared" si="1"/>
        <v>1956</v>
      </c>
      <c r="H22" s="27">
        <f t="shared" si="2"/>
        <v>2004.9</v>
      </c>
      <c r="I22" s="28">
        <f t="shared" si="3"/>
        <v>0.05</v>
      </c>
      <c r="J22" s="29">
        <f t="shared" si="4"/>
        <v>2110.421053</v>
      </c>
      <c r="K22" s="30">
        <f t="shared" si="5"/>
        <v>2110.421053</v>
      </c>
      <c r="L22" s="30">
        <f t="shared" si="6"/>
        <v>2004.9</v>
      </c>
      <c r="M22" s="31">
        <v>0.05</v>
      </c>
      <c r="N22" s="32">
        <f>'ALL DATA &amp; IT4PROFIT'!L24</f>
        <v>2080</v>
      </c>
      <c r="O22" s="35"/>
      <c r="P22" s="32" t="str">
        <f>'ALL DATA &amp; IT4PROFIT'!H24</f>
        <v/>
      </c>
      <c r="Q22" s="35">
        <f>'ALL DATA &amp; IT4PROFIT'!K24</f>
        <v>1993</v>
      </c>
      <c r="R22" s="35">
        <f>'ALL DATA &amp; IT4PROFIT'!D24</f>
        <v>2106</v>
      </c>
      <c r="S22" s="9"/>
      <c r="T22" s="9"/>
    </row>
    <row r="23" ht="21.0" customHeight="1">
      <c r="A23" s="13"/>
      <c r="B23" s="24" t="str">
        <f>'ALL DATA &amp; IT4PROFIT'!A25</f>
        <v>HUAWEI</v>
      </c>
      <c r="C23" s="24" t="str">
        <f>'ALL DATA &amp; IT4PROFIT'!B25</f>
        <v>SUN2000-36KTL-M3</v>
      </c>
      <c r="D23" s="24" t="str">
        <f>'ALL DATA &amp; IT4PROFIT'!C25</f>
        <v>3PH HYBRID</v>
      </c>
      <c r="E23" s="25">
        <v>1.0</v>
      </c>
      <c r="F23" s="26">
        <f>'ALL DATA &amp; IT4PROFIT'!F25</f>
        <v>2197.8</v>
      </c>
      <c r="G23" s="27">
        <f t="shared" si="1"/>
        <v>2227.8</v>
      </c>
      <c r="H23" s="27">
        <f t="shared" si="2"/>
        <v>2283.495</v>
      </c>
      <c r="I23" s="28">
        <f t="shared" si="3"/>
        <v>0.05</v>
      </c>
      <c r="J23" s="29">
        <f t="shared" si="4"/>
        <v>2403.678947</v>
      </c>
      <c r="K23" s="30">
        <f t="shared" si="5"/>
        <v>2403.678947</v>
      </c>
      <c r="L23" s="30">
        <f t="shared" si="6"/>
        <v>2283.495</v>
      </c>
      <c r="M23" s="31">
        <v>0.05</v>
      </c>
      <c r="N23" s="32">
        <f>'ALL DATA &amp; IT4PROFIT'!L25</f>
        <v>2250</v>
      </c>
      <c r="O23" s="35"/>
      <c r="P23" s="32" t="str">
        <f>'ALL DATA &amp; IT4PROFIT'!H25</f>
        <v/>
      </c>
      <c r="Q23" s="35">
        <f>'ALL DATA &amp; IT4PROFIT'!K25</f>
        <v>2274</v>
      </c>
      <c r="R23" s="35">
        <f>'ALL DATA &amp; IT4PROFIT'!D25</f>
        <v>2405</v>
      </c>
      <c r="S23" s="9"/>
      <c r="T23" s="9"/>
    </row>
    <row r="24" ht="21.0" customHeight="1">
      <c r="A24" s="13"/>
      <c r="B24" s="24" t="str">
        <f>'ALL DATA &amp; IT4PROFIT'!A26</f>
        <v>HUAWEI</v>
      </c>
      <c r="C24" s="24" t="str">
        <f>'ALL DATA &amp; IT4PROFIT'!B26</f>
        <v>SUN2000-40KTL-M3</v>
      </c>
      <c r="D24" s="24" t="str">
        <f>'ALL DATA &amp; IT4PROFIT'!C26</f>
        <v>3PH HYBRID</v>
      </c>
      <c r="E24" s="25">
        <v>1.0</v>
      </c>
      <c r="F24" s="26">
        <f>'ALL DATA &amp; IT4PROFIT'!F26</f>
        <v>2317.2</v>
      </c>
      <c r="G24" s="27">
        <f t="shared" si="1"/>
        <v>2347.2</v>
      </c>
      <c r="H24" s="27">
        <f t="shared" si="2"/>
        <v>2405.88</v>
      </c>
      <c r="I24" s="28">
        <f t="shared" si="3"/>
        <v>0.05</v>
      </c>
      <c r="J24" s="29">
        <f t="shared" si="4"/>
        <v>2532.505263</v>
      </c>
      <c r="K24" s="30">
        <f t="shared" si="5"/>
        <v>2532.505263</v>
      </c>
      <c r="L24" s="30">
        <f t="shared" si="6"/>
        <v>2405.88</v>
      </c>
      <c r="M24" s="31">
        <v>0.05</v>
      </c>
      <c r="N24" s="32">
        <f>'ALL DATA &amp; IT4PROFIT'!L26</f>
        <v>2380</v>
      </c>
      <c r="O24" s="35"/>
      <c r="P24" s="32" t="str">
        <f>'ALL DATA &amp; IT4PROFIT'!H26</f>
        <v/>
      </c>
      <c r="Q24" s="35">
        <f>'ALL DATA &amp; IT4PROFIT'!K26</f>
        <v>2399</v>
      </c>
      <c r="R24" s="35">
        <f>'ALL DATA &amp; IT4PROFIT'!D26</f>
        <v>2536</v>
      </c>
      <c r="S24" s="9"/>
      <c r="T24" s="9"/>
    </row>
    <row r="25" ht="21.0" customHeight="1">
      <c r="A25" s="13"/>
      <c r="B25" s="24" t="str">
        <f>'ALL DATA &amp; IT4PROFIT'!A27</f>
        <v>HUAWEI</v>
      </c>
      <c r="C25" s="24" t="str">
        <f>'ALL DATA &amp; IT4PROFIT'!B27</f>
        <v>SUN2000-50KTL-M3</v>
      </c>
      <c r="D25" s="24" t="str">
        <f>'ALL DATA &amp; IT4PROFIT'!C27</f>
        <v>3PH HYBRID</v>
      </c>
      <c r="E25" s="25">
        <v>1.0</v>
      </c>
      <c r="F25" s="26">
        <f>'ALL DATA &amp; IT4PROFIT'!F27</f>
        <v>2400</v>
      </c>
      <c r="G25" s="27">
        <f t="shared" si="1"/>
        <v>2430</v>
      </c>
      <c r="H25" s="27">
        <f t="shared" si="2"/>
        <v>2490.75</v>
      </c>
      <c r="I25" s="28">
        <f t="shared" si="3"/>
        <v>0.05</v>
      </c>
      <c r="J25" s="29">
        <f t="shared" si="4"/>
        <v>2621.842105</v>
      </c>
      <c r="K25" s="30">
        <f t="shared" si="5"/>
        <v>2621.842105</v>
      </c>
      <c r="L25" s="30">
        <f t="shared" si="6"/>
        <v>2490.75</v>
      </c>
      <c r="M25" s="31">
        <v>0.05</v>
      </c>
      <c r="N25" s="32">
        <f>'ALL DATA &amp; IT4PROFIT'!L27</f>
        <v>2400</v>
      </c>
      <c r="O25" s="35"/>
      <c r="P25" s="32" t="str">
        <f>'ALL DATA &amp; IT4PROFIT'!H27</f>
        <v/>
      </c>
      <c r="Q25" s="35">
        <f>'ALL DATA &amp; IT4PROFIT'!K27</f>
        <v>2405</v>
      </c>
      <c r="R25" s="35">
        <f>'ALL DATA &amp; IT4PROFIT'!D27</f>
        <v>2543</v>
      </c>
      <c r="S25" s="9"/>
      <c r="T25" s="9"/>
    </row>
    <row r="26" ht="21.0" customHeight="1">
      <c r="A26" s="13"/>
      <c r="B26" s="24" t="str">
        <f>'ALL DATA &amp; IT4PROFIT'!A28</f>
        <v>HUAWEI</v>
      </c>
      <c r="C26" s="24" t="str">
        <f>'ALL DATA &amp; IT4PROFIT'!B28</f>
        <v>SUN2000-100KTL-M2-AFCI</v>
      </c>
      <c r="D26" s="24" t="str">
        <f>'ALL DATA &amp; IT4PROFIT'!C28</f>
        <v>3PH HYBRID</v>
      </c>
      <c r="E26" s="25">
        <v>1.0</v>
      </c>
      <c r="F26" s="26" t="str">
        <f>'ALL DATA &amp; IT4PROFIT'!F28</f>
        <v/>
      </c>
      <c r="G26" s="27">
        <f t="shared" si="1"/>
        <v>30</v>
      </c>
      <c r="H26" s="27">
        <f t="shared" si="2"/>
        <v>30.75</v>
      </c>
      <c r="I26" s="28">
        <f t="shared" si="3"/>
        <v>0.1</v>
      </c>
      <c r="J26" s="29">
        <f t="shared" si="4"/>
        <v>34.16666667</v>
      </c>
      <c r="K26" s="30">
        <f t="shared" si="5"/>
        <v>34.16666667</v>
      </c>
      <c r="L26" s="30">
        <f t="shared" si="6"/>
        <v>30.75</v>
      </c>
      <c r="M26" s="31">
        <v>0.1</v>
      </c>
      <c r="N26" s="32" t="str">
        <f>'ALL DATA &amp; IT4PROFIT'!L28</f>
        <v/>
      </c>
      <c r="O26" s="35"/>
      <c r="P26" s="32" t="str">
        <f>'ALL DATA &amp; IT4PROFIT'!H28</f>
        <v/>
      </c>
      <c r="Q26" s="35">
        <f>'ALL DATA &amp; IT4PROFIT'!K28</f>
        <v>3800</v>
      </c>
      <c r="R26" s="35">
        <f>'ALL DATA &amp; IT4PROFIT'!D28</f>
        <v>4020</v>
      </c>
      <c r="S26" s="9"/>
      <c r="T26" s="9"/>
    </row>
    <row r="27" ht="21.0" customHeight="1">
      <c r="A27" s="13"/>
      <c r="B27" s="24" t="str">
        <f>'ALL DATA &amp; IT4PROFIT'!A29</f>
        <v>HUAWEI</v>
      </c>
      <c r="C27" s="24" t="str">
        <f>'ALL DATA &amp; IT4PROFIT'!B29</f>
        <v>IV HU SUN2000 115 KTL M2</v>
      </c>
      <c r="D27" s="24" t="str">
        <f>'ALL DATA &amp; IT4PROFIT'!C29</f>
        <v/>
      </c>
      <c r="E27" s="25">
        <v>1.0</v>
      </c>
      <c r="F27" s="26" t="str">
        <f>'ALL DATA &amp; IT4PROFIT'!F29</f>
        <v/>
      </c>
      <c r="G27" s="27">
        <f t="shared" si="1"/>
        <v>30</v>
      </c>
      <c r="H27" s="27">
        <f t="shared" si="2"/>
        <v>30.75</v>
      </c>
      <c r="I27" s="28">
        <f t="shared" si="3"/>
        <v>0.1</v>
      </c>
      <c r="J27" s="29">
        <f t="shared" si="4"/>
        <v>34.16666667</v>
      </c>
      <c r="K27" s="30">
        <f t="shared" si="5"/>
        <v>34.16666667</v>
      </c>
      <c r="L27" s="30">
        <f t="shared" si="6"/>
        <v>30.75</v>
      </c>
      <c r="M27" s="31">
        <v>0.1</v>
      </c>
      <c r="N27" s="32" t="str">
        <f>'ALL DATA &amp; IT4PROFIT'!L29</f>
        <v/>
      </c>
      <c r="O27" s="35"/>
      <c r="P27" s="32" t="str">
        <f>'ALL DATA &amp; IT4PROFIT'!H29</f>
        <v/>
      </c>
      <c r="Q27" s="35">
        <f>'ALL DATA &amp; IT4PROFIT'!K29</f>
        <v>3842.6</v>
      </c>
      <c r="R27" s="35" t="str">
        <f>'ALL DATA &amp; IT4PROFIT'!D29</f>
        <v/>
      </c>
      <c r="S27" s="9"/>
      <c r="T27" s="9"/>
    </row>
    <row r="28" ht="21.0" customHeight="1">
      <c r="A28" s="13"/>
      <c r="B28" s="24" t="str">
        <f>'ALL DATA &amp; IT4PROFIT'!A30</f>
        <v>HUAWEI</v>
      </c>
      <c r="C28" s="24" t="str">
        <f>'ALL DATA &amp; IT4PROFIT'!B30</f>
        <v>IV HU SUN2000 105 KTL H1 (1500V)</v>
      </c>
      <c r="D28" s="24" t="str">
        <f>'ALL DATA &amp; IT4PROFIT'!C30</f>
        <v/>
      </c>
      <c r="E28" s="25">
        <v>1.0</v>
      </c>
      <c r="F28" s="26" t="str">
        <f>'ALL DATA &amp; IT4PROFIT'!F30</f>
        <v/>
      </c>
      <c r="G28" s="27">
        <f t="shared" si="1"/>
        <v>30</v>
      </c>
      <c r="H28" s="27">
        <f t="shared" si="2"/>
        <v>30.75</v>
      </c>
      <c r="I28" s="28">
        <f t="shared" si="3"/>
        <v>0.1</v>
      </c>
      <c r="J28" s="29">
        <f t="shared" si="4"/>
        <v>34.16666667</v>
      </c>
      <c r="K28" s="30">
        <f t="shared" si="5"/>
        <v>34.16666667</v>
      </c>
      <c r="L28" s="30">
        <f t="shared" si="6"/>
        <v>30.75</v>
      </c>
      <c r="M28" s="31">
        <v>0.1</v>
      </c>
      <c r="N28" s="32" t="str">
        <f>'ALL DATA &amp; IT4PROFIT'!L30</f>
        <v/>
      </c>
      <c r="O28" s="35"/>
      <c r="P28" s="32" t="str">
        <f>'ALL DATA &amp; IT4PROFIT'!H30</f>
        <v/>
      </c>
      <c r="Q28" s="35" t="str">
        <f>'ALL DATA &amp; IT4PROFIT'!K30</f>
        <v/>
      </c>
      <c r="R28" s="35" t="str">
        <f>'ALL DATA &amp; IT4PROFIT'!D30</f>
        <v/>
      </c>
      <c r="S28" s="9"/>
      <c r="T28" s="9"/>
    </row>
    <row r="29" ht="21.0" customHeight="1">
      <c r="A29" s="13"/>
      <c r="B29" s="24" t="str">
        <f>'ALL DATA &amp; IT4PROFIT'!A31</f>
        <v>HUAWEI</v>
      </c>
      <c r="C29" s="24" t="str">
        <f>'ALL DATA &amp; IT4PROFIT'!B31</f>
        <v>IV HU SUN2000 215 KTL-H3 (1500V)</v>
      </c>
      <c r="D29" s="24" t="str">
        <f>'ALL DATA &amp; IT4PROFIT'!C31</f>
        <v/>
      </c>
      <c r="E29" s="25">
        <v>1.0</v>
      </c>
      <c r="F29" s="26" t="str">
        <f>'ALL DATA &amp; IT4PROFIT'!F31</f>
        <v/>
      </c>
      <c r="G29" s="27">
        <f t="shared" si="1"/>
        <v>30</v>
      </c>
      <c r="H29" s="27">
        <f t="shared" si="2"/>
        <v>30.75</v>
      </c>
      <c r="I29" s="28">
        <f t="shared" si="3"/>
        <v>0.1</v>
      </c>
      <c r="J29" s="29">
        <f t="shared" si="4"/>
        <v>34.16666667</v>
      </c>
      <c r="K29" s="30">
        <f t="shared" si="5"/>
        <v>34.16666667</v>
      </c>
      <c r="L29" s="30">
        <f t="shared" si="6"/>
        <v>30.75</v>
      </c>
      <c r="M29" s="31">
        <v>0.1</v>
      </c>
      <c r="N29" s="32" t="str">
        <f>'ALL DATA &amp; IT4PROFIT'!L31</f>
        <v/>
      </c>
      <c r="O29" s="35"/>
      <c r="P29" s="32" t="str">
        <f>'ALL DATA &amp; IT4PROFIT'!H31</f>
        <v/>
      </c>
      <c r="Q29" s="35" t="str">
        <f>'ALL DATA &amp; IT4PROFIT'!K31</f>
        <v/>
      </c>
      <c r="R29" s="35" t="str">
        <f>'ALL DATA &amp; IT4PROFIT'!D31</f>
        <v/>
      </c>
      <c r="S29" s="9"/>
      <c r="T29" s="9"/>
    </row>
    <row r="30" ht="21.0" customHeight="1">
      <c r="A30" s="13"/>
      <c r="B30" s="24" t="str">
        <f>'ALL DATA &amp; IT4PROFIT'!A32</f>
        <v>HUAWEI</v>
      </c>
      <c r="C30" s="24" t="str">
        <f>'ALL DATA &amp; IT4PROFIT'!B32</f>
        <v>IV HU SUN2000-330KTL-H1 (1500V)</v>
      </c>
      <c r="D30" s="24" t="str">
        <f>'ALL DATA &amp; IT4PROFIT'!C32</f>
        <v/>
      </c>
      <c r="E30" s="25">
        <v>1.0</v>
      </c>
      <c r="F30" s="26" t="str">
        <f>'ALL DATA &amp; IT4PROFIT'!F32</f>
        <v/>
      </c>
      <c r="G30" s="27">
        <f t="shared" si="1"/>
        <v>30</v>
      </c>
      <c r="H30" s="27">
        <f t="shared" si="2"/>
        <v>30.75</v>
      </c>
      <c r="I30" s="28">
        <f t="shared" si="3"/>
        <v>0.1</v>
      </c>
      <c r="J30" s="29">
        <f t="shared" si="4"/>
        <v>34.16666667</v>
      </c>
      <c r="K30" s="30">
        <f t="shared" si="5"/>
        <v>34.16666667</v>
      </c>
      <c r="L30" s="30">
        <f t="shared" si="6"/>
        <v>30.75</v>
      </c>
      <c r="M30" s="31">
        <v>0.1</v>
      </c>
      <c r="N30" s="32" t="str">
        <f>'ALL DATA &amp; IT4PROFIT'!L32</f>
        <v/>
      </c>
      <c r="O30" s="35"/>
      <c r="P30" s="32" t="str">
        <f>'ALL DATA &amp; IT4PROFIT'!H32</f>
        <v/>
      </c>
      <c r="Q30" s="35" t="str">
        <f>'ALL DATA &amp; IT4PROFIT'!K32</f>
        <v/>
      </c>
      <c r="R30" s="35" t="str">
        <f>'ALL DATA &amp; IT4PROFIT'!D32</f>
        <v/>
      </c>
      <c r="S30" s="9"/>
      <c r="T30" s="9"/>
    </row>
    <row r="31" ht="21.0" customHeight="1">
      <c r="A31" s="13"/>
      <c r="B31" s="24" t="str">
        <f>'ALL DATA &amp; IT4PROFIT'!A33</f>
        <v>HUAWEI</v>
      </c>
      <c r="C31" s="24" t="str">
        <f>'ALL DATA &amp; IT4PROFIT'!B33</f>
        <v>SUN2000-20KTL-MBO</v>
      </c>
      <c r="D31" s="24" t="str">
        <f>'ALL DATA &amp; IT4PROFIT'!C33</f>
        <v>3PH HYBRID</v>
      </c>
      <c r="E31" s="25">
        <v>1.0</v>
      </c>
      <c r="F31" s="26">
        <f>'ALL DATA &amp; IT4PROFIT'!F33</f>
        <v>2034</v>
      </c>
      <c r="G31" s="27">
        <f t="shared" si="1"/>
        <v>2064</v>
      </c>
      <c r="H31" s="27">
        <f t="shared" si="2"/>
        <v>2115.6</v>
      </c>
      <c r="I31" s="28">
        <f t="shared" si="3"/>
        <v>0.05</v>
      </c>
      <c r="J31" s="29">
        <f t="shared" si="4"/>
        <v>2226.947368</v>
      </c>
      <c r="K31" s="30">
        <f t="shared" si="5"/>
        <v>2226.947368</v>
      </c>
      <c r="L31" s="30">
        <f t="shared" si="6"/>
        <v>2115.6</v>
      </c>
      <c r="M31" s="31">
        <v>0.05</v>
      </c>
      <c r="N31" s="32">
        <f>'ALL DATA &amp; IT4PROFIT'!L33</f>
        <v>2150</v>
      </c>
      <c r="O31" s="35"/>
      <c r="P31" s="32" t="str">
        <f>'ALL DATA &amp; IT4PROFIT'!H33</f>
        <v/>
      </c>
      <c r="Q31" s="35" t="str">
        <f>'ALL DATA &amp; IT4PROFIT'!K33</f>
        <v/>
      </c>
      <c r="R31" s="35" t="str">
        <f>'ALL DATA &amp; IT4PROFIT'!D33</f>
        <v/>
      </c>
      <c r="S31" s="9"/>
      <c r="T31" s="9"/>
    </row>
    <row r="32" ht="21.0" customHeight="1">
      <c r="A32" s="13"/>
      <c r="B32" s="24" t="str">
        <f>'ALL DATA &amp; IT4PROFIT'!A35</f>
        <v>HUAWEI</v>
      </c>
      <c r="C32" s="24" t="str">
        <f>'ALL DATA &amp; IT4PROFIT'!B35</f>
        <v>SUN2000-450W-P2</v>
      </c>
      <c r="D32" s="24" t="str">
        <f>'ALL DATA &amp; IT4PROFIT'!C35</f>
        <v>OPTIMIZER</v>
      </c>
      <c r="E32" s="25">
        <v>1.0</v>
      </c>
      <c r="F32" s="26">
        <f>'ALL DATA &amp; IT4PROFIT'!F35</f>
        <v>36</v>
      </c>
      <c r="G32" s="27">
        <f t="shared" ref="G32:G33" si="7">F32+$G$205</f>
        <v>39</v>
      </c>
      <c r="H32" s="27">
        <f t="shared" si="2"/>
        <v>39.975</v>
      </c>
      <c r="I32" s="28">
        <f t="shared" si="3"/>
        <v>0.1117</v>
      </c>
      <c r="J32" s="29">
        <f t="shared" si="4"/>
        <v>45.00168862</v>
      </c>
      <c r="K32" s="30">
        <f t="shared" si="5"/>
        <v>45.00168862</v>
      </c>
      <c r="L32" s="30">
        <f t="shared" si="6"/>
        <v>39.975</v>
      </c>
      <c r="M32" s="31">
        <v>0.1117</v>
      </c>
      <c r="N32" s="32">
        <f>'ALL DATA &amp; IT4PROFIT'!L35</f>
        <v>40</v>
      </c>
      <c r="O32" s="35"/>
      <c r="P32" s="32" t="str">
        <f>'ALL DATA &amp; IT4PROFIT'!H35</f>
        <v/>
      </c>
      <c r="Q32" s="35">
        <f>'ALL DATA &amp; IT4PROFIT'!K35</f>
        <v>38.5</v>
      </c>
      <c r="R32" s="35">
        <f>'ALL DATA &amp; IT4PROFIT'!D35</f>
        <v>41</v>
      </c>
      <c r="S32" s="9"/>
      <c r="T32" s="9"/>
    </row>
    <row r="33" ht="21.0" customHeight="1">
      <c r="A33" s="13"/>
      <c r="B33" s="24" t="str">
        <f>'ALL DATA &amp; IT4PROFIT'!A36</f>
        <v>HUAWEI</v>
      </c>
      <c r="C33" s="24" t="str">
        <f>'ALL DATA &amp; IT4PROFIT'!B36</f>
        <v>SUN2000-600W-P</v>
      </c>
      <c r="D33" s="24" t="str">
        <f>'ALL DATA &amp; IT4PROFIT'!C36</f>
        <v>OPTIMIZER</v>
      </c>
      <c r="E33" s="25">
        <v>1.0</v>
      </c>
      <c r="F33" s="26">
        <f>'ALL DATA &amp; IT4PROFIT'!F36</f>
        <v>39</v>
      </c>
      <c r="G33" s="27">
        <f t="shared" si="7"/>
        <v>42</v>
      </c>
      <c r="H33" s="27">
        <f t="shared" si="2"/>
        <v>43.05</v>
      </c>
      <c r="I33" s="28">
        <f t="shared" si="3"/>
        <v>0.103</v>
      </c>
      <c r="J33" s="29">
        <f t="shared" si="4"/>
        <v>47.99331104</v>
      </c>
      <c r="K33" s="30">
        <f t="shared" si="5"/>
        <v>47.99331104</v>
      </c>
      <c r="L33" s="30">
        <f t="shared" si="6"/>
        <v>43.05</v>
      </c>
      <c r="M33" s="31">
        <v>0.103</v>
      </c>
      <c r="N33" s="32">
        <f>'ALL DATA &amp; IT4PROFIT'!L36</f>
        <v>40</v>
      </c>
      <c r="O33" s="35"/>
      <c r="P33" s="32" t="str">
        <f>'ALL DATA &amp; IT4PROFIT'!H36</f>
        <v/>
      </c>
      <c r="Q33" s="35">
        <f>'ALL DATA &amp; IT4PROFIT'!K36</f>
        <v>39</v>
      </c>
      <c r="R33" s="35">
        <f>'ALL DATA &amp; IT4PROFIT'!D36</f>
        <v>41</v>
      </c>
      <c r="S33" s="9"/>
      <c r="T33" s="9"/>
    </row>
    <row r="34" ht="21.0" customHeight="1">
      <c r="A34" s="13"/>
      <c r="B34" s="24" t="str">
        <f>'ALL DATA &amp; IT4PROFIT'!A37</f>
        <v/>
      </c>
      <c r="C34" s="24" t="str">
        <f>'ALL DATA &amp; IT4PROFIT'!B37</f>
        <v/>
      </c>
      <c r="D34" s="24" t="str">
        <f>'ALL DATA &amp; IT4PROFIT'!C37</f>
        <v/>
      </c>
      <c r="E34" s="25">
        <v>1.0</v>
      </c>
      <c r="F34" s="26" t="str">
        <f>'ALL DATA &amp; IT4PROFIT'!F37</f>
        <v/>
      </c>
      <c r="G34" s="27">
        <f t="shared" ref="G34:G101" si="8">F34+$G$204</f>
        <v>30</v>
      </c>
      <c r="H34" s="27">
        <f t="shared" si="2"/>
        <v>30.75</v>
      </c>
      <c r="I34" s="28">
        <f t="shared" si="3"/>
        <v>0.1</v>
      </c>
      <c r="J34" s="29">
        <f t="shared" si="4"/>
        <v>34.16666667</v>
      </c>
      <c r="K34" s="30">
        <f t="shared" si="5"/>
        <v>34.16666667</v>
      </c>
      <c r="L34" s="30">
        <f t="shared" si="6"/>
        <v>30.75</v>
      </c>
      <c r="M34" s="31">
        <v>0.1</v>
      </c>
      <c r="N34" s="32" t="str">
        <f>'ALL DATA &amp; IT4PROFIT'!L37</f>
        <v/>
      </c>
      <c r="O34" s="35"/>
      <c r="P34" s="32" t="str">
        <f>'ALL DATA &amp; IT4PROFIT'!H37</f>
        <v/>
      </c>
      <c r="Q34" s="35" t="str">
        <f>'ALL DATA &amp; IT4PROFIT'!K37</f>
        <v/>
      </c>
      <c r="R34" s="35" t="str">
        <f>'ALL DATA &amp; IT4PROFIT'!D37</f>
        <v/>
      </c>
      <c r="S34" s="9"/>
      <c r="T34" s="9"/>
    </row>
    <row r="35" ht="21.0" customHeight="1">
      <c r="A35" s="13"/>
      <c r="B35" s="24" t="str">
        <f>'ALL DATA &amp; IT4PROFIT'!A38</f>
        <v/>
      </c>
      <c r="C35" s="24" t="str">
        <f>'ALL DATA &amp; IT4PROFIT'!B38</f>
        <v/>
      </c>
      <c r="D35" s="24" t="str">
        <f>'ALL DATA &amp; IT4PROFIT'!C38</f>
        <v/>
      </c>
      <c r="E35" s="25">
        <v>1.0</v>
      </c>
      <c r="F35" s="26" t="str">
        <f>'ALL DATA &amp; IT4PROFIT'!F38</f>
        <v/>
      </c>
      <c r="G35" s="27">
        <f t="shared" si="8"/>
        <v>30</v>
      </c>
      <c r="H35" s="27">
        <f t="shared" si="2"/>
        <v>30.75</v>
      </c>
      <c r="I35" s="28">
        <f t="shared" si="3"/>
        <v>0.1</v>
      </c>
      <c r="J35" s="29">
        <f t="shared" si="4"/>
        <v>34.16666667</v>
      </c>
      <c r="K35" s="30">
        <f t="shared" si="5"/>
        <v>34.16666667</v>
      </c>
      <c r="L35" s="30">
        <f t="shared" si="6"/>
        <v>30.75</v>
      </c>
      <c r="M35" s="31">
        <v>0.1</v>
      </c>
      <c r="N35" s="32" t="str">
        <f>'ALL DATA &amp; IT4PROFIT'!L38</f>
        <v/>
      </c>
      <c r="O35" s="35"/>
      <c r="P35" s="32" t="str">
        <f>'ALL DATA &amp; IT4PROFIT'!H38</f>
        <v/>
      </c>
      <c r="Q35" s="35" t="str">
        <f>'ALL DATA &amp; IT4PROFIT'!K38</f>
        <v/>
      </c>
      <c r="R35" s="35" t="str">
        <f>'ALL DATA &amp; IT4PROFIT'!D38</f>
        <v/>
      </c>
      <c r="S35" s="9"/>
      <c r="T35" s="9"/>
    </row>
    <row r="36" ht="21.0" customHeight="1">
      <c r="A36" s="13"/>
      <c r="B36" s="24" t="str">
        <f>'ALL DATA &amp; IT4PROFIT'!A39</f>
        <v>SUNGROW</v>
      </c>
      <c r="C36" s="24" t="str">
        <f>'ALL DATA &amp; IT4PROFIT'!B39</f>
        <v>IV SUNG SG2.0RS</v>
      </c>
      <c r="D36" s="24" t="str">
        <f>'ALL DATA &amp; IT4PROFIT'!C39</f>
        <v>1PH</v>
      </c>
      <c r="E36" s="25">
        <v>1.0</v>
      </c>
      <c r="F36" s="26">
        <f>'ALL DATA &amp; IT4PROFIT'!F39</f>
        <v>393</v>
      </c>
      <c r="G36" s="27">
        <f t="shared" si="8"/>
        <v>423</v>
      </c>
      <c r="H36" s="27">
        <f t="shared" si="2"/>
        <v>433.575</v>
      </c>
      <c r="I36" s="28">
        <f t="shared" si="3"/>
        <v>0.1</v>
      </c>
      <c r="J36" s="29">
        <f t="shared" si="4"/>
        <v>481.75</v>
      </c>
      <c r="K36" s="30">
        <f t="shared" si="5"/>
        <v>481.75</v>
      </c>
      <c r="L36" s="30">
        <f t="shared" si="6"/>
        <v>433.575</v>
      </c>
      <c r="M36" s="31">
        <v>0.1</v>
      </c>
      <c r="N36" s="32" t="str">
        <f>'ALL DATA &amp; IT4PROFIT'!L39</f>
        <v/>
      </c>
      <c r="O36" s="35"/>
      <c r="P36" s="32" t="str">
        <f>'ALL DATA &amp; IT4PROFIT'!H39</f>
        <v/>
      </c>
      <c r="Q36" s="35" t="str">
        <f>'ALL DATA &amp; IT4PROFIT'!K39</f>
        <v/>
      </c>
      <c r="R36" s="35" t="str">
        <f>'ALL DATA &amp; IT4PROFIT'!D39</f>
        <v/>
      </c>
      <c r="S36" s="9"/>
      <c r="T36" s="9"/>
    </row>
    <row r="37" ht="21.0" customHeight="1">
      <c r="A37" s="13"/>
      <c r="B37" s="24" t="str">
        <f>'ALL DATA &amp; IT4PROFIT'!A40</f>
        <v>SUNGROW</v>
      </c>
      <c r="C37" s="24" t="str">
        <f>'ALL DATA &amp; IT4PROFIT'!B40</f>
        <v>IV SUNG SG3.0RS</v>
      </c>
      <c r="D37" s="24" t="str">
        <f>'ALL DATA &amp; IT4PROFIT'!C40</f>
        <v>1PH</v>
      </c>
      <c r="E37" s="25">
        <v>1.0</v>
      </c>
      <c r="F37" s="26">
        <f>'ALL DATA &amp; IT4PROFIT'!F40</f>
        <v>462</v>
      </c>
      <c r="G37" s="27">
        <f t="shared" si="8"/>
        <v>492</v>
      </c>
      <c r="H37" s="27">
        <f t="shared" si="2"/>
        <v>504.3</v>
      </c>
      <c r="I37" s="28">
        <f t="shared" si="3"/>
        <v>0.1</v>
      </c>
      <c r="J37" s="29">
        <f t="shared" si="4"/>
        <v>560.3333333</v>
      </c>
      <c r="K37" s="30">
        <f t="shared" si="5"/>
        <v>560.3333333</v>
      </c>
      <c r="L37" s="30">
        <f t="shared" si="6"/>
        <v>504.3</v>
      </c>
      <c r="M37" s="31">
        <v>0.1</v>
      </c>
      <c r="N37" s="32" t="str">
        <f>'ALL DATA &amp; IT4PROFIT'!L40</f>
        <v/>
      </c>
      <c r="O37" s="35"/>
      <c r="P37" s="32" t="str">
        <f>'ALL DATA &amp; IT4PROFIT'!H40</f>
        <v/>
      </c>
      <c r="Q37" s="35" t="str">
        <f>'ALL DATA &amp; IT4PROFIT'!K40</f>
        <v/>
      </c>
      <c r="R37" s="35" t="str">
        <f>'ALL DATA &amp; IT4PROFIT'!D40</f>
        <v/>
      </c>
      <c r="S37" s="9"/>
      <c r="T37" s="9"/>
    </row>
    <row r="38" ht="21.0" customHeight="1">
      <c r="A38" s="13"/>
      <c r="B38" s="24" t="str">
        <f>'ALL DATA &amp; IT4PROFIT'!A41</f>
        <v>SUNGROW</v>
      </c>
      <c r="C38" s="24" t="str">
        <f>'ALL DATA &amp; IT4PROFIT'!B41</f>
        <v>IV SUNG SG4.0RS</v>
      </c>
      <c r="D38" s="24" t="str">
        <f>'ALL DATA &amp; IT4PROFIT'!C41</f>
        <v>1PH</v>
      </c>
      <c r="E38" s="25">
        <v>1.0</v>
      </c>
      <c r="F38" s="26">
        <f>'ALL DATA &amp; IT4PROFIT'!F41</f>
        <v>549.6</v>
      </c>
      <c r="G38" s="27">
        <f t="shared" si="8"/>
        <v>579.6</v>
      </c>
      <c r="H38" s="27">
        <f t="shared" si="2"/>
        <v>594.09</v>
      </c>
      <c r="I38" s="28">
        <f t="shared" si="3"/>
        <v>0.1</v>
      </c>
      <c r="J38" s="29">
        <f t="shared" si="4"/>
        <v>660.1</v>
      </c>
      <c r="K38" s="30">
        <f t="shared" si="5"/>
        <v>660.1</v>
      </c>
      <c r="L38" s="30">
        <f t="shared" si="6"/>
        <v>594.09</v>
      </c>
      <c r="M38" s="31">
        <v>0.1</v>
      </c>
      <c r="N38" s="32" t="str">
        <f>'ALL DATA &amp; IT4PROFIT'!L41</f>
        <v/>
      </c>
      <c r="O38" s="35"/>
      <c r="P38" s="32" t="str">
        <f>'ALL DATA &amp; IT4PROFIT'!H41</f>
        <v/>
      </c>
      <c r="Q38" s="35" t="str">
        <f>'ALL DATA &amp; IT4PROFIT'!K41</f>
        <v/>
      </c>
      <c r="R38" s="35" t="str">
        <f>'ALL DATA &amp; IT4PROFIT'!D41</f>
        <v/>
      </c>
      <c r="S38" s="9"/>
      <c r="T38" s="9"/>
    </row>
    <row r="39" ht="21.0" customHeight="1">
      <c r="A39" s="13"/>
      <c r="B39" s="24" t="str">
        <f>'ALL DATA &amp; IT4PROFIT'!A42</f>
        <v>SUNGROW</v>
      </c>
      <c r="C39" s="24" t="str">
        <f>'ALL DATA &amp; IT4PROFIT'!B42</f>
        <v>IV SUNG SG5.0RS</v>
      </c>
      <c r="D39" s="24" t="str">
        <f>'ALL DATA &amp; IT4PROFIT'!C42</f>
        <v>1PH</v>
      </c>
      <c r="E39" s="25">
        <v>1.0</v>
      </c>
      <c r="F39" s="26">
        <f>'ALL DATA &amp; IT4PROFIT'!F42</f>
        <v>593.4</v>
      </c>
      <c r="G39" s="27">
        <f t="shared" si="8"/>
        <v>623.4</v>
      </c>
      <c r="H39" s="27">
        <f t="shared" si="2"/>
        <v>638.985</v>
      </c>
      <c r="I39" s="28">
        <f t="shared" si="3"/>
        <v>0.1</v>
      </c>
      <c r="J39" s="29">
        <f t="shared" si="4"/>
        <v>709.9833333</v>
      </c>
      <c r="K39" s="30">
        <f t="shared" si="5"/>
        <v>709.9833333</v>
      </c>
      <c r="L39" s="30">
        <f t="shared" si="6"/>
        <v>638.985</v>
      </c>
      <c r="M39" s="31">
        <v>0.1</v>
      </c>
      <c r="N39" s="32" t="str">
        <f>'ALL DATA &amp; IT4PROFIT'!L42</f>
        <v/>
      </c>
      <c r="O39" s="35"/>
      <c r="P39" s="32" t="str">
        <f>'ALL DATA &amp; IT4PROFIT'!H42</f>
        <v/>
      </c>
      <c r="Q39" s="35" t="str">
        <f>'ALL DATA &amp; IT4PROFIT'!K42</f>
        <v/>
      </c>
      <c r="R39" s="35" t="str">
        <f>'ALL DATA &amp; IT4PROFIT'!D42</f>
        <v/>
      </c>
      <c r="S39" s="9"/>
      <c r="T39" s="9"/>
    </row>
    <row r="40" ht="21.0" customHeight="1">
      <c r="A40" s="13"/>
      <c r="B40" s="24" t="str">
        <f>'ALL DATA &amp; IT4PROFIT'!A43</f>
        <v>SUNGROW</v>
      </c>
      <c r="C40" s="24" t="str">
        <f>'ALL DATA &amp; IT4PROFIT'!B43</f>
        <v>IV SUNG SG3.0RT</v>
      </c>
      <c r="D40" s="24" t="str">
        <f>'ALL DATA &amp; IT4PROFIT'!C43</f>
        <v>3PH</v>
      </c>
      <c r="E40" s="25">
        <v>1.0</v>
      </c>
      <c r="F40" s="26">
        <f>'ALL DATA &amp; IT4PROFIT'!F43</f>
        <v>648</v>
      </c>
      <c r="G40" s="27">
        <f t="shared" si="8"/>
        <v>678</v>
      </c>
      <c r="H40" s="27">
        <f t="shared" si="2"/>
        <v>694.95</v>
      </c>
      <c r="I40" s="28">
        <f t="shared" si="3"/>
        <v>0.1</v>
      </c>
      <c r="J40" s="29">
        <f t="shared" si="4"/>
        <v>772.1666667</v>
      </c>
      <c r="K40" s="30">
        <f t="shared" si="5"/>
        <v>772.1666667</v>
      </c>
      <c r="L40" s="30">
        <f t="shared" si="6"/>
        <v>694.95</v>
      </c>
      <c r="M40" s="31">
        <v>0.1</v>
      </c>
      <c r="N40" s="32" t="str">
        <f>'ALL DATA &amp; IT4PROFIT'!L43</f>
        <v/>
      </c>
      <c r="O40" s="35"/>
      <c r="P40" s="32" t="str">
        <f>'ALL DATA &amp; IT4PROFIT'!H43</f>
        <v/>
      </c>
      <c r="Q40" s="35" t="str">
        <f>'ALL DATA &amp; IT4PROFIT'!K43</f>
        <v/>
      </c>
      <c r="R40" s="35" t="str">
        <f>'ALL DATA &amp; IT4PROFIT'!D43</f>
        <v/>
      </c>
      <c r="S40" s="9"/>
      <c r="T40" s="9"/>
    </row>
    <row r="41" ht="21.0" customHeight="1">
      <c r="A41" s="13"/>
      <c r="B41" s="24" t="str">
        <f>'ALL DATA &amp; IT4PROFIT'!A44</f>
        <v>SUNGROW</v>
      </c>
      <c r="C41" s="24" t="str">
        <f>'ALL DATA &amp; IT4PROFIT'!B44</f>
        <v>IV SUNG SG4.0RT</v>
      </c>
      <c r="D41" s="24" t="str">
        <f>'ALL DATA &amp; IT4PROFIT'!C44</f>
        <v>3PH</v>
      </c>
      <c r="E41" s="25">
        <v>1.0</v>
      </c>
      <c r="F41" s="26">
        <f>'ALL DATA &amp; IT4PROFIT'!F44</f>
        <v>683.4</v>
      </c>
      <c r="G41" s="27">
        <f t="shared" si="8"/>
        <v>713.4</v>
      </c>
      <c r="H41" s="27">
        <f t="shared" si="2"/>
        <v>731.235</v>
      </c>
      <c r="I41" s="28">
        <f t="shared" si="3"/>
        <v>0.1</v>
      </c>
      <c r="J41" s="29">
        <f t="shared" si="4"/>
        <v>812.4833333</v>
      </c>
      <c r="K41" s="30">
        <f t="shared" si="5"/>
        <v>812.4833333</v>
      </c>
      <c r="L41" s="30">
        <f t="shared" si="6"/>
        <v>731.235</v>
      </c>
      <c r="M41" s="31">
        <v>0.1</v>
      </c>
      <c r="N41" s="32" t="str">
        <f>'ALL DATA &amp; IT4PROFIT'!L44</f>
        <v/>
      </c>
      <c r="O41" s="35"/>
      <c r="P41" s="32" t="str">
        <f>'ALL DATA &amp; IT4PROFIT'!H44</f>
        <v/>
      </c>
      <c r="Q41" s="35" t="str">
        <f>'ALL DATA &amp; IT4PROFIT'!K44</f>
        <v/>
      </c>
      <c r="R41" s="35" t="str">
        <f>'ALL DATA &amp; IT4PROFIT'!D44</f>
        <v/>
      </c>
      <c r="S41" s="9"/>
      <c r="T41" s="9"/>
    </row>
    <row r="42" ht="21.0" customHeight="1">
      <c r="A42" s="13"/>
      <c r="B42" s="24" t="str">
        <f>'ALL DATA &amp; IT4PROFIT'!A45</f>
        <v>SUNGROW</v>
      </c>
      <c r="C42" s="24" t="str">
        <f>'ALL DATA &amp; IT4PROFIT'!B45</f>
        <v>IV SUNG SG5.0RT</v>
      </c>
      <c r="D42" s="24" t="str">
        <f>'ALL DATA &amp; IT4PROFIT'!C45</f>
        <v>3PH</v>
      </c>
      <c r="E42" s="25">
        <v>1.0</v>
      </c>
      <c r="F42" s="26">
        <f>'ALL DATA &amp; IT4PROFIT'!F45</f>
        <v>729</v>
      </c>
      <c r="G42" s="27">
        <f t="shared" si="8"/>
        <v>759</v>
      </c>
      <c r="H42" s="27">
        <f t="shared" si="2"/>
        <v>777.975</v>
      </c>
      <c r="I42" s="28">
        <f t="shared" si="3"/>
        <v>0.1</v>
      </c>
      <c r="J42" s="29">
        <f t="shared" si="4"/>
        <v>864.4166667</v>
      </c>
      <c r="K42" s="30">
        <f t="shared" si="5"/>
        <v>864.4166667</v>
      </c>
      <c r="L42" s="30">
        <f t="shared" si="6"/>
        <v>777.975</v>
      </c>
      <c r="M42" s="31">
        <v>0.1</v>
      </c>
      <c r="N42" s="32" t="str">
        <f>'ALL DATA &amp; IT4PROFIT'!L45</f>
        <v/>
      </c>
      <c r="O42" s="35"/>
      <c r="P42" s="32" t="str">
        <f>'ALL DATA &amp; IT4PROFIT'!H45</f>
        <v/>
      </c>
      <c r="Q42" s="35" t="str">
        <f>'ALL DATA &amp; IT4PROFIT'!K45</f>
        <v/>
      </c>
      <c r="R42" s="35" t="str">
        <f>'ALL DATA &amp; IT4PROFIT'!D45</f>
        <v/>
      </c>
      <c r="S42" s="9"/>
      <c r="T42" s="9"/>
    </row>
    <row r="43" ht="21.0" customHeight="1">
      <c r="A43" s="13"/>
      <c r="B43" s="24" t="str">
        <f>'ALL DATA &amp; IT4PROFIT'!A46</f>
        <v>SUNGROW</v>
      </c>
      <c r="C43" s="24" t="str">
        <f>'ALL DATA &amp; IT4PROFIT'!B46</f>
        <v>IV SUNG SG6.0RT</v>
      </c>
      <c r="D43" s="24" t="str">
        <f>'ALL DATA &amp; IT4PROFIT'!C46</f>
        <v>3PH</v>
      </c>
      <c r="E43" s="25">
        <v>1.0</v>
      </c>
      <c r="F43" s="26">
        <f>'ALL DATA &amp; IT4PROFIT'!F46</f>
        <v>747</v>
      </c>
      <c r="G43" s="27">
        <f t="shared" si="8"/>
        <v>777</v>
      </c>
      <c r="H43" s="27">
        <f t="shared" si="2"/>
        <v>796.425</v>
      </c>
      <c r="I43" s="28">
        <f t="shared" si="3"/>
        <v>0.1</v>
      </c>
      <c r="J43" s="29">
        <f t="shared" si="4"/>
        <v>884.9166667</v>
      </c>
      <c r="K43" s="30">
        <f t="shared" si="5"/>
        <v>884.9166667</v>
      </c>
      <c r="L43" s="30">
        <f t="shared" si="6"/>
        <v>796.425</v>
      </c>
      <c r="M43" s="31">
        <v>0.1</v>
      </c>
      <c r="N43" s="32" t="str">
        <f>'ALL DATA &amp; IT4PROFIT'!L46</f>
        <v/>
      </c>
      <c r="O43" s="35"/>
      <c r="P43" s="32" t="str">
        <f>'ALL DATA &amp; IT4PROFIT'!H46</f>
        <v/>
      </c>
      <c r="Q43" s="35" t="str">
        <f>'ALL DATA &amp; IT4PROFIT'!K46</f>
        <v/>
      </c>
      <c r="R43" s="35" t="str">
        <f>'ALL DATA &amp; IT4PROFIT'!D46</f>
        <v/>
      </c>
      <c r="S43" s="9"/>
      <c r="T43" s="9"/>
    </row>
    <row r="44" ht="21.0" customHeight="1">
      <c r="A44" s="13"/>
      <c r="B44" s="24" t="str">
        <f>'ALL DATA &amp; IT4PROFIT'!A47</f>
        <v>SUNGROW</v>
      </c>
      <c r="C44" s="24" t="str">
        <f>'ALL DATA &amp; IT4PROFIT'!B47</f>
        <v>IV SUNG SG8.0RT</v>
      </c>
      <c r="D44" s="24" t="str">
        <f>'ALL DATA &amp; IT4PROFIT'!C47</f>
        <v>3PH</v>
      </c>
      <c r="E44" s="25">
        <v>1.0</v>
      </c>
      <c r="F44" s="26">
        <f>'ALL DATA &amp; IT4PROFIT'!F47</f>
        <v>755.4</v>
      </c>
      <c r="G44" s="27">
        <f t="shared" si="8"/>
        <v>785.4</v>
      </c>
      <c r="H44" s="27">
        <f t="shared" si="2"/>
        <v>805.035</v>
      </c>
      <c r="I44" s="28">
        <f t="shared" si="3"/>
        <v>0.1</v>
      </c>
      <c r="J44" s="29">
        <f t="shared" si="4"/>
        <v>894.4833333</v>
      </c>
      <c r="K44" s="30">
        <f t="shared" si="5"/>
        <v>894.4833333</v>
      </c>
      <c r="L44" s="30">
        <f t="shared" si="6"/>
        <v>805.035</v>
      </c>
      <c r="M44" s="31">
        <v>0.1</v>
      </c>
      <c r="N44" s="32" t="str">
        <f>'ALL DATA &amp; IT4PROFIT'!L47</f>
        <v/>
      </c>
      <c r="O44" s="35"/>
      <c r="P44" s="32" t="str">
        <f>'ALL DATA &amp; IT4PROFIT'!H47</f>
        <v/>
      </c>
      <c r="Q44" s="35" t="str">
        <f>'ALL DATA &amp; IT4PROFIT'!K47</f>
        <v/>
      </c>
      <c r="R44" s="35" t="str">
        <f>'ALL DATA &amp; IT4PROFIT'!D47</f>
        <v/>
      </c>
      <c r="S44" s="9"/>
      <c r="T44" s="9"/>
    </row>
    <row r="45" ht="21.0" customHeight="1">
      <c r="A45" s="13"/>
      <c r="B45" s="24" t="str">
        <f>'ALL DATA &amp; IT4PROFIT'!A48</f>
        <v>SUNGROW</v>
      </c>
      <c r="C45" s="24" t="str">
        <f>'ALL DATA &amp; IT4PROFIT'!B48</f>
        <v>IV SUNG SG10.0RT</v>
      </c>
      <c r="D45" s="24" t="str">
        <f>'ALL DATA &amp; IT4PROFIT'!C48</f>
        <v>3PH</v>
      </c>
      <c r="E45" s="25">
        <v>1.0</v>
      </c>
      <c r="F45" s="26">
        <f>'ALL DATA &amp; IT4PROFIT'!F48</f>
        <v>870</v>
      </c>
      <c r="G45" s="27">
        <f t="shared" si="8"/>
        <v>900</v>
      </c>
      <c r="H45" s="27">
        <f t="shared" si="2"/>
        <v>922.5</v>
      </c>
      <c r="I45" s="28">
        <f t="shared" si="3"/>
        <v>0.1</v>
      </c>
      <c r="J45" s="29">
        <f t="shared" si="4"/>
        <v>1025</v>
      </c>
      <c r="K45" s="30">
        <f t="shared" si="5"/>
        <v>1025</v>
      </c>
      <c r="L45" s="30">
        <f t="shared" si="6"/>
        <v>922.5</v>
      </c>
      <c r="M45" s="31">
        <v>0.1</v>
      </c>
      <c r="N45" s="32" t="str">
        <f>'ALL DATA &amp; IT4PROFIT'!L48</f>
        <v/>
      </c>
      <c r="O45" s="35"/>
      <c r="P45" s="32" t="str">
        <f>'ALL DATA &amp; IT4PROFIT'!H48</f>
        <v/>
      </c>
      <c r="Q45" s="35" t="str">
        <f>'ALL DATA &amp; IT4PROFIT'!K48</f>
        <v/>
      </c>
      <c r="R45" s="35" t="str">
        <f>'ALL DATA &amp; IT4PROFIT'!D48</f>
        <v/>
      </c>
      <c r="S45" s="9"/>
      <c r="T45" s="9"/>
    </row>
    <row r="46" ht="21.0" customHeight="1">
      <c r="A46" s="13"/>
      <c r="B46" s="24" t="str">
        <f>'ALL DATA &amp; IT4PROFIT'!A49</f>
        <v>SUNGROW</v>
      </c>
      <c r="C46" s="24" t="str">
        <f>'ALL DATA &amp; IT4PROFIT'!B49</f>
        <v>IV SUNG SG12.0RT</v>
      </c>
      <c r="D46" s="24" t="str">
        <f>'ALL DATA &amp; IT4PROFIT'!C49</f>
        <v>3PH</v>
      </c>
      <c r="E46" s="25">
        <v>1.0</v>
      </c>
      <c r="F46" s="26">
        <f>'ALL DATA &amp; IT4PROFIT'!F49</f>
        <v>905.4</v>
      </c>
      <c r="G46" s="27">
        <f t="shared" si="8"/>
        <v>935.4</v>
      </c>
      <c r="H46" s="27">
        <f t="shared" si="2"/>
        <v>958.785</v>
      </c>
      <c r="I46" s="28">
        <f t="shared" si="3"/>
        <v>0.1</v>
      </c>
      <c r="J46" s="29">
        <f t="shared" si="4"/>
        <v>1065.316667</v>
      </c>
      <c r="K46" s="30">
        <f t="shared" si="5"/>
        <v>1065.316667</v>
      </c>
      <c r="L46" s="30">
        <f t="shared" si="6"/>
        <v>958.785</v>
      </c>
      <c r="M46" s="31">
        <v>0.1</v>
      </c>
      <c r="N46" s="32" t="str">
        <f>'ALL DATA &amp; IT4PROFIT'!L49</f>
        <v/>
      </c>
      <c r="O46" s="35"/>
      <c r="P46" s="32" t="str">
        <f>'ALL DATA &amp; IT4PROFIT'!H49</f>
        <v/>
      </c>
      <c r="Q46" s="35" t="str">
        <f>'ALL DATA &amp; IT4PROFIT'!K49</f>
        <v/>
      </c>
      <c r="R46" s="35" t="str">
        <f>'ALL DATA &amp; IT4PROFIT'!D49</f>
        <v/>
      </c>
      <c r="S46" s="9"/>
      <c r="T46" s="9"/>
    </row>
    <row r="47" ht="21.0" customHeight="1">
      <c r="A47" s="13"/>
      <c r="B47" s="24" t="str">
        <f>'ALL DATA &amp; IT4PROFIT'!A50</f>
        <v>SUNGROW</v>
      </c>
      <c r="C47" s="24" t="str">
        <f>'ALL DATA &amp; IT4PROFIT'!B50</f>
        <v>IV SUNG SG15.0RT</v>
      </c>
      <c r="D47" s="24" t="str">
        <f>'ALL DATA &amp; IT4PROFIT'!C50</f>
        <v>3PH</v>
      </c>
      <c r="E47" s="25">
        <v>1.0</v>
      </c>
      <c r="F47" s="26">
        <f>'ALL DATA &amp; IT4PROFIT'!F50</f>
        <v>1079.4</v>
      </c>
      <c r="G47" s="27">
        <f t="shared" si="8"/>
        <v>1109.4</v>
      </c>
      <c r="H47" s="27">
        <f t="shared" si="2"/>
        <v>1137.135</v>
      </c>
      <c r="I47" s="28">
        <f t="shared" si="3"/>
        <v>0.1</v>
      </c>
      <c r="J47" s="29">
        <f t="shared" si="4"/>
        <v>1263.483333</v>
      </c>
      <c r="K47" s="30">
        <f t="shared" si="5"/>
        <v>1263.483333</v>
      </c>
      <c r="L47" s="30">
        <f t="shared" si="6"/>
        <v>1137.135</v>
      </c>
      <c r="M47" s="31">
        <v>0.1</v>
      </c>
      <c r="N47" s="32" t="str">
        <f>'ALL DATA &amp; IT4PROFIT'!L50</f>
        <v/>
      </c>
      <c r="O47" s="35"/>
      <c r="P47" s="32" t="str">
        <f>'ALL DATA &amp; IT4PROFIT'!H50</f>
        <v/>
      </c>
      <c r="Q47" s="35" t="str">
        <f>'ALL DATA &amp; IT4PROFIT'!K50</f>
        <v/>
      </c>
      <c r="R47" s="35" t="str">
        <f>'ALL DATA &amp; IT4PROFIT'!D50</f>
        <v/>
      </c>
      <c r="S47" s="9"/>
      <c r="T47" s="9"/>
    </row>
    <row r="48" ht="21.0" customHeight="1">
      <c r="A48" s="13"/>
      <c r="B48" s="24" t="str">
        <f>'ALL DATA &amp; IT4PROFIT'!A51</f>
        <v>SUNGROW</v>
      </c>
      <c r="C48" s="24" t="str">
        <f>'ALL DATA &amp; IT4PROFIT'!B51</f>
        <v>IV SUNG SG20.0RT</v>
      </c>
      <c r="D48" s="24" t="str">
        <f>'ALL DATA &amp; IT4PROFIT'!C51</f>
        <v>3PH</v>
      </c>
      <c r="E48" s="25">
        <v>1.0</v>
      </c>
      <c r="F48" s="26">
        <f>'ALL DATA &amp; IT4PROFIT'!F51</f>
        <v>1137</v>
      </c>
      <c r="G48" s="27">
        <f t="shared" si="8"/>
        <v>1167</v>
      </c>
      <c r="H48" s="27">
        <f t="shared" si="2"/>
        <v>1196.175</v>
      </c>
      <c r="I48" s="28">
        <f t="shared" si="3"/>
        <v>0.1</v>
      </c>
      <c r="J48" s="29">
        <f t="shared" si="4"/>
        <v>1329.083333</v>
      </c>
      <c r="K48" s="30">
        <f t="shared" si="5"/>
        <v>1329.083333</v>
      </c>
      <c r="L48" s="30">
        <f t="shared" si="6"/>
        <v>1196.175</v>
      </c>
      <c r="M48" s="31">
        <v>0.1</v>
      </c>
      <c r="N48" s="32" t="str">
        <f>'ALL DATA &amp; IT4PROFIT'!L51</f>
        <v/>
      </c>
      <c r="O48" s="35"/>
      <c r="P48" s="32" t="str">
        <f>'ALL DATA &amp; IT4PROFIT'!H51</f>
        <v/>
      </c>
      <c r="Q48" s="35" t="str">
        <f>'ALL DATA &amp; IT4PROFIT'!K51</f>
        <v/>
      </c>
      <c r="R48" s="35" t="str">
        <f>'ALL DATA &amp; IT4PROFIT'!D51</f>
        <v/>
      </c>
      <c r="S48" s="9"/>
      <c r="T48" s="9"/>
    </row>
    <row r="49" ht="21.0" customHeight="1">
      <c r="A49" s="13"/>
      <c r="B49" s="24" t="str">
        <f>'ALL DATA &amp; IT4PROFIT'!A52</f>
        <v>SUNGROW</v>
      </c>
      <c r="C49" s="24" t="str">
        <f>'ALL DATA &amp; IT4PROFIT'!B52</f>
        <v>IV SUNG SG33CX</v>
      </c>
      <c r="D49" s="24" t="str">
        <f>'ALL DATA &amp; IT4PROFIT'!C52</f>
        <v>3PH</v>
      </c>
      <c r="E49" s="25">
        <v>1.0</v>
      </c>
      <c r="F49" s="26">
        <f>'ALL DATA &amp; IT4PROFIT'!F52</f>
        <v>1701</v>
      </c>
      <c r="G49" s="27">
        <f t="shared" si="8"/>
        <v>1731</v>
      </c>
      <c r="H49" s="27">
        <f t="shared" si="2"/>
        <v>1774.275</v>
      </c>
      <c r="I49" s="28">
        <f t="shared" si="3"/>
        <v>0.1</v>
      </c>
      <c r="J49" s="29">
        <f t="shared" si="4"/>
        <v>1971.416667</v>
      </c>
      <c r="K49" s="30">
        <f t="shared" si="5"/>
        <v>1971.416667</v>
      </c>
      <c r="L49" s="30">
        <f t="shared" si="6"/>
        <v>1774.275</v>
      </c>
      <c r="M49" s="31">
        <v>0.1</v>
      </c>
      <c r="N49" s="32" t="str">
        <f>'ALL DATA &amp; IT4PROFIT'!L52</f>
        <v/>
      </c>
      <c r="O49" s="35"/>
      <c r="P49" s="32" t="str">
        <f>'ALL DATA &amp; IT4PROFIT'!H52</f>
        <v/>
      </c>
      <c r="Q49" s="35" t="str">
        <f>'ALL DATA &amp; IT4PROFIT'!K52</f>
        <v/>
      </c>
      <c r="R49" s="35" t="str">
        <f>'ALL DATA &amp; IT4PROFIT'!D52</f>
        <v/>
      </c>
      <c r="S49" s="9"/>
      <c r="T49" s="9"/>
    </row>
    <row r="50" ht="21.0" customHeight="1">
      <c r="A50" s="13"/>
      <c r="B50" s="24" t="str">
        <f>'ALL DATA &amp; IT4PROFIT'!A53</f>
        <v>SUNGROW</v>
      </c>
      <c r="C50" s="24" t="str">
        <f>'ALL DATA &amp; IT4PROFIT'!B53</f>
        <v>IV SUNG SG50CX-P2</v>
      </c>
      <c r="D50" s="24" t="str">
        <f>'ALL DATA &amp; IT4PROFIT'!C53</f>
        <v>3PH</v>
      </c>
      <c r="E50" s="25">
        <v>1.0</v>
      </c>
      <c r="F50" s="26">
        <f>'ALL DATA &amp; IT4PROFIT'!F53</f>
        <v>2250</v>
      </c>
      <c r="G50" s="27">
        <f t="shared" si="8"/>
        <v>2280</v>
      </c>
      <c r="H50" s="27">
        <f t="shared" si="2"/>
        <v>2337</v>
      </c>
      <c r="I50" s="28">
        <f t="shared" si="3"/>
        <v>0.1</v>
      </c>
      <c r="J50" s="29">
        <f t="shared" si="4"/>
        <v>2596.666667</v>
      </c>
      <c r="K50" s="30">
        <f t="shared" si="5"/>
        <v>2596.666667</v>
      </c>
      <c r="L50" s="30">
        <f t="shared" si="6"/>
        <v>2337</v>
      </c>
      <c r="M50" s="31">
        <v>0.1</v>
      </c>
      <c r="N50" s="32" t="str">
        <f>'ALL DATA &amp; IT4PROFIT'!L53</f>
        <v/>
      </c>
      <c r="O50" s="35"/>
      <c r="P50" s="32" t="str">
        <f>'ALL DATA &amp; IT4PROFIT'!H53</f>
        <v/>
      </c>
      <c r="Q50" s="35" t="str">
        <f>'ALL DATA &amp; IT4PROFIT'!K53</f>
        <v/>
      </c>
      <c r="R50" s="35" t="str">
        <f>'ALL DATA &amp; IT4PROFIT'!D53</f>
        <v/>
      </c>
      <c r="S50" s="9"/>
      <c r="T50" s="9"/>
    </row>
    <row r="51" ht="21.0" customHeight="1">
      <c r="A51" s="13"/>
      <c r="B51" s="24" t="str">
        <f>'ALL DATA &amp; IT4PROFIT'!A54</f>
        <v>SUNGROW</v>
      </c>
      <c r="C51" s="24" t="str">
        <f>'ALL DATA &amp; IT4PROFIT'!B54</f>
        <v>IV SUNG SG125-250-350CX-P2</v>
      </c>
      <c r="D51" s="24" t="str">
        <f>'ALL DATA &amp; IT4PROFIT'!C54</f>
        <v>3PH</v>
      </c>
      <c r="E51" s="25">
        <v>1.0</v>
      </c>
      <c r="F51" s="26" t="str">
        <f>'ALL DATA &amp; IT4PROFIT'!F54</f>
        <v/>
      </c>
      <c r="G51" s="27">
        <f t="shared" si="8"/>
        <v>30</v>
      </c>
      <c r="H51" s="27">
        <f t="shared" si="2"/>
        <v>30.75</v>
      </c>
      <c r="I51" s="28">
        <f t="shared" si="3"/>
        <v>0.1</v>
      </c>
      <c r="J51" s="29">
        <f t="shared" si="4"/>
        <v>34.16666667</v>
      </c>
      <c r="K51" s="30">
        <f t="shared" si="5"/>
        <v>34.16666667</v>
      </c>
      <c r="L51" s="30">
        <f t="shared" si="6"/>
        <v>30.75</v>
      </c>
      <c r="M51" s="31">
        <v>0.1</v>
      </c>
      <c r="N51" s="32" t="str">
        <f>'ALL DATA &amp; IT4PROFIT'!L54</f>
        <v/>
      </c>
      <c r="O51" s="35"/>
      <c r="P51" s="32" t="str">
        <f>'ALL DATA &amp; IT4PROFIT'!H54</f>
        <v/>
      </c>
      <c r="Q51" s="35" t="str">
        <f>'ALL DATA &amp; IT4PROFIT'!K54</f>
        <v/>
      </c>
      <c r="R51" s="35" t="str">
        <f>'ALL DATA &amp; IT4PROFIT'!D54</f>
        <v/>
      </c>
      <c r="S51" s="9"/>
      <c r="T51" s="9"/>
    </row>
    <row r="52" ht="21.0" customHeight="1">
      <c r="A52" s="13"/>
      <c r="B52" s="24" t="str">
        <f>'ALL DATA &amp; IT4PROFIT'!A55</f>
        <v>SUNGROW</v>
      </c>
      <c r="C52" s="24" t="str">
        <f>'ALL DATA &amp; IT4PROFIT'!B55</f>
        <v>IVH SUNG SH3.0RS</v>
      </c>
      <c r="D52" s="24" t="str">
        <f>'ALL DATA &amp; IT4PROFIT'!C55</f>
        <v>1PH HYBRID</v>
      </c>
      <c r="E52" s="25">
        <v>1.0</v>
      </c>
      <c r="F52" s="26">
        <f>'ALL DATA &amp; IT4PROFIT'!F55</f>
        <v>684</v>
      </c>
      <c r="G52" s="27">
        <f t="shared" si="8"/>
        <v>714</v>
      </c>
      <c r="H52" s="27">
        <f t="shared" si="2"/>
        <v>731.85</v>
      </c>
      <c r="I52" s="28">
        <f t="shared" si="3"/>
        <v>0.1</v>
      </c>
      <c r="J52" s="29">
        <f t="shared" si="4"/>
        <v>813.1666667</v>
      </c>
      <c r="K52" s="30">
        <f t="shared" si="5"/>
        <v>813.1666667</v>
      </c>
      <c r="L52" s="30">
        <f t="shared" si="6"/>
        <v>731.85</v>
      </c>
      <c r="M52" s="31">
        <v>0.1</v>
      </c>
      <c r="N52" s="32" t="str">
        <f>'ALL DATA &amp; IT4PROFIT'!L55</f>
        <v/>
      </c>
      <c r="O52" s="35"/>
      <c r="P52" s="32" t="str">
        <f>'ALL DATA &amp; IT4PROFIT'!H55</f>
        <v/>
      </c>
      <c r="Q52" s="35" t="str">
        <f>'ALL DATA &amp; IT4PROFIT'!K55</f>
        <v/>
      </c>
      <c r="R52" s="35" t="str">
        <f>'ALL DATA &amp; IT4PROFIT'!D55</f>
        <v/>
      </c>
      <c r="S52" s="9"/>
      <c r="T52" s="9"/>
    </row>
    <row r="53" ht="21.0" customHeight="1">
      <c r="A53" s="13"/>
      <c r="B53" s="24" t="str">
        <f>'ALL DATA &amp; IT4PROFIT'!A56</f>
        <v>SUNGROW</v>
      </c>
      <c r="C53" s="24" t="str">
        <f>'ALL DATA &amp; IT4PROFIT'!B56</f>
        <v>IVH SUNG SH4.0RS</v>
      </c>
      <c r="D53" s="24" t="str">
        <f>'ALL DATA &amp; IT4PROFIT'!C56</f>
        <v>1PH HYBRID</v>
      </c>
      <c r="E53" s="25">
        <v>1.0</v>
      </c>
      <c r="F53" s="26">
        <f>'ALL DATA &amp; IT4PROFIT'!F56</f>
        <v>809.4</v>
      </c>
      <c r="G53" s="27">
        <f t="shared" si="8"/>
        <v>839.4</v>
      </c>
      <c r="H53" s="27">
        <f t="shared" si="2"/>
        <v>860.385</v>
      </c>
      <c r="I53" s="28">
        <f t="shared" si="3"/>
        <v>0.1</v>
      </c>
      <c r="J53" s="29">
        <f t="shared" si="4"/>
        <v>955.9833333</v>
      </c>
      <c r="K53" s="30">
        <f t="shared" si="5"/>
        <v>955.9833333</v>
      </c>
      <c r="L53" s="30">
        <f t="shared" si="6"/>
        <v>860.385</v>
      </c>
      <c r="M53" s="31">
        <v>0.1</v>
      </c>
      <c r="N53" s="32" t="str">
        <f>'ALL DATA &amp; IT4PROFIT'!L56</f>
        <v/>
      </c>
      <c r="O53" s="35"/>
      <c r="P53" s="32" t="str">
        <f>'ALL DATA &amp; IT4PROFIT'!H56</f>
        <v/>
      </c>
      <c r="Q53" s="35" t="str">
        <f>'ALL DATA &amp; IT4PROFIT'!K56</f>
        <v/>
      </c>
      <c r="R53" s="35" t="str">
        <f>'ALL DATA &amp; IT4PROFIT'!D56</f>
        <v/>
      </c>
      <c r="S53" s="9"/>
      <c r="T53" s="9"/>
    </row>
    <row r="54" ht="21.0" customHeight="1">
      <c r="A54" s="13"/>
      <c r="B54" s="24" t="str">
        <f>'ALL DATA &amp; IT4PROFIT'!A57</f>
        <v>SUNGROW</v>
      </c>
      <c r="C54" s="24" t="str">
        <f>'ALL DATA &amp; IT4PROFIT'!B57</f>
        <v>IVH SUNG SH5.0RS</v>
      </c>
      <c r="D54" s="24" t="str">
        <f>'ALL DATA &amp; IT4PROFIT'!C57</f>
        <v>1PH HYBRID</v>
      </c>
      <c r="E54" s="25">
        <v>1.0</v>
      </c>
      <c r="F54" s="26">
        <f>'ALL DATA &amp; IT4PROFIT'!F57</f>
        <v>870</v>
      </c>
      <c r="G54" s="27">
        <f t="shared" si="8"/>
        <v>900</v>
      </c>
      <c r="H54" s="27">
        <f t="shared" si="2"/>
        <v>922.5</v>
      </c>
      <c r="I54" s="28">
        <f t="shared" si="3"/>
        <v>0.1</v>
      </c>
      <c r="J54" s="29">
        <f t="shared" si="4"/>
        <v>1025</v>
      </c>
      <c r="K54" s="30">
        <f t="shared" si="5"/>
        <v>1025</v>
      </c>
      <c r="L54" s="30">
        <f t="shared" si="6"/>
        <v>922.5</v>
      </c>
      <c r="M54" s="31">
        <v>0.1</v>
      </c>
      <c r="N54" s="32" t="str">
        <f>'ALL DATA &amp; IT4PROFIT'!L57</f>
        <v/>
      </c>
      <c r="O54" s="35"/>
      <c r="P54" s="32" t="str">
        <f>'ALL DATA &amp; IT4PROFIT'!H57</f>
        <v/>
      </c>
      <c r="Q54" s="35" t="str">
        <f>'ALL DATA &amp; IT4PROFIT'!K57</f>
        <v/>
      </c>
      <c r="R54" s="35" t="str">
        <f>'ALL DATA &amp; IT4PROFIT'!D57</f>
        <v/>
      </c>
      <c r="S54" s="9"/>
      <c r="T54" s="9"/>
    </row>
    <row r="55" ht="21.0" customHeight="1">
      <c r="A55" s="13"/>
      <c r="B55" s="24" t="str">
        <f>'ALL DATA &amp; IT4PROFIT'!A58</f>
        <v>SUNGROW</v>
      </c>
      <c r="C55" s="24" t="str">
        <f>'ALL DATA &amp; IT4PROFIT'!B58</f>
        <v>IVH SUNG SH5RT V112 S</v>
      </c>
      <c r="D55" s="24" t="str">
        <f>'ALL DATA &amp; IT4PROFIT'!C58</f>
        <v>3PH HYBRID</v>
      </c>
      <c r="E55" s="25">
        <v>1.0</v>
      </c>
      <c r="F55" s="26">
        <f>'ALL DATA &amp; IT4PROFIT'!F58</f>
        <v>1294.8</v>
      </c>
      <c r="G55" s="27">
        <f t="shared" si="8"/>
        <v>1324.8</v>
      </c>
      <c r="H55" s="27">
        <f t="shared" si="2"/>
        <v>1357.92</v>
      </c>
      <c r="I55" s="28">
        <f t="shared" si="3"/>
        <v>0.1</v>
      </c>
      <c r="J55" s="29">
        <f t="shared" si="4"/>
        <v>1508.8</v>
      </c>
      <c r="K55" s="30">
        <f t="shared" si="5"/>
        <v>1508.8</v>
      </c>
      <c r="L55" s="30">
        <f t="shared" si="6"/>
        <v>1357.92</v>
      </c>
      <c r="M55" s="31">
        <v>0.1</v>
      </c>
      <c r="N55" s="32" t="str">
        <f>'ALL DATA &amp; IT4PROFIT'!L58</f>
        <v/>
      </c>
      <c r="O55" s="35"/>
      <c r="P55" s="32" t="str">
        <f>'ALL DATA &amp; IT4PROFIT'!H58</f>
        <v/>
      </c>
      <c r="Q55" s="35" t="str">
        <f>'ALL DATA &amp; IT4PROFIT'!K58</f>
        <v/>
      </c>
      <c r="R55" s="35" t="str">
        <f>'ALL DATA &amp; IT4PROFIT'!D58</f>
        <v/>
      </c>
      <c r="S55" s="9"/>
      <c r="T55" s="9"/>
    </row>
    <row r="56" ht="21.0" customHeight="1">
      <c r="A56" s="13"/>
      <c r="B56" s="24" t="str">
        <f>'ALL DATA &amp; IT4PROFIT'!A59</f>
        <v>SUNGROW</v>
      </c>
      <c r="C56" s="24" t="str">
        <f>'ALL DATA &amp; IT4PROFIT'!B59</f>
        <v>IVH SUNG SH6RT V112 S</v>
      </c>
      <c r="D56" s="24" t="str">
        <f>'ALL DATA &amp; IT4PROFIT'!C59</f>
        <v>3PH HYBRID</v>
      </c>
      <c r="E56" s="25">
        <v>1.0</v>
      </c>
      <c r="F56" s="26">
        <f>'ALL DATA &amp; IT4PROFIT'!F59</f>
        <v>1360.8</v>
      </c>
      <c r="G56" s="27">
        <f t="shared" si="8"/>
        <v>1390.8</v>
      </c>
      <c r="H56" s="27">
        <f t="shared" si="2"/>
        <v>1425.57</v>
      </c>
      <c r="I56" s="28">
        <f t="shared" si="3"/>
        <v>0.1</v>
      </c>
      <c r="J56" s="29">
        <f t="shared" si="4"/>
        <v>1583.966667</v>
      </c>
      <c r="K56" s="30">
        <f t="shared" si="5"/>
        <v>1583.966667</v>
      </c>
      <c r="L56" s="30">
        <f t="shared" si="6"/>
        <v>1425.57</v>
      </c>
      <c r="M56" s="31">
        <v>0.1</v>
      </c>
      <c r="N56" s="32" t="str">
        <f>'ALL DATA &amp; IT4PROFIT'!L59</f>
        <v/>
      </c>
      <c r="O56" s="35"/>
      <c r="P56" s="32" t="str">
        <f>'ALL DATA &amp; IT4PROFIT'!H59</f>
        <v/>
      </c>
      <c r="Q56" s="35" t="str">
        <f>'ALL DATA &amp; IT4PROFIT'!K59</f>
        <v/>
      </c>
      <c r="R56" s="35" t="str">
        <f>'ALL DATA &amp; IT4PROFIT'!D59</f>
        <v/>
      </c>
      <c r="S56" s="9"/>
      <c r="T56" s="9"/>
    </row>
    <row r="57" ht="21.0" customHeight="1">
      <c r="A57" s="13"/>
      <c r="B57" s="24" t="str">
        <f>'ALL DATA &amp; IT4PROFIT'!A60</f>
        <v>SUNGROW</v>
      </c>
      <c r="C57" s="24" t="str">
        <f>'ALL DATA &amp; IT4PROFIT'!B60</f>
        <v>IVH SUNG SH8RT V112 S</v>
      </c>
      <c r="D57" s="24" t="str">
        <f>'ALL DATA &amp; IT4PROFIT'!C60</f>
        <v>3PH HYBRID</v>
      </c>
      <c r="E57" s="25">
        <v>1.0</v>
      </c>
      <c r="F57" s="26">
        <f>'ALL DATA &amp; IT4PROFIT'!F60</f>
        <v>1421.4</v>
      </c>
      <c r="G57" s="27">
        <f t="shared" si="8"/>
        <v>1451.4</v>
      </c>
      <c r="H57" s="27">
        <f t="shared" si="2"/>
        <v>1487.685</v>
      </c>
      <c r="I57" s="28">
        <f t="shared" si="3"/>
        <v>0.1</v>
      </c>
      <c r="J57" s="29">
        <f t="shared" si="4"/>
        <v>1652.983333</v>
      </c>
      <c r="K57" s="30">
        <f t="shared" si="5"/>
        <v>1652.983333</v>
      </c>
      <c r="L57" s="30">
        <f t="shared" si="6"/>
        <v>1487.685</v>
      </c>
      <c r="M57" s="31">
        <v>0.1</v>
      </c>
      <c r="N57" s="32" t="str">
        <f>'ALL DATA &amp; IT4PROFIT'!L60</f>
        <v/>
      </c>
      <c r="O57" s="35"/>
      <c r="P57" s="32" t="str">
        <f>'ALL DATA &amp; IT4PROFIT'!H60</f>
        <v/>
      </c>
      <c r="Q57" s="35" t="str">
        <f>'ALL DATA &amp; IT4PROFIT'!K60</f>
        <v/>
      </c>
      <c r="R57" s="35" t="str">
        <f>'ALL DATA &amp; IT4PROFIT'!D60</f>
        <v/>
      </c>
      <c r="S57" s="9"/>
      <c r="T57" s="9"/>
    </row>
    <row r="58" ht="21.0" customHeight="1">
      <c r="A58" s="13"/>
      <c r="B58" s="24" t="str">
        <f>'ALL DATA &amp; IT4PROFIT'!A61</f>
        <v>SUNGROW</v>
      </c>
      <c r="C58" s="24" t="str">
        <f>'ALL DATA &amp; IT4PROFIT'!B61</f>
        <v>IVH SUNG SH10RT V112 S</v>
      </c>
      <c r="D58" s="24" t="str">
        <f>'ALL DATA &amp; IT4PROFIT'!C61</f>
        <v>3PH HYBRID</v>
      </c>
      <c r="E58" s="25">
        <v>1.0</v>
      </c>
      <c r="F58" s="26">
        <f>'ALL DATA &amp; IT4PROFIT'!F61</f>
        <v>1520.4</v>
      </c>
      <c r="G58" s="27">
        <f t="shared" si="8"/>
        <v>1550.4</v>
      </c>
      <c r="H58" s="27">
        <f t="shared" si="2"/>
        <v>1589.16</v>
      </c>
      <c r="I58" s="28">
        <f t="shared" si="3"/>
        <v>0.1</v>
      </c>
      <c r="J58" s="29">
        <f t="shared" si="4"/>
        <v>1765.733333</v>
      </c>
      <c r="K58" s="30">
        <f t="shared" si="5"/>
        <v>1765.733333</v>
      </c>
      <c r="L58" s="30">
        <f t="shared" si="6"/>
        <v>1589.16</v>
      </c>
      <c r="M58" s="31">
        <v>0.1</v>
      </c>
      <c r="N58" s="32" t="str">
        <f>'ALL DATA &amp; IT4PROFIT'!L61</f>
        <v/>
      </c>
      <c r="O58" s="35"/>
      <c r="P58" s="32" t="str">
        <f>'ALL DATA &amp; IT4PROFIT'!H61</f>
        <v/>
      </c>
      <c r="Q58" s="35" t="str">
        <f>'ALL DATA &amp; IT4PROFIT'!K61</f>
        <v/>
      </c>
      <c r="R58" s="35" t="str">
        <f>'ALL DATA &amp; IT4PROFIT'!D61</f>
        <v/>
      </c>
      <c r="S58" s="9"/>
      <c r="T58" s="9"/>
    </row>
    <row r="59" ht="21.0" customHeight="1">
      <c r="A59" s="13"/>
      <c r="B59" s="24" t="str">
        <f>'ALL DATA &amp; IT4PROFIT'!A62</f>
        <v/>
      </c>
      <c r="C59" s="24" t="str">
        <f>'ALL DATA &amp; IT4PROFIT'!B62</f>
        <v/>
      </c>
      <c r="D59" s="24" t="str">
        <f>'ALL DATA &amp; IT4PROFIT'!C62</f>
        <v/>
      </c>
      <c r="E59" s="25">
        <v>1.0</v>
      </c>
      <c r="F59" s="26" t="str">
        <f>'ALL DATA &amp; IT4PROFIT'!F62</f>
        <v/>
      </c>
      <c r="G59" s="27">
        <f t="shared" si="8"/>
        <v>30</v>
      </c>
      <c r="H59" s="27">
        <f t="shared" si="2"/>
        <v>30.75</v>
      </c>
      <c r="I59" s="28">
        <f t="shared" si="3"/>
        <v>0.1</v>
      </c>
      <c r="J59" s="29">
        <f t="shared" si="4"/>
        <v>34.16666667</v>
      </c>
      <c r="K59" s="30">
        <f t="shared" si="5"/>
        <v>34.16666667</v>
      </c>
      <c r="L59" s="30">
        <f t="shared" si="6"/>
        <v>30.75</v>
      </c>
      <c r="M59" s="31">
        <v>0.1</v>
      </c>
      <c r="N59" s="32" t="str">
        <f>'ALL DATA &amp; IT4PROFIT'!L62</f>
        <v/>
      </c>
      <c r="O59" s="35"/>
      <c r="P59" s="32" t="str">
        <f>'ALL DATA &amp; IT4PROFIT'!H62</f>
        <v/>
      </c>
      <c r="Q59" s="35" t="str">
        <f>'ALL DATA &amp; IT4PROFIT'!K62</f>
        <v/>
      </c>
      <c r="R59" s="35" t="str">
        <f>'ALL DATA &amp; IT4PROFIT'!D62</f>
        <v/>
      </c>
      <c r="S59" s="9"/>
      <c r="T59" s="9"/>
    </row>
    <row r="60" ht="21.0" customHeight="1">
      <c r="A60" s="13"/>
      <c r="B60" s="24" t="str">
        <f>'ALL DATA &amp; IT4PROFIT'!A63</f>
        <v>FRONIUS</v>
      </c>
      <c r="C60" s="24" t="str">
        <f>'ALL DATA &amp; IT4PROFIT'!B63</f>
        <v>PRIMO 3.0</v>
      </c>
      <c r="D60" s="24" t="str">
        <f>'ALL DATA &amp; IT4PROFIT'!C63</f>
        <v>1PH</v>
      </c>
      <c r="E60" s="25">
        <v>1.0</v>
      </c>
      <c r="F60" s="26">
        <f>'ALL DATA &amp; IT4PROFIT'!F63</f>
        <v>814.2</v>
      </c>
      <c r="G60" s="27">
        <f t="shared" si="8"/>
        <v>844.2</v>
      </c>
      <c r="H60" s="27">
        <f t="shared" si="2"/>
        <v>865.305</v>
      </c>
      <c r="I60" s="28">
        <f t="shared" si="3"/>
        <v>0.1</v>
      </c>
      <c r="J60" s="29">
        <f t="shared" si="4"/>
        <v>961.45</v>
      </c>
      <c r="K60" s="30">
        <f t="shared" si="5"/>
        <v>961.45</v>
      </c>
      <c r="L60" s="30">
        <f t="shared" si="6"/>
        <v>865.305</v>
      </c>
      <c r="M60" s="31">
        <v>0.1</v>
      </c>
      <c r="N60" s="32" t="str">
        <f>'ALL DATA &amp; IT4PROFIT'!L63</f>
        <v/>
      </c>
      <c r="O60" s="35">
        <f>1570-1570*0.42</f>
        <v>910.6</v>
      </c>
      <c r="P60" s="32">
        <f>'ALL DATA &amp; IT4PROFIT'!H63</f>
        <v>950</v>
      </c>
      <c r="Q60" s="35" t="str">
        <f>'ALL DATA &amp; IT4PROFIT'!K63</f>
        <v/>
      </c>
      <c r="R60" s="35" t="str">
        <f>'ALL DATA &amp; IT4PROFIT'!D63</f>
        <v/>
      </c>
      <c r="S60" s="9"/>
      <c r="T60" s="9"/>
    </row>
    <row r="61" ht="21.0" customHeight="1">
      <c r="A61" s="13"/>
      <c r="B61" s="24" t="str">
        <f>'ALL DATA &amp; IT4PROFIT'!A64</f>
        <v>FRONIUS</v>
      </c>
      <c r="C61" s="24" t="str">
        <f>'ALL DATA &amp; IT4PROFIT'!B64</f>
        <v>Fronius Primo 3.6-1</v>
      </c>
      <c r="D61" s="24" t="str">
        <f>'ALL DATA &amp; IT4PROFIT'!C64</f>
        <v/>
      </c>
      <c r="E61" s="25">
        <v>1.0</v>
      </c>
      <c r="F61" s="26">
        <f>'ALL DATA &amp; IT4PROFIT'!F64</f>
        <v>0</v>
      </c>
      <c r="G61" s="27">
        <f t="shared" si="8"/>
        <v>30</v>
      </c>
      <c r="H61" s="27">
        <f t="shared" si="2"/>
        <v>30.75</v>
      </c>
      <c r="I61" s="28">
        <f t="shared" si="3"/>
        <v>0.1</v>
      </c>
      <c r="J61" s="29">
        <f t="shared" si="4"/>
        <v>34.16666667</v>
      </c>
      <c r="K61" s="30">
        <f t="shared" si="5"/>
        <v>34.16666667</v>
      </c>
      <c r="L61" s="30">
        <f t="shared" si="6"/>
        <v>30.75</v>
      </c>
      <c r="M61" s="31">
        <v>0.1</v>
      </c>
      <c r="N61" s="32" t="str">
        <f>'ALL DATA &amp; IT4PROFIT'!L64</f>
        <v/>
      </c>
      <c r="O61" s="35"/>
      <c r="P61" s="32" t="str">
        <f>'ALL DATA &amp; IT4PROFIT'!H64</f>
        <v/>
      </c>
      <c r="Q61" s="35" t="str">
        <f>'ALL DATA &amp; IT4PROFIT'!K64</f>
        <v/>
      </c>
      <c r="R61" s="35" t="str">
        <f>'ALL DATA &amp; IT4PROFIT'!D64</f>
        <v/>
      </c>
      <c r="S61" s="9"/>
      <c r="T61" s="9"/>
    </row>
    <row r="62" ht="21.0" customHeight="1">
      <c r="A62" s="13"/>
      <c r="B62" s="24" t="str">
        <f>'ALL DATA &amp; IT4PROFIT'!A65</f>
        <v>FRONIUS</v>
      </c>
      <c r="C62" s="24" t="str">
        <f>'ALL DATA &amp; IT4PROFIT'!B65</f>
        <v>PRIMO 4.0</v>
      </c>
      <c r="D62" s="24" t="str">
        <f>'ALL DATA &amp; IT4PROFIT'!C65</f>
        <v>1PH</v>
      </c>
      <c r="E62" s="25">
        <v>1.0</v>
      </c>
      <c r="F62" s="26">
        <f>'ALL DATA &amp; IT4PROFIT'!F65</f>
        <v>886.2</v>
      </c>
      <c r="G62" s="27">
        <f t="shared" si="8"/>
        <v>916.2</v>
      </c>
      <c r="H62" s="27">
        <f t="shared" si="2"/>
        <v>939.105</v>
      </c>
      <c r="I62" s="28">
        <f t="shared" si="3"/>
        <v>0.07</v>
      </c>
      <c r="J62" s="29">
        <f t="shared" si="4"/>
        <v>1009.790323</v>
      </c>
      <c r="K62" s="30">
        <f t="shared" si="5"/>
        <v>1009.790323</v>
      </c>
      <c r="L62" s="30">
        <f t="shared" si="6"/>
        <v>939.105</v>
      </c>
      <c r="M62" s="31">
        <v>0.07</v>
      </c>
      <c r="N62" s="32" t="str">
        <f>'ALL DATA &amp; IT4PROFIT'!L65</f>
        <v/>
      </c>
      <c r="O62" s="35">
        <f>1740-1740*0.42</f>
        <v>1009.2</v>
      </c>
      <c r="P62" s="32">
        <f>'ALL DATA &amp; IT4PROFIT'!H65</f>
        <v>1026</v>
      </c>
      <c r="Q62" s="35" t="str">
        <f>'ALL DATA &amp; IT4PROFIT'!K65</f>
        <v/>
      </c>
      <c r="R62" s="35" t="str">
        <f>'ALL DATA &amp; IT4PROFIT'!D65</f>
        <v/>
      </c>
      <c r="S62" s="9"/>
      <c r="T62" s="9"/>
    </row>
    <row r="63" ht="21.0" customHeight="1">
      <c r="A63" s="13"/>
      <c r="B63" s="24" t="str">
        <f>'ALL DATA &amp; IT4PROFIT'!A66</f>
        <v>FRONIUS</v>
      </c>
      <c r="C63" s="24" t="str">
        <f>'ALL DATA &amp; IT4PROFIT'!B66</f>
        <v>Fronius Primo 4.6-1</v>
      </c>
      <c r="D63" s="24" t="str">
        <f>'ALL DATA &amp; IT4PROFIT'!C66</f>
        <v/>
      </c>
      <c r="E63" s="25">
        <v>1.0</v>
      </c>
      <c r="F63" s="26" t="str">
        <f>'ALL DATA &amp; IT4PROFIT'!F66</f>
        <v/>
      </c>
      <c r="G63" s="27">
        <f t="shared" si="8"/>
        <v>30</v>
      </c>
      <c r="H63" s="27">
        <f t="shared" si="2"/>
        <v>30.75</v>
      </c>
      <c r="I63" s="28">
        <f t="shared" si="3"/>
        <v>0.1</v>
      </c>
      <c r="J63" s="29">
        <f t="shared" si="4"/>
        <v>34.16666667</v>
      </c>
      <c r="K63" s="30">
        <f t="shared" si="5"/>
        <v>34.16666667</v>
      </c>
      <c r="L63" s="30">
        <f t="shared" si="6"/>
        <v>30.75</v>
      </c>
      <c r="M63" s="31">
        <v>0.1</v>
      </c>
      <c r="N63" s="32" t="str">
        <f>'ALL DATA &amp; IT4PROFIT'!L66</f>
        <v/>
      </c>
      <c r="O63" s="35"/>
      <c r="P63" s="32" t="str">
        <f>'ALL DATA &amp; IT4PROFIT'!H66</f>
        <v/>
      </c>
      <c r="Q63" s="35" t="str">
        <f>'ALL DATA &amp; IT4PROFIT'!K66</f>
        <v/>
      </c>
      <c r="R63" s="35" t="str">
        <f>'ALL DATA &amp; IT4PROFIT'!D66</f>
        <v/>
      </c>
      <c r="S63" s="9"/>
      <c r="T63" s="9"/>
    </row>
    <row r="64" ht="21.0" customHeight="1">
      <c r="A64" s="13"/>
      <c r="B64" s="24" t="str">
        <f>'ALL DATA &amp; IT4PROFIT'!A67</f>
        <v>FRONIUS</v>
      </c>
      <c r="C64" s="24" t="str">
        <f>'ALL DATA &amp; IT4PROFIT'!B67</f>
        <v>PRIMO 5.0</v>
      </c>
      <c r="D64" s="24" t="str">
        <f>'ALL DATA &amp; IT4PROFIT'!C67</f>
        <v>1PH</v>
      </c>
      <c r="E64" s="25">
        <v>1.0</v>
      </c>
      <c r="F64" s="26">
        <f>'ALL DATA &amp; IT4PROFIT'!F67</f>
        <v>975.6</v>
      </c>
      <c r="G64" s="27">
        <f t="shared" si="8"/>
        <v>1005.6</v>
      </c>
      <c r="H64" s="27">
        <f t="shared" si="2"/>
        <v>1030.74</v>
      </c>
      <c r="I64" s="28">
        <f t="shared" si="3"/>
        <v>0.07</v>
      </c>
      <c r="J64" s="29">
        <f t="shared" si="4"/>
        <v>1108.322581</v>
      </c>
      <c r="K64" s="30">
        <f t="shared" si="5"/>
        <v>1108.322581</v>
      </c>
      <c r="L64" s="30">
        <f t="shared" si="6"/>
        <v>1030.74</v>
      </c>
      <c r="M64" s="31">
        <v>0.07</v>
      </c>
      <c r="N64" s="32" t="str">
        <f>'ALL DATA &amp; IT4PROFIT'!L67</f>
        <v/>
      </c>
      <c r="O64" s="35">
        <f>1905-1905*0.42</f>
        <v>1104.9</v>
      </c>
      <c r="P64" s="32">
        <f>'ALL DATA &amp; IT4PROFIT'!H67</f>
        <v>1124</v>
      </c>
      <c r="Q64" s="35" t="str">
        <f>'ALL DATA &amp; IT4PROFIT'!K67</f>
        <v/>
      </c>
      <c r="R64" s="35" t="str">
        <f>'ALL DATA &amp; IT4PROFIT'!D67</f>
        <v/>
      </c>
      <c r="S64" s="9"/>
      <c r="T64" s="9"/>
    </row>
    <row r="65" ht="21.0" customHeight="1">
      <c r="A65" s="13"/>
      <c r="B65" s="24" t="str">
        <f>'ALL DATA &amp; IT4PROFIT'!A68</f>
        <v/>
      </c>
      <c r="C65" s="24" t="str">
        <f>'ALL DATA &amp; IT4PROFIT'!B68</f>
        <v/>
      </c>
      <c r="D65" s="24" t="str">
        <f>'ALL DATA &amp; IT4PROFIT'!C68</f>
        <v/>
      </c>
      <c r="E65" s="25">
        <v>1.0</v>
      </c>
      <c r="F65" s="26" t="str">
        <f>'ALL DATA &amp; IT4PROFIT'!F68</f>
        <v/>
      </c>
      <c r="G65" s="27">
        <f t="shared" si="8"/>
        <v>30</v>
      </c>
      <c r="H65" s="27">
        <f t="shared" si="2"/>
        <v>30.75</v>
      </c>
      <c r="I65" s="28">
        <f t="shared" si="3"/>
        <v>0.1</v>
      </c>
      <c r="J65" s="29">
        <f t="shared" si="4"/>
        <v>34.16666667</v>
      </c>
      <c r="K65" s="30">
        <f t="shared" si="5"/>
        <v>34.16666667</v>
      </c>
      <c r="L65" s="30">
        <f t="shared" si="6"/>
        <v>30.75</v>
      </c>
      <c r="M65" s="31">
        <v>0.1</v>
      </c>
      <c r="N65" s="32" t="str">
        <f>'ALL DATA &amp; IT4PROFIT'!L68</f>
        <v/>
      </c>
      <c r="O65" s="35"/>
      <c r="P65" s="32" t="str">
        <f>'ALL DATA &amp; IT4PROFIT'!H68</f>
        <v/>
      </c>
      <c r="Q65" s="35" t="str">
        <f>'ALL DATA &amp; IT4PROFIT'!K68</f>
        <v/>
      </c>
      <c r="R65" s="35" t="str">
        <f>'ALL DATA &amp; IT4PROFIT'!D68</f>
        <v/>
      </c>
      <c r="S65" s="9"/>
      <c r="T65" s="9"/>
    </row>
    <row r="66" ht="21.0" customHeight="1">
      <c r="A66" s="13"/>
      <c r="B66" s="24" t="str">
        <f>'ALL DATA &amp; IT4PROFIT'!A69</f>
        <v>FRONIUS</v>
      </c>
      <c r="C66" s="24" t="str">
        <f>'ALL DATA &amp; IT4PROFIT'!B69</f>
        <v>SYMO 3.0-S</v>
      </c>
      <c r="D66" s="24" t="str">
        <f>'ALL DATA &amp; IT4PROFIT'!C69</f>
        <v>3PH</v>
      </c>
      <c r="E66" s="25">
        <v>1.0</v>
      </c>
      <c r="F66" s="26">
        <f>'ALL DATA &amp; IT4PROFIT'!F69</f>
        <v>834</v>
      </c>
      <c r="G66" s="27">
        <f t="shared" si="8"/>
        <v>864</v>
      </c>
      <c r="H66" s="27">
        <f t="shared" si="2"/>
        <v>885.6</v>
      </c>
      <c r="I66" s="28">
        <f t="shared" si="3"/>
        <v>0.07</v>
      </c>
      <c r="J66" s="29">
        <f t="shared" si="4"/>
        <v>952.2580645</v>
      </c>
      <c r="K66" s="30">
        <f t="shared" si="5"/>
        <v>952.2580645</v>
      </c>
      <c r="L66" s="30">
        <f t="shared" si="6"/>
        <v>885.6</v>
      </c>
      <c r="M66" s="31">
        <v>0.07</v>
      </c>
      <c r="N66" s="32" t="str">
        <f>'ALL DATA &amp; IT4PROFIT'!L69</f>
        <v/>
      </c>
      <c r="O66" s="35">
        <f>1630-1630*0.42</f>
        <v>945.4</v>
      </c>
      <c r="P66" s="32">
        <f>'ALL DATA &amp; IT4PROFIT'!H69</f>
        <v>955</v>
      </c>
      <c r="Q66" s="35" t="str">
        <f>'ALL DATA &amp; IT4PROFIT'!K69</f>
        <v/>
      </c>
      <c r="R66" s="35" t="str">
        <f>'ALL DATA &amp; IT4PROFIT'!D69</f>
        <v/>
      </c>
      <c r="S66" s="9"/>
      <c r="T66" s="9"/>
    </row>
    <row r="67" ht="21.0" customHeight="1">
      <c r="A67" s="13"/>
      <c r="B67" s="24" t="str">
        <f>'ALL DATA &amp; IT4PROFIT'!A70</f>
        <v>FRONIUS</v>
      </c>
      <c r="C67" s="24" t="str">
        <f>'ALL DATA &amp; IT4PROFIT'!B70</f>
        <v>SYMO 3.7-S</v>
      </c>
      <c r="D67" s="24" t="str">
        <f>'ALL DATA &amp; IT4PROFIT'!C70</f>
        <v>3PH</v>
      </c>
      <c r="E67" s="25">
        <v>1.0</v>
      </c>
      <c r="F67" s="26">
        <f>'ALL DATA &amp; IT4PROFIT'!F70</f>
        <v>918</v>
      </c>
      <c r="G67" s="27">
        <f t="shared" si="8"/>
        <v>948</v>
      </c>
      <c r="H67" s="27">
        <f t="shared" si="2"/>
        <v>971.7</v>
      </c>
      <c r="I67" s="28">
        <f t="shared" si="3"/>
        <v>0.065</v>
      </c>
      <c r="J67" s="29">
        <f t="shared" si="4"/>
        <v>1039.251337</v>
      </c>
      <c r="K67" s="30">
        <f t="shared" si="5"/>
        <v>1039.251337</v>
      </c>
      <c r="L67" s="30">
        <f t="shared" si="6"/>
        <v>971.7</v>
      </c>
      <c r="M67" s="31">
        <v>0.065</v>
      </c>
      <c r="N67" s="32" t="str">
        <f>'ALL DATA &amp; IT4PROFIT'!L70</f>
        <v/>
      </c>
      <c r="O67" s="35">
        <f>1790-1790*0.42</f>
        <v>1038.2</v>
      </c>
      <c r="P67" s="32">
        <f>'ALL DATA &amp; IT4PROFIT'!H70</f>
        <v>960</v>
      </c>
      <c r="Q67" s="35" t="str">
        <f>'ALL DATA &amp; IT4PROFIT'!K70</f>
        <v/>
      </c>
      <c r="R67" s="35" t="str">
        <f>'ALL DATA &amp; IT4PROFIT'!D70</f>
        <v/>
      </c>
      <c r="S67" s="9"/>
      <c r="T67" s="9"/>
    </row>
    <row r="68" ht="21.0" customHeight="1">
      <c r="A68" s="13"/>
      <c r="B68" s="24" t="str">
        <f>'ALL DATA &amp; IT4PROFIT'!A71</f>
        <v>FRONIUS</v>
      </c>
      <c r="C68" s="24" t="str">
        <f>'ALL DATA &amp; IT4PROFIT'!B71</f>
        <v>SYMO 4.5-S</v>
      </c>
      <c r="D68" s="24" t="str">
        <f>'ALL DATA &amp; IT4PROFIT'!C71</f>
        <v>3PH</v>
      </c>
      <c r="E68" s="25">
        <v>1.0</v>
      </c>
      <c r="F68" s="26">
        <f>'ALL DATA &amp; IT4PROFIT'!F71</f>
        <v>1017.6</v>
      </c>
      <c r="G68" s="27">
        <f t="shared" si="8"/>
        <v>1047.6</v>
      </c>
      <c r="H68" s="27">
        <f t="shared" si="2"/>
        <v>1073.79</v>
      </c>
      <c r="I68" s="28">
        <f t="shared" si="3"/>
        <v>0.065</v>
      </c>
      <c r="J68" s="29">
        <f t="shared" si="4"/>
        <v>1148.438503</v>
      </c>
      <c r="K68" s="30">
        <f t="shared" si="5"/>
        <v>1148.438503</v>
      </c>
      <c r="L68" s="30">
        <f t="shared" si="6"/>
        <v>1073.79</v>
      </c>
      <c r="M68" s="31">
        <v>0.065</v>
      </c>
      <c r="N68" s="32" t="str">
        <f>'ALL DATA &amp; IT4PROFIT'!L71</f>
        <v/>
      </c>
      <c r="O68" s="35">
        <f>1980-1980*0.42</f>
        <v>1148.4</v>
      </c>
      <c r="P68" s="32" t="str">
        <f>'ALL DATA &amp; IT4PROFIT'!H71</f>
        <v/>
      </c>
      <c r="Q68" s="35" t="str">
        <f>'ALL DATA &amp; IT4PROFIT'!K71</f>
        <v/>
      </c>
      <c r="R68" s="35" t="str">
        <f>'ALL DATA &amp; IT4PROFIT'!D71</f>
        <v/>
      </c>
      <c r="S68" s="9"/>
      <c r="T68" s="9"/>
    </row>
    <row r="69" ht="21.0" customHeight="1">
      <c r="A69" s="13"/>
      <c r="B69" s="24" t="str">
        <f>'ALL DATA &amp; IT4PROFIT'!A72</f>
        <v>FRONIUS</v>
      </c>
      <c r="C69" s="24" t="str">
        <f>'ALL DATA &amp; IT4PROFIT'!B72</f>
        <v>SYMO 3.0-M</v>
      </c>
      <c r="D69" s="24" t="str">
        <f>'ALL DATA &amp; IT4PROFIT'!C72</f>
        <v>3PH</v>
      </c>
      <c r="E69" s="25">
        <v>1.0</v>
      </c>
      <c r="F69" s="26">
        <f>'ALL DATA &amp; IT4PROFIT'!F72</f>
        <v>924</v>
      </c>
      <c r="G69" s="27">
        <f t="shared" si="8"/>
        <v>954</v>
      </c>
      <c r="H69" s="27">
        <f t="shared" si="2"/>
        <v>977.85</v>
      </c>
      <c r="I69" s="28">
        <f t="shared" si="3"/>
        <v>0.065</v>
      </c>
      <c r="J69" s="29">
        <f t="shared" si="4"/>
        <v>1045.828877</v>
      </c>
      <c r="K69" s="30">
        <f t="shared" si="5"/>
        <v>1045.828877</v>
      </c>
      <c r="L69" s="30">
        <f t="shared" si="6"/>
        <v>977.85</v>
      </c>
      <c r="M69" s="31">
        <v>0.065</v>
      </c>
      <c r="N69" s="32" t="str">
        <f>'ALL DATA &amp; IT4PROFIT'!L72</f>
        <v/>
      </c>
      <c r="O69" s="35">
        <f>1800-1800*0.42</f>
        <v>1044</v>
      </c>
      <c r="P69" s="32">
        <f>'ALL DATA &amp; IT4PROFIT'!H72</f>
        <v>1040</v>
      </c>
      <c r="Q69" s="35" t="str">
        <f>'ALL DATA &amp; IT4PROFIT'!K72</f>
        <v/>
      </c>
      <c r="R69" s="35" t="str">
        <f>'ALL DATA &amp; IT4PROFIT'!D72</f>
        <v/>
      </c>
      <c r="S69" s="9"/>
      <c r="T69" s="9"/>
    </row>
    <row r="70" ht="21.0" customHeight="1">
      <c r="A70" s="13"/>
      <c r="B70" s="24" t="str">
        <f>'ALL DATA &amp; IT4PROFIT'!A73</f>
        <v>FRONIUS</v>
      </c>
      <c r="C70" s="24" t="str">
        <f>'ALL DATA &amp; IT4PROFIT'!B73</f>
        <v>SYMO 3.7-M</v>
      </c>
      <c r="D70" s="24" t="str">
        <f>'ALL DATA &amp; IT4PROFIT'!C73</f>
        <v>3PH</v>
      </c>
      <c r="E70" s="25">
        <v>1.0</v>
      </c>
      <c r="F70" s="26">
        <f>'ALL DATA &amp; IT4PROFIT'!F73</f>
        <v>1014</v>
      </c>
      <c r="G70" s="27">
        <f t="shared" si="8"/>
        <v>1044</v>
      </c>
      <c r="H70" s="27">
        <f t="shared" si="2"/>
        <v>1070.1</v>
      </c>
      <c r="I70" s="28">
        <f t="shared" si="3"/>
        <v>0.07</v>
      </c>
      <c r="J70" s="29">
        <f t="shared" si="4"/>
        <v>1150.645161</v>
      </c>
      <c r="K70" s="30">
        <f t="shared" si="5"/>
        <v>1150.645161</v>
      </c>
      <c r="L70" s="30">
        <f t="shared" si="6"/>
        <v>1070.1</v>
      </c>
      <c r="M70" s="31">
        <v>0.07</v>
      </c>
      <c r="N70" s="32" t="str">
        <f>'ALL DATA &amp; IT4PROFIT'!L73</f>
        <v/>
      </c>
      <c r="O70" s="35">
        <f>1980-1980*0.42</f>
        <v>1148.4</v>
      </c>
      <c r="P70" s="32">
        <f>'ALL DATA &amp; IT4PROFIT'!H73</f>
        <v>1168</v>
      </c>
      <c r="Q70" s="35" t="str">
        <f>'ALL DATA &amp; IT4PROFIT'!K73</f>
        <v/>
      </c>
      <c r="R70" s="35" t="str">
        <f>'ALL DATA &amp; IT4PROFIT'!D73</f>
        <v/>
      </c>
      <c r="S70" s="9"/>
      <c r="T70" s="9"/>
    </row>
    <row r="71" ht="21.0" customHeight="1">
      <c r="A71" s="13"/>
      <c r="B71" s="24" t="str">
        <f>'ALL DATA &amp; IT4PROFIT'!A74</f>
        <v>FRONIUS</v>
      </c>
      <c r="C71" s="24" t="str">
        <f>'ALL DATA &amp; IT4PROFIT'!B74</f>
        <v>SYMO 4.5-M</v>
      </c>
      <c r="D71" s="24" t="str">
        <f>'ALL DATA &amp; IT4PROFIT'!C74</f>
        <v>3PH</v>
      </c>
      <c r="E71" s="25">
        <v>1.0</v>
      </c>
      <c r="F71" s="26">
        <f>'ALL DATA &amp; IT4PROFIT'!F74</f>
        <v>1070.4</v>
      </c>
      <c r="G71" s="27">
        <f t="shared" si="8"/>
        <v>1100.4</v>
      </c>
      <c r="H71" s="27">
        <f t="shared" si="2"/>
        <v>1127.91</v>
      </c>
      <c r="I71" s="28">
        <f t="shared" si="3"/>
        <v>0.07</v>
      </c>
      <c r="J71" s="29">
        <f t="shared" si="4"/>
        <v>1212.806452</v>
      </c>
      <c r="K71" s="30">
        <f t="shared" si="5"/>
        <v>1212.806452</v>
      </c>
      <c r="L71" s="30">
        <f t="shared" si="6"/>
        <v>1127.91</v>
      </c>
      <c r="M71" s="31">
        <v>0.07</v>
      </c>
      <c r="N71" s="32" t="str">
        <f>'ALL DATA &amp; IT4PROFIT'!L74</f>
        <v/>
      </c>
      <c r="O71" s="35">
        <f>2090-2090*0.42</f>
        <v>1212.2</v>
      </c>
      <c r="P71" s="32">
        <f>'ALL DATA &amp; IT4PROFIT'!H74</f>
        <v>1240</v>
      </c>
      <c r="Q71" s="35" t="str">
        <f>'ALL DATA &amp; IT4PROFIT'!K74</f>
        <v/>
      </c>
      <c r="R71" s="35" t="str">
        <f>'ALL DATA &amp; IT4PROFIT'!D74</f>
        <v/>
      </c>
      <c r="S71" s="9"/>
      <c r="T71" s="9"/>
    </row>
    <row r="72" ht="21.0" customHeight="1">
      <c r="A72" s="13"/>
      <c r="B72" s="24" t="str">
        <f>'ALL DATA &amp; IT4PROFIT'!A75</f>
        <v>FRONIUS</v>
      </c>
      <c r="C72" s="24" t="str">
        <f>'ALL DATA &amp; IT4PROFIT'!B75</f>
        <v>SYMO 5.0-M</v>
      </c>
      <c r="D72" s="24" t="str">
        <f>'ALL DATA &amp; IT4PROFIT'!C75</f>
        <v>3PH</v>
      </c>
      <c r="E72" s="25">
        <v>1.0</v>
      </c>
      <c r="F72" s="26">
        <f>'ALL DATA &amp; IT4PROFIT'!F75</f>
        <v>1087.8</v>
      </c>
      <c r="G72" s="27">
        <f t="shared" si="8"/>
        <v>1117.8</v>
      </c>
      <c r="H72" s="27">
        <f t="shared" si="2"/>
        <v>1145.745</v>
      </c>
      <c r="I72" s="28">
        <f t="shared" si="3"/>
        <v>0.07</v>
      </c>
      <c r="J72" s="29">
        <f t="shared" si="4"/>
        <v>1231.983871</v>
      </c>
      <c r="K72" s="30">
        <f t="shared" si="5"/>
        <v>1231.983871</v>
      </c>
      <c r="L72" s="30">
        <f t="shared" si="6"/>
        <v>1145.745</v>
      </c>
      <c r="M72" s="31">
        <v>0.07</v>
      </c>
      <c r="N72" s="32" t="str">
        <f>'ALL DATA &amp; IT4PROFIT'!L75</f>
        <v/>
      </c>
      <c r="O72" s="35">
        <f>2120-2120*0.42</f>
        <v>1229.6</v>
      </c>
      <c r="P72" s="32">
        <f>'ALL DATA &amp; IT4PROFIT'!H75</f>
        <v>1250</v>
      </c>
      <c r="Q72" s="35" t="str">
        <f>'ALL DATA &amp; IT4PROFIT'!K75</f>
        <v/>
      </c>
      <c r="R72" s="35" t="str">
        <f>'ALL DATA &amp; IT4PROFIT'!D75</f>
        <v/>
      </c>
      <c r="S72" s="9"/>
      <c r="T72" s="9"/>
    </row>
    <row r="73" ht="21.0" customHeight="1">
      <c r="A73" s="13"/>
      <c r="B73" s="24" t="str">
        <f>'ALL DATA &amp; IT4PROFIT'!A76</f>
        <v>FRONIUS</v>
      </c>
      <c r="C73" s="24" t="str">
        <f>'ALL DATA &amp; IT4PROFIT'!B76</f>
        <v>SYMO 6.0-M</v>
      </c>
      <c r="D73" s="24" t="str">
        <f>'ALL DATA &amp; IT4PROFIT'!C76</f>
        <v>3PH</v>
      </c>
      <c r="E73" s="25">
        <v>1.0</v>
      </c>
      <c r="F73" s="26">
        <f>'ALL DATA &amp; IT4PROFIT'!F76</f>
        <v>1110.6</v>
      </c>
      <c r="G73" s="27">
        <f t="shared" si="8"/>
        <v>1140.6</v>
      </c>
      <c r="H73" s="27">
        <f t="shared" si="2"/>
        <v>1169.115</v>
      </c>
      <c r="I73" s="28">
        <f t="shared" si="3"/>
        <v>0.07</v>
      </c>
      <c r="J73" s="29">
        <f t="shared" si="4"/>
        <v>1257.112903</v>
      </c>
      <c r="K73" s="30">
        <f t="shared" si="5"/>
        <v>1257.112903</v>
      </c>
      <c r="L73" s="30">
        <f t="shared" si="6"/>
        <v>1169.115</v>
      </c>
      <c r="M73" s="31">
        <v>0.07</v>
      </c>
      <c r="N73" s="32" t="str">
        <f>'ALL DATA &amp; IT4PROFIT'!L76</f>
        <v/>
      </c>
      <c r="O73" s="35">
        <f>2160-2160*0.42</f>
        <v>1252.8</v>
      </c>
      <c r="P73" s="32">
        <f>'ALL DATA &amp; IT4PROFIT'!H76</f>
        <v>1274</v>
      </c>
      <c r="Q73" s="35" t="str">
        <f>'ALL DATA &amp; IT4PROFIT'!K76</f>
        <v/>
      </c>
      <c r="R73" s="35" t="str">
        <f>'ALL DATA &amp; IT4PROFIT'!D76</f>
        <v/>
      </c>
      <c r="S73" s="9"/>
      <c r="T73" s="9"/>
    </row>
    <row r="74" ht="21.0" customHeight="1">
      <c r="A74" s="13"/>
      <c r="B74" s="24" t="str">
        <f>'ALL DATA &amp; IT4PROFIT'!A77</f>
        <v>FRONIUS</v>
      </c>
      <c r="C74" s="24" t="str">
        <f>'ALL DATA &amp; IT4PROFIT'!B77</f>
        <v>SYMO 7.0-M</v>
      </c>
      <c r="D74" s="24" t="str">
        <f>'ALL DATA &amp; IT4PROFIT'!C77</f>
        <v>3PH</v>
      </c>
      <c r="E74" s="25">
        <v>1.0</v>
      </c>
      <c r="F74" s="26">
        <f>'ALL DATA &amp; IT4PROFIT'!F77</f>
        <v>1378.8</v>
      </c>
      <c r="G74" s="27">
        <f t="shared" si="8"/>
        <v>1408.8</v>
      </c>
      <c r="H74" s="27">
        <f t="shared" si="2"/>
        <v>1444.02</v>
      </c>
      <c r="I74" s="28">
        <f t="shared" si="3"/>
        <v>0.07</v>
      </c>
      <c r="J74" s="29">
        <f t="shared" si="4"/>
        <v>1552.709677</v>
      </c>
      <c r="K74" s="30">
        <f t="shared" si="5"/>
        <v>1552.709677</v>
      </c>
      <c r="L74" s="30">
        <f t="shared" si="6"/>
        <v>1444.02</v>
      </c>
      <c r="M74" s="31">
        <v>0.07</v>
      </c>
      <c r="N74" s="32" t="str">
        <f>'ALL DATA &amp; IT4PROFIT'!L77</f>
        <v/>
      </c>
      <c r="O74" s="35">
        <f>2670-2670*0.42</f>
        <v>1548.6</v>
      </c>
      <c r="P74" s="32">
        <f>'ALL DATA &amp; IT4PROFIT'!H77</f>
        <v>1580</v>
      </c>
      <c r="Q74" s="35" t="str">
        <f>'ALL DATA &amp; IT4PROFIT'!K77</f>
        <v/>
      </c>
      <c r="R74" s="35" t="str">
        <f>'ALL DATA &amp; IT4PROFIT'!D77</f>
        <v/>
      </c>
      <c r="S74" s="9"/>
      <c r="T74" s="9"/>
    </row>
    <row r="75" ht="21.0" customHeight="1">
      <c r="A75" s="13"/>
      <c r="B75" s="24" t="str">
        <f>'ALL DATA &amp; IT4PROFIT'!A78</f>
        <v>FRONIUS</v>
      </c>
      <c r="C75" s="24" t="str">
        <f>'ALL DATA &amp; IT4PROFIT'!B78</f>
        <v>SYMO 8.2-M</v>
      </c>
      <c r="D75" s="24" t="str">
        <f>'ALL DATA &amp; IT4PROFIT'!C78</f>
        <v>3PH</v>
      </c>
      <c r="E75" s="25">
        <v>1.0</v>
      </c>
      <c r="F75" s="26">
        <f>'ALL DATA &amp; IT4PROFIT'!F78</f>
        <v>1524.6</v>
      </c>
      <c r="G75" s="27">
        <f t="shared" si="8"/>
        <v>1554.6</v>
      </c>
      <c r="H75" s="27">
        <f t="shared" si="2"/>
        <v>1593.465</v>
      </c>
      <c r="I75" s="28">
        <f t="shared" si="3"/>
        <v>0.07</v>
      </c>
      <c r="J75" s="29">
        <f t="shared" si="4"/>
        <v>1713.403226</v>
      </c>
      <c r="K75" s="30">
        <f t="shared" si="5"/>
        <v>1713.403226</v>
      </c>
      <c r="L75" s="30">
        <f t="shared" si="6"/>
        <v>1593.465</v>
      </c>
      <c r="M75" s="31">
        <v>0.07</v>
      </c>
      <c r="N75" s="32" t="str">
        <f>'ALL DATA &amp; IT4PROFIT'!L78</f>
        <v/>
      </c>
      <c r="O75" s="35">
        <f>2950-2950*0.42</f>
        <v>1711</v>
      </c>
      <c r="P75" s="32">
        <f>'ALL DATA &amp; IT4PROFIT'!H78</f>
        <v>1740</v>
      </c>
      <c r="Q75" s="35" t="str">
        <f>'ALL DATA &amp; IT4PROFIT'!K78</f>
        <v/>
      </c>
      <c r="R75" s="35" t="str">
        <f>'ALL DATA &amp; IT4PROFIT'!D78</f>
        <v/>
      </c>
      <c r="S75" s="9"/>
      <c r="T75" s="9"/>
    </row>
    <row r="76" ht="21.0" customHeight="1">
      <c r="A76" s="13"/>
      <c r="B76" s="24" t="str">
        <f>'ALL DATA &amp; IT4PROFIT'!A79</f>
        <v>FRONIUS</v>
      </c>
      <c r="C76" s="24" t="str">
        <f>'ALL DATA &amp; IT4PROFIT'!B79</f>
        <v>SYMO 10.0-M</v>
      </c>
      <c r="D76" s="24" t="str">
        <f>'ALL DATA &amp; IT4PROFIT'!C79</f>
        <v>3PH</v>
      </c>
      <c r="E76" s="25">
        <v>1.0</v>
      </c>
      <c r="F76" s="26">
        <f>'ALL DATA &amp; IT4PROFIT'!F79</f>
        <v>1602.6</v>
      </c>
      <c r="G76" s="27">
        <f t="shared" si="8"/>
        <v>1632.6</v>
      </c>
      <c r="H76" s="27">
        <f t="shared" si="2"/>
        <v>1673.415</v>
      </c>
      <c r="I76" s="28">
        <f t="shared" si="3"/>
        <v>0.07</v>
      </c>
      <c r="J76" s="29">
        <f t="shared" si="4"/>
        <v>1799.370968</v>
      </c>
      <c r="K76" s="30">
        <f t="shared" si="5"/>
        <v>1799.370968</v>
      </c>
      <c r="L76" s="30">
        <f t="shared" si="6"/>
        <v>1673.415</v>
      </c>
      <c r="M76" s="31">
        <v>0.07</v>
      </c>
      <c r="N76" s="32" t="str">
        <f>'ALL DATA &amp; IT4PROFIT'!L79</f>
        <v/>
      </c>
      <c r="O76" s="35">
        <f>3100-3100*0.42</f>
        <v>1798</v>
      </c>
      <c r="P76" s="32">
        <f>'ALL DATA &amp; IT4PROFIT'!H79</f>
        <v>1895</v>
      </c>
      <c r="Q76" s="35" t="str">
        <f>'ALL DATA &amp; IT4PROFIT'!K79</f>
        <v/>
      </c>
      <c r="R76" s="35" t="str">
        <f>'ALL DATA &amp; IT4PROFIT'!D79</f>
        <v/>
      </c>
      <c r="S76" s="9"/>
      <c r="T76" s="9"/>
    </row>
    <row r="77" ht="21.0" customHeight="1">
      <c r="A77" s="13"/>
      <c r="B77" s="24" t="str">
        <f>'ALL DATA &amp; IT4PROFIT'!A80</f>
        <v>FRONIUS</v>
      </c>
      <c r="C77" s="24" t="str">
        <f>'ALL DATA &amp; IT4PROFIT'!B80</f>
        <v>SYMO 12.5-3-M</v>
      </c>
      <c r="D77" s="24" t="str">
        <f>'ALL DATA &amp; IT4PROFIT'!C80</f>
        <v>3PH</v>
      </c>
      <c r="E77" s="25">
        <v>1.0</v>
      </c>
      <c r="F77" s="26">
        <f>'ALL DATA &amp; IT4PROFIT'!F80</f>
        <v>1755</v>
      </c>
      <c r="G77" s="27">
        <f t="shared" si="8"/>
        <v>1785</v>
      </c>
      <c r="H77" s="27">
        <f t="shared" si="2"/>
        <v>1829.625</v>
      </c>
      <c r="I77" s="28">
        <f t="shared" si="3"/>
        <v>0.1</v>
      </c>
      <c r="J77" s="29">
        <f t="shared" si="4"/>
        <v>2032.916667</v>
      </c>
      <c r="K77" s="30">
        <f t="shared" si="5"/>
        <v>2032.916667</v>
      </c>
      <c r="L77" s="30">
        <f t="shared" si="6"/>
        <v>1829.625</v>
      </c>
      <c r="M77" s="31">
        <v>0.1</v>
      </c>
      <c r="N77" s="32" t="str">
        <f>'ALL DATA &amp; IT4PROFIT'!L80</f>
        <v/>
      </c>
      <c r="O77" s="35"/>
      <c r="P77" s="32" t="str">
        <f>'ALL DATA &amp; IT4PROFIT'!H80</f>
        <v/>
      </c>
      <c r="Q77" s="35" t="str">
        <f>'ALL DATA &amp; IT4PROFIT'!K80</f>
        <v/>
      </c>
      <c r="R77" s="35" t="str">
        <f>'ALL DATA &amp; IT4PROFIT'!D80</f>
        <v/>
      </c>
      <c r="S77" s="9"/>
      <c r="T77" s="9"/>
    </row>
    <row r="78" ht="21.0" customHeight="1">
      <c r="A78" s="13"/>
      <c r="B78" s="24" t="str">
        <f>'ALL DATA &amp; IT4PROFIT'!A81</f>
        <v>FRONIUS</v>
      </c>
      <c r="C78" s="24" t="str">
        <f>'ALL DATA &amp; IT4PROFIT'!B81</f>
        <v>SYMO 15.0-3-M</v>
      </c>
      <c r="D78" s="24" t="str">
        <f>'ALL DATA &amp; IT4PROFIT'!C81</f>
        <v>3PH</v>
      </c>
      <c r="E78" s="25">
        <v>1.0</v>
      </c>
      <c r="F78" s="26">
        <f>'ALL DATA &amp; IT4PROFIT'!F81</f>
        <v>1767.6</v>
      </c>
      <c r="G78" s="27">
        <f t="shared" si="8"/>
        <v>1797.6</v>
      </c>
      <c r="H78" s="27">
        <f t="shared" si="2"/>
        <v>1842.54</v>
      </c>
      <c r="I78" s="28">
        <f t="shared" si="3"/>
        <v>0.1</v>
      </c>
      <c r="J78" s="29">
        <f t="shared" si="4"/>
        <v>2047.266667</v>
      </c>
      <c r="K78" s="30">
        <f t="shared" si="5"/>
        <v>2047.266667</v>
      </c>
      <c r="L78" s="30">
        <f t="shared" si="6"/>
        <v>1842.54</v>
      </c>
      <c r="M78" s="31">
        <v>0.1</v>
      </c>
      <c r="N78" s="32" t="str">
        <f>'ALL DATA &amp; IT4PROFIT'!L81</f>
        <v/>
      </c>
      <c r="O78" s="35"/>
      <c r="P78" s="32" t="str">
        <f>'ALL DATA &amp; IT4PROFIT'!H81</f>
        <v/>
      </c>
      <c r="Q78" s="35" t="str">
        <f>'ALL DATA &amp; IT4PROFIT'!K81</f>
        <v/>
      </c>
      <c r="R78" s="35" t="str">
        <f>'ALL DATA &amp; IT4PROFIT'!D81</f>
        <v/>
      </c>
      <c r="S78" s="9"/>
      <c r="T78" s="9"/>
    </row>
    <row r="79" ht="21.0" customHeight="1">
      <c r="A79" s="13"/>
      <c r="B79" s="24" t="str">
        <f>'ALL DATA &amp; IT4PROFIT'!A82</f>
        <v>FRONIUS</v>
      </c>
      <c r="C79" s="24" t="str">
        <f>'ALL DATA &amp; IT4PROFIT'!B82</f>
        <v>SYMO 17.5-3-M</v>
      </c>
      <c r="D79" s="24" t="str">
        <f>'ALL DATA &amp; IT4PROFIT'!C82</f>
        <v>3PH</v>
      </c>
      <c r="E79" s="25">
        <v>1.0</v>
      </c>
      <c r="F79" s="26">
        <f>'ALL DATA &amp; IT4PROFIT'!F82</f>
        <v>1886.4</v>
      </c>
      <c r="G79" s="27">
        <f t="shared" si="8"/>
        <v>1916.4</v>
      </c>
      <c r="H79" s="27">
        <f t="shared" si="2"/>
        <v>1964.31</v>
      </c>
      <c r="I79" s="28">
        <f t="shared" si="3"/>
        <v>0.1</v>
      </c>
      <c r="J79" s="29">
        <f t="shared" si="4"/>
        <v>2182.566667</v>
      </c>
      <c r="K79" s="30">
        <f t="shared" si="5"/>
        <v>2182.566667</v>
      </c>
      <c r="L79" s="30">
        <f t="shared" si="6"/>
        <v>1964.31</v>
      </c>
      <c r="M79" s="31">
        <v>0.1</v>
      </c>
      <c r="N79" s="32" t="str">
        <f>'ALL DATA &amp; IT4PROFIT'!L82</f>
        <v/>
      </c>
      <c r="O79" s="35"/>
      <c r="P79" s="32" t="str">
        <f>'ALL DATA &amp; IT4PROFIT'!H82</f>
        <v/>
      </c>
      <c r="Q79" s="35" t="str">
        <f>'ALL DATA &amp; IT4PROFIT'!K82</f>
        <v/>
      </c>
      <c r="R79" s="35" t="str">
        <f>'ALL DATA &amp; IT4PROFIT'!D82</f>
        <v/>
      </c>
      <c r="S79" s="9"/>
      <c r="T79" s="9"/>
    </row>
    <row r="80" ht="21.0" customHeight="1">
      <c r="A80" s="13"/>
      <c r="B80" s="24" t="str">
        <f>'ALL DATA &amp; IT4PROFIT'!A83</f>
        <v>FRONIUS</v>
      </c>
      <c r="C80" s="24" t="str">
        <f>'ALL DATA &amp; IT4PROFIT'!B83</f>
        <v>SYMO 20.0-3-M</v>
      </c>
      <c r="D80" s="24" t="str">
        <f>'ALL DATA &amp; IT4PROFIT'!C83</f>
        <v>3PH</v>
      </c>
      <c r="E80" s="25">
        <v>1.0</v>
      </c>
      <c r="F80" s="26">
        <f>'ALL DATA &amp; IT4PROFIT'!F83</f>
        <v>1970.4</v>
      </c>
      <c r="G80" s="27">
        <f t="shared" si="8"/>
        <v>2000.4</v>
      </c>
      <c r="H80" s="27">
        <f t="shared" si="2"/>
        <v>2050.41</v>
      </c>
      <c r="I80" s="28">
        <f t="shared" si="3"/>
        <v>0.1</v>
      </c>
      <c r="J80" s="29">
        <f t="shared" si="4"/>
        <v>2278.233333</v>
      </c>
      <c r="K80" s="30">
        <f t="shared" si="5"/>
        <v>2278.233333</v>
      </c>
      <c r="L80" s="30">
        <f t="shared" si="6"/>
        <v>2050.41</v>
      </c>
      <c r="M80" s="31">
        <v>0.1</v>
      </c>
      <c r="N80" s="32" t="str">
        <f>'ALL DATA &amp; IT4PROFIT'!L83</f>
        <v/>
      </c>
      <c r="O80" s="35"/>
      <c r="P80" s="32" t="str">
        <f>'ALL DATA &amp; IT4PROFIT'!H83</f>
        <v/>
      </c>
      <c r="Q80" s="35" t="str">
        <f>'ALL DATA &amp; IT4PROFIT'!K83</f>
        <v/>
      </c>
      <c r="R80" s="35" t="str">
        <f>'ALL DATA &amp; IT4PROFIT'!D83</f>
        <v/>
      </c>
      <c r="S80" s="9"/>
      <c r="T80" s="9"/>
    </row>
    <row r="81" ht="21.0" customHeight="1">
      <c r="A81" s="13"/>
      <c r="B81" s="24" t="str">
        <f>'ALL DATA &amp; IT4PROFIT'!A84</f>
        <v/>
      </c>
      <c r="C81" s="24" t="str">
        <f>'ALL DATA &amp; IT4PROFIT'!B84</f>
        <v/>
      </c>
      <c r="D81" s="24" t="str">
        <f>'ALL DATA &amp; IT4PROFIT'!C84</f>
        <v/>
      </c>
      <c r="E81" s="25">
        <v>1.0</v>
      </c>
      <c r="F81" s="26" t="str">
        <f>'ALL DATA &amp; IT4PROFIT'!F84</f>
        <v/>
      </c>
      <c r="G81" s="27">
        <f t="shared" si="8"/>
        <v>30</v>
      </c>
      <c r="H81" s="27">
        <f t="shared" si="2"/>
        <v>30.75</v>
      </c>
      <c r="I81" s="28">
        <f t="shared" si="3"/>
        <v>0.1</v>
      </c>
      <c r="J81" s="29">
        <f t="shared" si="4"/>
        <v>34.16666667</v>
      </c>
      <c r="K81" s="30">
        <f t="shared" si="5"/>
        <v>34.16666667</v>
      </c>
      <c r="L81" s="30">
        <f t="shared" si="6"/>
        <v>30.75</v>
      </c>
      <c r="M81" s="31">
        <v>0.1</v>
      </c>
      <c r="N81" s="32" t="str">
        <f>'ALL DATA &amp; IT4PROFIT'!L84</f>
        <v/>
      </c>
      <c r="O81" s="35"/>
      <c r="P81" s="32" t="str">
        <f>'ALL DATA &amp; IT4PROFIT'!H84</f>
        <v/>
      </c>
      <c r="Q81" s="35" t="str">
        <f>'ALL DATA &amp; IT4PROFIT'!K84</f>
        <v/>
      </c>
      <c r="R81" s="35" t="str">
        <f>'ALL DATA &amp; IT4PROFIT'!D84</f>
        <v/>
      </c>
      <c r="S81" s="9"/>
      <c r="T81" s="9"/>
    </row>
    <row r="82" ht="21.0" hidden="1" customHeight="1">
      <c r="A82" s="13"/>
      <c r="B82" s="24" t="str">
        <f>'ALL DATA &amp; IT4PROFIT'!A85</f>
        <v>FRONIUS</v>
      </c>
      <c r="C82" s="78" t="str">
        <f>'ALL DATA &amp; IT4PROFIT'!B85</f>
        <v>Fronius Symo GEN24 3.0</v>
      </c>
      <c r="D82" s="78" t="str">
        <f>'ALL DATA &amp; IT4PROFIT'!C85</f>
        <v>3PH H lock</v>
      </c>
      <c r="E82" s="25">
        <v>1.0</v>
      </c>
      <c r="F82" s="26">
        <f>'ALL DATA &amp; IT4PROFIT'!F85</f>
        <v>1359.6</v>
      </c>
      <c r="G82" s="27">
        <f t="shared" si="8"/>
        <v>1389.6</v>
      </c>
      <c r="H82" s="27">
        <f t="shared" si="2"/>
        <v>1424.34</v>
      </c>
      <c r="I82" s="28">
        <f t="shared" si="3"/>
        <v>0.1</v>
      </c>
      <c r="J82" s="29">
        <f t="shared" si="4"/>
        <v>1582.6</v>
      </c>
      <c r="K82" s="30">
        <f t="shared" si="5"/>
        <v>1582.6</v>
      </c>
      <c r="L82" s="30">
        <f t="shared" si="6"/>
        <v>1424.34</v>
      </c>
      <c r="M82" s="31">
        <v>0.1</v>
      </c>
      <c r="N82" s="32" t="str">
        <f>'ALL DATA &amp; IT4PROFIT'!L85</f>
        <v/>
      </c>
      <c r="O82" s="35"/>
      <c r="P82" s="32" t="str">
        <f>'ALL DATA &amp; IT4PROFIT'!H85</f>
        <v/>
      </c>
      <c r="Q82" s="35" t="str">
        <f>'ALL DATA &amp; IT4PROFIT'!K85</f>
        <v/>
      </c>
      <c r="R82" s="35" t="str">
        <f>'ALL DATA &amp; IT4PROFIT'!D85</f>
        <v/>
      </c>
      <c r="S82" s="9"/>
      <c r="T82" s="9"/>
    </row>
    <row r="83" ht="21.0" hidden="1" customHeight="1">
      <c r="A83" s="13"/>
      <c r="B83" s="24" t="str">
        <f>'ALL DATA &amp; IT4PROFIT'!A86</f>
        <v>FRONIUS</v>
      </c>
      <c r="C83" s="78" t="str">
        <f>'ALL DATA &amp; IT4PROFIT'!B86</f>
        <v>Fronius Symo GEN24 4.0</v>
      </c>
      <c r="D83" s="78" t="str">
        <f>'ALL DATA &amp; IT4PROFIT'!C86</f>
        <v>3PH H lock</v>
      </c>
      <c r="E83" s="25">
        <v>1.0</v>
      </c>
      <c r="F83" s="26">
        <f>'ALL DATA &amp; IT4PROFIT'!F86</f>
        <v>1450.2</v>
      </c>
      <c r="G83" s="27">
        <f t="shared" si="8"/>
        <v>1480.2</v>
      </c>
      <c r="H83" s="27">
        <f t="shared" si="2"/>
        <v>1517.205</v>
      </c>
      <c r="I83" s="28">
        <f t="shared" si="3"/>
        <v>0.1</v>
      </c>
      <c r="J83" s="29">
        <f t="shared" si="4"/>
        <v>1685.783333</v>
      </c>
      <c r="K83" s="30">
        <f t="shared" si="5"/>
        <v>1685.783333</v>
      </c>
      <c r="L83" s="30">
        <f t="shared" si="6"/>
        <v>1517.205</v>
      </c>
      <c r="M83" s="31">
        <v>0.1</v>
      </c>
      <c r="N83" s="32" t="str">
        <f>'ALL DATA &amp; IT4PROFIT'!L86</f>
        <v/>
      </c>
      <c r="O83" s="35"/>
      <c r="P83" s="32" t="str">
        <f>'ALL DATA &amp; IT4PROFIT'!H86</f>
        <v/>
      </c>
      <c r="Q83" s="35" t="str">
        <f>'ALL DATA &amp; IT4PROFIT'!K86</f>
        <v/>
      </c>
      <c r="R83" s="35" t="str">
        <f>'ALL DATA &amp; IT4PROFIT'!D86</f>
        <v/>
      </c>
      <c r="S83" s="9"/>
      <c r="T83" s="9"/>
    </row>
    <row r="84" ht="21.0" hidden="1" customHeight="1">
      <c r="A84" s="13"/>
      <c r="B84" s="24" t="str">
        <f>'ALL DATA &amp; IT4PROFIT'!A87</f>
        <v>FRONIUS</v>
      </c>
      <c r="C84" s="78" t="str">
        <f>'ALL DATA &amp; IT4PROFIT'!B87</f>
        <v>Fronius Symo GEN24 5.0</v>
      </c>
      <c r="D84" s="78" t="str">
        <f>'ALL DATA &amp; IT4PROFIT'!C87</f>
        <v>3PH H lock</v>
      </c>
      <c r="E84" s="25">
        <v>1.0</v>
      </c>
      <c r="F84" s="26">
        <f>'ALL DATA &amp; IT4PROFIT'!F87</f>
        <v>1526.4</v>
      </c>
      <c r="G84" s="27">
        <f t="shared" si="8"/>
        <v>1556.4</v>
      </c>
      <c r="H84" s="27">
        <f t="shared" si="2"/>
        <v>1595.31</v>
      </c>
      <c r="I84" s="28">
        <f t="shared" si="3"/>
        <v>0.1</v>
      </c>
      <c r="J84" s="29">
        <f t="shared" si="4"/>
        <v>1772.566667</v>
      </c>
      <c r="K84" s="30">
        <f t="shared" si="5"/>
        <v>1772.566667</v>
      </c>
      <c r="L84" s="30">
        <f t="shared" si="6"/>
        <v>1595.31</v>
      </c>
      <c r="M84" s="31">
        <v>0.1</v>
      </c>
      <c r="N84" s="32" t="str">
        <f>'ALL DATA &amp; IT4PROFIT'!L87</f>
        <v/>
      </c>
      <c r="O84" s="35"/>
      <c r="P84" s="32" t="str">
        <f>'ALL DATA &amp; IT4PROFIT'!H87</f>
        <v/>
      </c>
      <c r="Q84" s="35" t="str">
        <f>'ALL DATA &amp; IT4PROFIT'!K87</f>
        <v/>
      </c>
      <c r="R84" s="35" t="str">
        <f>'ALL DATA &amp; IT4PROFIT'!D87</f>
        <v/>
      </c>
      <c r="S84" s="9"/>
      <c r="T84" s="9"/>
    </row>
    <row r="85" ht="21.0" hidden="1" customHeight="1">
      <c r="A85" s="13"/>
      <c r="B85" s="24" t="str">
        <f>'ALL DATA &amp; IT4PROFIT'!A88</f>
        <v>FRONIUS</v>
      </c>
      <c r="C85" s="78" t="str">
        <f>'ALL DATA &amp; IT4PROFIT'!B88</f>
        <v>Fronius Symo GEN24 6.0</v>
      </c>
      <c r="D85" s="78" t="str">
        <f>'ALL DATA &amp; IT4PROFIT'!C88</f>
        <v>3PH H lock</v>
      </c>
      <c r="E85" s="25">
        <v>1.0</v>
      </c>
      <c r="F85" s="26">
        <f>'ALL DATA &amp; IT4PROFIT'!F88</f>
        <v>1816.2</v>
      </c>
      <c r="G85" s="27">
        <f t="shared" si="8"/>
        <v>1846.2</v>
      </c>
      <c r="H85" s="27">
        <f t="shared" si="2"/>
        <v>1892.355</v>
      </c>
      <c r="I85" s="28">
        <f t="shared" si="3"/>
        <v>0.1</v>
      </c>
      <c r="J85" s="29">
        <f t="shared" si="4"/>
        <v>2102.616667</v>
      </c>
      <c r="K85" s="30">
        <f t="shared" si="5"/>
        <v>2102.616667</v>
      </c>
      <c r="L85" s="30">
        <f t="shared" si="6"/>
        <v>1892.355</v>
      </c>
      <c r="M85" s="31">
        <v>0.1</v>
      </c>
      <c r="N85" s="32" t="str">
        <f>'ALL DATA &amp; IT4PROFIT'!L88</f>
        <v/>
      </c>
      <c r="O85" s="35"/>
      <c r="P85" s="32" t="str">
        <f>'ALL DATA &amp; IT4PROFIT'!H88</f>
        <v/>
      </c>
      <c r="Q85" s="35" t="str">
        <f>'ALL DATA &amp; IT4PROFIT'!K88</f>
        <v/>
      </c>
      <c r="R85" s="35" t="str">
        <f>'ALL DATA &amp; IT4PROFIT'!D88</f>
        <v/>
      </c>
      <c r="S85" s="9"/>
      <c r="T85" s="9"/>
    </row>
    <row r="86" ht="21.0" hidden="1" customHeight="1">
      <c r="A86" s="13"/>
      <c r="B86" s="24" t="str">
        <f>'ALL DATA &amp; IT4PROFIT'!A89</f>
        <v>FRONIUS</v>
      </c>
      <c r="C86" s="78" t="str">
        <f>'ALL DATA &amp; IT4PROFIT'!B89</f>
        <v>Fronius Symo GEN24 8.0</v>
      </c>
      <c r="D86" s="78" t="str">
        <f>'ALL DATA &amp; IT4PROFIT'!C89</f>
        <v>3PH H lock</v>
      </c>
      <c r="E86" s="25">
        <v>1.0</v>
      </c>
      <c r="F86" s="26">
        <f>'ALL DATA &amp; IT4PROFIT'!F89</f>
        <v>2091</v>
      </c>
      <c r="G86" s="27">
        <f t="shared" si="8"/>
        <v>2121</v>
      </c>
      <c r="H86" s="27">
        <f t="shared" si="2"/>
        <v>2174.025</v>
      </c>
      <c r="I86" s="28">
        <f t="shared" si="3"/>
        <v>0.1</v>
      </c>
      <c r="J86" s="29">
        <f t="shared" si="4"/>
        <v>2415.583333</v>
      </c>
      <c r="K86" s="30">
        <f t="shared" si="5"/>
        <v>2415.583333</v>
      </c>
      <c r="L86" s="30">
        <f t="shared" si="6"/>
        <v>2174.025</v>
      </c>
      <c r="M86" s="31">
        <v>0.1</v>
      </c>
      <c r="N86" s="32" t="str">
        <f>'ALL DATA &amp; IT4PROFIT'!L89</f>
        <v/>
      </c>
      <c r="O86" s="35"/>
      <c r="P86" s="32" t="str">
        <f>'ALL DATA &amp; IT4PROFIT'!H89</f>
        <v/>
      </c>
      <c r="Q86" s="35" t="str">
        <f>'ALL DATA &amp; IT4PROFIT'!K89</f>
        <v/>
      </c>
      <c r="R86" s="35" t="str">
        <f>'ALL DATA &amp; IT4PROFIT'!D89</f>
        <v/>
      </c>
      <c r="S86" s="9"/>
      <c r="T86" s="9"/>
    </row>
    <row r="87" ht="21.0" hidden="1" customHeight="1">
      <c r="A87" s="13"/>
      <c r="B87" s="24" t="str">
        <f>'ALL DATA &amp; IT4PROFIT'!A90</f>
        <v>FRONIUS</v>
      </c>
      <c r="C87" s="78" t="str">
        <f>'ALL DATA &amp; IT4PROFIT'!B90</f>
        <v>Fronius Symo GEN24 10.0</v>
      </c>
      <c r="D87" s="78" t="str">
        <f>'ALL DATA &amp; IT4PROFIT'!C90</f>
        <v>3PH H lock</v>
      </c>
      <c r="E87" s="25">
        <v>1.0</v>
      </c>
      <c r="F87" s="26">
        <f>'ALL DATA &amp; IT4PROFIT'!F90</f>
        <v>2184</v>
      </c>
      <c r="G87" s="27">
        <f t="shared" si="8"/>
        <v>2214</v>
      </c>
      <c r="H87" s="27">
        <f t="shared" si="2"/>
        <v>2269.35</v>
      </c>
      <c r="I87" s="28">
        <f t="shared" si="3"/>
        <v>0.1</v>
      </c>
      <c r="J87" s="29">
        <f t="shared" si="4"/>
        <v>2521.5</v>
      </c>
      <c r="K87" s="30">
        <f t="shared" si="5"/>
        <v>2521.5</v>
      </c>
      <c r="L87" s="30">
        <f t="shared" si="6"/>
        <v>2269.35</v>
      </c>
      <c r="M87" s="31">
        <v>0.1</v>
      </c>
      <c r="N87" s="32" t="str">
        <f>'ALL DATA &amp; IT4PROFIT'!L90</f>
        <v/>
      </c>
      <c r="O87" s="35"/>
      <c r="P87" s="32" t="str">
        <f>'ALL DATA &amp; IT4PROFIT'!H90</f>
        <v/>
      </c>
      <c r="Q87" s="35" t="str">
        <f>'ALL DATA &amp; IT4PROFIT'!K90</f>
        <v/>
      </c>
      <c r="R87" s="35" t="str">
        <f>'ALL DATA &amp; IT4PROFIT'!D90</f>
        <v/>
      </c>
      <c r="S87" s="9"/>
      <c r="T87" s="9"/>
    </row>
    <row r="88" ht="21.0" customHeight="1">
      <c r="A88" s="13"/>
      <c r="B88" s="24" t="str">
        <f>'ALL DATA &amp; IT4PROFIT'!A91</f>
        <v/>
      </c>
      <c r="C88" s="24" t="str">
        <f>'ALL DATA &amp; IT4PROFIT'!B91</f>
        <v/>
      </c>
      <c r="D88" s="24" t="str">
        <f>'ALL DATA &amp; IT4PROFIT'!C91</f>
        <v/>
      </c>
      <c r="E88" s="25">
        <v>1.0</v>
      </c>
      <c r="F88" s="26">
        <f>'ALL DATA &amp; IT4PROFIT'!F91</f>
        <v>0</v>
      </c>
      <c r="G88" s="27">
        <f t="shared" si="8"/>
        <v>30</v>
      </c>
      <c r="H88" s="27">
        <f t="shared" si="2"/>
        <v>30.75</v>
      </c>
      <c r="I88" s="28">
        <f t="shared" si="3"/>
        <v>0.1</v>
      </c>
      <c r="J88" s="29">
        <f t="shared" si="4"/>
        <v>34.16666667</v>
      </c>
      <c r="K88" s="30">
        <f t="shared" si="5"/>
        <v>34.16666667</v>
      </c>
      <c r="L88" s="30">
        <f t="shared" si="6"/>
        <v>30.75</v>
      </c>
      <c r="M88" s="31">
        <v>0.1</v>
      </c>
      <c r="N88" s="32" t="str">
        <f>'ALL DATA &amp; IT4PROFIT'!L91</f>
        <v/>
      </c>
      <c r="O88" s="35"/>
      <c r="P88" s="32" t="str">
        <f>'ALL DATA &amp; IT4PROFIT'!H91</f>
        <v/>
      </c>
      <c r="Q88" s="35" t="str">
        <f>'ALL DATA &amp; IT4PROFIT'!K91</f>
        <v/>
      </c>
      <c r="R88" s="35" t="str">
        <f>'ALL DATA &amp; IT4PROFIT'!D91</f>
        <v/>
      </c>
      <c r="S88" s="9"/>
      <c r="T88" s="9"/>
    </row>
    <row r="89" ht="21.0" customHeight="1">
      <c r="A89" s="13"/>
      <c r="B89" s="24" t="str">
        <f>'ALL DATA &amp; IT4PROFIT'!A92</f>
        <v>FRONIUS</v>
      </c>
      <c r="C89" s="24" t="str">
        <f>'ALL DATA &amp; IT4PROFIT'!B92</f>
        <v>Fronius Primo Gen24 3.0 Plus</v>
      </c>
      <c r="D89" s="24" t="str">
        <f>'ALL DATA &amp; IT4PROFIT'!C92</f>
        <v>1PH HYBRID</v>
      </c>
      <c r="E89" s="25">
        <v>1.0</v>
      </c>
      <c r="F89" s="26">
        <f>'ALL DATA &amp; IT4PROFIT'!F92</f>
        <v>1186.8</v>
      </c>
      <c r="G89" s="27">
        <f t="shared" si="8"/>
        <v>1216.8</v>
      </c>
      <c r="H89" s="27">
        <f t="shared" si="2"/>
        <v>1247.22</v>
      </c>
      <c r="I89" s="28">
        <f t="shared" si="3"/>
        <v>0.1</v>
      </c>
      <c r="J89" s="29">
        <f t="shared" si="4"/>
        <v>1385.8</v>
      </c>
      <c r="K89" s="30">
        <f t="shared" si="5"/>
        <v>1385.8</v>
      </c>
      <c r="L89" s="30">
        <f t="shared" si="6"/>
        <v>1247.22</v>
      </c>
      <c r="M89" s="31">
        <v>0.1</v>
      </c>
      <c r="N89" s="32" t="str">
        <f>'ALL DATA &amp; IT4PROFIT'!L92</f>
        <v/>
      </c>
      <c r="O89" s="35"/>
      <c r="P89" s="32" t="str">
        <f>'ALL DATA &amp; IT4PROFIT'!H92</f>
        <v/>
      </c>
      <c r="Q89" s="35" t="str">
        <f>'ALL DATA &amp; IT4PROFIT'!K92</f>
        <v/>
      </c>
      <c r="R89" s="35" t="str">
        <f>'ALL DATA &amp; IT4PROFIT'!D92</f>
        <v/>
      </c>
      <c r="S89" s="9"/>
      <c r="T89" s="9"/>
    </row>
    <row r="90" ht="21.0" customHeight="1">
      <c r="A90" s="13"/>
      <c r="B90" s="24" t="str">
        <f>'ALL DATA &amp; IT4PROFIT'!A93</f>
        <v>FRONIUS</v>
      </c>
      <c r="C90" s="24" t="str">
        <f>'ALL DATA &amp; IT4PROFIT'!B93</f>
        <v>Fronius Primo Gen24 3.6 Plus</v>
      </c>
      <c r="D90" s="24" t="str">
        <f>'ALL DATA &amp; IT4PROFIT'!C93</f>
        <v>1PH HYBRID</v>
      </c>
      <c r="E90" s="25">
        <v>1.0</v>
      </c>
      <c r="F90" s="26">
        <f>'ALL DATA &amp; IT4PROFIT'!F93</f>
        <v>0</v>
      </c>
      <c r="G90" s="27">
        <f t="shared" si="8"/>
        <v>30</v>
      </c>
      <c r="H90" s="27">
        <f t="shared" si="2"/>
        <v>30.75</v>
      </c>
      <c r="I90" s="28">
        <f t="shared" si="3"/>
        <v>0.1</v>
      </c>
      <c r="J90" s="29">
        <f t="shared" si="4"/>
        <v>34.16666667</v>
      </c>
      <c r="K90" s="30">
        <f t="shared" si="5"/>
        <v>34.16666667</v>
      </c>
      <c r="L90" s="30">
        <f t="shared" si="6"/>
        <v>30.75</v>
      </c>
      <c r="M90" s="31">
        <v>0.1</v>
      </c>
      <c r="N90" s="32" t="str">
        <f>'ALL DATA &amp; IT4PROFIT'!L93</f>
        <v/>
      </c>
      <c r="O90" s="35"/>
      <c r="P90" s="32" t="str">
        <f>'ALL DATA &amp; IT4PROFIT'!H93</f>
        <v/>
      </c>
      <c r="Q90" s="35" t="str">
        <f>'ALL DATA &amp; IT4PROFIT'!K93</f>
        <v/>
      </c>
      <c r="R90" s="35" t="str">
        <f>'ALL DATA &amp; IT4PROFIT'!D93</f>
        <v/>
      </c>
      <c r="S90" s="9"/>
      <c r="T90" s="9"/>
    </row>
    <row r="91" ht="21.0" customHeight="1">
      <c r="A91" s="13"/>
      <c r="B91" s="24" t="str">
        <f>'ALL DATA &amp; IT4PROFIT'!A94</f>
        <v>FRONIUS</v>
      </c>
      <c r="C91" s="24" t="str">
        <f>'ALL DATA &amp; IT4PROFIT'!B94</f>
        <v>Fronius Primo Gen24 4.0 Plus</v>
      </c>
      <c r="D91" s="24" t="str">
        <f>'ALL DATA &amp; IT4PROFIT'!C94</f>
        <v>1PH HYBRID</v>
      </c>
      <c r="E91" s="25">
        <v>1.0</v>
      </c>
      <c r="F91" s="26">
        <f>'ALL DATA &amp; IT4PROFIT'!F94</f>
        <v>1275.6</v>
      </c>
      <c r="G91" s="27">
        <f t="shared" si="8"/>
        <v>1305.6</v>
      </c>
      <c r="H91" s="27">
        <f t="shared" si="2"/>
        <v>1338.24</v>
      </c>
      <c r="I91" s="28">
        <f t="shared" si="3"/>
        <v>0.1</v>
      </c>
      <c r="J91" s="29">
        <f t="shared" si="4"/>
        <v>1486.933333</v>
      </c>
      <c r="K91" s="30">
        <f t="shared" si="5"/>
        <v>1486.933333</v>
      </c>
      <c r="L91" s="30">
        <f t="shared" si="6"/>
        <v>1338.24</v>
      </c>
      <c r="M91" s="31">
        <v>0.1</v>
      </c>
      <c r="N91" s="32" t="str">
        <f>'ALL DATA &amp; IT4PROFIT'!L94</f>
        <v/>
      </c>
      <c r="O91" s="35"/>
      <c r="P91" s="32" t="str">
        <f>'ALL DATA &amp; IT4PROFIT'!H94</f>
        <v/>
      </c>
      <c r="Q91" s="35" t="str">
        <f>'ALL DATA &amp; IT4PROFIT'!K94</f>
        <v/>
      </c>
      <c r="R91" s="35" t="str">
        <f>'ALL DATA &amp; IT4PROFIT'!D94</f>
        <v/>
      </c>
      <c r="S91" s="9"/>
      <c r="T91" s="9"/>
    </row>
    <row r="92" ht="21.0" customHeight="1">
      <c r="A92" s="13"/>
      <c r="B92" s="24" t="str">
        <f>'ALL DATA &amp; IT4PROFIT'!A95</f>
        <v>FRONIUS</v>
      </c>
      <c r="C92" s="24" t="str">
        <f>'ALL DATA &amp; IT4PROFIT'!B95</f>
        <v>Fronius Primo Gen24 4.6 Plus</v>
      </c>
      <c r="D92" s="24" t="str">
        <f>'ALL DATA &amp; IT4PROFIT'!C95</f>
        <v>1PH HYBRID</v>
      </c>
      <c r="E92" s="25">
        <v>1.0</v>
      </c>
      <c r="F92" s="26">
        <f>'ALL DATA &amp; IT4PROFIT'!F95</f>
        <v>1440</v>
      </c>
      <c r="G92" s="27">
        <f t="shared" si="8"/>
        <v>1470</v>
      </c>
      <c r="H92" s="27">
        <f t="shared" si="2"/>
        <v>1506.75</v>
      </c>
      <c r="I92" s="28">
        <f t="shared" si="3"/>
        <v>0.1</v>
      </c>
      <c r="J92" s="29">
        <f t="shared" si="4"/>
        <v>1674.166667</v>
      </c>
      <c r="K92" s="30">
        <f t="shared" si="5"/>
        <v>1674.166667</v>
      </c>
      <c r="L92" s="30">
        <f t="shared" si="6"/>
        <v>1506.75</v>
      </c>
      <c r="M92" s="31">
        <v>0.1</v>
      </c>
      <c r="N92" s="32" t="str">
        <f>'ALL DATA &amp; IT4PROFIT'!L95</f>
        <v/>
      </c>
      <c r="O92" s="35"/>
      <c r="P92" s="32" t="str">
        <f>'ALL DATA &amp; IT4PROFIT'!H95</f>
        <v/>
      </c>
      <c r="Q92" s="35" t="str">
        <f>'ALL DATA &amp; IT4PROFIT'!K95</f>
        <v/>
      </c>
      <c r="R92" s="35" t="str">
        <f>'ALL DATA &amp; IT4PROFIT'!D95</f>
        <v/>
      </c>
      <c r="S92" s="9"/>
      <c r="T92" s="9"/>
    </row>
    <row r="93" ht="21.0" customHeight="1">
      <c r="A93" s="13"/>
      <c r="B93" s="24" t="str">
        <f>'ALL DATA &amp; IT4PROFIT'!A96</f>
        <v>FRONIUS</v>
      </c>
      <c r="C93" s="24" t="str">
        <f>'ALL DATA &amp; IT4PROFIT'!B96</f>
        <v>Fronius Primo Gen24 5.0 Plus</v>
      </c>
      <c r="D93" s="24" t="str">
        <f>'ALL DATA &amp; IT4PROFIT'!C96</f>
        <v>1PH HYBRID</v>
      </c>
      <c r="E93" s="25">
        <v>1.0</v>
      </c>
      <c r="F93" s="26">
        <f>'ALL DATA &amp; IT4PROFIT'!F96</f>
        <v>1359.6</v>
      </c>
      <c r="G93" s="27">
        <f t="shared" si="8"/>
        <v>1389.6</v>
      </c>
      <c r="H93" s="27">
        <f t="shared" si="2"/>
        <v>1424.34</v>
      </c>
      <c r="I93" s="28">
        <f t="shared" si="3"/>
        <v>0.1</v>
      </c>
      <c r="J93" s="29">
        <f t="shared" si="4"/>
        <v>1582.6</v>
      </c>
      <c r="K93" s="30">
        <f t="shared" si="5"/>
        <v>1582.6</v>
      </c>
      <c r="L93" s="30">
        <f t="shared" si="6"/>
        <v>1424.34</v>
      </c>
      <c r="M93" s="31">
        <v>0.1</v>
      </c>
      <c r="N93" s="32" t="str">
        <f>'ALL DATA &amp; IT4PROFIT'!L96</f>
        <v/>
      </c>
      <c r="O93" s="35"/>
      <c r="P93" s="32" t="str">
        <f>'ALL DATA &amp; IT4PROFIT'!H96</f>
        <v/>
      </c>
      <c r="Q93" s="35" t="str">
        <f>'ALL DATA &amp; IT4PROFIT'!K96</f>
        <v/>
      </c>
      <c r="R93" s="35" t="str">
        <f>'ALL DATA &amp; IT4PROFIT'!D96</f>
        <v/>
      </c>
      <c r="S93" s="9"/>
      <c r="T93" s="9"/>
    </row>
    <row r="94" ht="21.0" customHeight="1">
      <c r="A94" s="13"/>
      <c r="B94" s="24" t="str">
        <f>'ALL DATA &amp; IT4PROFIT'!A97</f>
        <v>FRONIUS</v>
      </c>
      <c r="C94" s="24" t="str">
        <f>'ALL DATA &amp; IT4PROFIT'!B97</f>
        <v>Fronius Primo Gen24 6.0 Plus</v>
      </c>
      <c r="D94" s="24" t="str">
        <f>'ALL DATA &amp; IT4PROFIT'!C97</f>
        <v>1PH HYBRID</v>
      </c>
      <c r="E94" s="25">
        <v>1.0</v>
      </c>
      <c r="F94" s="26">
        <f>'ALL DATA &amp; IT4PROFIT'!F97</f>
        <v>0</v>
      </c>
      <c r="G94" s="27">
        <f t="shared" si="8"/>
        <v>30</v>
      </c>
      <c r="H94" s="27">
        <f t="shared" si="2"/>
        <v>30.75</v>
      </c>
      <c r="I94" s="28">
        <f t="shared" si="3"/>
        <v>0.1</v>
      </c>
      <c r="J94" s="29">
        <f t="shared" si="4"/>
        <v>34.16666667</v>
      </c>
      <c r="K94" s="30">
        <f t="shared" si="5"/>
        <v>34.16666667</v>
      </c>
      <c r="L94" s="30">
        <f t="shared" si="6"/>
        <v>30.75</v>
      </c>
      <c r="M94" s="31">
        <v>0.1</v>
      </c>
      <c r="N94" s="32" t="str">
        <f>'ALL DATA &amp; IT4PROFIT'!L97</f>
        <v/>
      </c>
      <c r="O94" s="35"/>
      <c r="P94" s="32" t="str">
        <f>'ALL DATA &amp; IT4PROFIT'!H97</f>
        <v/>
      </c>
      <c r="Q94" s="35" t="str">
        <f>'ALL DATA &amp; IT4PROFIT'!K97</f>
        <v/>
      </c>
      <c r="R94" s="35" t="str">
        <f>'ALL DATA &amp; IT4PROFIT'!D97</f>
        <v/>
      </c>
      <c r="S94" s="9"/>
      <c r="T94" s="9"/>
    </row>
    <row r="95" ht="21.0" customHeight="1">
      <c r="A95" s="13"/>
      <c r="B95" s="24" t="str">
        <f>'ALL DATA &amp; IT4PROFIT'!A98</f>
        <v/>
      </c>
      <c r="C95" s="24" t="str">
        <f>'ALL DATA &amp; IT4PROFIT'!B98</f>
        <v/>
      </c>
      <c r="D95" s="24" t="str">
        <f>'ALL DATA &amp; IT4PROFIT'!C98</f>
        <v/>
      </c>
      <c r="E95" s="25">
        <v>1.0</v>
      </c>
      <c r="F95" s="26">
        <f>'ALL DATA &amp; IT4PROFIT'!F98</f>
        <v>0</v>
      </c>
      <c r="G95" s="27">
        <f t="shared" si="8"/>
        <v>30</v>
      </c>
      <c r="H95" s="27">
        <f t="shared" si="2"/>
        <v>30.75</v>
      </c>
      <c r="I95" s="28">
        <f t="shared" si="3"/>
        <v>0.1</v>
      </c>
      <c r="J95" s="29">
        <f t="shared" si="4"/>
        <v>34.16666667</v>
      </c>
      <c r="K95" s="30">
        <f t="shared" si="5"/>
        <v>34.16666667</v>
      </c>
      <c r="L95" s="30">
        <f t="shared" si="6"/>
        <v>30.75</v>
      </c>
      <c r="M95" s="31">
        <v>0.1</v>
      </c>
      <c r="N95" s="32" t="str">
        <f>'ALL DATA &amp; IT4PROFIT'!L98</f>
        <v/>
      </c>
      <c r="O95" s="35"/>
      <c r="P95" s="32" t="str">
        <f>'ALL DATA &amp; IT4PROFIT'!H98</f>
        <v/>
      </c>
      <c r="Q95" s="35" t="str">
        <f>'ALL DATA &amp; IT4PROFIT'!K98</f>
        <v/>
      </c>
      <c r="R95" s="35" t="str">
        <f>'ALL DATA &amp; IT4PROFIT'!D98</f>
        <v/>
      </c>
      <c r="S95" s="9"/>
      <c r="T95" s="9"/>
    </row>
    <row r="96" ht="21.0" customHeight="1">
      <c r="A96" s="13"/>
      <c r="B96" s="24" t="str">
        <f>'ALL DATA &amp; IT4PROFIT'!A99</f>
        <v>FRONIUS</v>
      </c>
      <c r="C96" s="24" t="str">
        <f>'ALL DATA &amp; IT4PROFIT'!B99</f>
        <v>Fronius Symo GEN24 3.0 Plus</v>
      </c>
      <c r="D96" s="24" t="str">
        <f>'ALL DATA &amp; IT4PROFIT'!C99</f>
        <v>3PH HYBRID</v>
      </c>
      <c r="E96" s="25">
        <v>1.0</v>
      </c>
      <c r="F96" s="26">
        <f>'ALL DATA &amp; IT4PROFIT'!F99</f>
        <v>1359.6</v>
      </c>
      <c r="G96" s="27">
        <f t="shared" si="8"/>
        <v>1389.6</v>
      </c>
      <c r="H96" s="27">
        <f t="shared" si="2"/>
        <v>1424.34</v>
      </c>
      <c r="I96" s="28">
        <f t="shared" si="3"/>
        <v>0.1</v>
      </c>
      <c r="J96" s="29">
        <f t="shared" si="4"/>
        <v>1582.6</v>
      </c>
      <c r="K96" s="30">
        <f t="shared" si="5"/>
        <v>1582.6</v>
      </c>
      <c r="L96" s="30">
        <f t="shared" si="6"/>
        <v>1424.34</v>
      </c>
      <c r="M96" s="31">
        <v>0.1</v>
      </c>
      <c r="N96" s="32" t="str">
        <f>'ALL DATA &amp; IT4PROFIT'!L99</f>
        <v/>
      </c>
      <c r="O96" s="35"/>
      <c r="P96" s="32" t="str">
        <f>'ALL DATA &amp; IT4PROFIT'!H99</f>
        <v/>
      </c>
      <c r="Q96" s="35" t="str">
        <f>'ALL DATA &amp; IT4PROFIT'!K99</f>
        <v/>
      </c>
      <c r="R96" s="35" t="str">
        <f>'ALL DATA &amp; IT4PROFIT'!D99</f>
        <v/>
      </c>
      <c r="S96" s="9"/>
      <c r="T96" s="9"/>
    </row>
    <row r="97" ht="21.0" customHeight="1">
      <c r="A97" s="13"/>
      <c r="B97" s="24" t="str">
        <f>'ALL DATA &amp; IT4PROFIT'!A100</f>
        <v>FRONIUS</v>
      </c>
      <c r="C97" s="24" t="str">
        <f>'ALL DATA &amp; IT4PROFIT'!B100</f>
        <v>Fronius Symo GEN24 4.0 Plus</v>
      </c>
      <c r="D97" s="24" t="str">
        <f>'ALL DATA &amp; IT4PROFIT'!C100</f>
        <v>3PH HYBRID</v>
      </c>
      <c r="E97" s="25">
        <v>1.0</v>
      </c>
      <c r="F97" s="26">
        <f>'ALL DATA &amp; IT4PROFIT'!F100</f>
        <v>1450.2</v>
      </c>
      <c r="G97" s="27">
        <f t="shared" si="8"/>
        <v>1480.2</v>
      </c>
      <c r="H97" s="27">
        <f t="shared" si="2"/>
        <v>1517.205</v>
      </c>
      <c r="I97" s="28">
        <f t="shared" si="3"/>
        <v>0.1</v>
      </c>
      <c r="J97" s="29">
        <f t="shared" si="4"/>
        <v>1685.783333</v>
      </c>
      <c r="K97" s="30">
        <f t="shared" si="5"/>
        <v>1685.783333</v>
      </c>
      <c r="L97" s="30">
        <f t="shared" si="6"/>
        <v>1517.205</v>
      </c>
      <c r="M97" s="31">
        <v>0.1</v>
      </c>
      <c r="N97" s="32" t="str">
        <f>'ALL DATA &amp; IT4PROFIT'!L100</f>
        <v/>
      </c>
      <c r="O97" s="35"/>
      <c r="P97" s="32" t="str">
        <f>'ALL DATA &amp; IT4PROFIT'!H100</f>
        <v/>
      </c>
      <c r="Q97" s="35" t="str">
        <f>'ALL DATA &amp; IT4PROFIT'!K100</f>
        <v/>
      </c>
      <c r="R97" s="35" t="str">
        <f>'ALL DATA &amp; IT4PROFIT'!D100</f>
        <v/>
      </c>
      <c r="S97" s="9"/>
      <c r="T97" s="9"/>
    </row>
    <row r="98" ht="21.0" customHeight="1">
      <c r="A98" s="13"/>
      <c r="B98" s="24" t="str">
        <f>'ALL DATA &amp; IT4PROFIT'!A101</f>
        <v>FRONIUS</v>
      </c>
      <c r="C98" s="24" t="str">
        <f>'ALL DATA &amp; IT4PROFIT'!B101</f>
        <v>Fronius Symo GEN24 5.0 Plus</v>
      </c>
      <c r="D98" s="24" t="str">
        <f>'ALL DATA &amp; IT4PROFIT'!C101</f>
        <v>3PH HYBRID</v>
      </c>
      <c r="E98" s="25">
        <v>1.0</v>
      </c>
      <c r="F98" s="26">
        <f>'ALL DATA &amp; IT4PROFIT'!F101</f>
        <v>1526.4</v>
      </c>
      <c r="G98" s="27">
        <f t="shared" si="8"/>
        <v>1556.4</v>
      </c>
      <c r="H98" s="27">
        <f t="shared" si="2"/>
        <v>1595.31</v>
      </c>
      <c r="I98" s="28">
        <f t="shared" si="3"/>
        <v>0.1</v>
      </c>
      <c r="J98" s="29">
        <f t="shared" si="4"/>
        <v>1772.566667</v>
      </c>
      <c r="K98" s="30">
        <f t="shared" si="5"/>
        <v>1772.566667</v>
      </c>
      <c r="L98" s="30">
        <f t="shared" si="6"/>
        <v>1595.31</v>
      </c>
      <c r="M98" s="31">
        <v>0.1</v>
      </c>
      <c r="N98" s="32" t="str">
        <f>'ALL DATA &amp; IT4PROFIT'!L101</f>
        <v/>
      </c>
      <c r="O98" s="35"/>
      <c r="P98" s="32" t="str">
        <f>'ALL DATA &amp; IT4PROFIT'!H101</f>
        <v/>
      </c>
      <c r="Q98" s="35" t="str">
        <f>'ALL DATA &amp; IT4PROFIT'!K101</f>
        <v/>
      </c>
      <c r="R98" s="35" t="str">
        <f>'ALL DATA &amp; IT4PROFIT'!D101</f>
        <v/>
      </c>
      <c r="S98" s="9"/>
      <c r="T98" s="9"/>
    </row>
    <row r="99" ht="21.0" customHeight="1">
      <c r="A99" s="13"/>
      <c r="B99" s="24" t="str">
        <f>'ALL DATA &amp; IT4PROFIT'!A102</f>
        <v>FRONIUS</v>
      </c>
      <c r="C99" s="24" t="str">
        <f>'ALL DATA &amp; IT4PROFIT'!B102</f>
        <v>Fronius Symo GEN24 6.0 Plus</v>
      </c>
      <c r="D99" s="24" t="str">
        <f>'ALL DATA &amp; IT4PROFIT'!C102</f>
        <v>3PH HYBRID</v>
      </c>
      <c r="E99" s="25">
        <v>1.0</v>
      </c>
      <c r="F99" s="26">
        <f>'ALL DATA &amp; IT4PROFIT'!F102</f>
        <v>1816.2</v>
      </c>
      <c r="G99" s="27">
        <f t="shared" si="8"/>
        <v>1846.2</v>
      </c>
      <c r="H99" s="27">
        <f t="shared" si="2"/>
        <v>1892.355</v>
      </c>
      <c r="I99" s="28">
        <f t="shared" si="3"/>
        <v>0.1</v>
      </c>
      <c r="J99" s="29">
        <f t="shared" si="4"/>
        <v>2102.616667</v>
      </c>
      <c r="K99" s="30">
        <f t="shared" si="5"/>
        <v>2102.616667</v>
      </c>
      <c r="L99" s="30">
        <f t="shared" si="6"/>
        <v>1892.355</v>
      </c>
      <c r="M99" s="31">
        <v>0.1</v>
      </c>
      <c r="N99" s="32" t="str">
        <f>'ALL DATA &amp; IT4PROFIT'!L102</f>
        <v/>
      </c>
      <c r="O99" s="35"/>
      <c r="P99" s="32" t="str">
        <f>'ALL DATA &amp; IT4PROFIT'!H102</f>
        <v/>
      </c>
      <c r="Q99" s="35" t="str">
        <f>'ALL DATA &amp; IT4PROFIT'!K102</f>
        <v/>
      </c>
      <c r="R99" s="35" t="str">
        <f>'ALL DATA &amp; IT4PROFIT'!D102</f>
        <v/>
      </c>
      <c r="S99" s="9"/>
      <c r="T99" s="9"/>
    </row>
    <row r="100" ht="21.0" customHeight="1">
      <c r="A100" s="13"/>
      <c r="B100" s="24" t="str">
        <f>'ALL DATA &amp; IT4PROFIT'!A103</f>
        <v>FRONIUS</v>
      </c>
      <c r="C100" s="24" t="str">
        <f>'ALL DATA &amp; IT4PROFIT'!B103</f>
        <v>Fronius Symo GEN24 8.0 Plus</v>
      </c>
      <c r="D100" s="24" t="str">
        <f>'ALL DATA &amp; IT4PROFIT'!C103</f>
        <v>3PH HYBRID</v>
      </c>
      <c r="E100" s="25">
        <v>1.0</v>
      </c>
      <c r="F100" s="26">
        <f>'ALL DATA &amp; IT4PROFIT'!F103</f>
        <v>2091</v>
      </c>
      <c r="G100" s="27">
        <f t="shared" si="8"/>
        <v>2121</v>
      </c>
      <c r="H100" s="27">
        <f t="shared" si="2"/>
        <v>2174.025</v>
      </c>
      <c r="I100" s="28">
        <f t="shared" si="3"/>
        <v>0.1</v>
      </c>
      <c r="J100" s="29">
        <f t="shared" si="4"/>
        <v>2415.583333</v>
      </c>
      <c r="K100" s="30">
        <f t="shared" si="5"/>
        <v>2415.583333</v>
      </c>
      <c r="L100" s="30">
        <f t="shared" si="6"/>
        <v>2174.025</v>
      </c>
      <c r="M100" s="31">
        <v>0.1</v>
      </c>
      <c r="N100" s="32" t="str">
        <f>'ALL DATA &amp; IT4PROFIT'!L103</f>
        <v/>
      </c>
      <c r="O100" s="35"/>
      <c r="P100" s="32" t="str">
        <f>'ALL DATA &amp; IT4PROFIT'!H103</f>
        <v/>
      </c>
      <c r="Q100" s="35" t="str">
        <f>'ALL DATA &amp; IT4PROFIT'!K103</f>
        <v/>
      </c>
      <c r="R100" s="35" t="str">
        <f>'ALL DATA &amp; IT4PROFIT'!D103</f>
        <v/>
      </c>
      <c r="S100" s="9"/>
      <c r="T100" s="9"/>
    </row>
    <row r="101" ht="21.0" customHeight="1">
      <c r="A101" s="13"/>
      <c r="B101" s="24" t="str">
        <f>'ALL DATA &amp; IT4PROFIT'!A104</f>
        <v>FRONIUS</v>
      </c>
      <c r="C101" s="24" t="str">
        <f>'ALL DATA &amp; IT4PROFIT'!B104</f>
        <v>Fronius Symo GEN24 10.0 Plus</v>
      </c>
      <c r="D101" s="24" t="str">
        <f>'ALL DATA &amp; IT4PROFIT'!C104</f>
        <v>3PH HYBRID</v>
      </c>
      <c r="E101" s="25">
        <v>1.0</v>
      </c>
      <c r="F101" s="26">
        <f>'ALL DATA &amp; IT4PROFIT'!F104</f>
        <v>2184</v>
      </c>
      <c r="G101" s="27">
        <f t="shared" si="8"/>
        <v>2214</v>
      </c>
      <c r="H101" s="27">
        <f t="shared" si="2"/>
        <v>2269.35</v>
      </c>
      <c r="I101" s="28">
        <f t="shared" si="3"/>
        <v>0.1</v>
      </c>
      <c r="J101" s="29">
        <f t="shared" si="4"/>
        <v>2521.5</v>
      </c>
      <c r="K101" s="30">
        <f t="shared" si="5"/>
        <v>2521.5</v>
      </c>
      <c r="L101" s="30">
        <f t="shared" si="6"/>
        <v>2269.35</v>
      </c>
      <c r="M101" s="31">
        <v>0.1</v>
      </c>
      <c r="N101" s="32" t="str">
        <f>'ALL DATA &amp; IT4PROFIT'!L104</f>
        <v/>
      </c>
      <c r="O101" s="35"/>
      <c r="P101" s="32" t="str">
        <f>'ALL DATA &amp; IT4PROFIT'!H104</f>
        <v/>
      </c>
      <c r="Q101" s="35" t="str">
        <f>'ALL DATA &amp; IT4PROFIT'!K104</f>
        <v/>
      </c>
      <c r="R101" s="35" t="str">
        <f>'ALL DATA &amp; IT4PROFIT'!D104</f>
        <v/>
      </c>
      <c r="S101" s="9"/>
      <c r="T101" s="9"/>
    </row>
    <row r="102" ht="21.0" customHeight="1">
      <c r="A102" s="13"/>
      <c r="B102" s="24" t="str">
        <f>'ALL DATA &amp; IT4PROFIT'!A105</f>
        <v/>
      </c>
      <c r="C102" s="24" t="str">
        <f>'ALL DATA &amp; IT4PROFIT'!B105</f>
        <v/>
      </c>
      <c r="D102" s="24" t="str">
        <f>'ALL DATA &amp; IT4PROFIT'!C105</f>
        <v/>
      </c>
      <c r="E102" s="25">
        <v>1.0</v>
      </c>
      <c r="F102" s="26"/>
      <c r="G102" s="27"/>
      <c r="H102" s="27"/>
      <c r="I102" s="28"/>
      <c r="J102" s="29"/>
      <c r="K102" s="30"/>
      <c r="L102" s="30"/>
      <c r="M102" s="31"/>
      <c r="N102" s="32"/>
      <c r="O102" s="35"/>
      <c r="P102" s="32"/>
      <c r="Q102" s="35"/>
      <c r="R102" s="35"/>
      <c r="S102" s="9"/>
      <c r="T102" s="9"/>
    </row>
    <row r="103" ht="21.0" customHeight="1">
      <c r="A103" s="13"/>
      <c r="B103" s="24" t="str">
        <f>'ALL DATA &amp; IT4PROFIT'!A125</f>
        <v>SOLAREDGE</v>
      </c>
      <c r="C103" s="24" t="s">
        <v>53</v>
      </c>
      <c r="D103" s="24"/>
      <c r="E103" s="25">
        <v>1.0</v>
      </c>
      <c r="F103" s="26">
        <f>'ALL DATA &amp; IT4PROFIT'!$F$106</f>
        <v>604.2</v>
      </c>
      <c r="G103" s="27">
        <f t="shared" ref="G103:G173" si="9">F103+$G$204</f>
        <v>634.2</v>
      </c>
      <c r="H103" s="27">
        <f t="shared" ref="H103:H173" si="10">(G103*$E$204)+G103</f>
        <v>650.055</v>
      </c>
      <c r="I103" s="28">
        <f t="shared" ref="I103:I189" si="11">(J103-H103)/J103</f>
        <v>0.07</v>
      </c>
      <c r="J103" s="29">
        <f t="shared" ref="J103:J189" si="12">H103/(1-M103)</f>
        <v>698.983871</v>
      </c>
      <c r="K103" s="30">
        <f t="shared" ref="K103:K189" si="13">SUM(E103*J103)</f>
        <v>698.983871</v>
      </c>
      <c r="L103" s="30">
        <f t="shared" ref="L103:L189" si="14">SUM(E103*H103)</f>
        <v>650.055</v>
      </c>
      <c r="M103" s="31">
        <v>0.07</v>
      </c>
      <c r="N103" s="32" t="str">
        <f>'ALL DATA &amp; IT4PROFIT'!L125</f>
        <v/>
      </c>
      <c r="O103" s="35">
        <f>'ALL DATA &amp; IT4PROFIT'!$G$106</f>
        <v>774</v>
      </c>
      <c r="P103" s="32" t="str">
        <f>'ALL DATA &amp; IT4PROFIT'!H125</f>
        <v/>
      </c>
      <c r="Q103" s="35" t="str">
        <f>'ALL DATA &amp; IT4PROFIT'!K125</f>
        <v/>
      </c>
      <c r="R103" s="35" t="str">
        <f>'ALL DATA &amp; IT4PROFIT'!D125</f>
        <v/>
      </c>
      <c r="S103" s="9"/>
      <c r="T103" s="9"/>
    </row>
    <row r="104" ht="21.0" customHeight="1">
      <c r="A104" s="13"/>
      <c r="B104" s="24" t="str">
        <f>'ALL DATA &amp; IT4PROFIT'!A126</f>
        <v>SOLAREDGE</v>
      </c>
      <c r="C104" s="24" t="s">
        <v>54</v>
      </c>
      <c r="D104" s="24"/>
      <c r="E104" s="25">
        <v>1.0</v>
      </c>
      <c r="F104" s="26">
        <f>'ALL DATA &amp; IT4PROFIT'!$F$110</f>
        <v>849</v>
      </c>
      <c r="G104" s="27">
        <f t="shared" si="9"/>
        <v>879</v>
      </c>
      <c r="H104" s="27">
        <f t="shared" si="10"/>
        <v>900.975</v>
      </c>
      <c r="I104" s="28">
        <f t="shared" si="11"/>
        <v>0.05</v>
      </c>
      <c r="J104" s="29">
        <f t="shared" si="12"/>
        <v>948.3947368</v>
      </c>
      <c r="K104" s="30">
        <f t="shared" si="13"/>
        <v>948.3947368</v>
      </c>
      <c r="L104" s="30">
        <f t="shared" si="14"/>
        <v>900.975</v>
      </c>
      <c r="M104" s="31">
        <v>0.05</v>
      </c>
      <c r="N104" s="32" t="str">
        <f>'ALL DATA &amp; IT4PROFIT'!L126</f>
        <v/>
      </c>
      <c r="O104" s="35">
        <f>'ALL DATA &amp; IT4PROFIT'!$G$110</f>
        <v>906</v>
      </c>
      <c r="P104" s="32" t="str">
        <f>'ALL DATA &amp; IT4PROFIT'!H126</f>
        <v/>
      </c>
      <c r="Q104" s="35" t="str">
        <f>'ALL DATA &amp; IT4PROFIT'!K126</f>
        <v/>
      </c>
      <c r="R104" s="35" t="str">
        <f>'ALL DATA &amp; IT4PROFIT'!D126</f>
        <v/>
      </c>
      <c r="S104" s="9"/>
      <c r="T104" s="9"/>
    </row>
    <row r="105" ht="21.0" customHeight="1">
      <c r="A105" s="13"/>
      <c r="B105" s="24" t="str">
        <f>'ALL DATA &amp; IT4PROFIT'!A127</f>
        <v>SOLAREDGE</v>
      </c>
      <c r="C105" s="24" t="s">
        <v>55</v>
      </c>
      <c r="D105" s="24"/>
      <c r="E105" s="25">
        <v>1.0</v>
      </c>
      <c r="F105" s="26">
        <f>'ALL DATA &amp; IT4PROFIT'!$F$111</f>
        <v>910.8</v>
      </c>
      <c r="G105" s="27">
        <f t="shared" si="9"/>
        <v>940.8</v>
      </c>
      <c r="H105" s="27">
        <f t="shared" si="10"/>
        <v>964.32</v>
      </c>
      <c r="I105" s="28">
        <f t="shared" si="11"/>
        <v>0.05</v>
      </c>
      <c r="J105" s="29">
        <f t="shared" si="12"/>
        <v>1015.073684</v>
      </c>
      <c r="K105" s="30">
        <f t="shared" si="13"/>
        <v>1015.073684</v>
      </c>
      <c r="L105" s="30">
        <f t="shared" si="14"/>
        <v>964.32</v>
      </c>
      <c r="M105" s="31">
        <v>0.05</v>
      </c>
      <c r="N105" s="32"/>
      <c r="O105" s="35">
        <f>'ALL DATA &amp; IT4PROFIT'!$G$111</f>
        <v>1014</v>
      </c>
      <c r="P105" s="32"/>
      <c r="Q105" s="35"/>
      <c r="R105" s="35"/>
      <c r="S105" s="9"/>
      <c r="T105" s="9"/>
    </row>
    <row r="106" ht="21.0" customHeight="1">
      <c r="A106" s="13"/>
      <c r="B106" s="24" t="str">
        <f>'ALL DATA &amp; IT4PROFIT'!A128</f>
        <v>SOLAREDGE</v>
      </c>
      <c r="C106" s="24" t="s">
        <v>56</v>
      </c>
      <c r="D106" s="24"/>
      <c r="E106" s="25">
        <v>1.0</v>
      </c>
      <c r="F106" s="26">
        <f>'ALL DATA &amp; IT4PROFIT'!$F$114</f>
        <v>980.4</v>
      </c>
      <c r="G106" s="27">
        <f t="shared" si="9"/>
        <v>1010.4</v>
      </c>
      <c r="H106" s="27">
        <f t="shared" si="10"/>
        <v>1035.66</v>
      </c>
      <c r="I106" s="28">
        <f t="shared" si="11"/>
        <v>0.07</v>
      </c>
      <c r="J106" s="29">
        <f t="shared" si="12"/>
        <v>1113.612903</v>
      </c>
      <c r="K106" s="30">
        <f t="shared" si="13"/>
        <v>1113.612903</v>
      </c>
      <c r="L106" s="30">
        <f t="shared" si="14"/>
        <v>1035.66</v>
      </c>
      <c r="M106" s="31">
        <v>0.07</v>
      </c>
      <c r="N106" s="32"/>
      <c r="O106" s="9"/>
      <c r="P106" s="32"/>
      <c r="Q106" s="35"/>
      <c r="R106" s="35"/>
      <c r="S106" s="9"/>
      <c r="T106" s="9"/>
    </row>
    <row r="107" ht="21.0" customHeight="1">
      <c r="A107" s="13"/>
      <c r="B107" s="24" t="str">
        <f>'ALL DATA &amp; IT4PROFIT'!A129</f>
        <v>SOLAREDGE</v>
      </c>
      <c r="C107" s="24" t="s">
        <v>57</v>
      </c>
      <c r="D107" s="24"/>
      <c r="E107" s="25">
        <v>1.0</v>
      </c>
      <c r="F107" s="26">
        <f>'ALL DATA &amp; IT4PROFIT'!$F$116</f>
        <v>1074</v>
      </c>
      <c r="G107" s="27">
        <f t="shared" si="9"/>
        <v>1104</v>
      </c>
      <c r="H107" s="27">
        <f t="shared" si="10"/>
        <v>1131.6</v>
      </c>
      <c r="I107" s="28">
        <f t="shared" si="11"/>
        <v>0.07</v>
      </c>
      <c r="J107" s="29">
        <f t="shared" si="12"/>
        <v>1216.774194</v>
      </c>
      <c r="K107" s="30">
        <f t="shared" si="13"/>
        <v>1216.774194</v>
      </c>
      <c r="L107" s="30">
        <f t="shared" si="14"/>
        <v>1131.6</v>
      </c>
      <c r="M107" s="31">
        <v>0.07</v>
      </c>
      <c r="N107" s="32"/>
      <c r="O107" s="35">
        <f>'ALL DATA &amp; IT4PROFIT'!$G$116</f>
        <v>1230</v>
      </c>
      <c r="P107" s="32"/>
      <c r="Q107" s="35"/>
      <c r="R107" s="35"/>
      <c r="S107" s="9"/>
      <c r="T107" s="9"/>
    </row>
    <row r="108" ht="21.0" customHeight="1">
      <c r="A108" s="13"/>
      <c r="B108" s="24" t="str">
        <f>'ALL DATA &amp; IT4PROFIT'!A130</f>
        <v>SOLAREDGE</v>
      </c>
      <c r="C108" s="24" t="s">
        <v>58</v>
      </c>
      <c r="D108" s="24"/>
      <c r="E108" s="25">
        <v>1.0</v>
      </c>
      <c r="F108" s="26">
        <f>'ALL DATA &amp; IT4PROFIT'!$F$118</f>
        <v>1163.4</v>
      </c>
      <c r="G108" s="27">
        <f t="shared" si="9"/>
        <v>1193.4</v>
      </c>
      <c r="H108" s="27">
        <f t="shared" si="10"/>
        <v>1223.235</v>
      </c>
      <c r="I108" s="28">
        <f t="shared" si="11"/>
        <v>0.07</v>
      </c>
      <c r="J108" s="29">
        <f t="shared" si="12"/>
        <v>1315.306452</v>
      </c>
      <c r="K108" s="30">
        <f t="shared" si="13"/>
        <v>1315.306452</v>
      </c>
      <c r="L108" s="30">
        <f t="shared" si="14"/>
        <v>1223.235</v>
      </c>
      <c r="M108" s="31">
        <v>0.07</v>
      </c>
      <c r="N108" s="32"/>
      <c r="O108" s="35">
        <f>'ALL DATA &amp; IT4PROFIT'!$G$118</f>
        <v>1320</v>
      </c>
      <c r="P108" s="32"/>
      <c r="Q108" s="35"/>
      <c r="R108" s="35"/>
      <c r="S108" s="9"/>
      <c r="T108" s="9"/>
    </row>
    <row r="109" ht="21.0" customHeight="1">
      <c r="A109" s="13"/>
      <c r="B109" s="24" t="str">
        <f>'ALL DATA &amp; IT4PROFIT'!A131</f>
        <v>SOLAREDGE</v>
      </c>
      <c r="C109" s="24" t="s">
        <v>59</v>
      </c>
      <c r="D109" s="24"/>
      <c r="E109" s="25">
        <v>1.0</v>
      </c>
      <c r="F109" s="26">
        <f>'ALL DATA &amp; IT4PROFIT'!$F$119</f>
        <v>1212</v>
      </c>
      <c r="G109" s="27">
        <f t="shared" si="9"/>
        <v>1242</v>
      </c>
      <c r="H109" s="27">
        <f t="shared" si="10"/>
        <v>1273.05</v>
      </c>
      <c r="I109" s="28">
        <f t="shared" si="11"/>
        <v>0.08</v>
      </c>
      <c r="J109" s="29">
        <f t="shared" si="12"/>
        <v>1383.75</v>
      </c>
      <c r="K109" s="30">
        <f t="shared" si="13"/>
        <v>1383.75</v>
      </c>
      <c r="L109" s="30">
        <f t="shared" si="14"/>
        <v>1273.05</v>
      </c>
      <c r="M109" s="31">
        <v>0.08</v>
      </c>
      <c r="N109" s="32"/>
      <c r="O109" s="35">
        <f>'ALL DATA &amp; IT4PROFIT'!$G$119</f>
        <v>1380</v>
      </c>
      <c r="P109" s="32"/>
      <c r="Q109" s="35"/>
      <c r="R109" s="35"/>
      <c r="S109" s="9"/>
      <c r="T109" s="9"/>
    </row>
    <row r="110" ht="21.0" customHeight="1">
      <c r="A110" s="13"/>
      <c r="B110" s="24" t="str">
        <f>'ALL DATA &amp; IT4PROFIT'!A129</f>
        <v>SOLAREDGE</v>
      </c>
      <c r="C110" s="24" t="s">
        <v>60</v>
      </c>
      <c r="D110" s="24" t="str">
        <f>'ALL DATA &amp; IT4PROFIT'!C144</f>
        <v/>
      </c>
      <c r="E110" s="25">
        <v>1.0</v>
      </c>
      <c r="F110" s="26">
        <f>'ALL DATA &amp; IT4PROFIT'!$F$120</f>
        <v>1347</v>
      </c>
      <c r="G110" s="27">
        <f t="shared" si="9"/>
        <v>1377</v>
      </c>
      <c r="H110" s="27">
        <f t="shared" si="10"/>
        <v>1411.425</v>
      </c>
      <c r="I110" s="28">
        <f t="shared" si="11"/>
        <v>0.05</v>
      </c>
      <c r="J110" s="29">
        <f t="shared" si="12"/>
        <v>1485.710526</v>
      </c>
      <c r="K110" s="30">
        <f t="shared" si="13"/>
        <v>1485.710526</v>
      </c>
      <c r="L110" s="30">
        <f t="shared" si="14"/>
        <v>1411.425</v>
      </c>
      <c r="M110" s="31">
        <v>0.05</v>
      </c>
      <c r="N110" s="32"/>
      <c r="O110" s="35">
        <f>'ALL DATA &amp; IT4PROFIT'!$G$120</f>
        <v>1476</v>
      </c>
      <c r="P110" s="32" t="str">
        <f>'ALL DATA &amp; IT4PROFIT'!H144</f>
        <v/>
      </c>
      <c r="Q110" s="35" t="str">
        <f>'ALL DATA &amp; IT4PROFIT'!K144</f>
        <v/>
      </c>
      <c r="R110" s="35" t="str">
        <f>'ALL DATA &amp; IT4PROFIT'!D144</f>
        <v/>
      </c>
      <c r="S110" s="9"/>
      <c r="T110" s="9"/>
    </row>
    <row r="111" ht="21.0" customHeight="1">
      <c r="A111" s="13"/>
      <c r="B111" s="24" t="str">
        <f>'ALL DATA &amp; IT4PROFIT'!A130</f>
        <v>SOLAREDGE</v>
      </c>
      <c r="C111" s="24" t="s">
        <v>61</v>
      </c>
      <c r="D111" s="24" t="str">
        <f>'ALL DATA &amp; IT4PROFIT'!C159</f>
        <v/>
      </c>
      <c r="E111" s="25">
        <v>1.0</v>
      </c>
      <c r="F111" s="26">
        <f>'ALL DATA &amp; IT4PROFIT'!$F$121</f>
        <v>1401</v>
      </c>
      <c r="G111" s="27">
        <f t="shared" si="9"/>
        <v>1431</v>
      </c>
      <c r="H111" s="27">
        <f t="shared" si="10"/>
        <v>1466.775</v>
      </c>
      <c r="I111" s="28">
        <f t="shared" si="11"/>
        <v>0.05</v>
      </c>
      <c r="J111" s="29">
        <f t="shared" si="12"/>
        <v>1543.973684</v>
      </c>
      <c r="K111" s="30">
        <f t="shared" si="13"/>
        <v>1543.973684</v>
      </c>
      <c r="L111" s="30">
        <f t="shared" si="14"/>
        <v>1466.775</v>
      </c>
      <c r="M111" s="31">
        <v>0.05</v>
      </c>
      <c r="N111" s="32"/>
      <c r="O111" s="35">
        <f>'ALL DATA &amp; IT4PROFIT'!$G$121</f>
        <v>1545</v>
      </c>
      <c r="P111" s="32" t="str">
        <f>'ALL DATA &amp; IT4PROFIT'!H159</f>
        <v/>
      </c>
      <c r="Q111" s="35" t="str">
        <f>'ALL DATA &amp; IT4PROFIT'!K159</f>
        <v/>
      </c>
      <c r="R111" s="35" t="str">
        <f>'ALL DATA &amp; IT4PROFIT'!D159</f>
        <v/>
      </c>
      <c r="S111" s="9"/>
      <c r="T111" s="9"/>
    </row>
    <row r="112" ht="21.0" customHeight="1">
      <c r="A112" s="13"/>
      <c r="B112" s="24" t="str">
        <f>'ALL DATA &amp; IT4PROFIT'!A131</f>
        <v>SOLAREDGE</v>
      </c>
      <c r="C112" s="24" t="s">
        <v>62</v>
      </c>
      <c r="D112" s="24" t="str">
        <f>'ALL DATA &amp; IT4PROFIT'!C160</f>
        <v/>
      </c>
      <c r="E112" s="25">
        <v>1.0</v>
      </c>
      <c r="F112" s="26">
        <f>'ALL DATA &amp; IT4PROFIT'!$F$122</f>
        <v>1455</v>
      </c>
      <c r="G112" s="27">
        <f t="shared" si="9"/>
        <v>1485</v>
      </c>
      <c r="H112" s="27">
        <f t="shared" si="10"/>
        <v>1522.125</v>
      </c>
      <c r="I112" s="28">
        <f t="shared" si="11"/>
        <v>0.05</v>
      </c>
      <c r="J112" s="29">
        <f t="shared" si="12"/>
        <v>1602.236842</v>
      </c>
      <c r="K112" s="30">
        <f t="shared" si="13"/>
        <v>1602.236842</v>
      </c>
      <c r="L112" s="30">
        <f t="shared" si="14"/>
        <v>1522.125</v>
      </c>
      <c r="M112" s="31">
        <v>0.05</v>
      </c>
      <c r="N112" s="32"/>
      <c r="O112" s="35">
        <f>'ALL DATA &amp; IT4PROFIT'!$G$122</f>
        <v>1608</v>
      </c>
      <c r="P112" s="32" t="str">
        <f>'ALL DATA &amp; IT4PROFIT'!H160</f>
        <v/>
      </c>
      <c r="Q112" s="35" t="str">
        <f>'ALL DATA &amp; IT4PROFIT'!K160</f>
        <v/>
      </c>
      <c r="R112" s="35" t="str">
        <f>'ALL DATA &amp; IT4PROFIT'!D160</f>
        <v/>
      </c>
      <c r="S112" s="9"/>
      <c r="T112" s="9"/>
    </row>
    <row r="113" ht="21.0" customHeight="1">
      <c r="A113" s="13"/>
      <c r="B113" s="24" t="str">
        <f>'ALL DATA &amp; IT4PROFIT'!A161</f>
        <v/>
      </c>
      <c r="C113" s="24" t="str">
        <f>'ALL DATA &amp; IT4PROFIT'!B161</f>
        <v/>
      </c>
      <c r="D113" s="24" t="str">
        <f>'ALL DATA &amp; IT4PROFIT'!C161</f>
        <v/>
      </c>
      <c r="E113" s="25">
        <v>1.0</v>
      </c>
      <c r="F113" s="26" t="str">
        <f>'ALL DATA &amp; IT4PROFIT'!F161</f>
        <v/>
      </c>
      <c r="G113" s="27">
        <f t="shared" si="9"/>
        <v>30</v>
      </c>
      <c r="H113" s="27">
        <f t="shared" si="10"/>
        <v>30.75</v>
      </c>
      <c r="I113" s="28">
        <f t="shared" si="11"/>
        <v>0.1</v>
      </c>
      <c r="J113" s="29">
        <f t="shared" si="12"/>
        <v>34.16666667</v>
      </c>
      <c r="K113" s="30">
        <f t="shared" si="13"/>
        <v>34.16666667</v>
      </c>
      <c r="L113" s="30">
        <f t="shared" si="14"/>
        <v>30.75</v>
      </c>
      <c r="M113" s="31">
        <v>0.1</v>
      </c>
      <c r="N113" s="32"/>
      <c r="O113" s="35"/>
      <c r="P113" s="32" t="str">
        <f>'ALL DATA &amp; IT4PROFIT'!H161</f>
        <v/>
      </c>
      <c r="Q113" s="35" t="str">
        <f>'ALL DATA &amp; IT4PROFIT'!K161</f>
        <v/>
      </c>
      <c r="R113" s="35" t="str">
        <f>'ALL DATA &amp; IT4PROFIT'!D161</f>
        <v/>
      </c>
      <c r="S113" s="9"/>
      <c r="T113" s="9"/>
    </row>
    <row r="114" ht="21.0" customHeight="1">
      <c r="A114" s="13"/>
      <c r="B114" s="24" t="str">
        <f>'ALL DATA &amp; IT4PROFIT'!A162</f>
        <v>SOLAX</v>
      </c>
      <c r="C114" s="24" t="str">
        <f>'ALL DATA &amp; IT4PROFIT'!B162</f>
        <v>X1 2.0-S-D(L) Mini G3</v>
      </c>
      <c r="D114" s="24" t="str">
        <f>'ALL DATA &amp; IT4PROFIT'!C162</f>
        <v>1PH</v>
      </c>
      <c r="E114" s="25">
        <v>1.0</v>
      </c>
      <c r="F114" s="26" t="str">
        <f>'ALL DATA &amp; IT4PROFIT'!F162</f>
        <v/>
      </c>
      <c r="G114" s="27">
        <f t="shared" si="9"/>
        <v>30</v>
      </c>
      <c r="H114" s="27">
        <f t="shared" si="10"/>
        <v>30.75</v>
      </c>
      <c r="I114" s="28">
        <f t="shared" si="11"/>
        <v>0.1</v>
      </c>
      <c r="J114" s="29">
        <f t="shared" si="12"/>
        <v>34.16666667</v>
      </c>
      <c r="K114" s="30">
        <f t="shared" si="13"/>
        <v>34.16666667</v>
      </c>
      <c r="L114" s="30">
        <f t="shared" si="14"/>
        <v>30.75</v>
      </c>
      <c r="M114" s="31">
        <v>0.1</v>
      </c>
      <c r="N114" s="32"/>
      <c r="O114" s="35">
        <f>615-615*0.4</f>
        <v>369</v>
      </c>
      <c r="P114" s="32" t="str">
        <f>'ALL DATA &amp; IT4PROFIT'!H162</f>
        <v/>
      </c>
      <c r="Q114" s="35" t="str">
        <f>'ALL DATA &amp; IT4PROFIT'!K162</f>
        <v/>
      </c>
      <c r="R114" s="35" t="str">
        <f>'ALL DATA &amp; IT4PROFIT'!D162</f>
        <v/>
      </c>
      <c r="S114" s="9"/>
      <c r="T114" s="9"/>
    </row>
    <row r="115" ht="21.0" customHeight="1">
      <c r="A115" s="13"/>
      <c r="B115" s="24" t="str">
        <f>'ALL DATA &amp; IT4PROFIT'!A163</f>
        <v>SOLAX</v>
      </c>
      <c r="C115" s="24" t="str">
        <f>'ALL DATA &amp; IT4PROFIT'!B163</f>
        <v>X1 3.3-T-D(L) BOOST</v>
      </c>
      <c r="D115" s="24" t="str">
        <f>'ALL DATA &amp; IT4PROFIT'!C163</f>
        <v>1PH</v>
      </c>
      <c r="E115" s="25">
        <v>1.0</v>
      </c>
      <c r="F115" s="26" t="str">
        <f>'ALL DATA &amp; IT4PROFIT'!F163</f>
        <v/>
      </c>
      <c r="G115" s="27">
        <f t="shared" si="9"/>
        <v>30</v>
      </c>
      <c r="H115" s="27">
        <f t="shared" si="10"/>
        <v>30.75</v>
      </c>
      <c r="I115" s="28">
        <f t="shared" si="11"/>
        <v>0.1</v>
      </c>
      <c r="J115" s="29">
        <f t="shared" si="12"/>
        <v>34.16666667</v>
      </c>
      <c r="K115" s="30">
        <f t="shared" si="13"/>
        <v>34.16666667</v>
      </c>
      <c r="L115" s="30">
        <f t="shared" si="14"/>
        <v>30.75</v>
      </c>
      <c r="M115" s="31">
        <v>0.1</v>
      </c>
      <c r="N115" s="32"/>
      <c r="O115" s="35">
        <f>920-920*0.4</f>
        <v>552</v>
      </c>
      <c r="P115" s="32" t="str">
        <f>'ALL DATA &amp; IT4PROFIT'!H163</f>
        <v/>
      </c>
      <c r="Q115" s="35" t="str">
        <f>'ALL DATA &amp; IT4PROFIT'!K163</f>
        <v/>
      </c>
      <c r="R115" s="35" t="str">
        <f>'ALL DATA &amp; IT4PROFIT'!D163</f>
        <v/>
      </c>
      <c r="S115" s="9"/>
      <c r="T115" s="9"/>
    </row>
    <row r="116" ht="21.0" customHeight="1">
      <c r="A116" s="13"/>
      <c r="B116" s="24" t="str">
        <f>'ALL DATA &amp; IT4PROFIT'!A164</f>
        <v>SOLAX</v>
      </c>
      <c r="C116" s="24" t="str">
        <f>'ALL DATA &amp; IT4PROFIT'!B164</f>
        <v>X1 4.2-T-D(L) BOOST</v>
      </c>
      <c r="D116" s="24" t="str">
        <f>'ALL DATA &amp; IT4PROFIT'!C164</f>
        <v>1PH</v>
      </c>
      <c r="E116" s="25">
        <v>1.0</v>
      </c>
      <c r="F116" s="26" t="str">
        <f>'ALL DATA &amp; IT4PROFIT'!F164</f>
        <v/>
      </c>
      <c r="G116" s="27">
        <f t="shared" si="9"/>
        <v>30</v>
      </c>
      <c r="H116" s="27">
        <f t="shared" si="10"/>
        <v>30.75</v>
      </c>
      <c r="I116" s="28">
        <f t="shared" si="11"/>
        <v>0.1</v>
      </c>
      <c r="J116" s="29">
        <f t="shared" si="12"/>
        <v>34.16666667</v>
      </c>
      <c r="K116" s="30">
        <f t="shared" si="13"/>
        <v>34.16666667</v>
      </c>
      <c r="L116" s="30">
        <f t="shared" si="14"/>
        <v>30.75</v>
      </c>
      <c r="M116" s="31">
        <v>0.1</v>
      </c>
      <c r="N116" s="32"/>
      <c r="O116" s="35">
        <f>985-985*0.4</f>
        <v>591</v>
      </c>
      <c r="P116" s="32" t="str">
        <f>'ALL DATA &amp; IT4PROFIT'!H164</f>
        <v/>
      </c>
      <c r="Q116" s="35" t="str">
        <f>'ALL DATA &amp; IT4PROFIT'!K164</f>
        <v/>
      </c>
      <c r="R116" s="35" t="str">
        <f>'ALL DATA &amp; IT4PROFIT'!D164</f>
        <v/>
      </c>
      <c r="S116" s="9"/>
      <c r="T116" s="9"/>
    </row>
    <row r="117" ht="21.0" customHeight="1">
      <c r="A117" s="13"/>
      <c r="B117" s="24" t="str">
        <f>'ALL DATA &amp; IT4PROFIT'!A165</f>
        <v>SOLAX</v>
      </c>
      <c r="C117" s="24" t="str">
        <f>'ALL DATA &amp; IT4PROFIT'!B165</f>
        <v>X1 5.0-T-D(L) BOOST</v>
      </c>
      <c r="D117" s="24" t="str">
        <f>'ALL DATA &amp; IT4PROFIT'!C165</f>
        <v>1PH</v>
      </c>
      <c r="E117" s="25">
        <v>1.0</v>
      </c>
      <c r="F117" s="26" t="str">
        <f>'ALL DATA &amp; IT4PROFIT'!F165</f>
        <v/>
      </c>
      <c r="G117" s="27">
        <f t="shared" si="9"/>
        <v>30</v>
      </c>
      <c r="H117" s="27">
        <f t="shared" si="10"/>
        <v>30.75</v>
      </c>
      <c r="I117" s="28">
        <f t="shared" si="11"/>
        <v>0.1</v>
      </c>
      <c r="J117" s="29">
        <f t="shared" si="12"/>
        <v>34.16666667</v>
      </c>
      <c r="K117" s="30">
        <f t="shared" si="13"/>
        <v>34.16666667</v>
      </c>
      <c r="L117" s="30">
        <f t="shared" si="14"/>
        <v>30.75</v>
      </c>
      <c r="M117" s="31">
        <v>0.1</v>
      </c>
      <c r="N117" s="32"/>
      <c r="O117" s="35">
        <f>1055-1055*0.4</f>
        <v>633</v>
      </c>
      <c r="P117" s="32" t="str">
        <f>'ALL DATA &amp; IT4PROFIT'!H165</f>
        <v/>
      </c>
      <c r="Q117" s="35" t="str">
        <f>'ALL DATA &amp; IT4PROFIT'!K165</f>
        <v/>
      </c>
      <c r="R117" s="35" t="str">
        <f>'ALL DATA &amp; IT4PROFIT'!D165</f>
        <v/>
      </c>
      <c r="S117" s="9"/>
      <c r="T117" s="9"/>
    </row>
    <row r="118" ht="21.0" customHeight="1">
      <c r="A118" s="13"/>
      <c r="B118" s="24" t="str">
        <f>'ALL DATA &amp; IT4PROFIT'!A166</f>
        <v>SOLAX</v>
      </c>
      <c r="C118" s="24" t="str">
        <f>'ALL DATA &amp; IT4PROFIT'!B166</f>
        <v>X3-MIC-4.0K-G2</v>
      </c>
      <c r="D118" s="24" t="str">
        <f>'ALL DATA &amp; IT4PROFIT'!C166</f>
        <v>3PH</v>
      </c>
      <c r="E118" s="25">
        <v>1.0</v>
      </c>
      <c r="F118" s="26" t="str">
        <f>'ALL DATA &amp; IT4PROFIT'!F166</f>
        <v/>
      </c>
      <c r="G118" s="27">
        <f t="shared" si="9"/>
        <v>30</v>
      </c>
      <c r="H118" s="27">
        <f t="shared" si="10"/>
        <v>30.75</v>
      </c>
      <c r="I118" s="28">
        <f t="shared" si="11"/>
        <v>0.1</v>
      </c>
      <c r="J118" s="29">
        <f t="shared" si="12"/>
        <v>34.16666667</v>
      </c>
      <c r="K118" s="30">
        <f t="shared" si="13"/>
        <v>34.16666667</v>
      </c>
      <c r="L118" s="30">
        <f t="shared" si="14"/>
        <v>30.75</v>
      </c>
      <c r="M118" s="31">
        <v>0.1</v>
      </c>
      <c r="N118" s="32"/>
      <c r="O118" s="35">
        <f>1465-1465*0.4</f>
        <v>879</v>
      </c>
      <c r="P118" s="32" t="str">
        <f>'ALL DATA &amp; IT4PROFIT'!H166</f>
        <v/>
      </c>
      <c r="Q118" s="35" t="str">
        <f>'ALL DATA &amp; IT4PROFIT'!K166</f>
        <v/>
      </c>
      <c r="R118" s="35" t="str">
        <f>'ALL DATA &amp; IT4PROFIT'!D166</f>
        <v/>
      </c>
      <c r="S118" s="9"/>
      <c r="T118" s="9"/>
    </row>
    <row r="119" ht="21.0" customHeight="1">
      <c r="A119" s="13"/>
      <c r="B119" s="24" t="str">
        <f>'ALL DATA &amp; IT4PROFIT'!A167</f>
        <v>SOLAX</v>
      </c>
      <c r="C119" s="24" t="str">
        <f>'ALL DATA &amp; IT4PROFIT'!B167</f>
        <v>X3-MIC-5.0K-G2</v>
      </c>
      <c r="D119" s="24" t="str">
        <f>'ALL DATA &amp; IT4PROFIT'!C167</f>
        <v>3PH</v>
      </c>
      <c r="E119" s="25">
        <v>1.0</v>
      </c>
      <c r="F119" s="26" t="str">
        <f>'ALL DATA &amp; IT4PROFIT'!F167</f>
        <v/>
      </c>
      <c r="G119" s="27">
        <f t="shared" si="9"/>
        <v>30</v>
      </c>
      <c r="H119" s="27">
        <f t="shared" si="10"/>
        <v>30.75</v>
      </c>
      <c r="I119" s="28">
        <f t="shared" si="11"/>
        <v>0.1</v>
      </c>
      <c r="J119" s="29">
        <f t="shared" si="12"/>
        <v>34.16666667</v>
      </c>
      <c r="K119" s="30">
        <f t="shared" si="13"/>
        <v>34.16666667</v>
      </c>
      <c r="L119" s="30">
        <f t="shared" si="14"/>
        <v>30.75</v>
      </c>
      <c r="M119" s="31">
        <v>0.1</v>
      </c>
      <c r="N119" s="32"/>
      <c r="O119" s="35">
        <f>1530-1530*0.4</f>
        <v>918</v>
      </c>
      <c r="P119" s="32" t="str">
        <f>'ALL DATA &amp; IT4PROFIT'!H167</f>
        <v/>
      </c>
      <c r="Q119" s="35" t="str">
        <f>'ALL DATA &amp; IT4PROFIT'!K167</f>
        <v/>
      </c>
      <c r="R119" s="35" t="str">
        <f>'ALL DATA &amp; IT4PROFIT'!D167</f>
        <v/>
      </c>
      <c r="S119" s="9"/>
      <c r="T119" s="9"/>
    </row>
    <row r="120" ht="21.0" customHeight="1">
      <c r="A120" s="13"/>
      <c r="B120" s="24" t="str">
        <f>'ALL DATA &amp; IT4PROFIT'!A168</f>
        <v>SOLAX</v>
      </c>
      <c r="C120" s="24" t="str">
        <f>'ALL DATA &amp; IT4PROFIT'!B168</f>
        <v>X3-MIC-6.0K-G2</v>
      </c>
      <c r="D120" s="24" t="str">
        <f>'ALL DATA &amp; IT4PROFIT'!C168</f>
        <v>3PH</v>
      </c>
      <c r="E120" s="25">
        <v>1.0</v>
      </c>
      <c r="F120" s="26" t="str">
        <f>'ALL DATA &amp; IT4PROFIT'!F168</f>
        <v/>
      </c>
      <c r="G120" s="27">
        <f t="shared" si="9"/>
        <v>30</v>
      </c>
      <c r="H120" s="27">
        <f t="shared" si="10"/>
        <v>30.75</v>
      </c>
      <c r="I120" s="28">
        <f t="shared" si="11"/>
        <v>0.1</v>
      </c>
      <c r="J120" s="29">
        <f t="shared" si="12"/>
        <v>34.16666667</v>
      </c>
      <c r="K120" s="30">
        <f t="shared" si="13"/>
        <v>34.16666667</v>
      </c>
      <c r="L120" s="30">
        <f t="shared" si="14"/>
        <v>30.75</v>
      </c>
      <c r="M120" s="31">
        <v>0.1</v>
      </c>
      <c r="N120" s="32"/>
      <c r="O120" s="35">
        <f>1625-1625*0.4</f>
        <v>975</v>
      </c>
      <c r="P120" s="32" t="str">
        <f>'ALL DATA &amp; IT4PROFIT'!H168</f>
        <v/>
      </c>
      <c r="Q120" s="35" t="str">
        <f>'ALL DATA &amp; IT4PROFIT'!K168</f>
        <v/>
      </c>
      <c r="R120" s="35" t="str">
        <f>'ALL DATA &amp; IT4PROFIT'!D168</f>
        <v/>
      </c>
      <c r="S120" s="9"/>
      <c r="T120" s="9"/>
    </row>
    <row r="121" ht="21.0" customHeight="1">
      <c r="A121" s="13"/>
      <c r="B121" s="24" t="str">
        <f>'ALL DATA &amp; IT4PROFIT'!A169</f>
        <v>SOLAX</v>
      </c>
      <c r="C121" s="24" t="str">
        <f>'ALL DATA &amp; IT4PROFIT'!B169</f>
        <v>X3-MIC-8.0K-G2</v>
      </c>
      <c r="D121" s="24" t="str">
        <f>'ALL DATA &amp; IT4PROFIT'!C169</f>
        <v>3PH</v>
      </c>
      <c r="E121" s="25">
        <v>1.0</v>
      </c>
      <c r="F121" s="26" t="str">
        <f>'ALL DATA &amp; IT4PROFIT'!F169</f>
        <v/>
      </c>
      <c r="G121" s="27">
        <f t="shared" si="9"/>
        <v>30</v>
      </c>
      <c r="H121" s="27">
        <f t="shared" si="10"/>
        <v>30.75</v>
      </c>
      <c r="I121" s="28">
        <f t="shared" si="11"/>
        <v>0.1</v>
      </c>
      <c r="J121" s="29">
        <f t="shared" si="12"/>
        <v>34.16666667</v>
      </c>
      <c r="K121" s="30">
        <f t="shared" si="13"/>
        <v>34.16666667</v>
      </c>
      <c r="L121" s="30">
        <f t="shared" si="14"/>
        <v>30.75</v>
      </c>
      <c r="M121" s="31">
        <v>0.1</v>
      </c>
      <c r="N121" s="32"/>
      <c r="O121" s="35">
        <f>1680-1680*0.4</f>
        <v>1008</v>
      </c>
      <c r="P121" s="32" t="str">
        <f>'ALL DATA &amp; IT4PROFIT'!H169</f>
        <v/>
      </c>
      <c r="Q121" s="35" t="str">
        <f>'ALL DATA &amp; IT4PROFIT'!K169</f>
        <v/>
      </c>
      <c r="R121" s="35" t="str">
        <f>'ALL DATA &amp; IT4PROFIT'!D169</f>
        <v/>
      </c>
      <c r="S121" s="9"/>
      <c r="T121" s="9"/>
    </row>
    <row r="122" ht="21.0" customHeight="1">
      <c r="A122" s="13"/>
      <c r="B122" s="24" t="str">
        <f>'ALL DATA &amp; IT4PROFIT'!A170</f>
        <v>SOLAX</v>
      </c>
      <c r="C122" s="24" t="str">
        <f>'ALL DATA &amp; IT4PROFIT'!B170</f>
        <v>X3-MIC-10.0K-G2</v>
      </c>
      <c r="D122" s="24" t="str">
        <f>'ALL DATA &amp; IT4PROFIT'!C170</f>
        <v>3PH</v>
      </c>
      <c r="E122" s="25">
        <v>1.0</v>
      </c>
      <c r="F122" s="26" t="str">
        <f>'ALL DATA &amp; IT4PROFIT'!F170</f>
        <v/>
      </c>
      <c r="G122" s="27">
        <f t="shared" si="9"/>
        <v>30</v>
      </c>
      <c r="H122" s="27">
        <f t="shared" si="10"/>
        <v>30.75</v>
      </c>
      <c r="I122" s="28">
        <f t="shared" si="11"/>
        <v>0.1</v>
      </c>
      <c r="J122" s="29">
        <f t="shared" si="12"/>
        <v>34.16666667</v>
      </c>
      <c r="K122" s="30">
        <f t="shared" si="13"/>
        <v>34.16666667</v>
      </c>
      <c r="L122" s="30">
        <f t="shared" si="14"/>
        <v>30.75</v>
      </c>
      <c r="M122" s="31">
        <v>0.1</v>
      </c>
      <c r="N122" s="32"/>
      <c r="O122" s="35">
        <f>1840-1840*0.4</f>
        <v>1104</v>
      </c>
      <c r="P122" s="32" t="str">
        <f>'ALL DATA &amp; IT4PROFIT'!H170</f>
        <v/>
      </c>
      <c r="Q122" s="35" t="str">
        <f>'ALL DATA &amp; IT4PROFIT'!K170</f>
        <v/>
      </c>
      <c r="R122" s="35" t="str">
        <f>'ALL DATA &amp; IT4PROFIT'!D170</f>
        <v/>
      </c>
      <c r="S122" s="9"/>
      <c r="T122" s="9"/>
    </row>
    <row r="123" ht="21.0" customHeight="1">
      <c r="A123" s="13"/>
      <c r="B123" s="24" t="str">
        <f>'ALL DATA &amp; IT4PROFIT'!A171</f>
        <v>SOLAX</v>
      </c>
      <c r="C123" s="24" t="str">
        <f>'ALL DATA &amp; IT4PROFIT'!B171</f>
        <v>Pocket Wifi (2 years warranty)</v>
      </c>
      <c r="D123" s="24" t="str">
        <f>'ALL DATA &amp; IT4PROFIT'!C171</f>
        <v/>
      </c>
      <c r="E123" s="25">
        <v>1.0</v>
      </c>
      <c r="F123" s="26" t="str">
        <f>'ALL DATA &amp; IT4PROFIT'!F171</f>
        <v/>
      </c>
      <c r="G123" s="27">
        <f t="shared" si="9"/>
        <v>30</v>
      </c>
      <c r="H123" s="27">
        <f t="shared" si="10"/>
        <v>30.75</v>
      </c>
      <c r="I123" s="28">
        <f t="shared" si="11"/>
        <v>0.1</v>
      </c>
      <c r="J123" s="29">
        <f t="shared" si="12"/>
        <v>34.16666667</v>
      </c>
      <c r="K123" s="30">
        <f t="shared" si="13"/>
        <v>34.16666667</v>
      </c>
      <c r="L123" s="30">
        <f t="shared" si="14"/>
        <v>30.75</v>
      </c>
      <c r="M123" s="31">
        <v>0.1</v>
      </c>
      <c r="N123" s="32"/>
      <c r="O123" s="35">
        <f t="shared" ref="O123:O124" si="15">50-50*0.4</f>
        <v>30</v>
      </c>
      <c r="P123" s="32" t="str">
        <f>'ALL DATA &amp; IT4PROFIT'!H171</f>
        <v/>
      </c>
      <c r="Q123" s="35" t="str">
        <f>'ALL DATA &amp; IT4PROFIT'!K171</f>
        <v/>
      </c>
      <c r="R123" s="35" t="str">
        <f>'ALL DATA &amp; IT4PROFIT'!D171</f>
        <v/>
      </c>
      <c r="S123" s="9"/>
      <c r="T123" s="9"/>
    </row>
    <row r="124" ht="21.0" customHeight="1">
      <c r="A124" s="13"/>
      <c r="B124" s="24" t="str">
        <f>'ALL DATA &amp; IT4PROFIT'!A172</f>
        <v>SOLAX</v>
      </c>
      <c r="C124" s="24" t="str">
        <f>'ALL DATA &amp; IT4PROFIT'!B172</f>
        <v>Pocket Lan 3.0 (2 years warranty)</v>
      </c>
      <c r="D124" s="24" t="str">
        <f>'ALL DATA &amp; IT4PROFIT'!C172</f>
        <v/>
      </c>
      <c r="E124" s="25">
        <v>1.0</v>
      </c>
      <c r="F124" s="26" t="str">
        <f>'ALL DATA &amp; IT4PROFIT'!F172</f>
        <v/>
      </c>
      <c r="G124" s="27">
        <f t="shared" si="9"/>
        <v>30</v>
      </c>
      <c r="H124" s="27">
        <f t="shared" si="10"/>
        <v>30.75</v>
      </c>
      <c r="I124" s="28">
        <f t="shared" si="11"/>
        <v>0.1</v>
      </c>
      <c r="J124" s="29">
        <f t="shared" si="12"/>
        <v>34.16666667</v>
      </c>
      <c r="K124" s="30">
        <f t="shared" si="13"/>
        <v>34.16666667</v>
      </c>
      <c r="L124" s="30">
        <f t="shared" si="14"/>
        <v>30.75</v>
      </c>
      <c r="M124" s="31">
        <v>0.1</v>
      </c>
      <c r="N124" s="32"/>
      <c r="O124" s="35">
        <f t="shared" si="15"/>
        <v>30</v>
      </c>
      <c r="P124" s="32" t="str">
        <f>'ALL DATA &amp; IT4PROFIT'!H172</f>
        <v/>
      </c>
      <c r="Q124" s="35" t="str">
        <f>'ALL DATA &amp; IT4PROFIT'!K172</f>
        <v/>
      </c>
      <c r="R124" s="35" t="str">
        <f>'ALL DATA &amp; IT4PROFIT'!D172</f>
        <v/>
      </c>
      <c r="S124" s="9"/>
      <c r="T124" s="9"/>
    </row>
    <row r="125" ht="21.0" customHeight="1">
      <c r="A125" s="13"/>
      <c r="B125" s="24" t="str">
        <f>'ALL DATA &amp; IT4PROFIT'!A173</f>
        <v/>
      </c>
      <c r="C125" s="24" t="str">
        <f>'ALL DATA &amp; IT4PROFIT'!B173</f>
        <v/>
      </c>
      <c r="D125" s="24" t="str">
        <f>'ALL DATA &amp; IT4PROFIT'!C173</f>
        <v/>
      </c>
      <c r="E125" s="25">
        <v>1.0</v>
      </c>
      <c r="F125" s="26" t="str">
        <f>'ALL DATA &amp; IT4PROFIT'!F173</f>
        <v/>
      </c>
      <c r="G125" s="27">
        <f t="shared" si="9"/>
        <v>30</v>
      </c>
      <c r="H125" s="27">
        <f t="shared" si="10"/>
        <v>30.75</v>
      </c>
      <c r="I125" s="28">
        <f t="shared" si="11"/>
        <v>0.1</v>
      </c>
      <c r="J125" s="29">
        <f t="shared" si="12"/>
        <v>34.16666667</v>
      </c>
      <c r="K125" s="30">
        <f t="shared" si="13"/>
        <v>34.16666667</v>
      </c>
      <c r="L125" s="30">
        <f t="shared" si="14"/>
        <v>30.75</v>
      </c>
      <c r="M125" s="31">
        <v>0.1</v>
      </c>
      <c r="N125" s="32"/>
      <c r="O125" s="35"/>
      <c r="P125" s="32" t="str">
        <f>'ALL DATA &amp; IT4PROFIT'!H173</f>
        <v/>
      </c>
      <c r="Q125" s="35" t="str">
        <f>'ALL DATA &amp; IT4PROFIT'!K173</f>
        <v/>
      </c>
      <c r="R125" s="35" t="str">
        <f>'ALL DATA &amp; IT4PROFIT'!D173</f>
        <v/>
      </c>
      <c r="S125" s="9"/>
      <c r="T125" s="9"/>
    </row>
    <row r="126" ht="21.0" customHeight="1">
      <c r="A126" s="13"/>
      <c r="B126" s="24" t="str">
        <f>'ALL DATA &amp; IT4PROFIT'!A174</f>
        <v>SMA</v>
      </c>
      <c r="C126" s="24" t="str">
        <f>'ALL DATA &amp; IT4PROFIT'!B174</f>
        <v>SMA Hybrid Sunny Tripower 5.0 Smart Energy</v>
      </c>
      <c r="D126" s="24" t="str">
        <f>'ALL DATA &amp; IT4PROFIT'!C174</f>
        <v>3PH HYBRID</v>
      </c>
      <c r="E126" s="25">
        <v>1.0</v>
      </c>
      <c r="F126" s="26" t="str">
        <f>'ALL DATA &amp; IT4PROFIT'!F174</f>
        <v/>
      </c>
      <c r="G126" s="27">
        <f t="shared" si="9"/>
        <v>30</v>
      </c>
      <c r="H126" s="27">
        <f t="shared" si="10"/>
        <v>30.75</v>
      </c>
      <c r="I126" s="28">
        <f t="shared" si="11"/>
        <v>0.1</v>
      </c>
      <c r="J126" s="29">
        <f t="shared" si="12"/>
        <v>34.16666667</v>
      </c>
      <c r="K126" s="30">
        <f t="shared" si="13"/>
        <v>34.16666667</v>
      </c>
      <c r="L126" s="30">
        <f t="shared" si="14"/>
        <v>30.75</v>
      </c>
      <c r="M126" s="31">
        <v>0.1</v>
      </c>
      <c r="N126" s="32"/>
      <c r="O126" s="35"/>
      <c r="P126" s="32" t="str">
        <f>'ALL DATA &amp; IT4PROFIT'!H174</f>
        <v/>
      </c>
      <c r="Q126" s="35" t="str">
        <f>'ALL DATA &amp; IT4PROFIT'!K174</f>
        <v/>
      </c>
      <c r="R126" s="35" t="str">
        <f>'ALL DATA &amp; IT4PROFIT'!D174</f>
        <v/>
      </c>
      <c r="S126" s="9"/>
      <c r="T126" s="9"/>
    </row>
    <row r="127" ht="21.0" customHeight="1">
      <c r="A127" s="13"/>
      <c r="B127" s="24" t="str">
        <f>'ALL DATA &amp; IT4PROFIT'!A175</f>
        <v>SMA</v>
      </c>
      <c r="C127" s="24" t="str">
        <f>'ALL DATA &amp; IT4PROFIT'!B175</f>
        <v>SMA Hybrid Sunny Tripower 6.0 Smart Energy</v>
      </c>
      <c r="D127" s="24" t="str">
        <f>'ALL DATA &amp; IT4PROFIT'!C175</f>
        <v>3PH HYBRID</v>
      </c>
      <c r="E127" s="25">
        <v>1.0</v>
      </c>
      <c r="F127" s="26" t="str">
        <f>'ALL DATA &amp; IT4PROFIT'!F175</f>
        <v/>
      </c>
      <c r="G127" s="27">
        <f t="shared" si="9"/>
        <v>30</v>
      </c>
      <c r="H127" s="27">
        <f t="shared" si="10"/>
        <v>30.75</v>
      </c>
      <c r="I127" s="28">
        <f t="shared" si="11"/>
        <v>0.1</v>
      </c>
      <c r="J127" s="29">
        <f t="shared" si="12"/>
        <v>34.16666667</v>
      </c>
      <c r="K127" s="30">
        <f t="shared" si="13"/>
        <v>34.16666667</v>
      </c>
      <c r="L127" s="30">
        <f t="shared" si="14"/>
        <v>30.75</v>
      </c>
      <c r="M127" s="31">
        <v>0.1</v>
      </c>
      <c r="N127" s="32"/>
      <c r="O127" s="35"/>
      <c r="P127" s="32" t="str">
        <f>'ALL DATA &amp; IT4PROFIT'!H175</f>
        <v/>
      </c>
      <c r="Q127" s="35" t="str">
        <f>'ALL DATA &amp; IT4PROFIT'!K175</f>
        <v/>
      </c>
      <c r="R127" s="35" t="str">
        <f>'ALL DATA &amp; IT4PROFIT'!D175</f>
        <v/>
      </c>
      <c r="S127" s="9"/>
      <c r="T127" s="9"/>
    </row>
    <row r="128" ht="21.0" customHeight="1">
      <c r="A128" s="13"/>
      <c r="B128" s="24" t="str">
        <f>'ALL DATA &amp; IT4PROFIT'!A176</f>
        <v>SMA</v>
      </c>
      <c r="C128" s="24" t="str">
        <f>'ALL DATA &amp; IT4PROFIT'!B176</f>
        <v>SMA Hybrid Sunny Tripower 8.0 Smart Energy</v>
      </c>
      <c r="D128" s="24" t="str">
        <f>'ALL DATA &amp; IT4PROFIT'!C176</f>
        <v>3PH HYBRID</v>
      </c>
      <c r="E128" s="25">
        <v>1.0</v>
      </c>
      <c r="F128" s="26" t="str">
        <f>'ALL DATA &amp; IT4PROFIT'!F176</f>
        <v/>
      </c>
      <c r="G128" s="27">
        <f t="shared" si="9"/>
        <v>30</v>
      </c>
      <c r="H128" s="27">
        <f t="shared" si="10"/>
        <v>30.75</v>
      </c>
      <c r="I128" s="28">
        <f t="shared" si="11"/>
        <v>0.1</v>
      </c>
      <c r="J128" s="29">
        <f t="shared" si="12"/>
        <v>34.16666667</v>
      </c>
      <c r="K128" s="30">
        <f t="shared" si="13"/>
        <v>34.16666667</v>
      </c>
      <c r="L128" s="30">
        <f t="shared" si="14"/>
        <v>30.75</v>
      </c>
      <c r="M128" s="31">
        <v>0.1</v>
      </c>
      <c r="N128" s="32"/>
      <c r="O128" s="35"/>
      <c r="P128" s="32" t="str">
        <f>'ALL DATA &amp; IT4PROFIT'!H176</f>
        <v/>
      </c>
      <c r="Q128" s="35" t="str">
        <f>'ALL DATA &amp; IT4PROFIT'!K176</f>
        <v/>
      </c>
      <c r="R128" s="35" t="str">
        <f>'ALL DATA &amp; IT4PROFIT'!D176</f>
        <v/>
      </c>
      <c r="S128" s="9"/>
      <c r="T128" s="9"/>
    </row>
    <row r="129" ht="21.0" customHeight="1">
      <c r="A129" s="13"/>
      <c r="B129" s="24" t="str">
        <f>'ALL DATA &amp; IT4PROFIT'!A177</f>
        <v>SMA</v>
      </c>
      <c r="C129" s="24" t="str">
        <f>'ALL DATA &amp; IT4PROFIT'!B177</f>
        <v>SMA Hybrid Sunny Tripower 10.0 Smart Energy</v>
      </c>
      <c r="D129" s="24" t="str">
        <f>'ALL DATA &amp; IT4PROFIT'!C177</f>
        <v>3PH HYBRID</v>
      </c>
      <c r="E129" s="25">
        <v>1.0</v>
      </c>
      <c r="F129" s="26" t="str">
        <f>'ALL DATA &amp; IT4PROFIT'!F177</f>
        <v/>
      </c>
      <c r="G129" s="27">
        <f t="shared" si="9"/>
        <v>30</v>
      </c>
      <c r="H129" s="27">
        <f t="shared" si="10"/>
        <v>30.75</v>
      </c>
      <c r="I129" s="28">
        <f t="shared" si="11"/>
        <v>0.1</v>
      </c>
      <c r="J129" s="29">
        <f t="shared" si="12"/>
        <v>34.16666667</v>
      </c>
      <c r="K129" s="30">
        <f t="shared" si="13"/>
        <v>34.16666667</v>
      </c>
      <c r="L129" s="30">
        <f t="shared" si="14"/>
        <v>30.75</v>
      </c>
      <c r="M129" s="31">
        <v>0.1</v>
      </c>
      <c r="N129" s="32"/>
      <c r="O129" s="35"/>
      <c r="P129" s="32" t="str">
        <f>'ALL DATA &amp; IT4PROFIT'!H177</f>
        <v/>
      </c>
      <c r="Q129" s="35" t="str">
        <f>'ALL DATA &amp; IT4PROFIT'!K177</f>
        <v/>
      </c>
      <c r="R129" s="35" t="str">
        <f>'ALL DATA &amp; IT4PROFIT'!D177</f>
        <v/>
      </c>
      <c r="S129" s="9"/>
      <c r="T129" s="9"/>
    </row>
    <row r="130" ht="21.0" customHeight="1">
      <c r="A130" s="13"/>
      <c r="B130" s="24" t="str">
        <f>'ALL DATA &amp; IT4PROFIT'!A178</f>
        <v>SMA</v>
      </c>
      <c r="C130" s="24" t="str">
        <f>'ALL DATA &amp; IT4PROFIT'!B178</f>
        <v>SMA Sunny Boy 1.5</v>
      </c>
      <c r="D130" s="24" t="str">
        <f>'ALL DATA &amp; IT4PROFIT'!C178</f>
        <v>1PH</v>
      </c>
      <c r="E130" s="25">
        <v>1.0</v>
      </c>
      <c r="F130" s="26" t="str">
        <f>'ALL DATA &amp; IT4PROFIT'!F178</f>
        <v/>
      </c>
      <c r="G130" s="27">
        <f t="shared" si="9"/>
        <v>30</v>
      </c>
      <c r="H130" s="27">
        <f t="shared" si="10"/>
        <v>30.75</v>
      </c>
      <c r="I130" s="28">
        <f t="shared" si="11"/>
        <v>0.1</v>
      </c>
      <c r="J130" s="29">
        <f t="shared" si="12"/>
        <v>34.16666667</v>
      </c>
      <c r="K130" s="30">
        <f t="shared" si="13"/>
        <v>34.16666667</v>
      </c>
      <c r="L130" s="30">
        <f t="shared" si="14"/>
        <v>30.75</v>
      </c>
      <c r="M130" s="31">
        <v>0.1</v>
      </c>
      <c r="N130" s="32"/>
      <c r="O130" s="35"/>
      <c r="P130" s="32" t="str">
        <f>'ALL DATA &amp; IT4PROFIT'!H178</f>
        <v/>
      </c>
      <c r="Q130" s="35" t="str">
        <f>'ALL DATA &amp; IT4PROFIT'!K178</f>
        <v/>
      </c>
      <c r="R130" s="35" t="str">
        <f>'ALL DATA &amp; IT4PROFIT'!D178</f>
        <v/>
      </c>
      <c r="S130" s="9"/>
      <c r="T130" s="9"/>
    </row>
    <row r="131" ht="21.0" customHeight="1">
      <c r="A131" s="13"/>
      <c r="B131" s="24" t="str">
        <f>'ALL DATA &amp; IT4PROFIT'!A179</f>
        <v>SMA</v>
      </c>
      <c r="C131" s="24" t="str">
        <f>'ALL DATA &amp; IT4PROFIT'!B179</f>
        <v>SMA Sunny Boy 2.5</v>
      </c>
      <c r="D131" s="24" t="str">
        <f>'ALL DATA &amp; IT4PROFIT'!C179</f>
        <v>1PH</v>
      </c>
      <c r="E131" s="25">
        <v>1.0</v>
      </c>
      <c r="F131" s="26" t="str">
        <f>'ALL DATA &amp; IT4PROFIT'!F179</f>
        <v/>
      </c>
      <c r="G131" s="27">
        <f t="shared" si="9"/>
        <v>30</v>
      </c>
      <c r="H131" s="27">
        <f t="shared" si="10"/>
        <v>30.75</v>
      </c>
      <c r="I131" s="28">
        <f t="shared" si="11"/>
        <v>0.1</v>
      </c>
      <c r="J131" s="29">
        <f t="shared" si="12"/>
        <v>34.16666667</v>
      </c>
      <c r="K131" s="30">
        <f t="shared" si="13"/>
        <v>34.16666667</v>
      </c>
      <c r="L131" s="30">
        <f t="shared" si="14"/>
        <v>30.75</v>
      </c>
      <c r="M131" s="31">
        <v>0.1</v>
      </c>
      <c r="N131" s="32"/>
      <c r="O131" s="35"/>
      <c r="P131" s="32" t="str">
        <f>'ALL DATA &amp; IT4PROFIT'!H179</f>
        <v/>
      </c>
      <c r="Q131" s="35" t="str">
        <f>'ALL DATA &amp; IT4PROFIT'!K179</f>
        <v/>
      </c>
      <c r="R131" s="35" t="str">
        <f>'ALL DATA &amp; IT4PROFIT'!D179</f>
        <v/>
      </c>
      <c r="S131" s="9"/>
      <c r="T131" s="9"/>
    </row>
    <row r="132" ht="21.0" customHeight="1">
      <c r="A132" s="13"/>
      <c r="B132" s="24" t="str">
        <f>'ALL DATA &amp; IT4PROFIT'!A180</f>
        <v>SMA</v>
      </c>
      <c r="C132" s="24" t="str">
        <f>'ALL DATA &amp; IT4PROFIT'!B180</f>
        <v>SMA Sunny Boy 3.0</v>
      </c>
      <c r="D132" s="24" t="str">
        <f>'ALL DATA &amp; IT4PROFIT'!C180</f>
        <v>1PH</v>
      </c>
      <c r="E132" s="25">
        <v>1.0</v>
      </c>
      <c r="F132" s="26">
        <f>'ALL DATA &amp; IT4PROFIT'!F180</f>
        <v>837</v>
      </c>
      <c r="G132" s="27">
        <f t="shared" si="9"/>
        <v>867</v>
      </c>
      <c r="H132" s="27">
        <f t="shared" si="10"/>
        <v>888.675</v>
      </c>
      <c r="I132" s="28">
        <f t="shared" si="11"/>
        <v>0.1</v>
      </c>
      <c r="J132" s="29">
        <f t="shared" si="12"/>
        <v>987.4166667</v>
      </c>
      <c r="K132" s="30">
        <f t="shared" si="13"/>
        <v>987.4166667</v>
      </c>
      <c r="L132" s="30">
        <f t="shared" si="14"/>
        <v>888.675</v>
      </c>
      <c r="M132" s="31">
        <v>0.1</v>
      </c>
      <c r="N132" s="32"/>
      <c r="O132" s="35"/>
      <c r="P132" s="32" t="str">
        <f>'ALL DATA &amp; IT4PROFIT'!H180</f>
        <v/>
      </c>
      <c r="Q132" s="35" t="str">
        <f>'ALL DATA &amp; IT4PROFIT'!K180</f>
        <v/>
      </c>
      <c r="R132" s="35" t="str">
        <f>'ALL DATA &amp; IT4PROFIT'!D180</f>
        <v/>
      </c>
      <c r="S132" s="9"/>
      <c r="T132" s="9"/>
    </row>
    <row r="133" ht="21.0" customHeight="1">
      <c r="A133" s="13"/>
      <c r="B133" s="24" t="str">
        <f>'ALL DATA &amp; IT4PROFIT'!A181</f>
        <v>SMA</v>
      </c>
      <c r="C133" s="24" t="str">
        <f>'ALL DATA &amp; IT4PROFIT'!B181</f>
        <v>SMA Sunny Boy 3.6</v>
      </c>
      <c r="D133" s="24" t="str">
        <f>'ALL DATA &amp; IT4PROFIT'!C181</f>
        <v>1PH</v>
      </c>
      <c r="E133" s="25">
        <v>1.0</v>
      </c>
      <c r="F133" s="26">
        <f>'ALL DATA &amp; IT4PROFIT'!F181</f>
        <v>891.6</v>
      </c>
      <c r="G133" s="27">
        <f t="shared" si="9"/>
        <v>921.6</v>
      </c>
      <c r="H133" s="27">
        <f t="shared" si="10"/>
        <v>944.64</v>
      </c>
      <c r="I133" s="28">
        <f t="shared" si="11"/>
        <v>0.1</v>
      </c>
      <c r="J133" s="29">
        <f t="shared" si="12"/>
        <v>1049.6</v>
      </c>
      <c r="K133" s="30">
        <f t="shared" si="13"/>
        <v>1049.6</v>
      </c>
      <c r="L133" s="30">
        <f t="shared" si="14"/>
        <v>944.64</v>
      </c>
      <c r="M133" s="31">
        <v>0.1</v>
      </c>
      <c r="N133" s="32"/>
      <c r="O133" s="35"/>
      <c r="P133" s="32" t="str">
        <f>'ALL DATA &amp; IT4PROFIT'!H181</f>
        <v/>
      </c>
      <c r="Q133" s="35" t="str">
        <f>'ALL DATA &amp; IT4PROFIT'!K181</f>
        <v/>
      </c>
      <c r="R133" s="35" t="str">
        <f>'ALL DATA &amp; IT4PROFIT'!D181</f>
        <v/>
      </c>
      <c r="S133" s="9"/>
      <c r="T133" s="9"/>
    </row>
    <row r="134" ht="21.0" customHeight="1">
      <c r="A134" s="13"/>
      <c r="B134" s="24" t="str">
        <f>'ALL DATA &amp; IT4PROFIT'!A182</f>
        <v>SMA</v>
      </c>
      <c r="C134" s="24" t="str">
        <f>'ALL DATA &amp; IT4PROFIT'!B182</f>
        <v>SMA Sunny Boy 4.0</v>
      </c>
      <c r="D134" s="24" t="str">
        <f>'ALL DATA &amp; IT4PROFIT'!C182</f>
        <v>1PH</v>
      </c>
      <c r="E134" s="25">
        <v>1.0</v>
      </c>
      <c r="F134" s="26">
        <f>'ALL DATA &amp; IT4PROFIT'!F182</f>
        <v>934.8</v>
      </c>
      <c r="G134" s="27">
        <f t="shared" si="9"/>
        <v>964.8</v>
      </c>
      <c r="H134" s="27">
        <f t="shared" si="10"/>
        <v>988.92</v>
      </c>
      <c r="I134" s="28">
        <f t="shared" si="11"/>
        <v>0.1</v>
      </c>
      <c r="J134" s="29">
        <f t="shared" si="12"/>
        <v>1098.8</v>
      </c>
      <c r="K134" s="30">
        <f t="shared" si="13"/>
        <v>1098.8</v>
      </c>
      <c r="L134" s="30">
        <f t="shared" si="14"/>
        <v>988.92</v>
      </c>
      <c r="M134" s="31">
        <v>0.1</v>
      </c>
      <c r="N134" s="32"/>
      <c r="O134" s="35"/>
      <c r="P134" s="32" t="str">
        <f>'ALL DATA &amp; IT4PROFIT'!H182</f>
        <v/>
      </c>
      <c r="Q134" s="35" t="str">
        <f>'ALL DATA &amp; IT4PROFIT'!K182</f>
        <v/>
      </c>
      <c r="R134" s="35" t="str">
        <f>'ALL DATA &amp; IT4PROFIT'!D182</f>
        <v/>
      </c>
      <c r="S134" s="9"/>
      <c r="T134" s="9"/>
    </row>
    <row r="135" ht="21.0" customHeight="1">
      <c r="A135" s="13"/>
      <c r="B135" s="24" t="str">
        <f>'ALL DATA &amp; IT4PROFIT'!A183</f>
        <v>SMA</v>
      </c>
      <c r="C135" s="24" t="str">
        <f>'ALL DATA &amp; IT4PROFIT'!B183</f>
        <v>SMA Sunny Boy 5.0</v>
      </c>
      <c r="D135" s="24" t="str">
        <f>'ALL DATA &amp; IT4PROFIT'!C183</f>
        <v>1PH</v>
      </c>
      <c r="E135" s="25">
        <v>1.0</v>
      </c>
      <c r="F135" s="26">
        <f>'ALL DATA &amp; IT4PROFIT'!F183</f>
        <v>1002.6</v>
      </c>
      <c r="G135" s="27">
        <f t="shared" si="9"/>
        <v>1032.6</v>
      </c>
      <c r="H135" s="27">
        <f t="shared" si="10"/>
        <v>1058.415</v>
      </c>
      <c r="I135" s="28">
        <f t="shared" si="11"/>
        <v>0.1</v>
      </c>
      <c r="J135" s="29">
        <f t="shared" si="12"/>
        <v>1176.016667</v>
      </c>
      <c r="K135" s="30">
        <f t="shared" si="13"/>
        <v>1176.016667</v>
      </c>
      <c r="L135" s="30">
        <f t="shared" si="14"/>
        <v>1058.415</v>
      </c>
      <c r="M135" s="31">
        <v>0.1</v>
      </c>
      <c r="N135" s="32"/>
      <c r="O135" s="35"/>
      <c r="P135" s="32" t="str">
        <f>'ALL DATA &amp; IT4PROFIT'!H183</f>
        <v/>
      </c>
      <c r="Q135" s="35" t="str">
        <f>'ALL DATA &amp; IT4PROFIT'!K183</f>
        <v/>
      </c>
      <c r="R135" s="35" t="str">
        <f>'ALL DATA &amp; IT4PROFIT'!D183</f>
        <v/>
      </c>
      <c r="S135" s="9"/>
      <c r="T135" s="9"/>
    </row>
    <row r="136" ht="21.0" customHeight="1">
      <c r="A136" s="13"/>
      <c r="B136" s="24" t="str">
        <f>'ALL DATA &amp; IT4PROFIT'!A184</f>
        <v>SMA</v>
      </c>
      <c r="C136" s="24" t="str">
        <f>'ALL DATA &amp; IT4PROFIT'!B184</f>
        <v>SMA Sunny Tripower 3.0</v>
      </c>
      <c r="D136" s="24" t="str">
        <f>'ALL DATA &amp; IT4PROFIT'!C184</f>
        <v>3PH</v>
      </c>
      <c r="E136" s="25">
        <v>1.0</v>
      </c>
      <c r="F136" s="26"/>
      <c r="G136" s="27">
        <f t="shared" si="9"/>
        <v>30</v>
      </c>
      <c r="H136" s="27">
        <f t="shared" si="10"/>
        <v>30.75</v>
      </c>
      <c r="I136" s="28">
        <f t="shared" si="11"/>
        <v>0.1</v>
      </c>
      <c r="J136" s="29">
        <f t="shared" si="12"/>
        <v>34.16666667</v>
      </c>
      <c r="K136" s="30">
        <f t="shared" si="13"/>
        <v>34.16666667</v>
      </c>
      <c r="L136" s="30">
        <f t="shared" si="14"/>
        <v>30.75</v>
      </c>
      <c r="M136" s="31">
        <v>0.1</v>
      </c>
      <c r="N136" s="32"/>
      <c r="O136" s="35"/>
      <c r="P136" s="32" t="str">
        <f>'ALL DATA &amp; IT4PROFIT'!H184</f>
        <v/>
      </c>
      <c r="Q136" s="35" t="str">
        <f>'ALL DATA &amp; IT4PROFIT'!K184</f>
        <v/>
      </c>
      <c r="R136" s="35" t="str">
        <f>'ALL DATA &amp; IT4PROFIT'!D184</f>
        <v/>
      </c>
      <c r="S136" s="9"/>
      <c r="T136" s="9"/>
    </row>
    <row r="137" ht="21.0" customHeight="1">
      <c r="A137" s="13"/>
      <c r="B137" s="24" t="str">
        <f>'ALL DATA &amp; IT4PROFIT'!A185</f>
        <v>SMA</v>
      </c>
      <c r="C137" s="24" t="str">
        <f>'ALL DATA &amp; IT4PROFIT'!B185</f>
        <v>SMA Sunny Tripower 4.0</v>
      </c>
      <c r="D137" s="24" t="str">
        <f>'ALL DATA &amp; IT4PROFIT'!C185</f>
        <v>3PH</v>
      </c>
      <c r="E137" s="25">
        <v>1.0</v>
      </c>
      <c r="F137" s="26">
        <f>'ALL DATA &amp; IT4PROFIT'!F185</f>
        <v>1050</v>
      </c>
      <c r="G137" s="27">
        <f t="shared" si="9"/>
        <v>1080</v>
      </c>
      <c r="H137" s="27">
        <f t="shared" si="10"/>
        <v>1107</v>
      </c>
      <c r="I137" s="28">
        <f t="shared" si="11"/>
        <v>0.1</v>
      </c>
      <c r="J137" s="29">
        <f t="shared" si="12"/>
        <v>1230</v>
      </c>
      <c r="K137" s="30">
        <f t="shared" si="13"/>
        <v>1230</v>
      </c>
      <c r="L137" s="30">
        <f t="shared" si="14"/>
        <v>1107</v>
      </c>
      <c r="M137" s="31">
        <v>0.1</v>
      </c>
      <c r="N137" s="32"/>
      <c r="O137" s="35"/>
      <c r="P137" s="32" t="str">
        <f>'ALL DATA &amp; IT4PROFIT'!H185</f>
        <v/>
      </c>
      <c r="Q137" s="35" t="str">
        <f>'ALL DATA &amp; IT4PROFIT'!K185</f>
        <v/>
      </c>
      <c r="R137" s="35" t="str">
        <f>'ALL DATA &amp; IT4PROFIT'!D185</f>
        <v/>
      </c>
      <c r="S137" s="9"/>
      <c r="T137" s="9"/>
    </row>
    <row r="138" ht="21.0" customHeight="1">
      <c r="A138" s="13"/>
      <c r="B138" s="24" t="str">
        <f>'ALL DATA &amp; IT4PROFIT'!A186</f>
        <v>SMA</v>
      </c>
      <c r="C138" s="24" t="str">
        <f>'ALL DATA &amp; IT4PROFIT'!B186</f>
        <v>SMA Sunny Tripower 5.0</v>
      </c>
      <c r="D138" s="24" t="str">
        <f>'ALL DATA &amp; IT4PROFIT'!C186</f>
        <v>3PH</v>
      </c>
      <c r="E138" s="25">
        <v>1.0</v>
      </c>
      <c r="F138" s="26">
        <f>'ALL DATA &amp; IT4PROFIT'!F186</f>
        <v>1204.8</v>
      </c>
      <c r="G138" s="27">
        <f t="shared" si="9"/>
        <v>1234.8</v>
      </c>
      <c r="H138" s="27">
        <f t="shared" si="10"/>
        <v>1265.67</v>
      </c>
      <c r="I138" s="28">
        <f t="shared" si="11"/>
        <v>0.1</v>
      </c>
      <c r="J138" s="29">
        <f t="shared" si="12"/>
        <v>1406.3</v>
      </c>
      <c r="K138" s="30">
        <f t="shared" si="13"/>
        <v>1406.3</v>
      </c>
      <c r="L138" s="30">
        <f t="shared" si="14"/>
        <v>1265.67</v>
      </c>
      <c r="M138" s="31">
        <v>0.1</v>
      </c>
      <c r="N138" s="32"/>
      <c r="O138" s="35"/>
      <c r="P138" s="32" t="str">
        <f>'ALL DATA &amp; IT4PROFIT'!H186</f>
        <v/>
      </c>
      <c r="Q138" s="35" t="str">
        <f>'ALL DATA &amp; IT4PROFIT'!K186</f>
        <v/>
      </c>
      <c r="R138" s="35" t="str">
        <f>'ALL DATA &amp; IT4PROFIT'!D186</f>
        <v/>
      </c>
      <c r="S138" s="9"/>
      <c r="T138" s="9"/>
    </row>
    <row r="139" ht="21.0" customHeight="1">
      <c r="A139" s="13"/>
      <c r="B139" s="24" t="str">
        <f>'ALL DATA &amp; IT4PROFIT'!A187</f>
        <v>SMA</v>
      </c>
      <c r="C139" s="24" t="str">
        <f>'ALL DATA &amp; IT4PROFIT'!B187</f>
        <v>SMA Sunny Tripower 6.0</v>
      </c>
      <c r="D139" s="24" t="str">
        <f>'ALL DATA &amp; IT4PROFIT'!C187</f>
        <v>3PH</v>
      </c>
      <c r="E139" s="25">
        <v>1.0</v>
      </c>
      <c r="F139" s="26">
        <f>'ALL DATA &amp; IT4PROFIT'!F187</f>
        <v>1346.4</v>
      </c>
      <c r="G139" s="27">
        <f t="shared" si="9"/>
        <v>1376.4</v>
      </c>
      <c r="H139" s="27">
        <f t="shared" si="10"/>
        <v>1410.81</v>
      </c>
      <c r="I139" s="28">
        <f t="shared" si="11"/>
        <v>0.1</v>
      </c>
      <c r="J139" s="29">
        <f t="shared" si="12"/>
        <v>1567.566667</v>
      </c>
      <c r="K139" s="30">
        <f t="shared" si="13"/>
        <v>1567.566667</v>
      </c>
      <c r="L139" s="30">
        <f t="shared" si="14"/>
        <v>1410.81</v>
      </c>
      <c r="M139" s="31">
        <v>0.1</v>
      </c>
      <c r="N139" s="32"/>
      <c r="O139" s="35"/>
      <c r="P139" s="32" t="str">
        <f>'ALL DATA &amp; IT4PROFIT'!H187</f>
        <v/>
      </c>
      <c r="Q139" s="35" t="str">
        <f>'ALL DATA &amp; IT4PROFIT'!K187</f>
        <v/>
      </c>
      <c r="R139" s="35" t="str">
        <f>'ALL DATA &amp; IT4PROFIT'!D187</f>
        <v/>
      </c>
      <c r="S139" s="9"/>
      <c r="T139" s="9"/>
    </row>
    <row r="140" ht="21.0" customHeight="1">
      <c r="A140" s="13"/>
      <c r="B140" s="24" t="str">
        <f>'ALL DATA &amp; IT4PROFIT'!A188</f>
        <v>SMA</v>
      </c>
      <c r="C140" s="24" t="str">
        <f>'ALL DATA &amp; IT4PROFIT'!B188</f>
        <v>SMA Sunny Tripower 8.0</v>
      </c>
      <c r="D140" s="24" t="str">
        <f>'ALL DATA &amp; IT4PROFIT'!C188</f>
        <v>3PH</v>
      </c>
      <c r="E140" s="25">
        <v>1.0</v>
      </c>
      <c r="F140" s="26">
        <f>'ALL DATA &amp; IT4PROFIT'!F188</f>
        <v>0</v>
      </c>
      <c r="G140" s="27">
        <f t="shared" si="9"/>
        <v>30</v>
      </c>
      <c r="H140" s="27">
        <f t="shared" si="10"/>
        <v>30.75</v>
      </c>
      <c r="I140" s="28">
        <f t="shared" si="11"/>
        <v>0.1</v>
      </c>
      <c r="J140" s="29">
        <f t="shared" si="12"/>
        <v>34.16666667</v>
      </c>
      <c r="K140" s="30">
        <f t="shared" si="13"/>
        <v>34.16666667</v>
      </c>
      <c r="L140" s="30">
        <f t="shared" si="14"/>
        <v>30.75</v>
      </c>
      <c r="M140" s="31">
        <v>0.1</v>
      </c>
      <c r="N140" s="32"/>
      <c r="O140" s="35"/>
      <c r="P140" s="32" t="str">
        <f>'ALL DATA &amp; IT4PROFIT'!H188</f>
        <v/>
      </c>
      <c r="Q140" s="35" t="str">
        <f>'ALL DATA &amp; IT4PROFIT'!K188</f>
        <v/>
      </c>
      <c r="R140" s="35" t="str">
        <f>'ALL DATA &amp; IT4PROFIT'!D188</f>
        <v/>
      </c>
      <c r="S140" s="9"/>
      <c r="T140" s="9"/>
    </row>
    <row r="141" ht="21.0" customHeight="1">
      <c r="A141" s="13"/>
      <c r="B141" s="24" t="str">
        <f>'ALL DATA &amp; IT4PROFIT'!A189</f>
        <v>SMA</v>
      </c>
      <c r="C141" s="24" t="str">
        <f>'ALL DATA &amp; IT4PROFIT'!B189</f>
        <v>SMA Sunny Tripower 10.0</v>
      </c>
      <c r="D141" s="24" t="str">
        <f>'ALL DATA &amp; IT4PROFIT'!C189</f>
        <v>3PH</v>
      </c>
      <c r="E141" s="25">
        <v>1.0</v>
      </c>
      <c r="F141" s="26">
        <f>'ALL DATA &amp; IT4PROFIT'!F189</f>
        <v>1813.2</v>
      </c>
      <c r="G141" s="27">
        <f t="shared" si="9"/>
        <v>1843.2</v>
      </c>
      <c r="H141" s="27">
        <f t="shared" si="10"/>
        <v>1889.28</v>
      </c>
      <c r="I141" s="28">
        <f t="shared" si="11"/>
        <v>0.1</v>
      </c>
      <c r="J141" s="29">
        <f t="shared" si="12"/>
        <v>2099.2</v>
      </c>
      <c r="K141" s="30">
        <f t="shared" si="13"/>
        <v>2099.2</v>
      </c>
      <c r="L141" s="30">
        <f t="shared" si="14"/>
        <v>1889.28</v>
      </c>
      <c r="M141" s="31">
        <v>0.1</v>
      </c>
      <c r="N141" s="32"/>
      <c r="O141" s="35"/>
      <c r="P141" s="32" t="str">
        <f>'ALL DATA &amp; IT4PROFIT'!H189</f>
        <v/>
      </c>
      <c r="Q141" s="35" t="str">
        <f>'ALL DATA &amp; IT4PROFIT'!K189</f>
        <v/>
      </c>
      <c r="R141" s="35" t="str">
        <f>'ALL DATA &amp; IT4PROFIT'!D189</f>
        <v/>
      </c>
      <c r="S141" s="9"/>
      <c r="T141" s="9"/>
    </row>
    <row r="142" ht="21.0" customHeight="1">
      <c r="A142" s="13"/>
      <c r="B142" s="24" t="str">
        <f>'ALL DATA &amp; IT4PROFIT'!A190</f>
        <v>SMA</v>
      </c>
      <c r="C142" s="24" t="str">
        <f>'ALL DATA &amp; IT4PROFIT'!B190</f>
        <v>SMA Sunny Tripower X 12</v>
      </c>
      <c r="D142" s="24" t="str">
        <f>'ALL DATA &amp; IT4PROFIT'!C190</f>
        <v>3PH</v>
      </c>
      <c r="E142" s="25">
        <v>1.0</v>
      </c>
      <c r="F142" s="26" t="str">
        <f>'ALL DATA &amp; IT4PROFIT'!F190</f>
        <v/>
      </c>
      <c r="G142" s="27">
        <f t="shared" si="9"/>
        <v>30</v>
      </c>
      <c r="H142" s="27">
        <f t="shared" si="10"/>
        <v>30.75</v>
      </c>
      <c r="I142" s="28">
        <f t="shared" si="11"/>
        <v>0.1</v>
      </c>
      <c r="J142" s="29">
        <f t="shared" si="12"/>
        <v>34.16666667</v>
      </c>
      <c r="K142" s="30">
        <f t="shared" si="13"/>
        <v>34.16666667</v>
      </c>
      <c r="L142" s="30">
        <f t="shared" si="14"/>
        <v>30.75</v>
      </c>
      <c r="M142" s="31">
        <v>0.1</v>
      </c>
      <c r="N142" s="32"/>
      <c r="O142" s="35"/>
      <c r="P142" s="32" t="str">
        <f>'ALL DATA &amp; IT4PROFIT'!H190</f>
        <v/>
      </c>
      <c r="Q142" s="35" t="str">
        <f>'ALL DATA &amp; IT4PROFIT'!K190</f>
        <v/>
      </c>
      <c r="R142" s="35" t="str">
        <f>'ALL DATA &amp; IT4PROFIT'!D190</f>
        <v/>
      </c>
      <c r="S142" s="9"/>
      <c r="T142" s="9"/>
    </row>
    <row r="143" ht="21.0" customHeight="1">
      <c r="A143" s="13"/>
      <c r="B143" s="24" t="str">
        <f>'ALL DATA &amp; IT4PROFIT'!A191</f>
        <v>SMA</v>
      </c>
      <c r="C143" s="24" t="str">
        <f>'ALL DATA &amp; IT4PROFIT'!B191</f>
        <v>SMA Sunny Tripower X 15</v>
      </c>
      <c r="D143" s="24" t="str">
        <f>'ALL DATA &amp; IT4PROFIT'!C191</f>
        <v>3PH</v>
      </c>
      <c r="E143" s="25">
        <v>1.0</v>
      </c>
      <c r="F143" s="26" t="str">
        <f>'ALL DATA &amp; IT4PROFIT'!F191</f>
        <v/>
      </c>
      <c r="G143" s="27">
        <f t="shared" si="9"/>
        <v>30</v>
      </c>
      <c r="H143" s="27">
        <f t="shared" si="10"/>
        <v>30.75</v>
      </c>
      <c r="I143" s="28">
        <f t="shared" si="11"/>
        <v>0.1</v>
      </c>
      <c r="J143" s="29">
        <f t="shared" si="12"/>
        <v>34.16666667</v>
      </c>
      <c r="K143" s="30">
        <f t="shared" si="13"/>
        <v>34.16666667</v>
      </c>
      <c r="L143" s="30">
        <f t="shared" si="14"/>
        <v>30.75</v>
      </c>
      <c r="M143" s="31">
        <v>0.1</v>
      </c>
      <c r="N143" s="32"/>
      <c r="O143" s="35"/>
      <c r="P143" s="32" t="str">
        <f>'ALL DATA &amp; IT4PROFIT'!H191</f>
        <v/>
      </c>
      <c r="Q143" s="35" t="str">
        <f>'ALL DATA &amp; IT4PROFIT'!K191</f>
        <v/>
      </c>
      <c r="R143" s="35" t="str">
        <f>'ALL DATA &amp; IT4PROFIT'!D191</f>
        <v/>
      </c>
      <c r="S143" s="9"/>
      <c r="T143" s="9"/>
    </row>
    <row r="144" ht="21.0" customHeight="1">
      <c r="A144" s="13"/>
      <c r="B144" s="24" t="str">
        <f>'ALL DATA &amp; IT4PROFIT'!A192</f>
        <v>SMA</v>
      </c>
      <c r="C144" s="24" t="str">
        <f>'ALL DATA &amp; IT4PROFIT'!B192</f>
        <v>SMA Sunny Tripower X 20</v>
      </c>
      <c r="D144" s="24" t="str">
        <f>'ALL DATA &amp; IT4PROFIT'!C192</f>
        <v>3PH</v>
      </c>
      <c r="E144" s="25">
        <v>1.0</v>
      </c>
      <c r="F144" s="26" t="str">
        <f>'ALL DATA &amp; IT4PROFIT'!F192</f>
        <v/>
      </c>
      <c r="G144" s="27">
        <f t="shared" si="9"/>
        <v>30</v>
      </c>
      <c r="H144" s="27">
        <f t="shared" si="10"/>
        <v>30.75</v>
      </c>
      <c r="I144" s="28">
        <f t="shared" si="11"/>
        <v>0.1</v>
      </c>
      <c r="J144" s="29">
        <f t="shared" si="12"/>
        <v>34.16666667</v>
      </c>
      <c r="K144" s="30">
        <f t="shared" si="13"/>
        <v>34.16666667</v>
      </c>
      <c r="L144" s="30">
        <f t="shared" si="14"/>
        <v>30.75</v>
      </c>
      <c r="M144" s="31">
        <v>0.1</v>
      </c>
      <c r="N144" s="32"/>
      <c r="O144" s="35"/>
      <c r="P144" s="32" t="str">
        <f>'ALL DATA &amp; IT4PROFIT'!H192</f>
        <v/>
      </c>
      <c r="Q144" s="35" t="str">
        <f>'ALL DATA &amp; IT4PROFIT'!K192</f>
        <v/>
      </c>
      <c r="R144" s="35" t="str">
        <f>'ALL DATA &amp; IT4PROFIT'!D192</f>
        <v/>
      </c>
      <c r="S144" s="9"/>
      <c r="T144" s="9"/>
    </row>
    <row r="145" ht="21.0" customHeight="1">
      <c r="A145" s="13"/>
      <c r="B145" s="24" t="str">
        <f>'ALL DATA &amp; IT4PROFIT'!A193</f>
        <v>SMA</v>
      </c>
      <c r="C145" s="24" t="str">
        <f>'ALL DATA &amp; IT4PROFIT'!B193</f>
        <v>SMA Sunny Tripower X 25</v>
      </c>
      <c r="D145" s="24" t="str">
        <f>'ALL DATA &amp; IT4PROFIT'!C193</f>
        <v>3PH</v>
      </c>
      <c r="E145" s="25">
        <v>1.0</v>
      </c>
      <c r="F145" s="26" t="str">
        <f>'ALL DATA &amp; IT4PROFIT'!F193</f>
        <v/>
      </c>
      <c r="G145" s="27">
        <f t="shared" si="9"/>
        <v>30</v>
      </c>
      <c r="H145" s="27">
        <f t="shared" si="10"/>
        <v>30.75</v>
      </c>
      <c r="I145" s="28">
        <f t="shared" si="11"/>
        <v>0.1</v>
      </c>
      <c r="J145" s="29">
        <f t="shared" si="12"/>
        <v>34.16666667</v>
      </c>
      <c r="K145" s="30">
        <f t="shared" si="13"/>
        <v>34.16666667</v>
      </c>
      <c r="L145" s="30">
        <f t="shared" si="14"/>
        <v>30.75</v>
      </c>
      <c r="M145" s="31">
        <v>0.1</v>
      </c>
      <c r="N145" s="32"/>
      <c r="O145" s="35"/>
      <c r="P145" s="32" t="str">
        <f>'ALL DATA &amp; IT4PROFIT'!H193</f>
        <v/>
      </c>
      <c r="Q145" s="35" t="str">
        <f>'ALL DATA &amp; IT4PROFIT'!K193</f>
        <v/>
      </c>
      <c r="R145" s="35" t="str">
        <f>'ALL DATA &amp; IT4PROFIT'!D193</f>
        <v/>
      </c>
      <c r="S145" s="9"/>
      <c r="T145" s="9"/>
    </row>
    <row r="146" ht="21.0" customHeight="1">
      <c r="A146" s="13"/>
      <c r="B146" s="24" t="str">
        <f>'ALL DATA &amp; IT4PROFIT'!A194</f>
        <v>SMA</v>
      </c>
      <c r="C146" s="24" t="str">
        <f>'ALL DATA &amp; IT4PROFIT'!B194</f>
        <v>SMA Sunny Tripower 50-41 CORE 1</v>
      </c>
      <c r="D146" s="24" t="str">
        <f>'ALL DATA &amp; IT4PROFIT'!C194</f>
        <v>3PH</v>
      </c>
      <c r="E146" s="25">
        <v>1.0</v>
      </c>
      <c r="F146" s="26" t="str">
        <f>'ALL DATA &amp; IT4PROFIT'!F194</f>
        <v/>
      </c>
      <c r="G146" s="27">
        <f t="shared" si="9"/>
        <v>30</v>
      </c>
      <c r="H146" s="27">
        <f t="shared" si="10"/>
        <v>30.75</v>
      </c>
      <c r="I146" s="28">
        <f t="shared" si="11"/>
        <v>0.1</v>
      </c>
      <c r="J146" s="29">
        <f t="shared" si="12"/>
        <v>34.16666667</v>
      </c>
      <c r="K146" s="30">
        <f t="shared" si="13"/>
        <v>34.16666667</v>
      </c>
      <c r="L146" s="30">
        <f t="shared" si="14"/>
        <v>30.75</v>
      </c>
      <c r="M146" s="31">
        <v>0.1</v>
      </c>
      <c r="N146" s="32"/>
      <c r="O146" s="35"/>
      <c r="P146" s="32" t="str">
        <f>'ALL DATA &amp; IT4PROFIT'!H194</f>
        <v/>
      </c>
      <c r="Q146" s="35" t="str">
        <f>'ALL DATA &amp; IT4PROFIT'!K194</f>
        <v/>
      </c>
      <c r="R146" s="35" t="str">
        <f>'ALL DATA &amp; IT4PROFIT'!D194</f>
        <v/>
      </c>
      <c r="S146" s="9"/>
      <c r="T146" s="9"/>
    </row>
    <row r="147" ht="21.0" customHeight="1">
      <c r="A147" s="13"/>
      <c r="B147" s="24" t="str">
        <f>'ALL DATA &amp; IT4PROFIT'!A195</f>
        <v>SMA</v>
      </c>
      <c r="C147" s="24" t="str">
        <f>'ALL DATA &amp; IT4PROFIT'!B195</f>
        <v>SMA Sunny Tripower CORE 2 (AFCI)</v>
      </c>
      <c r="D147" s="24" t="str">
        <f>'ALL DATA &amp; IT4PROFIT'!C195</f>
        <v>3PH</v>
      </c>
      <c r="E147" s="25">
        <v>1.0</v>
      </c>
      <c r="F147" s="26" t="str">
        <f>'ALL DATA &amp; IT4PROFIT'!F195</f>
        <v/>
      </c>
      <c r="G147" s="27">
        <f t="shared" si="9"/>
        <v>30</v>
      </c>
      <c r="H147" s="27">
        <f t="shared" si="10"/>
        <v>30.75</v>
      </c>
      <c r="I147" s="28">
        <f t="shared" si="11"/>
        <v>0.1</v>
      </c>
      <c r="J147" s="29">
        <f t="shared" si="12"/>
        <v>34.16666667</v>
      </c>
      <c r="K147" s="30">
        <f t="shared" si="13"/>
        <v>34.16666667</v>
      </c>
      <c r="L147" s="30">
        <f t="shared" si="14"/>
        <v>30.75</v>
      </c>
      <c r="M147" s="31">
        <v>0.1</v>
      </c>
      <c r="N147" s="32"/>
      <c r="O147" s="35"/>
      <c r="P147" s="32" t="str">
        <f>'ALL DATA &amp; IT4PROFIT'!H195</f>
        <v/>
      </c>
      <c r="Q147" s="35" t="str">
        <f>'ALL DATA &amp; IT4PROFIT'!K195</f>
        <v/>
      </c>
      <c r="R147" s="35" t="str">
        <f>'ALL DATA &amp; IT4PROFIT'!D195</f>
        <v/>
      </c>
      <c r="S147" s="9"/>
      <c r="T147" s="9"/>
    </row>
    <row r="148" ht="21.0" customHeight="1">
      <c r="A148" s="13"/>
      <c r="B148" s="24" t="str">
        <f>'ALL DATA &amp; IT4PROFIT'!A196</f>
        <v>SMA</v>
      </c>
      <c r="C148" s="24" t="str">
        <f>'ALL DATA &amp; IT4PROFIT'!B196</f>
        <v>SMA Sunny Island 4.4M-13</v>
      </c>
      <c r="D148" s="24" t="str">
        <f>'ALL DATA &amp; IT4PROFIT'!C196</f>
        <v>3PH HYBRID</v>
      </c>
      <c r="E148" s="25">
        <v>1.0</v>
      </c>
      <c r="F148" s="26" t="str">
        <f>'ALL DATA &amp; IT4PROFIT'!F196</f>
        <v/>
      </c>
      <c r="G148" s="27">
        <f t="shared" si="9"/>
        <v>30</v>
      </c>
      <c r="H148" s="27">
        <f t="shared" si="10"/>
        <v>30.75</v>
      </c>
      <c r="I148" s="28">
        <f t="shared" si="11"/>
        <v>0.1</v>
      </c>
      <c r="J148" s="29">
        <f t="shared" si="12"/>
        <v>34.16666667</v>
      </c>
      <c r="K148" s="30">
        <f t="shared" si="13"/>
        <v>34.16666667</v>
      </c>
      <c r="L148" s="30">
        <f t="shared" si="14"/>
        <v>30.75</v>
      </c>
      <c r="M148" s="31">
        <v>0.1</v>
      </c>
      <c r="N148" s="32"/>
      <c r="O148" s="35"/>
      <c r="P148" s="32" t="str">
        <f>'ALL DATA &amp; IT4PROFIT'!H196</f>
        <v/>
      </c>
      <c r="Q148" s="35" t="str">
        <f>'ALL DATA &amp; IT4PROFIT'!K196</f>
        <v/>
      </c>
      <c r="R148" s="35" t="str">
        <f>'ALL DATA &amp; IT4PROFIT'!D196</f>
        <v/>
      </c>
      <c r="S148" s="9"/>
      <c r="T148" s="9"/>
    </row>
    <row r="149" ht="21.0" customHeight="1">
      <c r="A149" s="13"/>
      <c r="B149" s="24" t="str">
        <f>'ALL DATA &amp; IT4PROFIT'!A197</f>
        <v>SMA</v>
      </c>
      <c r="C149" s="24" t="str">
        <f>'ALL DATA &amp; IT4PROFIT'!B197</f>
        <v>SMA Sunny Island 6.0H-13</v>
      </c>
      <c r="D149" s="24" t="str">
        <f>'ALL DATA &amp; IT4PROFIT'!C197</f>
        <v>3PH HYBRID</v>
      </c>
      <c r="E149" s="25">
        <v>1.0</v>
      </c>
      <c r="F149" s="26" t="str">
        <f>'ALL DATA &amp; IT4PROFIT'!F197</f>
        <v/>
      </c>
      <c r="G149" s="27">
        <f t="shared" si="9"/>
        <v>30</v>
      </c>
      <c r="H149" s="27">
        <f t="shared" si="10"/>
        <v>30.75</v>
      </c>
      <c r="I149" s="28">
        <f t="shared" si="11"/>
        <v>0.1</v>
      </c>
      <c r="J149" s="29">
        <f t="shared" si="12"/>
        <v>34.16666667</v>
      </c>
      <c r="K149" s="30">
        <f t="shared" si="13"/>
        <v>34.16666667</v>
      </c>
      <c r="L149" s="30">
        <f t="shared" si="14"/>
        <v>30.75</v>
      </c>
      <c r="M149" s="31">
        <v>0.1</v>
      </c>
      <c r="N149" s="32"/>
      <c r="O149" s="35"/>
      <c r="P149" s="32" t="str">
        <f>'ALL DATA &amp; IT4PROFIT'!H197</f>
        <v/>
      </c>
      <c r="Q149" s="35" t="str">
        <f>'ALL DATA &amp; IT4PROFIT'!K197</f>
        <v/>
      </c>
      <c r="R149" s="35" t="str">
        <f>'ALL DATA &amp; IT4PROFIT'!D197</f>
        <v/>
      </c>
      <c r="S149" s="9"/>
      <c r="T149" s="9"/>
    </row>
    <row r="150" ht="21.0" customHeight="1">
      <c r="A150" s="13"/>
      <c r="B150" s="24" t="str">
        <f>'ALL DATA &amp; IT4PROFIT'!A198</f>
        <v>SMA</v>
      </c>
      <c r="C150" s="24" t="str">
        <f>'ALL DATA &amp; IT4PROFIT'!B198</f>
        <v>SMA Sunny Island 8.0H-13</v>
      </c>
      <c r="D150" s="24" t="str">
        <f>'ALL DATA &amp; IT4PROFIT'!C198</f>
        <v>3PH HYBRID</v>
      </c>
      <c r="E150" s="25">
        <v>1.0</v>
      </c>
      <c r="F150" s="26" t="str">
        <f>'ALL DATA &amp; IT4PROFIT'!F198</f>
        <v/>
      </c>
      <c r="G150" s="27">
        <f t="shared" si="9"/>
        <v>30</v>
      </c>
      <c r="H150" s="27">
        <f t="shared" si="10"/>
        <v>30.75</v>
      </c>
      <c r="I150" s="28">
        <f t="shared" si="11"/>
        <v>0.1</v>
      </c>
      <c r="J150" s="29">
        <f t="shared" si="12"/>
        <v>34.16666667</v>
      </c>
      <c r="K150" s="30">
        <f t="shared" si="13"/>
        <v>34.16666667</v>
      </c>
      <c r="L150" s="30">
        <f t="shared" si="14"/>
        <v>30.75</v>
      </c>
      <c r="M150" s="31">
        <v>0.1</v>
      </c>
      <c r="N150" s="32"/>
      <c r="O150" s="35"/>
      <c r="P150" s="32" t="str">
        <f>'ALL DATA &amp; IT4PROFIT'!H198</f>
        <v/>
      </c>
      <c r="Q150" s="35" t="str">
        <f>'ALL DATA &amp; IT4PROFIT'!K198</f>
        <v/>
      </c>
      <c r="R150" s="35" t="str">
        <f>'ALL DATA &amp; IT4PROFIT'!D198</f>
        <v/>
      </c>
      <c r="S150" s="9"/>
      <c r="T150" s="9"/>
    </row>
    <row r="151" ht="21.0" customHeight="1">
      <c r="A151" s="13"/>
      <c r="B151" s="24" t="str">
        <f>'ALL DATA &amp; IT4PROFIT'!A199</f>
        <v>SMA</v>
      </c>
      <c r="C151" s="24" t="str">
        <f>'ALL DATA &amp; IT4PROFIT'!B199</f>
        <v>SMA SI 4.4M-13 3-Phasen Paket</v>
      </c>
      <c r="D151" s="24" t="str">
        <f>'ALL DATA &amp; IT4PROFIT'!C199</f>
        <v>3PH SI</v>
      </c>
      <c r="E151" s="25">
        <v>1.0</v>
      </c>
      <c r="F151" s="26" t="str">
        <f>'ALL DATA &amp; IT4PROFIT'!F199</f>
        <v/>
      </c>
      <c r="G151" s="27">
        <f t="shared" si="9"/>
        <v>30</v>
      </c>
      <c r="H151" s="27">
        <f t="shared" si="10"/>
        <v>30.75</v>
      </c>
      <c r="I151" s="28">
        <f t="shared" si="11"/>
        <v>0.1</v>
      </c>
      <c r="J151" s="29">
        <f t="shared" si="12"/>
        <v>34.16666667</v>
      </c>
      <c r="K151" s="30">
        <f t="shared" si="13"/>
        <v>34.16666667</v>
      </c>
      <c r="L151" s="30">
        <f t="shared" si="14"/>
        <v>30.75</v>
      </c>
      <c r="M151" s="31">
        <v>0.1</v>
      </c>
      <c r="N151" s="32"/>
      <c r="O151" s="35"/>
      <c r="P151" s="32" t="str">
        <f>'ALL DATA &amp; IT4PROFIT'!H199</f>
        <v/>
      </c>
      <c r="Q151" s="35" t="str">
        <f>'ALL DATA &amp; IT4PROFIT'!K199</f>
        <v/>
      </c>
      <c r="R151" s="35" t="str">
        <f>'ALL DATA &amp; IT4PROFIT'!D199</f>
        <v/>
      </c>
      <c r="S151" s="9"/>
      <c r="T151" s="9"/>
    </row>
    <row r="152" ht="21.0" customHeight="1">
      <c r="A152" s="13"/>
      <c r="B152" s="24" t="str">
        <f>'ALL DATA &amp; IT4PROFIT'!A200</f>
        <v>SMA</v>
      </c>
      <c r="C152" s="24" t="str">
        <f>'ALL DATA &amp; IT4PROFIT'!B200</f>
        <v>SMA SI 6.0H-13 3-Phasen Paket</v>
      </c>
      <c r="D152" s="24" t="str">
        <f>'ALL DATA &amp; IT4PROFIT'!C200</f>
        <v>3PH SI</v>
      </c>
      <c r="E152" s="25">
        <v>1.0</v>
      </c>
      <c r="F152" s="26" t="str">
        <f>'ALL DATA &amp; IT4PROFIT'!F200</f>
        <v/>
      </c>
      <c r="G152" s="27">
        <f t="shared" si="9"/>
        <v>30</v>
      </c>
      <c r="H152" s="27">
        <f t="shared" si="10"/>
        <v>30.75</v>
      </c>
      <c r="I152" s="28">
        <f t="shared" si="11"/>
        <v>0.1</v>
      </c>
      <c r="J152" s="29">
        <f t="shared" si="12"/>
        <v>34.16666667</v>
      </c>
      <c r="K152" s="30">
        <f t="shared" si="13"/>
        <v>34.16666667</v>
      </c>
      <c r="L152" s="30">
        <f t="shared" si="14"/>
        <v>30.75</v>
      </c>
      <c r="M152" s="31">
        <v>0.1</v>
      </c>
      <c r="N152" s="32"/>
      <c r="O152" s="35"/>
      <c r="P152" s="32" t="str">
        <f>'ALL DATA &amp; IT4PROFIT'!H200</f>
        <v/>
      </c>
      <c r="Q152" s="35" t="str">
        <f>'ALL DATA &amp; IT4PROFIT'!K200</f>
        <v/>
      </c>
      <c r="R152" s="35" t="str">
        <f>'ALL DATA &amp; IT4PROFIT'!D200</f>
        <v/>
      </c>
      <c r="S152" s="9"/>
      <c r="T152" s="9"/>
    </row>
    <row r="153" ht="21.0" customHeight="1">
      <c r="A153" s="13"/>
      <c r="B153" s="24" t="str">
        <f>'ALL DATA &amp; IT4PROFIT'!A201</f>
        <v>SMA</v>
      </c>
      <c r="C153" s="24" t="str">
        <f>'ALL DATA &amp; IT4PROFIT'!B201</f>
        <v>SMA SI 8.0H-13 3-Phasen Paket</v>
      </c>
      <c r="D153" s="24" t="str">
        <f>'ALL DATA &amp; IT4PROFIT'!C201</f>
        <v>3PH SI</v>
      </c>
      <c r="E153" s="25">
        <v>1.0</v>
      </c>
      <c r="F153" s="26" t="str">
        <f>'ALL DATA &amp; IT4PROFIT'!F201</f>
        <v/>
      </c>
      <c r="G153" s="27">
        <f t="shared" si="9"/>
        <v>30</v>
      </c>
      <c r="H153" s="27">
        <f t="shared" si="10"/>
        <v>30.75</v>
      </c>
      <c r="I153" s="28">
        <f t="shared" si="11"/>
        <v>0.1</v>
      </c>
      <c r="J153" s="29">
        <f t="shared" si="12"/>
        <v>34.16666667</v>
      </c>
      <c r="K153" s="30">
        <f t="shared" si="13"/>
        <v>34.16666667</v>
      </c>
      <c r="L153" s="30">
        <f t="shared" si="14"/>
        <v>30.75</v>
      </c>
      <c r="M153" s="31">
        <v>0.1</v>
      </c>
      <c r="N153" s="32"/>
      <c r="O153" s="35"/>
      <c r="P153" s="32" t="str">
        <f>'ALL DATA &amp; IT4PROFIT'!H201</f>
        <v/>
      </c>
      <c r="Q153" s="35" t="str">
        <f>'ALL DATA &amp; IT4PROFIT'!K201</f>
        <v/>
      </c>
      <c r="R153" s="35" t="str">
        <f>'ALL DATA &amp; IT4PROFIT'!D201</f>
        <v/>
      </c>
      <c r="S153" s="9"/>
      <c r="T153" s="9"/>
    </row>
    <row r="154" ht="21.0" customHeight="1">
      <c r="A154" s="13"/>
      <c r="B154" s="24" t="str">
        <f>'ALL DATA &amp; IT4PROFIT'!A202</f>
        <v>SMA</v>
      </c>
      <c r="C154" s="24" t="str">
        <f>'ALL DATA &amp; IT4PROFIT'!B202</f>
        <v>SMA Sunny Boy Storage 2.5</v>
      </c>
      <c r="D154" s="24" t="str">
        <f>'ALL DATA &amp; IT4PROFIT'!C202</f>
        <v>3PH SUNNY</v>
      </c>
      <c r="E154" s="25">
        <v>1.0</v>
      </c>
      <c r="F154" s="26" t="str">
        <f>'ALL DATA &amp; IT4PROFIT'!F202</f>
        <v/>
      </c>
      <c r="G154" s="27">
        <f t="shared" si="9"/>
        <v>30</v>
      </c>
      <c r="H154" s="27">
        <f t="shared" si="10"/>
        <v>30.75</v>
      </c>
      <c r="I154" s="28">
        <f t="shared" si="11"/>
        <v>0.1</v>
      </c>
      <c r="J154" s="29">
        <f t="shared" si="12"/>
        <v>34.16666667</v>
      </c>
      <c r="K154" s="30">
        <f t="shared" si="13"/>
        <v>34.16666667</v>
      </c>
      <c r="L154" s="30">
        <f t="shared" si="14"/>
        <v>30.75</v>
      </c>
      <c r="M154" s="31">
        <v>0.1</v>
      </c>
      <c r="N154" s="32"/>
      <c r="O154" s="35"/>
      <c r="P154" s="32" t="str">
        <f>'ALL DATA &amp; IT4PROFIT'!H202</f>
        <v/>
      </c>
      <c r="Q154" s="35" t="str">
        <f>'ALL DATA &amp; IT4PROFIT'!K202</f>
        <v/>
      </c>
      <c r="R154" s="35" t="str">
        <f>'ALL DATA &amp; IT4PROFIT'!D202</f>
        <v/>
      </c>
      <c r="S154" s="9"/>
      <c r="T154" s="9"/>
    </row>
    <row r="155" ht="21.0" customHeight="1">
      <c r="A155" s="13"/>
      <c r="B155" s="24" t="str">
        <f>'ALL DATA &amp; IT4PROFIT'!A203</f>
        <v>SMA</v>
      </c>
      <c r="C155" s="24" t="str">
        <f>'ALL DATA &amp; IT4PROFIT'!B203</f>
        <v>SMA Sunny Boy Storage 3.7</v>
      </c>
      <c r="D155" s="24" t="str">
        <f>'ALL DATA &amp; IT4PROFIT'!C203</f>
        <v>3PH SUNNY</v>
      </c>
      <c r="E155" s="25">
        <v>1.0</v>
      </c>
      <c r="F155" s="26" t="str">
        <f>'ALL DATA &amp; IT4PROFIT'!F203</f>
        <v/>
      </c>
      <c r="G155" s="27">
        <f t="shared" si="9"/>
        <v>30</v>
      </c>
      <c r="H155" s="27">
        <f t="shared" si="10"/>
        <v>30.75</v>
      </c>
      <c r="I155" s="28">
        <f t="shared" si="11"/>
        <v>0.1</v>
      </c>
      <c r="J155" s="29">
        <f t="shared" si="12"/>
        <v>34.16666667</v>
      </c>
      <c r="K155" s="30">
        <f t="shared" si="13"/>
        <v>34.16666667</v>
      </c>
      <c r="L155" s="30">
        <f t="shared" si="14"/>
        <v>30.75</v>
      </c>
      <c r="M155" s="31">
        <v>0.1</v>
      </c>
      <c r="N155" s="32"/>
      <c r="O155" s="35"/>
      <c r="P155" s="32" t="str">
        <f>'ALL DATA &amp; IT4PROFIT'!H203</f>
        <v/>
      </c>
      <c r="Q155" s="35" t="str">
        <f>'ALL DATA &amp; IT4PROFIT'!K203</f>
        <v/>
      </c>
      <c r="R155" s="35" t="str">
        <f>'ALL DATA &amp; IT4PROFIT'!D203</f>
        <v/>
      </c>
      <c r="S155" s="9"/>
      <c r="T155" s="9"/>
    </row>
    <row r="156" ht="21.0" customHeight="1">
      <c r="A156" s="13"/>
      <c r="B156" s="24" t="str">
        <f>'ALL DATA &amp; IT4PROFIT'!A204</f>
        <v>SMA</v>
      </c>
      <c r="C156" s="24" t="str">
        <f>'ALL DATA &amp; IT4PROFIT'!B204</f>
        <v>SMA Sunny Boy Storage 5.0</v>
      </c>
      <c r="D156" s="24" t="str">
        <f>'ALL DATA &amp; IT4PROFIT'!C204</f>
        <v>3PH SUNNY</v>
      </c>
      <c r="E156" s="25">
        <v>1.0</v>
      </c>
      <c r="F156" s="26" t="str">
        <f>'ALL DATA &amp; IT4PROFIT'!F204</f>
        <v/>
      </c>
      <c r="G156" s="27">
        <f t="shared" si="9"/>
        <v>30</v>
      </c>
      <c r="H156" s="27">
        <f t="shared" si="10"/>
        <v>30.75</v>
      </c>
      <c r="I156" s="28">
        <f t="shared" si="11"/>
        <v>0.1</v>
      </c>
      <c r="J156" s="29">
        <f t="shared" si="12"/>
        <v>34.16666667</v>
      </c>
      <c r="K156" s="30">
        <f t="shared" si="13"/>
        <v>34.16666667</v>
      </c>
      <c r="L156" s="30">
        <f t="shared" si="14"/>
        <v>30.75</v>
      </c>
      <c r="M156" s="31">
        <v>0.1</v>
      </c>
      <c r="N156" s="32"/>
      <c r="O156" s="35"/>
      <c r="P156" s="32" t="str">
        <f>'ALL DATA &amp; IT4PROFIT'!H204</f>
        <v/>
      </c>
      <c r="Q156" s="35" t="str">
        <f>'ALL DATA &amp; IT4PROFIT'!K204</f>
        <v/>
      </c>
      <c r="R156" s="35" t="str">
        <f>'ALL DATA &amp; IT4PROFIT'!D204</f>
        <v/>
      </c>
      <c r="S156" s="9"/>
      <c r="T156" s="9"/>
    </row>
    <row r="157" ht="21.0" customHeight="1">
      <c r="A157" s="13"/>
      <c r="B157" s="24" t="str">
        <f>'ALL DATA &amp; IT4PROFIT'!A205</f>
        <v>SMA</v>
      </c>
      <c r="C157" s="24" t="str">
        <f>'ALL DATA &amp; IT4PROFIT'!B205</f>
        <v>SMA Sunny Boy Storage 6.0</v>
      </c>
      <c r="D157" s="24" t="str">
        <f>'ALL DATA &amp; IT4PROFIT'!C205</f>
        <v>3PH SUNNY</v>
      </c>
      <c r="E157" s="25">
        <v>1.0</v>
      </c>
      <c r="F157" s="26" t="str">
        <f>'ALL DATA &amp; IT4PROFIT'!F205</f>
        <v/>
      </c>
      <c r="G157" s="27">
        <f t="shared" si="9"/>
        <v>30</v>
      </c>
      <c r="H157" s="27">
        <f t="shared" si="10"/>
        <v>30.75</v>
      </c>
      <c r="I157" s="28">
        <f t="shared" si="11"/>
        <v>0.1</v>
      </c>
      <c r="J157" s="29">
        <f t="shared" si="12"/>
        <v>34.16666667</v>
      </c>
      <c r="K157" s="30">
        <f t="shared" si="13"/>
        <v>34.16666667</v>
      </c>
      <c r="L157" s="30">
        <f t="shared" si="14"/>
        <v>30.75</v>
      </c>
      <c r="M157" s="31">
        <v>0.1</v>
      </c>
      <c r="N157" s="32"/>
      <c r="O157" s="35"/>
      <c r="P157" s="32" t="str">
        <f>'ALL DATA &amp; IT4PROFIT'!H205</f>
        <v/>
      </c>
      <c r="Q157" s="35" t="str">
        <f>'ALL DATA &amp; IT4PROFIT'!K205</f>
        <v/>
      </c>
      <c r="R157" s="35" t="str">
        <f>'ALL DATA &amp; IT4PROFIT'!D205</f>
        <v/>
      </c>
      <c r="S157" s="9"/>
      <c r="T157" s="9"/>
    </row>
    <row r="158" ht="21.0" customHeight="1">
      <c r="A158" s="13"/>
      <c r="B158" s="24" t="str">
        <f>'ALL DATA &amp; IT4PROFIT'!A206</f>
        <v>SMA</v>
      </c>
      <c r="C158" s="24" t="str">
        <f>'ALL DATA &amp; IT4PROFIT'!B206</f>
        <v>SMA Sunny Boy 2.0</v>
      </c>
      <c r="D158" s="24" t="str">
        <f>'ALL DATA &amp; IT4PROFIT'!C206</f>
        <v>3PH SUNNY</v>
      </c>
      <c r="E158" s="25">
        <v>1.0</v>
      </c>
      <c r="F158" s="26" t="str">
        <f>'ALL DATA &amp; IT4PROFIT'!F206</f>
        <v/>
      </c>
      <c r="G158" s="27">
        <f t="shared" si="9"/>
        <v>30</v>
      </c>
      <c r="H158" s="27">
        <f t="shared" si="10"/>
        <v>30.75</v>
      </c>
      <c r="I158" s="28">
        <f t="shared" si="11"/>
        <v>0.1</v>
      </c>
      <c r="J158" s="29">
        <f t="shared" si="12"/>
        <v>34.16666667</v>
      </c>
      <c r="K158" s="30">
        <f t="shared" si="13"/>
        <v>34.16666667</v>
      </c>
      <c r="L158" s="30">
        <f t="shared" si="14"/>
        <v>30.75</v>
      </c>
      <c r="M158" s="31">
        <v>0.1</v>
      </c>
      <c r="N158" s="32"/>
      <c r="O158" s="35"/>
      <c r="P158" s="32" t="str">
        <f>'ALL DATA &amp; IT4PROFIT'!H206</f>
        <v/>
      </c>
      <c r="Q158" s="35" t="str">
        <f>'ALL DATA &amp; IT4PROFIT'!K206</f>
        <v/>
      </c>
      <c r="R158" s="35" t="str">
        <f>'ALL DATA &amp; IT4PROFIT'!D206</f>
        <v/>
      </c>
      <c r="S158" s="9"/>
      <c r="T158" s="9"/>
    </row>
    <row r="159" ht="21.0" customHeight="1">
      <c r="A159" s="13"/>
      <c r="B159" s="24" t="str">
        <f>'ALL DATA &amp; IT4PROFIT'!A207</f>
        <v>SMA</v>
      </c>
      <c r="C159" s="24" t="str">
        <f>'ALL DATA &amp; IT4PROFIT'!B207</f>
        <v>SMA Sunny Boy 6.0-1AV-41</v>
      </c>
      <c r="D159" s="24" t="str">
        <f>'ALL DATA &amp; IT4PROFIT'!C207</f>
        <v>3PH SUNNY</v>
      </c>
      <c r="E159" s="25">
        <v>1.0</v>
      </c>
      <c r="F159" s="26" t="str">
        <f>'ALL DATA &amp; IT4PROFIT'!F207</f>
        <v/>
      </c>
      <c r="G159" s="27">
        <f t="shared" si="9"/>
        <v>30</v>
      </c>
      <c r="H159" s="27">
        <f t="shared" si="10"/>
        <v>30.75</v>
      </c>
      <c r="I159" s="28">
        <f t="shared" si="11"/>
        <v>0.1</v>
      </c>
      <c r="J159" s="29">
        <f t="shared" si="12"/>
        <v>34.16666667</v>
      </c>
      <c r="K159" s="30">
        <f t="shared" si="13"/>
        <v>34.16666667</v>
      </c>
      <c r="L159" s="30">
        <f t="shared" si="14"/>
        <v>30.75</v>
      </c>
      <c r="M159" s="31">
        <v>0.1</v>
      </c>
      <c r="N159" s="32"/>
      <c r="O159" s="35"/>
      <c r="P159" s="32" t="str">
        <f>'ALL DATA &amp; IT4PROFIT'!H207</f>
        <v/>
      </c>
      <c r="Q159" s="35" t="str">
        <f>'ALL DATA &amp; IT4PROFIT'!K207</f>
        <v/>
      </c>
      <c r="R159" s="35" t="str">
        <f>'ALL DATA &amp; IT4PROFIT'!D207</f>
        <v/>
      </c>
      <c r="S159" s="9"/>
      <c r="T159" s="9"/>
    </row>
    <row r="160" ht="21.0" customHeight="1">
      <c r="A160" s="13"/>
      <c r="B160" s="24" t="str">
        <f>'ALL DATA &amp; IT4PROFIT'!A208</f>
        <v>SMA</v>
      </c>
      <c r="C160" s="24" t="str">
        <f>'ALL DATA &amp; IT4PROFIT'!B208</f>
        <v>SMA Sunny Boy Smart Energy 3,6 kW</v>
      </c>
      <c r="D160" s="24" t="str">
        <f>'ALL DATA &amp; IT4PROFIT'!C208</f>
        <v>3PH SUNNY</v>
      </c>
      <c r="E160" s="25">
        <v>1.0</v>
      </c>
      <c r="F160" s="26" t="str">
        <f>'ALL DATA &amp; IT4PROFIT'!F208</f>
        <v/>
      </c>
      <c r="G160" s="27">
        <f t="shared" si="9"/>
        <v>30</v>
      </c>
      <c r="H160" s="27">
        <f t="shared" si="10"/>
        <v>30.75</v>
      </c>
      <c r="I160" s="28">
        <f t="shared" si="11"/>
        <v>0.1</v>
      </c>
      <c r="J160" s="29">
        <f t="shared" si="12"/>
        <v>34.16666667</v>
      </c>
      <c r="K160" s="30">
        <f t="shared" si="13"/>
        <v>34.16666667</v>
      </c>
      <c r="L160" s="30">
        <f t="shared" si="14"/>
        <v>30.75</v>
      </c>
      <c r="M160" s="31">
        <v>0.1</v>
      </c>
      <c r="N160" s="32"/>
      <c r="O160" s="35"/>
      <c r="P160" s="32" t="str">
        <f>'ALL DATA &amp; IT4PROFIT'!H208</f>
        <v/>
      </c>
      <c r="Q160" s="35" t="str">
        <f>'ALL DATA &amp; IT4PROFIT'!K208</f>
        <v/>
      </c>
      <c r="R160" s="35" t="str">
        <f>'ALL DATA &amp; IT4PROFIT'!D208</f>
        <v/>
      </c>
      <c r="S160" s="9"/>
      <c r="T160" s="9"/>
    </row>
    <row r="161" ht="21.0" customHeight="1">
      <c r="A161" s="13"/>
      <c r="B161" s="24" t="str">
        <f>'ALL DATA &amp; IT4PROFIT'!A209</f>
        <v>SMA</v>
      </c>
      <c r="C161" s="24" t="str">
        <f>'ALL DATA &amp; IT4PROFIT'!B209</f>
        <v>SMA Sunny Boy Smart Energy 4 kW</v>
      </c>
      <c r="D161" s="24" t="str">
        <f>'ALL DATA &amp; IT4PROFIT'!C209</f>
        <v>3PH SUNNY</v>
      </c>
      <c r="E161" s="25">
        <v>1.0</v>
      </c>
      <c r="F161" s="26" t="str">
        <f>'ALL DATA &amp; IT4PROFIT'!F209</f>
        <v/>
      </c>
      <c r="G161" s="27">
        <f t="shared" si="9"/>
        <v>30</v>
      </c>
      <c r="H161" s="27">
        <f t="shared" si="10"/>
        <v>30.75</v>
      </c>
      <c r="I161" s="28">
        <f t="shared" si="11"/>
        <v>0.1</v>
      </c>
      <c r="J161" s="29">
        <f t="shared" si="12"/>
        <v>34.16666667</v>
      </c>
      <c r="K161" s="30">
        <f t="shared" si="13"/>
        <v>34.16666667</v>
      </c>
      <c r="L161" s="30">
        <f t="shared" si="14"/>
        <v>30.75</v>
      </c>
      <c r="M161" s="31">
        <v>0.1</v>
      </c>
      <c r="N161" s="32"/>
      <c r="O161" s="35"/>
      <c r="P161" s="32" t="str">
        <f>'ALL DATA &amp; IT4PROFIT'!H209</f>
        <v/>
      </c>
      <c r="Q161" s="35" t="str">
        <f>'ALL DATA &amp; IT4PROFIT'!K209</f>
        <v/>
      </c>
      <c r="R161" s="35" t="str">
        <f>'ALL DATA &amp; IT4PROFIT'!D209</f>
        <v/>
      </c>
      <c r="S161" s="9"/>
      <c r="T161" s="9"/>
    </row>
    <row r="162" ht="21.0" customHeight="1">
      <c r="A162" s="13"/>
      <c r="B162" s="24" t="str">
        <f>'ALL DATA &amp; IT4PROFIT'!A210</f>
        <v>SMA</v>
      </c>
      <c r="C162" s="24" t="str">
        <f>'ALL DATA &amp; IT4PROFIT'!B210</f>
        <v>SMA Sunny Boy Smart Energy 5 kW</v>
      </c>
      <c r="D162" s="24" t="str">
        <f>'ALL DATA &amp; IT4PROFIT'!C210</f>
        <v>3PH SUNNY</v>
      </c>
      <c r="E162" s="25">
        <v>1.0</v>
      </c>
      <c r="F162" s="26" t="str">
        <f>'ALL DATA &amp; IT4PROFIT'!F210</f>
        <v/>
      </c>
      <c r="G162" s="27">
        <f t="shared" si="9"/>
        <v>30</v>
      </c>
      <c r="H162" s="27">
        <f t="shared" si="10"/>
        <v>30.75</v>
      </c>
      <c r="I162" s="28">
        <f t="shared" si="11"/>
        <v>0.1</v>
      </c>
      <c r="J162" s="29">
        <f t="shared" si="12"/>
        <v>34.16666667</v>
      </c>
      <c r="K162" s="30">
        <f t="shared" si="13"/>
        <v>34.16666667</v>
      </c>
      <c r="L162" s="30">
        <f t="shared" si="14"/>
        <v>30.75</v>
      </c>
      <c r="M162" s="31">
        <v>0.1</v>
      </c>
      <c r="N162" s="32"/>
      <c r="O162" s="35"/>
      <c r="P162" s="32" t="str">
        <f>'ALL DATA &amp; IT4PROFIT'!H210</f>
        <v/>
      </c>
      <c r="Q162" s="35" t="str">
        <f>'ALL DATA &amp; IT4PROFIT'!K210</f>
        <v/>
      </c>
      <c r="R162" s="35" t="str">
        <f>'ALL DATA &amp; IT4PROFIT'!D210</f>
        <v/>
      </c>
      <c r="S162" s="9"/>
      <c r="T162" s="9"/>
    </row>
    <row r="163" ht="21.0" customHeight="1">
      <c r="A163" s="13"/>
      <c r="B163" s="24" t="str">
        <f>'ALL DATA &amp; IT4PROFIT'!A211</f>
        <v>SMA</v>
      </c>
      <c r="C163" s="24" t="str">
        <f>'ALL DATA &amp; IT4PROFIT'!B211</f>
        <v>SMA Sunny Boy Smart Energy 6 kW</v>
      </c>
      <c r="D163" s="24" t="str">
        <f>'ALL DATA &amp; IT4PROFIT'!C211</f>
        <v>3PH SUNNY</v>
      </c>
      <c r="E163" s="25">
        <v>1.0</v>
      </c>
      <c r="F163" s="26" t="str">
        <f>'ALL DATA &amp; IT4PROFIT'!F211</f>
        <v/>
      </c>
      <c r="G163" s="27">
        <f t="shared" si="9"/>
        <v>30</v>
      </c>
      <c r="H163" s="27">
        <f t="shared" si="10"/>
        <v>30.75</v>
      </c>
      <c r="I163" s="28">
        <f t="shared" si="11"/>
        <v>0.1</v>
      </c>
      <c r="J163" s="29">
        <f t="shared" si="12"/>
        <v>34.16666667</v>
      </c>
      <c r="K163" s="30">
        <f t="shared" si="13"/>
        <v>34.16666667</v>
      </c>
      <c r="L163" s="30">
        <f t="shared" si="14"/>
        <v>30.75</v>
      </c>
      <c r="M163" s="31">
        <v>0.1</v>
      </c>
      <c r="N163" s="32"/>
      <c r="O163" s="35"/>
      <c r="P163" s="32" t="str">
        <f>'ALL DATA &amp; IT4PROFIT'!H211</f>
        <v/>
      </c>
      <c r="Q163" s="35" t="str">
        <f>'ALL DATA &amp; IT4PROFIT'!K211</f>
        <v/>
      </c>
      <c r="R163" s="35" t="str">
        <f>'ALL DATA &amp; IT4PROFIT'!D211</f>
        <v/>
      </c>
      <c r="S163" s="9"/>
      <c r="T163" s="9"/>
    </row>
    <row r="164" ht="21.0" customHeight="1">
      <c r="A164" s="13"/>
      <c r="B164" s="24" t="str">
        <f>'ALL DATA &amp; IT4PROFIT'!A212</f>
        <v>SMA</v>
      </c>
      <c r="C164" s="24" t="str">
        <f>'ALL DATA &amp; IT4PROFIT'!B212</f>
        <v>SMA Sunny Highpower PEAK3 SHP 150-21</v>
      </c>
      <c r="D164" s="24" t="str">
        <f>'ALL DATA &amp; IT4PROFIT'!C212</f>
        <v>3PH SUNNY</v>
      </c>
      <c r="E164" s="25">
        <v>1.0</v>
      </c>
      <c r="F164" s="26" t="str">
        <f>'ALL DATA &amp; IT4PROFIT'!F212</f>
        <v/>
      </c>
      <c r="G164" s="27">
        <f t="shared" si="9"/>
        <v>30</v>
      </c>
      <c r="H164" s="27">
        <f t="shared" si="10"/>
        <v>30.75</v>
      </c>
      <c r="I164" s="28">
        <f t="shared" si="11"/>
        <v>0.1</v>
      </c>
      <c r="J164" s="29">
        <f t="shared" si="12"/>
        <v>34.16666667</v>
      </c>
      <c r="K164" s="30">
        <f t="shared" si="13"/>
        <v>34.16666667</v>
      </c>
      <c r="L164" s="30">
        <f t="shared" si="14"/>
        <v>30.75</v>
      </c>
      <c r="M164" s="31">
        <v>0.1</v>
      </c>
      <c r="N164" s="32"/>
      <c r="O164" s="35"/>
      <c r="P164" s="32" t="str">
        <f>'ALL DATA &amp; IT4PROFIT'!H212</f>
        <v/>
      </c>
      <c r="Q164" s="35" t="str">
        <f>'ALL DATA &amp; IT4PROFIT'!K212</f>
        <v/>
      </c>
      <c r="R164" s="35" t="str">
        <f>'ALL DATA &amp; IT4PROFIT'!D212</f>
        <v/>
      </c>
      <c r="S164" s="9"/>
      <c r="T164" s="9"/>
    </row>
    <row r="165" ht="21.0" customHeight="1">
      <c r="A165" s="13"/>
      <c r="B165" s="24" t="str">
        <f>'ALL DATA &amp; IT4PROFIT'!A213</f>
        <v>SMA</v>
      </c>
      <c r="C165" s="24" t="str">
        <f>'ALL DATA &amp; IT4PROFIT'!B213</f>
        <v>SMA Sunny Highpower PEAK3 SHP 172-21</v>
      </c>
      <c r="D165" s="24" t="str">
        <f>'ALL DATA &amp; IT4PROFIT'!C213</f>
        <v>3PH SUNNY</v>
      </c>
      <c r="E165" s="25">
        <v>1.0</v>
      </c>
      <c r="F165" s="26" t="str">
        <f>'ALL DATA &amp; IT4PROFIT'!F213</f>
        <v/>
      </c>
      <c r="G165" s="27">
        <f t="shared" si="9"/>
        <v>30</v>
      </c>
      <c r="H165" s="27">
        <f t="shared" si="10"/>
        <v>30.75</v>
      </c>
      <c r="I165" s="28">
        <f t="shared" si="11"/>
        <v>0.1</v>
      </c>
      <c r="J165" s="29">
        <f t="shared" si="12"/>
        <v>34.16666667</v>
      </c>
      <c r="K165" s="30">
        <f t="shared" si="13"/>
        <v>34.16666667</v>
      </c>
      <c r="L165" s="30">
        <f t="shared" si="14"/>
        <v>30.75</v>
      </c>
      <c r="M165" s="31">
        <v>0.1</v>
      </c>
      <c r="N165" s="32"/>
      <c r="O165" s="35"/>
      <c r="P165" s="32" t="str">
        <f>'ALL DATA &amp; IT4PROFIT'!H213</f>
        <v/>
      </c>
      <c r="Q165" s="35" t="str">
        <f>'ALL DATA &amp; IT4PROFIT'!K213</f>
        <v/>
      </c>
      <c r="R165" s="35" t="str">
        <f>'ALL DATA &amp; IT4PROFIT'!D213</f>
        <v/>
      </c>
      <c r="S165" s="9"/>
      <c r="T165" s="9"/>
    </row>
    <row r="166" ht="21.0" customHeight="1">
      <c r="A166" s="13"/>
      <c r="B166" s="24" t="str">
        <f>'ALL DATA &amp; IT4PROFIT'!A214</f>
        <v>SMA</v>
      </c>
      <c r="C166" s="24" t="str">
        <f>'ALL DATA &amp; IT4PROFIT'!B214</f>
        <v>SMA Sunny Highpower PEAK3 SHP 180-21</v>
      </c>
      <c r="D166" s="24" t="str">
        <f>'ALL DATA &amp; IT4PROFIT'!C214</f>
        <v>3PH SUNNY</v>
      </c>
      <c r="E166" s="25">
        <v>1.0</v>
      </c>
      <c r="F166" s="26" t="str">
        <f>'ALL DATA &amp; IT4PROFIT'!F214</f>
        <v/>
      </c>
      <c r="G166" s="27">
        <f t="shared" si="9"/>
        <v>30</v>
      </c>
      <c r="H166" s="27">
        <f t="shared" si="10"/>
        <v>30.75</v>
      </c>
      <c r="I166" s="28">
        <f t="shared" si="11"/>
        <v>0.1</v>
      </c>
      <c r="J166" s="29">
        <f t="shared" si="12"/>
        <v>34.16666667</v>
      </c>
      <c r="K166" s="30">
        <f t="shared" si="13"/>
        <v>34.16666667</v>
      </c>
      <c r="L166" s="30">
        <f t="shared" si="14"/>
        <v>30.75</v>
      </c>
      <c r="M166" s="31">
        <v>0.1</v>
      </c>
      <c r="N166" s="32"/>
      <c r="O166" s="35"/>
      <c r="P166" s="32" t="str">
        <f>'ALL DATA &amp; IT4PROFIT'!H214</f>
        <v/>
      </c>
      <c r="Q166" s="35" t="str">
        <f>'ALL DATA &amp; IT4PROFIT'!K214</f>
        <v/>
      </c>
      <c r="R166" s="35" t="str">
        <f>'ALL DATA &amp; IT4PROFIT'!D214</f>
        <v/>
      </c>
      <c r="S166" s="9"/>
      <c r="T166" s="9"/>
    </row>
    <row r="167" ht="21.0" customHeight="1">
      <c r="A167" s="13"/>
      <c r="B167" s="24" t="str">
        <f>'ALL DATA &amp; IT4PROFIT'!A215</f>
        <v/>
      </c>
      <c r="C167" s="24" t="str">
        <f>'ALL DATA &amp; IT4PROFIT'!B215</f>
        <v/>
      </c>
      <c r="D167" s="24" t="str">
        <f>'ALL DATA &amp; IT4PROFIT'!C215</f>
        <v/>
      </c>
      <c r="E167" s="25">
        <v>1.0</v>
      </c>
      <c r="F167" s="26" t="str">
        <f>'ALL DATA &amp; IT4PROFIT'!F215</f>
        <v/>
      </c>
      <c r="G167" s="27">
        <f t="shared" si="9"/>
        <v>30</v>
      </c>
      <c r="H167" s="27">
        <f t="shared" si="10"/>
        <v>30.75</v>
      </c>
      <c r="I167" s="28">
        <f t="shared" si="11"/>
        <v>0.1</v>
      </c>
      <c r="J167" s="29">
        <f t="shared" si="12"/>
        <v>34.16666667</v>
      </c>
      <c r="K167" s="30">
        <f t="shared" si="13"/>
        <v>34.16666667</v>
      </c>
      <c r="L167" s="30">
        <f t="shared" si="14"/>
        <v>30.75</v>
      </c>
      <c r="M167" s="31">
        <v>0.1</v>
      </c>
      <c r="N167" s="32"/>
      <c r="O167" s="9"/>
      <c r="P167" s="9"/>
      <c r="Q167" s="9"/>
      <c r="R167" s="9"/>
      <c r="S167" s="9"/>
      <c r="T167" s="9"/>
    </row>
    <row r="168" ht="21.0" customHeight="1">
      <c r="A168" s="13"/>
      <c r="B168" s="24" t="str">
        <f>'ALL DATA &amp; IT4PROFIT'!A216</f>
        <v/>
      </c>
      <c r="C168" s="24" t="str">
        <f>'ALL DATA &amp; IT4PROFIT'!B216</f>
        <v/>
      </c>
      <c r="D168" s="24" t="str">
        <f>'ALL DATA &amp; IT4PROFIT'!C216</f>
        <v/>
      </c>
      <c r="E168" s="25">
        <v>1.0</v>
      </c>
      <c r="F168" s="26" t="str">
        <f>'ALL DATA &amp; IT4PROFIT'!F216</f>
        <v/>
      </c>
      <c r="G168" s="27">
        <f t="shared" si="9"/>
        <v>30</v>
      </c>
      <c r="H168" s="27">
        <f t="shared" si="10"/>
        <v>30.75</v>
      </c>
      <c r="I168" s="28">
        <f t="shared" si="11"/>
        <v>0.1</v>
      </c>
      <c r="J168" s="29">
        <f t="shared" si="12"/>
        <v>34.16666667</v>
      </c>
      <c r="K168" s="30">
        <f t="shared" si="13"/>
        <v>34.16666667</v>
      </c>
      <c r="L168" s="30">
        <f t="shared" si="14"/>
        <v>30.75</v>
      </c>
      <c r="M168" s="31">
        <v>0.1</v>
      </c>
      <c r="N168" s="32"/>
      <c r="O168" s="9"/>
      <c r="P168" s="9"/>
      <c r="Q168" s="9"/>
      <c r="R168" s="9"/>
      <c r="S168" s="9"/>
      <c r="T168" s="9"/>
    </row>
    <row r="169" ht="21.0" customHeight="1">
      <c r="A169" s="13"/>
      <c r="B169" s="24" t="str">
        <f>'ALL DATA &amp; IT4PROFIT'!A217</f>
        <v/>
      </c>
      <c r="C169" s="24" t="str">
        <f>'ALL DATA &amp; IT4PROFIT'!B217</f>
        <v/>
      </c>
      <c r="D169" s="24" t="str">
        <f>'ALL DATA &amp; IT4PROFIT'!C217</f>
        <v/>
      </c>
      <c r="E169" s="25">
        <v>1.0</v>
      </c>
      <c r="F169" s="26" t="str">
        <f>'ALL DATA &amp; IT4PROFIT'!F217</f>
        <v/>
      </c>
      <c r="G169" s="27">
        <f t="shared" si="9"/>
        <v>30</v>
      </c>
      <c r="H169" s="27">
        <f t="shared" si="10"/>
        <v>30.75</v>
      </c>
      <c r="I169" s="28">
        <f t="shared" si="11"/>
        <v>0.1</v>
      </c>
      <c r="J169" s="29">
        <f t="shared" si="12"/>
        <v>34.16666667</v>
      </c>
      <c r="K169" s="30">
        <f t="shared" si="13"/>
        <v>34.16666667</v>
      </c>
      <c r="L169" s="30">
        <f t="shared" si="14"/>
        <v>30.75</v>
      </c>
      <c r="M169" s="31">
        <v>0.1</v>
      </c>
      <c r="N169" s="32"/>
      <c r="O169" s="9"/>
      <c r="P169" s="9"/>
      <c r="Q169" s="9"/>
      <c r="R169" s="9"/>
      <c r="S169" s="9"/>
      <c r="T169" s="9"/>
    </row>
    <row r="170" ht="21.0" customHeight="1">
      <c r="A170" s="13"/>
      <c r="B170" s="24"/>
      <c r="C170" s="24"/>
      <c r="D170" s="24"/>
      <c r="E170" s="25">
        <v>1.0</v>
      </c>
      <c r="F170" s="26"/>
      <c r="G170" s="27">
        <f t="shared" si="9"/>
        <v>30</v>
      </c>
      <c r="H170" s="27">
        <f t="shared" si="10"/>
        <v>30.75</v>
      </c>
      <c r="I170" s="28">
        <f t="shared" si="11"/>
        <v>0.1</v>
      </c>
      <c r="J170" s="29">
        <f t="shared" si="12"/>
        <v>34.16666667</v>
      </c>
      <c r="K170" s="30">
        <f t="shared" si="13"/>
        <v>34.16666667</v>
      </c>
      <c r="L170" s="30">
        <f t="shared" si="14"/>
        <v>30.75</v>
      </c>
      <c r="M170" s="31">
        <v>0.1</v>
      </c>
      <c r="N170" s="32"/>
      <c r="O170" s="9"/>
      <c r="P170" s="9"/>
      <c r="Q170" s="9"/>
      <c r="R170" s="9"/>
      <c r="S170" s="9"/>
      <c r="T170" s="9"/>
    </row>
    <row r="171" ht="21.0" customHeight="1">
      <c r="A171" s="13"/>
      <c r="B171" s="24"/>
      <c r="C171" s="24"/>
      <c r="D171" s="24"/>
      <c r="E171" s="25">
        <v>1.0</v>
      </c>
      <c r="F171" s="26"/>
      <c r="G171" s="27">
        <f t="shared" si="9"/>
        <v>30</v>
      </c>
      <c r="H171" s="27">
        <f t="shared" si="10"/>
        <v>30.75</v>
      </c>
      <c r="I171" s="28">
        <f t="shared" si="11"/>
        <v>0.1</v>
      </c>
      <c r="J171" s="29">
        <f t="shared" si="12"/>
        <v>34.16666667</v>
      </c>
      <c r="K171" s="30">
        <f t="shared" si="13"/>
        <v>34.16666667</v>
      </c>
      <c r="L171" s="30">
        <f t="shared" si="14"/>
        <v>30.75</v>
      </c>
      <c r="M171" s="31">
        <v>0.1</v>
      </c>
      <c r="N171" s="32"/>
      <c r="O171" s="9"/>
      <c r="P171" s="9"/>
      <c r="Q171" s="9"/>
      <c r="R171" s="9"/>
      <c r="S171" s="9"/>
      <c r="T171" s="9"/>
    </row>
    <row r="172" ht="21.0" customHeight="1">
      <c r="A172" s="13"/>
      <c r="B172" s="24"/>
      <c r="C172" s="24"/>
      <c r="D172" s="24"/>
      <c r="E172" s="25">
        <v>1.0</v>
      </c>
      <c r="F172" s="26"/>
      <c r="G172" s="27">
        <f t="shared" si="9"/>
        <v>30</v>
      </c>
      <c r="H172" s="27">
        <f t="shared" si="10"/>
        <v>30.75</v>
      </c>
      <c r="I172" s="28">
        <f t="shared" si="11"/>
        <v>0.1</v>
      </c>
      <c r="J172" s="29">
        <f t="shared" si="12"/>
        <v>34.16666667</v>
      </c>
      <c r="K172" s="30">
        <f t="shared" si="13"/>
        <v>34.16666667</v>
      </c>
      <c r="L172" s="30">
        <f t="shared" si="14"/>
        <v>30.75</v>
      </c>
      <c r="M172" s="31">
        <v>0.1</v>
      </c>
      <c r="N172" s="32"/>
      <c r="O172" s="9"/>
      <c r="P172" s="9"/>
      <c r="Q172" s="9"/>
      <c r="R172" s="9"/>
      <c r="S172" s="9"/>
      <c r="T172" s="9"/>
    </row>
    <row r="173" ht="21.0" customHeight="1">
      <c r="A173" s="13"/>
      <c r="B173" s="24"/>
      <c r="C173" s="24"/>
      <c r="D173" s="24"/>
      <c r="E173" s="25">
        <v>1.0</v>
      </c>
      <c r="F173" s="26"/>
      <c r="G173" s="27">
        <f t="shared" si="9"/>
        <v>30</v>
      </c>
      <c r="H173" s="27">
        <f t="shared" si="10"/>
        <v>30.75</v>
      </c>
      <c r="I173" s="28">
        <f t="shared" si="11"/>
        <v>0.1</v>
      </c>
      <c r="J173" s="29">
        <f t="shared" si="12"/>
        <v>34.16666667</v>
      </c>
      <c r="K173" s="30">
        <f t="shared" si="13"/>
        <v>34.16666667</v>
      </c>
      <c r="L173" s="30">
        <f t="shared" si="14"/>
        <v>30.75</v>
      </c>
      <c r="M173" s="31">
        <v>0.1</v>
      </c>
      <c r="N173" s="32"/>
      <c r="O173" s="9"/>
      <c r="P173" s="9"/>
      <c r="Q173" s="9"/>
      <c r="R173" s="9"/>
      <c r="S173" s="9"/>
      <c r="T173" s="9"/>
    </row>
    <row r="174" ht="21.0" customHeight="1">
      <c r="A174" s="13"/>
      <c r="B174" s="24" t="s">
        <v>63</v>
      </c>
      <c r="C174" s="24" t="s">
        <v>64</v>
      </c>
      <c r="D174" s="24"/>
      <c r="E174" s="25">
        <v>1.0</v>
      </c>
      <c r="F174" s="26">
        <f>'ALL DATA &amp; IT4PROFIT'!F229</f>
        <v>366.3</v>
      </c>
      <c r="G174" s="27">
        <f t="shared" ref="G174:G175" si="16">F174+$G$206</f>
        <v>416.3</v>
      </c>
      <c r="H174" s="27">
        <f t="shared" ref="H174:H183" si="17">(G174*$E$205)+G174</f>
        <v>426.7075</v>
      </c>
      <c r="I174" s="28">
        <f t="shared" si="11"/>
        <v>0.1</v>
      </c>
      <c r="J174" s="29">
        <f t="shared" si="12"/>
        <v>474.1194444</v>
      </c>
      <c r="K174" s="30">
        <f t="shared" si="13"/>
        <v>474.1194444</v>
      </c>
      <c r="L174" s="30">
        <f t="shared" si="14"/>
        <v>426.7075</v>
      </c>
      <c r="M174" s="31">
        <v>0.1</v>
      </c>
      <c r="N174" s="32"/>
      <c r="O174" s="9"/>
      <c r="P174" s="9"/>
      <c r="Q174" s="9"/>
      <c r="R174" s="9"/>
      <c r="S174" s="9"/>
      <c r="T174" s="9"/>
    </row>
    <row r="175" ht="21.0" customHeight="1">
      <c r="A175" s="13"/>
      <c r="B175" s="24" t="s">
        <v>63</v>
      </c>
      <c r="C175" s="24" t="s">
        <v>65</v>
      </c>
      <c r="D175" s="24"/>
      <c r="E175" s="25">
        <v>1.0</v>
      </c>
      <c r="F175" s="26">
        <f>'ALL DATA &amp; IT4PROFIT'!F230</f>
        <v>1102.2</v>
      </c>
      <c r="G175" s="27">
        <f t="shared" si="16"/>
        <v>1152.2</v>
      </c>
      <c r="H175" s="27">
        <f t="shared" si="17"/>
        <v>1181.005</v>
      </c>
      <c r="I175" s="28">
        <f t="shared" si="11"/>
        <v>0.1</v>
      </c>
      <c r="J175" s="29">
        <f t="shared" si="12"/>
        <v>1312.227778</v>
      </c>
      <c r="K175" s="30">
        <f t="shared" si="13"/>
        <v>1312.227778</v>
      </c>
      <c r="L175" s="30">
        <f t="shared" si="14"/>
        <v>1181.005</v>
      </c>
      <c r="M175" s="31">
        <v>0.1</v>
      </c>
      <c r="N175" s="32"/>
      <c r="O175" s="9"/>
      <c r="P175" s="9"/>
      <c r="Q175" s="9"/>
      <c r="R175" s="9"/>
      <c r="S175" s="9"/>
      <c r="T175" s="9"/>
    </row>
    <row r="176" ht="21.0" customHeight="1">
      <c r="A176" s="13"/>
      <c r="B176" s="24" t="s">
        <v>66</v>
      </c>
      <c r="C176" s="24" t="s">
        <v>67</v>
      </c>
      <c r="D176" s="24"/>
      <c r="E176" s="25">
        <v>1.0</v>
      </c>
      <c r="F176" s="26">
        <f>'ALL DATA &amp; IT4PROFIT'!F222</f>
        <v>681</v>
      </c>
      <c r="G176" s="27">
        <f>F176+$G$204</f>
        <v>711</v>
      </c>
      <c r="H176" s="27">
        <f t="shared" si="17"/>
        <v>728.775</v>
      </c>
      <c r="I176" s="28">
        <f t="shared" si="11"/>
        <v>0.05108</v>
      </c>
      <c r="J176" s="29">
        <f t="shared" si="12"/>
        <v>768.004679</v>
      </c>
      <c r="K176" s="30">
        <f t="shared" si="13"/>
        <v>768.004679</v>
      </c>
      <c r="L176" s="30">
        <f t="shared" si="14"/>
        <v>728.775</v>
      </c>
      <c r="M176" s="31">
        <v>0.05108</v>
      </c>
      <c r="N176" s="32"/>
      <c r="O176" s="9"/>
      <c r="P176" s="9"/>
      <c r="Q176" s="9"/>
      <c r="R176" s="9"/>
      <c r="S176" s="9"/>
      <c r="T176" s="9"/>
    </row>
    <row r="177" ht="21.0" customHeight="1">
      <c r="A177" s="13"/>
      <c r="B177" s="24" t="s">
        <v>66</v>
      </c>
      <c r="C177" s="24" t="s">
        <v>68</v>
      </c>
      <c r="D177" s="24"/>
      <c r="E177" s="25">
        <v>1.0</v>
      </c>
      <c r="F177" s="26">
        <f>'ALL DATA &amp; IT4PROFIT'!F223</f>
        <v>1666.2</v>
      </c>
      <c r="G177" s="27">
        <f>F177+$G$206</f>
        <v>1716.2</v>
      </c>
      <c r="H177" s="27">
        <f t="shared" si="17"/>
        <v>1759.105</v>
      </c>
      <c r="I177" s="28">
        <f t="shared" si="11"/>
        <v>0.051695</v>
      </c>
      <c r="J177" s="29">
        <f t="shared" si="12"/>
        <v>1854.999183</v>
      </c>
      <c r="K177" s="30">
        <f t="shared" si="13"/>
        <v>1854.999183</v>
      </c>
      <c r="L177" s="30">
        <f t="shared" si="14"/>
        <v>1759.105</v>
      </c>
      <c r="M177" s="31">
        <v>0.051695</v>
      </c>
      <c r="N177" s="32"/>
      <c r="O177" s="9"/>
      <c r="P177" s="9"/>
      <c r="Q177" s="9"/>
      <c r="R177" s="9"/>
      <c r="S177" s="9"/>
      <c r="T177" s="9"/>
    </row>
    <row r="178" ht="21.0" customHeight="1">
      <c r="A178" s="13"/>
      <c r="B178" s="24" t="s">
        <v>66</v>
      </c>
      <c r="C178" s="24" t="s">
        <v>69</v>
      </c>
      <c r="D178" s="24"/>
      <c r="E178" s="25">
        <v>1.0</v>
      </c>
      <c r="F178" s="26">
        <f>'ALL DATA &amp; IT4PROFIT'!F224</f>
        <v>68.64</v>
      </c>
      <c r="G178" s="27">
        <f t="shared" ref="G178:G181" si="18">F178+$G$207</f>
        <v>93.64</v>
      </c>
      <c r="H178" s="27">
        <f t="shared" si="17"/>
        <v>95.981</v>
      </c>
      <c r="I178" s="28">
        <f t="shared" si="11"/>
        <v>0.0498</v>
      </c>
      <c r="J178" s="29">
        <f t="shared" si="12"/>
        <v>101.011366</v>
      </c>
      <c r="K178" s="30">
        <f t="shared" si="13"/>
        <v>101.011366</v>
      </c>
      <c r="L178" s="30">
        <f t="shared" si="14"/>
        <v>95.981</v>
      </c>
      <c r="M178" s="31">
        <v>0.0498</v>
      </c>
      <c r="N178" s="32"/>
      <c r="O178" s="9"/>
      <c r="P178" s="9"/>
      <c r="Q178" s="9"/>
      <c r="R178" s="9"/>
      <c r="S178" s="9"/>
      <c r="T178" s="9"/>
    </row>
    <row r="179" ht="21.0" customHeight="1">
      <c r="A179" s="13"/>
      <c r="B179" s="24" t="s">
        <v>66</v>
      </c>
      <c r="C179" s="24" t="s">
        <v>70</v>
      </c>
      <c r="D179" s="24"/>
      <c r="E179" s="25">
        <v>1.0</v>
      </c>
      <c r="F179" s="26">
        <f>'ALL DATA &amp; IT4PROFIT'!F225</f>
        <v>108.5</v>
      </c>
      <c r="G179" s="27">
        <f t="shared" si="18"/>
        <v>133.5</v>
      </c>
      <c r="H179" s="27">
        <f t="shared" si="17"/>
        <v>136.8375</v>
      </c>
      <c r="I179" s="28">
        <f t="shared" si="11"/>
        <v>0.06275</v>
      </c>
      <c r="J179" s="29">
        <f t="shared" si="12"/>
        <v>145.998933</v>
      </c>
      <c r="K179" s="30">
        <f t="shared" si="13"/>
        <v>145.998933</v>
      </c>
      <c r="L179" s="30">
        <f t="shared" si="14"/>
        <v>136.8375</v>
      </c>
      <c r="M179" s="31">
        <v>0.06275</v>
      </c>
      <c r="N179" s="32"/>
      <c r="O179" s="9"/>
      <c r="P179" s="9"/>
      <c r="Q179" s="9"/>
      <c r="R179" s="9"/>
      <c r="S179" s="9"/>
      <c r="T179" s="9"/>
    </row>
    <row r="180" ht="21.0" customHeight="1">
      <c r="A180" s="13"/>
      <c r="B180" s="24" t="s">
        <v>66</v>
      </c>
      <c r="C180" s="24" t="s">
        <v>71</v>
      </c>
      <c r="D180" s="24"/>
      <c r="E180" s="25">
        <v>1.0</v>
      </c>
      <c r="F180" s="26">
        <f>'ALL DATA &amp; IT4PROFIT'!F226</f>
        <v>364.32</v>
      </c>
      <c r="G180" s="27">
        <f t="shared" si="18"/>
        <v>389.32</v>
      </c>
      <c r="H180" s="27">
        <f t="shared" si="17"/>
        <v>399.053</v>
      </c>
      <c r="I180" s="28">
        <f t="shared" si="11"/>
        <v>0.1</v>
      </c>
      <c r="J180" s="29">
        <f t="shared" si="12"/>
        <v>443.3922222</v>
      </c>
      <c r="K180" s="30">
        <f t="shared" si="13"/>
        <v>443.3922222</v>
      </c>
      <c r="L180" s="30">
        <f t="shared" si="14"/>
        <v>399.053</v>
      </c>
      <c r="M180" s="31">
        <v>0.1</v>
      </c>
      <c r="N180" s="32"/>
      <c r="O180" s="9"/>
      <c r="P180" s="9"/>
      <c r="Q180" s="9"/>
      <c r="R180" s="9"/>
      <c r="S180" s="9"/>
      <c r="T180" s="9"/>
    </row>
    <row r="181" ht="21.0" customHeight="1">
      <c r="A181" s="13"/>
      <c r="B181" s="24" t="s">
        <v>66</v>
      </c>
      <c r="C181" s="24" t="s">
        <v>72</v>
      </c>
      <c r="D181" s="24"/>
      <c r="E181" s="25">
        <v>1.0</v>
      </c>
      <c r="F181" s="26">
        <f>'ALL DATA &amp; IT4PROFIT'!F227</f>
        <v>579.48</v>
      </c>
      <c r="G181" s="27">
        <f t="shared" si="18"/>
        <v>604.48</v>
      </c>
      <c r="H181" s="27">
        <f t="shared" si="17"/>
        <v>619.592</v>
      </c>
      <c r="I181" s="28">
        <f t="shared" si="11"/>
        <v>0.1</v>
      </c>
      <c r="J181" s="29">
        <f t="shared" si="12"/>
        <v>688.4355556</v>
      </c>
      <c r="K181" s="30">
        <f t="shared" si="13"/>
        <v>688.4355556</v>
      </c>
      <c r="L181" s="30">
        <f t="shared" si="14"/>
        <v>619.592</v>
      </c>
      <c r="M181" s="31">
        <v>0.1</v>
      </c>
      <c r="N181" s="32"/>
      <c r="O181" s="9"/>
      <c r="P181" s="9"/>
      <c r="Q181" s="9"/>
      <c r="R181" s="9"/>
      <c r="S181" s="9"/>
      <c r="T181" s="9"/>
    </row>
    <row r="182" ht="21.0" customHeight="1">
      <c r="A182" s="13"/>
      <c r="B182" s="24"/>
      <c r="C182" s="24" t="s">
        <v>73</v>
      </c>
      <c r="D182" s="24"/>
      <c r="E182" s="25">
        <v>1.0</v>
      </c>
      <c r="F182" s="26"/>
      <c r="G182" s="27">
        <f t="shared" ref="G182:G183" si="19">F182+$G$206</f>
        <v>50</v>
      </c>
      <c r="H182" s="27">
        <f t="shared" si="17"/>
        <v>51.25</v>
      </c>
      <c r="I182" s="28">
        <f t="shared" si="11"/>
        <v>0.1</v>
      </c>
      <c r="J182" s="29">
        <f t="shared" si="12"/>
        <v>56.94444444</v>
      </c>
      <c r="K182" s="30">
        <f t="shared" si="13"/>
        <v>56.94444444</v>
      </c>
      <c r="L182" s="30">
        <f t="shared" si="14"/>
        <v>51.25</v>
      </c>
      <c r="M182" s="31">
        <v>0.1</v>
      </c>
      <c r="N182" s="32"/>
      <c r="O182" s="9"/>
      <c r="P182" s="9"/>
      <c r="Q182" s="9"/>
      <c r="R182" s="9"/>
      <c r="S182" s="9"/>
      <c r="T182" s="9"/>
    </row>
    <row r="183" ht="21.0" customHeight="1">
      <c r="A183" s="13"/>
      <c r="B183" s="24"/>
      <c r="C183" s="24" t="s">
        <v>73</v>
      </c>
      <c r="D183" s="24"/>
      <c r="E183" s="25">
        <v>1.0</v>
      </c>
      <c r="F183" s="26"/>
      <c r="G183" s="27">
        <f t="shared" si="19"/>
        <v>50</v>
      </c>
      <c r="H183" s="27">
        <f t="shared" si="17"/>
        <v>51.25</v>
      </c>
      <c r="I183" s="28">
        <f t="shared" si="11"/>
        <v>0.1</v>
      </c>
      <c r="J183" s="29">
        <f t="shared" si="12"/>
        <v>56.94444444</v>
      </c>
      <c r="K183" s="30">
        <f t="shared" si="13"/>
        <v>56.94444444</v>
      </c>
      <c r="L183" s="30">
        <f t="shared" si="14"/>
        <v>51.25</v>
      </c>
      <c r="M183" s="31">
        <v>0.1</v>
      </c>
      <c r="N183" s="32"/>
      <c r="O183" s="9"/>
      <c r="P183" s="9"/>
      <c r="Q183" s="9"/>
      <c r="R183" s="9"/>
      <c r="S183" s="9"/>
      <c r="T183" s="9"/>
    </row>
    <row r="184" ht="21.0" customHeight="1">
      <c r="A184" s="13"/>
      <c r="B184" s="24"/>
      <c r="C184" s="24"/>
      <c r="D184" s="24"/>
      <c r="E184" s="25">
        <v>1.0</v>
      </c>
      <c r="F184" s="26"/>
      <c r="G184" s="27">
        <f t="shared" ref="G184:G189" si="20">F184+$G$204</f>
        <v>30</v>
      </c>
      <c r="H184" s="27">
        <f t="shared" ref="H184:H191" si="21">(G184*$E$204)+G184</f>
        <v>30.75</v>
      </c>
      <c r="I184" s="28">
        <f t="shared" si="11"/>
        <v>0.1</v>
      </c>
      <c r="J184" s="29">
        <f t="shared" si="12"/>
        <v>34.16666667</v>
      </c>
      <c r="K184" s="30">
        <f t="shared" si="13"/>
        <v>34.16666667</v>
      </c>
      <c r="L184" s="30">
        <f t="shared" si="14"/>
        <v>30.75</v>
      </c>
      <c r="M184" s="31">
        <v>0.1</v>
      </c>
      <c r="N184" s="32"/>
      <c r="O184" s="9"/>
      <c r="P184" s="9"/>
      <c r="Q184" s="9"/>
      <c r="R184" s="9"/>
      <c r="S184" s="9"/>
      <c r="T184" s="9"/>
    </row>
    <row r="185" ht="21.0" customHeight="1">
      <c r="A185" s="13"/>
      <c r="B185" s="24"/>
      <c r="C185" s="24"/>
      <c r="D185" s="24"/>
      <c r="E185" s="25">
        <v>1.0</v>
      </c>
      <c r="F185" s="26"/>
      <c r="G185" s="27">
        <f t="shared" si="20"/>
        <v>30</v>
      </c>
      <c r="H185" s="27">
        <f t="shared" si="21"/>
        <v>30.75</v>
      </c>
      <c r="I185" s="28">
        <f t="shared" si="11"/>
        <v>0.1</v>
      </c>
      <c r="J185" s="29">
        <f t="shared" si="12"/>
        <v>34.16666667</v>
      </c>
      <c r="K185" s="30">
        <f t="shared" si="13"/>
        <v>34.16666667</v>
      </c>
      <c r="L185" s="30">
        <f t="shared" si="14"/>
        <v>30.75</v>
      </c>
      <c r="M185" s="31">
        <v>0.1</v>
      </c>
      <c r="N185" s="32"/>
      <c r="O185" s="9"/>
      <c r="P185" s="9"/>
      <c r="Q185" s="9"/>
      <c r="R185" s="9"/>
      <c r="S185" s="9"/>
      <c r="T185" s="9"/>
    </row>
    <row r="186" ht="21.0" customHeight="1">
      <c r="A186" s="13"/>
      <c r="B186" s="24"/>
      <c r="C186" s="24"/>
      <c r="D186" s="24"/>
      <c r="E186" s="25">
        <v>1.0</v>
      </c>
      <c r="F186" s="26"/>
      <c r="G186" s="27">
        <f t="shared" si="20"/>
        <v>30</v>
      </c>
      <c r="H186" s="27">
        <f t="shared" si="21"/>
        <v>30.75</v>
      </c>
      <c r="I186" s="28">
        <f t="shared" si="11"/>
        <v>0.1</v>
      </c>
      <c r="J186" s="29">
        <f t="shared" si="12"/>
        <v>34.16666667</v>
      </c>
      <c r="K186" s="30">
        <f t="shared" si="13"/>
        <v>34.16666667</v>
      </c>
      <c r="L186" s="30">
        <f t="shared" si="14"/>
        <v>30.75</v>
      </c>
      <c r="M186" s="31">
        <v>0.1</v>
      </c>
      <c r="N186" s="32"/>
      <c r="O186" s="9"/>
      <c r="P186" s="9"/>
      <c r="Q186" s="9"/>
      <c r="R186" s="9"/>
      <c r="S186" s="9"/>
      <c r="T186" s="9"/>
    </row>
    <row r="187" ht="21.0" customHeight="1">
      <c r="A187" s="13"/>
      <c r="B187" s="24"/>
      <c r="C187" s="24"/>
      <c r="D187" s="24"/>
      <c r="E187" s="25">
        <v>1.0</v>
      </c>
      <c r="F187" s="26"/>
      <c r="G187" s="27">
        <f t="shared" si="20"/>
        <v>30</v>
      </c>
      <c r="H187" s="27">
        <f t="shared" si="21"/>
        <v>30.75</v>
      </c>
      <c r="I187" s="28">
        <f t="shared" si="11"/>
        <v>0.1</v>
      </c>
      <c r="J187" s="29">
        <f t="shared" si="12"/>
        <v>34.16666667</v>
      </c>
      <c r="K187" s="30">
        <f t="shared" si="13"/>
        <v>34.16666667</v>
      </c>
      <c r="L187" s="30">
        <f t="shared" si="14"/>
        <v>30.75</v>
      </c>
      <c r="M187" s="31">
        <v>0.1</v>
      </c>
      <c r="N187" s="32"/>
      <c r="O187" s="9"/>
      <c r="P187" s="9"/>
      <c r="Q187" s="9"/>
      <c r="R187" s="9"/>
      <c r="S187" s="9"/>
      <c r="T187" s="9"/>
    </row>
    <row r="188" ht="21.0" customHeight="1">
      <c r="A188" s="13"/>
      <c r="B188" s="24"/>
      <c r="C188" s="24"/>
      <c r="D188" s="24"/>
      <c r="E188" s="25">
        <v>1.0</v>
      </c>
      <c r="F188" s="26"/>
      <c r="G188" s="27">
        <f t="shared" si="20"/>
        <v>30</v>
      </c>
      <c r="H188" s="27">
        <f t="shared" si="21"/>
        <v>30.75</v>
      </c>
      <c r="I188" s="28">
        <f t="shared" si="11"/>
        <v>0.1</v>
      </c>
      <c r="J188" s="29">
        <f t="shared" si="12"/>
        <v>34.16666667</v>
      </c>
      <c r="K188" s="30">
        <f t="shared" si="13"/>
        <v>34.16666667</v>
      </c>
      <c r="L188" s="30">
        <f t="shared" si="14"/>
        <v>30.75</v>
      </c>
      <c r="M188" s="31">
        <v>0.1</v>
      </c>
      <c r="N188" s="32"/>
      <c r="O188" s="9"/>
      <c r="P188" s="9"/>
      <c r="Q188" s="9"/>
      <c r="R188" s="9"/>
      <c r="S188" s="9"/>
      <c r="T188" s="9"/>
    </row>
    <row r="189" ht="21.0" customHeight="1">
      <c r="A189" s="13"/>
      <c r="B189" s="24"/>
      <c r="C189" s="24"/>
      <c r="D189" s="24"/>
      <c r="E189" s="25">
        <v>1.0</v>
      </c>
      <c r="F189" s="26"/>
      <c r="G189" s="27">
        <f t="shared" si="20"/>
        <v>30</v>
      </c>
      <c r="H189" s="27">
        <f t="shared" si="21"/>
        <v>30.75</v>
      </c>
      <c r="I189" s="28">
        <f t="shared" si="11"/>
        <v>0.1</v>
      </c>
      <c r="J189" s="29">
        <f t="shared" si="12"/>
        <v>34.16666667</v>
      </c>
      <c r="K189" s="30">
        <f t="shared" si="13"/>
        <v>34.16666667</v>
      </c>
      <c r="L189" s="30">
        <f t="shared" si="14"/>
        <v>30.75</v>
      </c>
      <c r="M189" s="31">
        <v>0.1</v>
      </c>
      <c r="N189" s="32"/>
      <c r="O189" s="9"/>
      <c r="P189" s="9"/>
      <c r="Q189" s="9"/>
      <c r="R189" s="9"/>
      <c r="S189" s="9"/>
      <c r="T189" s="9"/>
    </row>
    <row r="190" ht="18.0" customHeight="1">
      <c r="A190" s="9"/>
      <c r="B190" s="37"/>
      <c r="C190" s="37"/>
      <c r="D190" s="37"/>
      <c r="E190" s="38"/>
      <c r="F190" s="38"/>
      <c r="G190" s="38"/>
      <c r="H190" s="27">
        <f t="shared" si="21"/>
        <v>0</v>
      </c>
      <c r="I190" s="39"/>
      <c r="J190" s="40" t="s">
        <v>26</v>
      </c>
      <c r="K190" s="41" t="s">
        <v>27</v>
      </c>
      <c r="L190" s="42" t="s">
        <v>27</v>
      </c>
      <c r="M190" s="43"/>
      <c r="N190" s="32"/>
      <c r="O190" s="9"/>
      <c r="P190" s="9"/>
      <c r="Q190" s="9"/>
      <c r="R190" s="9"/>
      <c r="S190" s="9"/>
      <c r="T190" s="9"/>
    </row>
    <row r="191" ht="21.75" customHeight="1">
      <c r="A191" s="9"/>
      <c r="B191" s="37"/>
      <c r="C191" s="37"/>
      <c r="D191" s="37"/>
      <c r="E191" s="44"/>
      <c r="F191" s="38"/>
      <c r="G191" s="45"/>
      <c r="H191" s="27">
        <f t="shared" si="21"/>
        <v>0</v>
      </c>
      <c r="I191" s="39"/>
      <c r="J191" s="2">
        <v>1.08</v>
      </c>
      <c r="K191" s="41" t="s">
        <v>28</v>
      </c>
      <c r="L191" s="42" t="s">
        <v>29</v>
      </c>
      <c r="M191" s="43"/>
      <c r="N191" s="32"/>
      <c r="O191" s="9"/>
      <c r="P191" s="9"/>
      <c r="Q191" s="9"/>
      <c r="R191" s="9"/>
      <c r="S191" s="9"/>
      <c r="T191" s="9"/>
    </row>
    <row r="192" ht="21.0" customHeight="1">
      <c r="A192" s="9"/>
      <c r="B192" s="46"/>
      <c r="C192" s="46"/>
      <c r="D192" s="46"/>
      <c r="E192" s="44"/>
      <c r="F192" s="44"/>
      <c r="G192" s="45"/>
      <c r="H192" s="45"/>
      <c r="I192" s="47"/>
      <c r="J192" s="45"/>
      <c r="K192" s="48">
        <f t="shared" ref="K192:L192" si="22">SUM(K4:K189)</f>
        <v>142996.4187</v>
      </c>
      <c r="L192" s="49">
        <f t="shared" si="22"/>
        <v>131081.141</v>
      </c>
      <c r="M192" s="43"/>
      <c r="N192" s="32"/>
      <c r="O192" s="9"/>
      <c r="P192" s="9"/>
      <c r="Q192" s="9"/>
      <c r="R192" s="9"/>
      <c r="S192" s="9"/>
      <c r="T192" s="9"/>
    </row>
    <row r="193" ht="3.0" customHeight="1">
      <c r="A193" s="9"/>
      <c r="B193" s="46"/>
      <c r="C193" s="46"/>
      <c r="D193" s="46"/>
      <c r="E193" s="44"/>
      <c r="F193" s="44"/>
      <c r="G193" s="45"/>
      <c r="H193" s="9"/>
      <c r="I193" s="47"/>
      <c r="J193" s="45"/>
      <c r="K193" s="41"/>
      <c r="L193" s="50"/>
      <c r="M193" s="43"/>
      <c r="N193" s="45"/>
      <c r="O193" s="45"/>
      <c r="P193" s="45"/>
      <c r="Q193" s="45"/>
      <c r="R193" s="45"/>
      <c r="S193" s="45"/>
      <c r="T193" s="9"/>
    </row>
    <row r="194" ht="21.0" customHeight="1">
      <c r="A194" s="9"/>
      <c r="B194" s="46"/>
      <c r="C194" s="46"/>
      <c r="D194" s="46"/>
      <c r="E194" s="44"/>
      <c r="F194" s="44"/>
      <c r="G194" s="45"/>
      <c r="H194" s="45"/>
      <c r="I194" s="47"/>
      <c r="J194" s="45"/>
      <c r="K194" s="51" t="s">
        <v>30</v>
      </c>
      <c r="L194" s="52">
        <f>(K192-L192)/K192</f>
        <v>0.08332570688</v>
      </c>
      <c r="M194" s="43"/>
      <c r="N194" s="32"/>
      <c r="O194" s="9"/>
      <c r="P194" s="9"/>
      <c r="Q194" s="9"/>
      <c r="R194" s="9"/>
      <c r="S194" s="9"/>
      <c r="T194" s="9"/>
    </row>
    <row r="195" ht="3.0" customHeight="1">
      <c r="A195" s="9"/>
      <c r="B195" s="46"/>
      <c r="C195" s="46"/>
      <c r="D195" s="46"/>
      <c r="E195" s="44"/>
      <c r="F195" s="44"/>
      <c r="G195" s="45"/>
      <c r="H195" s="45"/>
      <c r="I195" s="47"/>
      <c r="J195" s="45"/>
      <c r="K195" s="41"/>
      <c r="L195" s="50"/>
      <c r="M195" s="43"/>
      <c r="N195" s="45"/>
      <c r="O195" s="45"/>
      <c r="P195" s="45"/>
      <c r="Q195" s="45"/>
      <c r="R195" s="45"/>
      <c r="S195" s="45"/>
      <c r="T195" s="9"/>
    </row>
    <row r="196" ht="21.0" customHeight="1">
      <c r="A196" s="9"/>
      <c r="B196" s="46"/>
      <c r="C196" s="46"/>
      <c r="D196" s="46"/>
      <c r="E196" s="44"/>
      <c r="F196" s="44"/>
      <c r="G196" s="46"/>
      <c r="H196" s="46"/>
      <c r="I196" s="47"/>
      <c r="J196" s="46"/>
      <c r="K196" s="51" t="s">
        <v>31</v>
      </c>
      <c r="L196" s="53">
        <f>K192-L192</f>
        <v>11915.27767</v>
      </c>
      <c r="M196" s="43"/>
      <c r="N196" s="32"/>
      <c r="O196" s="9"/>
      <c r="P196" s="9"/>
      <c r="Q196" s="9"/>
      <c r="R196" s="9"/>
      <c r="S196" s="9"/>
      <c r="T196" s="9"/>
    </row>
    <row r="197" ht="21.0" customHeight="1">
      <c r="A197" s="9"/>
      <c r="B197" s="9"/>
      <c r="C197" s="9"/>
      <c r="D197" s="9"/>
      <c r="E197" s="10"/>
      <c r="F197" s="10"/>
      <c r="G197" s="9"/>
      <c r="H197" s="9"/>
      <c r="I197" s="11"/>
      <c r="J197" s="9"/>
      <c r="K197" s="9"/>
      <c r="L197" s="9"/>
      <c r="M197" s="43"/>
      <c r="N197" s="32"/>
      <c r="O197" s="9"/>
      <c r="P197" s="9"/>
      <c r="Q197" s="9"/>
      <c r="R197" s="9"/>
      <c r="S197" s="9"/>
      <c r="T197" s="9"/>
    </row>
    <row r="198" ht="21.0" customHeight="1">
      <c r="A198" s="9"/>
      <c r="B198" s="9"/>
      <c r="C198" s="9"/>
      <c r="D198" s="9"/>
      <c r="E198" s="10"/>
      <c r="F198" s="10"/>
      <c r="G198" s="9"/>
      <c r="H198" s="9"/>
      <c r="I198" s="11"/>
      <c r="J198" s="9"/>
      <c r="K198" s="9"/>
      <c r="L198" s="9"/>
      <c r="M198" s="43"/>
      <c r="N198" s="32"/>
      <c r="O198" s="9"/>
      <c r="P198" s="9"/>
      <c r="Q198" s="9"/>
      <c r="R198" s="9"/>
      <c r="S198" s="9"/>
      <c r="T198" s="9"/>
    </row>
    <row r="199" ht="21.0" customHeight="1">
      <c r="A199" s="9"/>
      <c r="B199" s="9"/>
      <c r="C199" s="9"/>
      <c r="D199" s="9"/>
      <c r="E199" s="10"/>
      <c r="F199" s="10"/>
      <c r="G199" s="9"/>
      <c r="H199" s="9"/>
      <c r="I199" s="11"/>
      <c r="J199" s="9"/>
      <c r="K199" s="9"/>
      <c r="L199" s="9"/>
      <c r="M199" s="43"/>
      <c r="N199" s="32"/>
      <c r="O199" s="9"/>
      <c r="P199" s="9"/>
      <c r="Q199" s="9"/>
      <c r="R199" s="9"/>
      <c r="S199" s="9"/>
      <c r="T199" s="9"/>
    </row>
    <row r="200" ht="21.0" customHeight="1">
      <c r="A200" s="9"/>
      <c r="B200" s="9"/>
      <c r="C200" s="9"/>
      <c r="D200" s="9"/>
      <c r="E200" s="10"/>
      <c r="F200" s="10"/>
      <c r="G200" s="9"/>
      <c r="H200" s="9"/>
      <c r="I200" s="11"/>
      <c r="J200" s="9"/>
      <c r="K200" s="9"/>
      <c r="L200" s="9"/>
      <c r="M200" s="43"/>
      <c r="N200" s="32"/>
      <c r="O200" s="9"/>
      <c r="P200" s="9"/>
      <c r="Q200" s="9"/>
      <c r="R200" s="9"/>
      <c r="S200" s="9"/>
      <c r="T200" s="9"/>
    </row>
    <row r="201" ht="21.0" customHeight="1">
      <c r="A201" s="9"/>
      <c r="B201" s="9"/>
      <c r="C201" s="9"/>
      <c r="D201" s="9"/>
      <c r="E201" s="10"/>
      <c r="F201" s="10"/>
      <c r="G201" s="9"/>
      <c r="H201" s="9"/>
      <c r="I201" s="11"/>
      <c r="J201" s="9"/>
      <c r="K201" s="9"/>
      <c r="L201" s="9"/>
      <c r="M201" s="43"/>
      <c r="N201" s="32"/>
      <c r="O201" s="9"/>
      <c r="P201" s="9"/>
      <c r="Q201" s="9"/>
      <c r="R201" s="9"/>
      <c r="S201" s="9"/>
      <c r="T201" s="9"/>
    </row>
    <row r="202" ht="21.0" customHeight="1">
      <c r="A202" s="9"/>
      <c r="B202" s="9"/>
      <c r="C202" s="65" t="s">
        <v>42</v>
      </c>
      <c r="D202" s="66"/>
      <c r="E202" s="67"/>
      <c r="F202" s="68" t="s">
        <v>43</v>
      </c>
      <c r="G202" s="69"/>
      <c r="H202" s="9"/>
      <c r="I202" s="11"/>
      <c r="J202" s="9"/>
      <c r="K202" s="9"/>
      <c r="L202" s="9"/>
      <c r="M202" s="43"/>
      <c r="N202" s="32"/>
      <c r="O202" s="9"/>
      <c r="P202" s="9"/>
      <c r="Q202" s="9"/>
      <c r="R202" s="9"/>
      <c r="S202" s="9"/>
      <c r="T202" s="9"/>
    </row>
    <row r="203" ht="21.0" customHeight="1">
      <c r="A203" s="9"/>
      <c r="B203" s="9"/>
      <c r="C203" s="70" t="s">
        <v>44</v>
      </c>
      <c r="D203" s="70"/>
      <c r="E203" s="71">
        <v>0.025</v>
      </c>
      <c r="F203" s="72" t="s">
        <v>45</v>
      </c>
      <c r="G203" s="73">
        <v>200.0</v>
      </c>
      <c r="H203" s="9"/>
      <c r="I203" s="11"/>
      <c r="J203" s="9"/>
      <c r="K203" s="9"/>
      <c r="L203" s="9"/>
      <c r="M203" s="43"/>
      <c r="N203" s="32"/>
      <c r="O203" s="9"/>
      <c r="P203" s="9"/>
      <c r="Q203" s="9"/>
      <c r="R203" s="9"/>
      <c r="S203" s="9"/>
      <c r="T203" s="9"/>
    </row>
    <row r="204" ht="21.0" customHeight="1">
      <c r="A204" s="9"/>
      <c r="B204" s="9"/>
      <c r="C204" s="70" t="s">
        <v>46</v>
      </c>
      <c r="D204" s="70"/>
      <c r="E204" s="71">
        <v>0.025</v>
      </c>
      <c r="F204" s="72" t="s">
        <v>47</v>
      </c>
      <c r="G204" s="73">
        <v>30.0</v>
      </c>
      <c r="H204" s="9"/>
      <c r="I204" s="11"/>
      <c r="J204" s="9"/>
      <c r="K204" s="9"/>
      <c r="L204" s="9"/>
      <c r="M204" s="43"/>
      <c r="N204" s="32"/>
      <c r="O204" s="9"/>
      <c r="P204" s="9"/>
      <c r="Q204" s="9"/>
      <c r="R204" s="9"/>
      <c r="S204" s="9"/>
      <c r="T204" s="9"/>
    </row>
    <row r="205" ht="21.0" customHeight="1">
      <c r="A205" s="9"/>
      <c r="B205" s="9"/>
      <c r="C205" s="70" t="s">
        <v>48</v>
      </c>
      <c r="D205" s="70"/>
      <c r="E205" s="71">
        <v>0.025</v>
      </c>
      <c r="F205" s="72" t="s">
        <v>49</v>
      </c>
      <c r="G205" s="73">
        <v>3.0</v>
      </c>
      <c r="H205" s="9"/>
      <c r="I205" s="11"/>
      <c r="J205" s="9"/>
      <c r="K205" s="9"/>
      <c r="L205" s="9"/>
      <c r="M205" s="43"/>
      <c r="N205" s="32"/>
      <c r="O205" s="9"/>
      <c r="P205" s="9"/>
      <c r="Q205" s="9"/>
      <c r="R205" s="9"/>
      <c r="S205" s="9"/>
      <c r="T205" s="9"/>
    </row>
    <row r="206" ht="21.0" customHeight="1">
      <c r="A206" s="9"/>
      <c r="B206" s="9"/>
      <c r="C206" s="70" t="s">
        <v>50</v>
      </c>
      <c r="D206" s="70"/>
      <c r="E206" s="71">
        <v>0.025</v>
      </c>
      <c r="F206" s="72" t="s">
        <v>48</v>
      </c>
      <c r="G206" s="73">
        <v>50.0</v>
      </c>
      <c r="H206" s="9"/>
      <c r="I206" s="11"/>
      <c r="J206" s="9"/>
      <c r="K206" s="9"/>
      <c r="L206" s="9"/>
      <c r="M206" s="43"/>
      <c r="N206" s="32"/>
      <c r="O206" s="9"/>
      <c r="P206" s="9"/>
      <c r="Q206" s="9"/>
      <c r="R206" s="9"/>
      <c r="S206" s="9"/>
      <c r="T206" s="9"/>
    </row>
    <row r="207" ht="21.0" customHeight="1">
      <c r="A207" s="9"/>
      <c r="B207" s="9"/>
      <c r="C207" s="70" t="s">
        <v>51</v>
      </c>
      <c r="D207" s="70"/>
      <c r="E207" s="71">
        <v>0.025</v>
      </c>
      <c r="F207" s="72" t="s">
        <v>51</v>
      </c>
      <c r="G207" s="73">
        <v>25.0</v>
      </c>
      <c r="H207" s="12"/>
      <c r="I207" s="11"/>
      <c r="J207" s="9"/>
      <c r="K207" s="9"/>
      <c r="L207" s="9"/>
      <c r="M207" s="12"/>
      <c r="N207" s="32"/>
      <c r="O207" s="9"/>
      <c r="P207" s="9"/>
      <c r="Q207" s="9"/>
      <c r="R207" s="9"/>
      <c r="S207" s="9"/>
      <c r="T207" s="9"/>
    </row>
    <row r="208" ht="21.0" customHeight="1">
      <c r="A208" s="9"/>
      <c r="B208" s="9"/>
      <c r="C208" s="70"/>
      <c r="D208" s="70"/>
      <c r="E208" s="71"/>
      <c r="F208" s="72"/>
      <c r="G208" s="73"/>
      <c r="H208" s="12"/>
      <c r="I208" s="11"/>
      <c r="J208" s="9"/>
      <c r="K208" s="9"/>
      <c r="L208" s="9"/>
      <c r="M208" s="12"/>
      <c r="N208" s="32"/>
      <c r="O208" s="9"/>
      <c r="P208" s="9"/>
      <c r="Q208" s="9"/>
      <c r="R208" s="9"/>
      <c r="S208" s="9"/>
      <c r="T208" s="9"/>
    </row>
    <row r="209" ht="21.0" customHeight="1">
      <c r="A209" s="9"/>
      <c r="B209" s="9"/>
      <c r="C209" s="70"/>
      <c r="D209" s="70"/>
      <c r="E209" s="71"/>
      <c r="F209" s="72"/>
      <c r="G209" s="73"/>
      <c r="H209" s="12"/>
      <c r="I209" s="11"/>
      <c r="J209" s="9"/>
      <c r="K209" s="9"/>
      <c r="L209" s="9"/>
      <c r="M209" s="12"/>
      <c r="N209" s="32"/>
      <c r="O209" s="9"/>
      <c r="P209" s="9"/>
      <c r="Q209" s="9"/>
      <c r="R209" s="9"/>
      <c r="S209" s="9"/>
      <c r="T209" s="9"/>
    </row>
    <row r="210" ht="21.0" customHeight="1">
      <c r="A210" s="9"/>
      <c r="B210" s="9"/>
      <c r="C210" s="70"/>
      <c r="D210" s="70"/>
      <c r="E210" s="71">
        <v>0.025</v>
      </c>
      <c r="F210" s="72"/>
      <c r="G210" s="73"/>
      <c r="H210" s="12"/>
      <c r="I210" s="11"/>
      <c r="J210" s="9"/>
      <c r="K210" s="9"/>
      <c r="L210" s="9"/>
      <c r="M210" s="12"/>
      <c r="N210" s="32"/>
      <c r="O210" s="9"/>
      <c r="P210" s="9"/>
      <c r="Q210" s="9"/>
      <c r="R210" s="9"/>
      <c r="S210" s="9"/>
      <c r="T210" s="9"/>
    </row>
    <row r="211" ht="21.0" customHeight="1">
      <c r="A211" s="9"/>
      <c r="B211" s="9"/>
      <c r="C211" s="70"/>
      <c r="D211" s="70"/>
      <c r="E211" s="71">
        <v>0.025</v>
      </c>
      <c r="F211" s="72"/>
      <c r="G211" s="73"/>
      <c r="H211" s="12"/>
      <c r="I211" s="11"/>
      <c r="J211" s="9"/>
      <c r="K211" s="9"/>
      <c r="L211" s="9"/>
      <c r="M211" s="12"/>
      <c r="N211" s="32"/>
      <c r="O211" s="9"/>
      <c r="P211" s="9"/>
      <c r="Q211" s="9"/>
      <c r="R211" s="9"/>
      <c r="S211" s="9"/>
      <c r="T211" s="9"/>
    </row>
    <row r="212" ht="21.0" customHeight="1">
      <c r="A212" s="9"/>
      <c r="B212" s="9"/>
      <c r="C212" s="70"/>
      <c r="D212" s="70"/>
      <c r="E212" s="71">
        <v>0.04</v>
      </c>
      <c r="F212" s="72"/>
      <c r="G212" s="73"/>
      <c r="H212" s="12"/>
      <c r="I212" s="11"/>
      <c r="J212" s="9"/>
      <c r="K212" s="9"/>
      <c r="L212" s="9"/>
      <c r="M212" s="12"/>
      <c r="N212" s="32"/>
      <c r="O212" s="9"/>
      <c r="P212" s="9"/>
      <c r="Q212" s="9"/>
      <c r="R212" s="9"/>
      <c r="S212" s="9"/>
      <c r="T212" s="9"/>
    </row>
    <row r="213" ht="21.0" customHeight="1">
      <c r="A213" s="9"/>
      <c r="B213" s="9"/>
      <c r="C213" s="70"/>
      <c r="D213" s="70"/>
      <c r="E213" s="71">
        <v>0.06</v>
      </c>
      <c r="F213" s="72"/>
      <c r="G213" s="73"/>
      <c r="H213" s="12"/>
      <c r="I213" s="11"/>
      <c r="J213" s="9"/>
      <c r="K213" s="9"/>
      <c r="L213" s="9"/>
      <c r="M213" s="12"/>
      <c r="N213" s="32"/>
      <c r="O213" s="9"/>
      <c r="P213" s="9"/>
      <c r="Q213" s="9"/>
      <c r="R213" s="9"/>
      <c r="S213" s="9"/>
      <c r="T213" s="9"/>
    </row>
    <row r="214" ht="21.0" customHeight="1">
      <c r="A214" s="9"/>
      <c r="B214" s="9"/>
      <c r="C214" s="70"/>
      <c r="D214" s="70"/>
      <c r="E214" s="71">
        <v>0.025</v>
      </c>
      <c r="F214" s="72"/>
      <c r="G214" s="73"/>
      <c r="H214" s="12"/>
      <c r="I214" s="11"/>
      <c r="J214" s="9"/>
      <c r="K214" s="9"/>
      <c r="L214" s="9"/>
      <c r="M214" s="12"/>
      <c r="N214" s="32"/>
      <c r="O214" s="9"/>
      <c r="P214" s="9"/>
      <c r="Q214" s="9"/>
      <c r="R214" s="9"/>
      <c r="S214" s="9"/>
      <c r="T214" s="9"/>
    </row>
    <row r="215" ht="21.0" customHeight="1">
      <c r="A215" s="9"/>
      <c r="B215" s="9"/>
      <c r="C215" s="70"/>
      <c r="D215" s="70"/>
      <c r="E215" s="71">
        <v>0.06</v>
      </c>
      <c r="F215" s="72"/>
      <c r="G215" s="73"/>
      <c r="H215" s="12"/>
      <c r="I215" s="11"/>
      <c r="J215" s="9"/>
      <c r="K215" s="9"/>
      <c r="L215" s="9"/>
      <c r="M215" s="12"/>
      <c r="N215" s="32"/>
      <c r="O215" s="9"/>
      <c r="P215" s="9"/>
      <c r="Q215" s="9"/>
      <c r="R215" s="9"/>
      <c r="S215" s="9"/>
      <c r="T215" s="9"/>
    </row>
    <row r="216" ht="21.0" customHeight="1">
      <c r="A216" s="9"/>
      <c r="B216" s="9"/>
      <c r="C216" s="70"/>
      <c r="D216" s="70"/>
      <c r="E216" s="71">
        <v>0.025</v>
      </c>
      <c r="F216" s="72"/>
      <c r="G216" s="73"/>
      <c r="H216" s="12"/>
      <c r="I216" s="11"/>
      <c r="J216" s="9"/>
      <c r="K216" s="9"/>
      <c r="L216" s="9"/>
      <c r="M216" s="12"/>
      <c r="N216" s="32"/>
      <c r="O216" s="9"/>
      <c r="P216" s="9"/>
      <c r="Q216" s="9"/>
      <c r="R216" s="9"/>
      <c r="S216" s="9"/>
      <c r="T216" s="9"/>
    </row>
    <row r="217" ht="21.0" customHeight="1">
      <c r="A217" s="9"/>
      <c r="B217" s="9"/>
      <c r="C217" s="70"/>
      <c r="D217" s="70"/>
      <c r="E217" s="71">
        <v>0.025</v>
      </c>
      <c r="F217" s="72"/>
      <c r="G217" s="73"/>
      <c r="H217" s="12"/>
      <c r="I217" s="11"/>
      <c r="J217" s="9"/>
      <c r="K217" s="9"/>
      <c r="L217" s="9"/>
      <c r="M217" s="12"/>
      <c r="N217" s="32"/>
      <c r="O217" s="9"/>
      <c r="P217" s="9"/>
      <c r="Q217" s="9"/>
      <c r="R217" s="9"/>
      <c r="S217" s="9"/>
      <c r="T217" s="9"/>
    </row>
    <row r="218" ht="21.0" customHeight="1">
      <c r="A218" s="9"/>
      <c r="B218" s="9"/>
      <c r="C218" s="70"/>
      <c r="D218" s="70"/>
      <c r="E218" s="71">
        <v>0.025</v>
      </c>
      <c r="F218" s="72"/>
      <c r="G218" s="73"/>
      <c r="H218" s="12"/>
      <c r="I218" s="11"/>
      <c r="J218" s="9"/>
      <c r="K218" s="9"/>
      <c r="L218" s="9"/>
      <c r="M218" s="12"/>
      <c r="N218" s="32"/>
      <c r="O218" s="9"/>
      <c r="P218" s="9"/>
      <c r="Q218" s="9"/>
      <c r="R218" s="9"/>
      <c r="S218" s="9"/>
      <c r="T218" s="9"/>
    </row>
    <row r="219" ht="21.0" customHeight="1">
      <c r="A219" s="9"/>
      <c r="B219" s="9"/>
      <c r="C219" s="70"/>
      <c r="D219" s="70"/>
      <c r="E219" s="71">
        <v>0.025</v>
      </c>
      <c r="F219" s="72"/>
      <c r="G219" s="73"/>
      <c r="H219" s="12"/>
      <c r="I219" s="11"/>
      <c r="J219" s="9"/>
      <c r="K219" s="9"/>
      <c r="L219" s="9"/>
      <c r="M219" s="12"/>
      <c r="N219" s="32"/>
      <c r="O219" s="9"/>
      <c r="P219" s="9"/>
      <c r="Q219" s="9"/>
      <c r="R219" s="9"/>
      <c r="S219" s="9"/>
      <c r="T219" s="9"/>
    </row>
    <row r="220" ht="21.0" customHeight="1">
      <c r="A220" s="9"/>
      <c r="B220" s="9"/>
      <c r="C220" s="70"/>
      <c r="D220" s="70"/>
      <c r="E220" s="71">
        <v>0.025</v>
      </c>
      <c r="F220" s="72"/>
      <c r="G220" s="73"/>
      <c r="H220" s="12"/>
      <c r="I220" s="11"/>
      <c r="J220" s="9"/>
      <c r="K220" s="9"/>
      <c r="L220" s="9"/>
      <c r="M220" s="12"/>
      <c r="N220" s="32"/>
      <c r="O220" s="9"/>
      <c r="P220" s="9"/>
      <c r="Q220" s="9"/>
      <c r="R220" s="9"/>
      <c r="S220" s="9"/>
      <c r="T220" s="9"/>
    </row>
    <row r="221" ht="21.0" customHeight="1">
      <c r="A221" s="9"/>
      <c r="B221" s="9"/>
      <c r="C221" s="70"/>
      <c r="D221" s="70"/>
      <c r="E221" s="71">
        <v>0.025</v>
      </c>
      <c r="F221" s="72"/>
      <c r="G221" s="73"/>
      <c r="H221" s="12"/>
      <c r="I221" s="11"/>
      <c r="J221" s="9"/>
      <c r="K221" s="9"/>
      <c r="L221" s="9"/>
      <c r="M221" s="12"/>
      <c r="N221" s="32"/>
      <c r="O221" s="9"/>
      <c r="P221" s="9"/>
      <c r="Q221" s="9"/>
      <c r="R221" s="9"/>
      <c r="S221" s="9"/>
      <c r="T221" s="9"/>
    </row>
    <row r="222" ht="21.0" customHeight="1">
      <c r="A222" s="9"/>
      <c r="B222" s="9"/>
      <c r="C222" s="74"/>
      <c r="D222" s="74"/>
      <c r="E222" s="71">
        <v>0.025</v>
      </c>
      <c r="F222" s="72"/>
      <c r="G222" s="73"/>
      <c r="H222" s="12"/>
      <c r="I222" s="11"/>
      <c r="J222" s="9"/>
      <c r="K222" s="9"/>
      <c r="L222" s="9"/>
      <c r="M222" s="12"/>
      <c r="N222" s="32"/>
      <c r="O222" s="9"/>
      <c r="P222" s="9"/>
      <c r="Q222" s="9"/>
      <c r="R222" s="9"/>
      <c r="S222" s="9"/>
      <c r="T222" s="9"/>
    </row>
    <row r="223" ht="21.0" customHeight="1">
      <c r="A223" s="9"/>
      <c r="B223" s="9"/>
      <c r="C223" s="74"/>
      <c r="D223" s="74"/>
      <c r="E223" s="71">
        <v>0.025</v>
      </c>
      <c r="F223" s="72"/>
      <c r="G223" s="73"/>
      <c r="H223" s="9"/>
      <c r="I223" s="11"/>
      <c r="J223" s="9"/>
      <c r="K223" s="9"/>
      <c r="L223" s="9"/>
      <c r="M223" s="9"/>
      <c r="N223" s="32"/>
      <c r="O223" s="9"/>
      <c r="P223" s="9"/>
      <c r="Q223" s="9"/>
      <c r="R223" s="9"/>
      <c r="S223" s="9"/>
      <c r="T223" s="9"/>
    </row>
    <row r="224" ht="21.0" customHeight="1">
      <c r="A224" s="9"/>
      <c r="B224" s="9"/>
      <c r="C224" s="74"/>
      <c r="D224" s="74"/>
      <c r="E224" s="71">
        <v>0.025</v>
      </c>
      <c r="F224" s="72"/>
      <c r="G224" s="73"/>
      <c r="H224" s="9"/>
      <c r="I224" s="11"/>
      <c r="J224" s="9"/>
      <c r="K224" s="9"/>
      <c r="L224" s="9"/>
      <c r="M224" s="9"/>
      <c r="N224" s="32"/>
      <c r="O224" s="9"/>
      <c r="P224" s="9"/>
      <c r="Q224" s="9"/>
      <c r="R224" s="9"/>
      <c r="S224" s="9"/>
      <c r="T224" s="9"/>
    </row>
    <row r="225" ht="21.0" customHeight="1">
      <c r="A225" s="9"/>
      <c r="B225" s="9"/>
      <c r="C225" s="74"/>
      <c r="D225" s="74"/>
      <c r="E225" s="71">
        <v>0.025</v>
      </c>
      <c r="F225" s="72"/>
      <c r="G225" s="73"/>
      <c r="H225" s="9"/>
      <c r="I225" s="11"/>
      <c r="J225" s="9"/>
      <c r="K225" s="9"/>
      <c r="L225" s="9"/>
      <c r="M225" s="9"/>
      <c r="N225" s="32"/>
      <c r="O225" s="9"/>
      <c r="P225" s="9"/>
      <c r="Q225" s="9"/>
      <c r="R225" s="9"/>
      <c r="S225" s="9"/>
      <c r="T225" s="9"/>
    </row>
    <row r="226" ht="21.0" customHeight="1">
      <c r="A226" s="9"/>
      <c r="B226" s="9"/>
      <c r="C226" s="74"/>
      <c r="D226" s="74"/>
      <c r="E226" s="71">
        <v>0.025</v>
      </c>
      <c r="F226" s="75"/>
      <c r="G226" s="9"/>
      <c r="H226" s="9"/>
      <c r="I226" s="11"/>
      <c r="J226" s="9"/>
      <c r="K226" s="9"/>
      <c r="L226" s="9"/>
      <c r="M226" s="9"/>
      <c r="N226" s="32"/>
      <c r="O226" s="9"/>
      <c r="P226" s="9"/>
      <c r="Q226" s="9"/>
      <c r="R226" s="9"/>
      <c r="S226" s="9"/>
      <c r="T226" s="9"/>
    </row>
    <row r="227" ht="21.0" customHeight="1">
      <c r="A227" s="9"/>
      <c r="B227" s="9"/>
      <c r="C227" s="74"/>
      <c r="D227" s="74"/>
      <c r="E227" s="71">
        <v>0.025</v>
      </c>
      <c r="F227" s="75"/>
      <c r="G227" s="9"/>
      <c r="H227" s="9"/>
      <c r="I227" s="11"/>
      <c r="J227" s="9"/>
      <c r="K227" s="9"/>
      <c r="L227" s="9"/>
      <c r="M227" s="9"/>
      <c r="N227" s="32"/>
      <c r="O227" s="9"/>
      <c r="P227" s="9"/>
      <c r="Q227" s="9"/>
      <c r="R227" s="9"/>
      <c r="S227" s="9"/>
      <c r="T227" s="9"/>
    </row>
    <row r="228" ht="21.0" customHeight="1">
      <c r="A228" s="9"/>
      <c r="B228" s="9"/>
      <c r="C228" s="74"/>
      <c r="D228" s="74"/>
      <c r="E228" s="71">
        <v>0.025</v>
      </c>
      <c r="F228" s="75"/>
      <c r="G228" s="12"/>
      <c r="H228" s="9"/>
      <c r="I228" s="76"/>
      <c r="J228" s="9"/>
      <c r="K228" s="9"/>
      <c r="L228" s="9"/>
      <c r="M228" s="9"/>
      <c r="N228" s="32"/>
      <c r="O228" s="9"/>
      <c r="P228" s="9"/>
      <c r="Q228" s="9"/>
      <c r="R228" s="9"/>
      <c r="S228" s="9"/>
      <c r="T228" s="9"/>
    </row>
    <row r="229" ht="21.0" customHeight="1">
      <c r="A229" s="9"/>
      <c r="B229" s="9"/>
      <c r="C229" s="74"/>
      <c r="D229" s="74"/>
      <c r="E229" s="71">
        <v>0.025</v>
      </c>
      <c r="F229" s="75"/>
      <c r="G229" s="9"/>
      <c r="H229" s="9"/>
      <c r="I229" s="11"/>
      <c r="J229" s="9"/>
      <c r="K229" s="9"/>
      <c r="L229" s="9"/>
      <c r="M229" s="9"/>
      <c r="N229" s="32"/>
      <c r="O229" s="9"/>
      <c r="P229" s="9"/>
      <c r="Q229" s="9"/>
      <c r="R229" s="9"/>
      <c r="S229" s="9"/>
      <c r="T229" s="9"/>
    </row>
    <row r="230" ht="21.0" customHeight="1">
      <c r="A230" s="9"/>
      <c r="B230" s="9"/>
      <c r="C230" s="74"/>
      <c r="D230" s="74"/>
      <c r="E230" s="71">
        <v>0.025</v>
      </c>
      <c r="F230" s="75"/>
      <c r="G230" s="12"/>
      <c r="H230" s="9"/>
      <c r="I230" s="76"/>
      <c r="J230" s="9"/>
      <c r="K230" s="9"/>
      <c r="L230" s="9"/>
      <c r="M230" s="9"/>
      <c r="N230" s="32"/>
      <c r="O230" s="9"/>
      <c r="P230" s="9"/>
      <c r="Q230" s="9"/>
      <c r="R230" s="9"/>
      <c r="S230" s="9"/>
      <c r="T230" s="9"/>
    </row>
    <row r="231" ht="21.0" customHeight="1">
      <c r="A231" s="9"/>
      <c r="B231" s="9"/>
      <c r="C231" s="74"/>
      <c r="D231" s="74"/>
      <c r="E231" s="71">
        <v>0.025</v>
      </c>
      <c r="F231" s="75"/>
      <c r="G231" s="9"/>
      <c r="H231" s="9"/>
      <c r="I231" s="11"/>
      <c r="J231" s="9"/>
      <c r="K231" s="9"/>
      <c r="L231" s="9"/>
      <c r="M231" s="9"/>
      <c r="N231" s="32"/>
      <c r="O231" s="9"/>
      <c r="P231" s="9"/>
      <c r="Q231" s="9"/>
      <c r="R231" s="9"/>
      <c r="S231" s="9"/>
      <c r="T231" s="9"/>
    </row>
    <row r="232" ht="21.0" customHeight="1">
      <c r="A232" s="9"/>
      <c r="B232" s="9"/>
      <c r="C232" s="74"/>
      <c r="D232" s="74"/>
      <c r="E232" s="71">
        <v>0.025</v>
      </c>
      <c r="F232" s="75"/>
      <c r="G232" s="9"/>
      <c r="H232" s="9"/>
      <c r="I232" s="11"/>
      <c r="J232" s="9"/>
      <c r="K232" s="9"/>
      <c r="L232" s="9"/>
      <c r="M232" s="9"/>
      <c r="N232" s="32"/>
      <c r="O232" s="9"/>
      <c r="P232" s="9"/>
      <c r="Q232" s="9"/>
      <c r="R232" s="9"/>
      <c r="S232" s="9"/>
      <c r="T232" s="9"/>
    </row>
    <row r="233" ht="21.0" customHeight="1">
      <c r="A233" s="9"/>
      <c r="B233" s="9"/>
      <c r="C233" s="74"/>
      <c r="D233" s="74"/>
      <c r="E233" s="71">
        <v>0.025</v>
      </c>
      <c r="F233" s="75"/>
      <c r="G233" s="9"/>
      <c r="H233" s="9"/>
      <c r="I233" s="11"/>
      <c r="J233" s="9"/>
      <c r="K233" s="9"/>
      <c r="L233" s="9"/>
      <c r="M233" s="9"/>
      <c r="N233" s="32"/>
      <c r="O233" s="9"/>
      <c r="P233" s="9"/>
      <c r="Q233" s="9"/>
      <c r="R233" s="9"/>
      <c r="S233" s="9"/>
      <c r="T233" s="9"/>
    </row>
    <row r="234" ht="21.0" customHeight="1">
      <c r="A234" s="9"/>
      <c r="B234" s="9"/>
      <c r="C234" s="74"/>
      <c r="D234" s="74"/>
      <c r="E234" s="71">
        <v>0.025</v>
      </c>
      <c r="F234" s="75"/>
      <c r="G234" s="9"/>
      <c r="H234" s="9"/>
      <c r="I234" s="11"/>
      <c r="J234" s="9"/>
      <c r="K234" s="9"/>
      <c r="L234" s="9"/>
      <c r="M234" s="9"/>
      <c r="N234" s="32"/>
      <c r="O234" s="9"/>
      <c r="P234" s="9"/>
      <c r="Q234" s="9"/>
      <c r="R234" s="9"/>
      <c r="S234" s="9"/>
      <c r="T234" s="9"/>
    </row>
    <row r="235" ht="21.0" customHeight="1">
      <c r="A235" s="9"/>
      <c r="B235" s="9"/>
      <c r="C235" s="74"/>
      <c r="D235" s="74"/>
      <c r="E235" s="71">
        <v>0.025</v>
      </c>
      <c r="F235" s="75"/>
      <c r="G235" s="9"/>
      <c r="H235" s="9"/>
      <c r="I235" s="11"/>
      <c r="J235" s="9"/>
      <c r="K235" s="9"/>
      <c r="L235" s="9"/>
      <c r="M235" s="9"/>
      <c r="N235" s="32"/>
      <c r="O235" s="9"/>
      <c r="P235" s="9"/>
      <c r="Q235" s="9"/>
      <c r="R235" s="9"/>
      <c r="S235" s="9"/>
      <c r="T235" s="9"/>
    </row>
    <row r="236" ht="21.0" customHeight="1">
      <c r="A236" s="9"/>
      <c r="B236" s="9"/>
      <c r="C236" s="74"/>
      <c r="D236" s="74"/>
      <c r="E236" s="71">
        <v>0.025</v>
      </c>
      <c r="F236" s="75"/>
      <c r="G236" s="12"/>
      <c r="H236" s="9"/>
      <c r="I236" s="76"/>
      <c r="J236" s="9"/>
      <c r="K236" s="9"/>
      <c r="L236" s="9"/>
      <c r="M236" s="9"/>
      <c r="N236" s="32"/>
      <c r="O236" s="9"/>
      <c r="P236" s="9"/>
      <c r="Q236" s="9"/>
      <c r="R236" s="9"/>
      <c r="S236" s="9"/>
      <c r="T236" s="9"/>
    </row>
    <row r="237" ht="21.0" customHeight="1">
      <c r="A237" s="9"/>
      <c r="B237" s="9"/>
      <c r="C237" s="74"/>
      <c r="D237" s="74"/>
      <c r="E237" s="71">
        <v>0.025</v>
      </c>
      <c r="F237" s="75"/>
      <c r="G237" s="9"/>
      <c r="H237" s="9"/>
      <c r="I237" s="11"/>
      <c r="J237" s="9"/>
      <c r="K237" s="9"/>
      <c r="L237" s="9"/>
      <c r="M237" s="9"/>
      <c r="N237" s="32"/>
      <c r="O237" s="9"/>
      <c r="P237" s="9"/>
      <c r="Q237" s="9"/>
      <c r="R237" s="9"/>
      <c r="S237" s="9"/>
      <c r="T237" s="9"/>
    </row>
    <row r="238" ht="21.0" customHeight="1">
      <c r="A238" s="9"/>
      <c r="B238" s="9"/>
      <c r="C238" s="74"/>
      <c r="D238" s="74"/>
      <c r="E238" s="71">
        <v>0.025</v>
      </c>
      <c r="F238" s="75"/>
      <c r="G238" s="9"/>
      <c r="H238" s="9"/>
      <c r="I238" s="11"/>
      <c r="J238" s="9"/>
      <c r="K238" s="9"/>
      <c r="L238" s="9"/>
      <c r="M238" s="9"/>
      <c r="N238" s="32"/>
      <c r="O238" s="9"/>
      <c r="P238" s="9"/>
      <c r="Q238" s="9"/>
      <c r="R238" s="9"/>
      <c r="S238" s="9"/>
      <c r="T238" s="9"/>
    </row>
    <row r="239" ht="21.0" customHeight="1">
      <c r="A239" s="9"/>
      <c r="B239" s="9"/>
      <c r="C239" s="74"/>
      <c r="D239" s="74"/>
      <c r="E239" s="71">
        <v>0.025</v>
      </c>
      <c r="F239" s="75"/>
      <c r="G239" s="9"/>
      <c r="H239" s="9"/>
      <c r="I239" s="11"/>
      <c r="J239" s="9"/>
      <c r="K239" s="9"/>
      <c r="L239" s="9"/>
      <c r="M239" s="9"/>
      <c r="N239" s="32"/>
      <c r="O239" s="9"/>
      <c r="P239" s="9"/>
      <c r="Q239" s="9"/>
      <c r="R239" s="9"/>
      <c r="S239" s="9"/>
      <c r="T239" s="9"/>
    </row>
    <row r="240" ht="21.0" customHeight="1">
      <c r="A240" s="9"/>
      <c r="B240" s="9"/>
      <c r="C240" s="74"/>
      <c r="D240" s="74"/>
      <c r="E240" s="71">
        <v>0.06</v>
      </c>
      <c r="F240" s="75"/>
      <c r="G240" s="9"/>
      <c r="H240" s="9"/>
      <c r="I240" s="11"/>
      <c r="J240" s="9"/>
      <c r="K240" s="9"/>
      <c r="L240" s="9"/>
      <c r="M240" s="9"/>
      <c r="N240" s="32"/>
      <c r="O240" s="9"/>
      <c r="P240" s="9"/>
      <c r="Q240" s="9"/>
      <c r="R240" s="9"/>
      <c r="S240" s="9"/>
      <c r="T240" s="9"/>
    </row>
    <row r="241" ht="21.0" customHeight="1">
      <c r="A241" s="9"/>
      <c r="B241" s="9"/>
      <c r="C241" s="74"/>
      <c r="D241" s="74"/>
      <c r="E241" s="71">
        <v>0.025</v>
      </c>
      <c r="F241" s="75"/>
      <c r="G241" s="9"/>
      <c r="H241" s="9"/>
      <c r="I241" s="11"/>
      <c r="J241" s="9"/>
      <c r="K241" s="9"/>
      <c r="L241" s="9"/>
      <c r="M241" s="9"/>
      <c r="N241" s="32"/>
      <c r="O241" s="9"/>
      <c r="P241" s="9"/>
      <c r="Q241" s="9"/>
      <c r="R241" s="9"/>
      <c r="S241" s="9"/>
      <c r="T241" s="9"/>
    </row>
    <row r="242" ht="21.0" customHeight="1">
      <c r="A242" s="9"/>
      <c r="B242" s="9"/>
      <c r="C242" s="74"/>
      <c r="D242" s="74"/>
      <c r="E242" s="71">
        <v>0.025</v>
      </c>
      <c r="F242" s="75"/>
      <c r="G242" s="9"/>
      <c r="H242" s="9"/>
      <c r="I242" s="11"/>
      <c r="J242" s="9"/>
      <c r="K242" s="9"/>
      <c r="L242" s="9"/>
      <c r="M242" s="9"/>
      <c r="N242" s="32"/>
      <c r="O242" s="9"/>
      <c r="P242" s="9"/>
      <c r="Q242" s="9"/>
      <c r="R242" s="9"/>
      <c r="S242" s="9"/>
      <c r="T242" s="9"/>
    </row>
    <row r="243" ht="21.0" customHeight="1">
      <c r="A243" s="9"/>
      <c r="B243" s="9"/>
      <c r="C243" s="74"/>
      <c r="D243" s="74"/>
      <c r="E243" s="71">
        <v>0.025</v>
      </c>
      <c r="F243" s="75"/>
      <c r="G243" s="9"/>
      <c r="H243" s="9"/>
      <c r="I243" s="11"/>
      <c r="J243" s="9"/>
      <c r="K243" s="9"/>
      <c r="L243" s="9"/>
      <c r="M243" s="9"/>
      <c r="N243" s="32"/>
      <c r="O243" s="9"/>
      <c r="P243" s="9"/>
      <c r="Q243" s="9"/>
      <c r="R243" s="9"/>
      <c r="S243" s="9"/>
      <c r="T243" s="9"/>
    </row>
    <row r="244" ht="21.0" customHeight="1">
      <c r="A244" s="9"/>
      <c r="B244" s="9"/>
      <c r="C244" s="74"/>
      <c r="D244" s="74"/>
      <c r="E244" s="71">
        <v>0.025</v>
      </c>
      <c r="F244" s="75"/>
      <c r="G244" s="9"/>
      <c r="H244" s="9"/>
      <c r="I244" s="11"/>
      <c r="J244" s="9"/>
      <c r="K244" s="9"/>
      <c r="L244" s="9"/>
      <c r="M244" s="9"/>
      <c r="N244" s="32"/>
      <c r="O244" s="9"/>
      <c r="P244" s="9"/>
      <c r="Q244" s="9"/>
      <c r="R244" s="9"/>
      <c r="S244" s="9"/>
      <c r="T244" s="9"/>
    </row>
    <row r="245" ht="21.0" customHeight="1">
      <c r="A245" s="9"/>
      <c r="B245" s="9"/>
      <c r="C245" s="74"/>
      <c r="D245" s="74"/>
      <c r="E245" s="71">
        <v>0.025</v>
      </c>
      <c r="F245" s="75"/>
      <c r="G245" s="9"/>
      <c r="H245" s="9"/>
      <c r="I245" s="11"/>
      <c r="J245" s="9"/>
      <c r="K245" s="9"/>
      <c r="L245" s="9"/>
      <c r="M245" s="9"/>
      <c r="N245" s="32"/>
      <c r="O245" s="9"/>
      <c r="P245" s="9"/>
      <c r="Q245" s="9"/>
      <c r="R245" s="9"/>
      <c r="S245" s="9"/>
      <c r="T245" s="9"/>
    </row>
    <row r="246" ht="21.0" customHeight="1">
      <c r="A246" s="9"/>
      <c r="B246" s="9"/>
      <c r="C246" s="74"/>
      <c r="D246" s="74"/>
      <c r="E246" s="71">
        <v>0.025</v>
      </c>
      <c r="F246" s="75"/>
      <c r="G246" s="9"/>
      <c r="H246" s="9"/>
      <c r="I246" s="11"/>
      <c r="J246" s="9"/>
      <c r="K246" s="9"/>
      <c r="L246" s="9"/>
      <c r="M246" s="9"/>
      <c r="N246" s="32"/>
      <c r="O246" s="9"/>
      <c r="P246" s="9"/>
      <c r="Q246" s="9"/>
      <c r="R246" s="9"/>
      <c r="S246" s="9"/>
      <c r="T246" s="9"/>
    </row>
    <row r="247" ht="21.0" customHeight="1">
      <c r="A247" s="9"/>
      <c r="B247" s="9"/>
      <c r="C247" s="74"/>
      <c r="D247" s="74"/>
      <c r="E247" s="71">
        <v>0.025</v>
      </c>
      <c r="F247" s="75"/>
      <c r="G247" s="9"/>
      <c r="H247" s="9"/>
      <c r="I247" s="11"/>
      <c r="J247" s="9"/>
      <c r="K247" s="9"/>
      <c r="L247" s="9"/>
      <c r="M247" s="9"/>
      <c r="N247" s="32"/>
      <c r="O247" s="9"/>
      <c r="P247" s="9"/>
      <c r="Q247" s="9"/>
      <c r="R247" s="9"/>
      <c r="S247" s="9"/>
      <c r="T247" s="9"/>
    </row>
    <row r="248" ht="21.0" customHeight="1">
      <c r="A248" s="9"/>
      <c r="B248" s="9"/>
      <c r="C248" s="74"/>
      <c r="D248" s="74"/>
      <c r="E248" s="71">
        <v>0.025</v>
      </c>
      <c r="F248" s="75"/>
      <c r="G248" s="9"/>
      <c r="H248" s="9"/>
      <c r="I248" s="11"/>
      <c r="J248" s="9"/>
      <c r="K248" s="9"/>
      <c r="L248" s="9"/>
      <c r="M248" s="9"/>
      <c r="N248" s="32"/>
      <c r="O248" s="9"/>
      <c r="P248" s="9"/>
      <c r="Q248" s="9"/>
      <c r="R248" s="9"/>
      <c r="S248" s="9"/>
      <c r="T248" s="9"/>
    </row>
    <row r="249" ht="21.0" customHeight="1">
      <c r="A249" s="9"/>
      <c r="B249" s="9"/>
      <c r="C249" s="74"/>
      <c r="D249" s="74"/>
      <c r="E249" s="71">
        <v>0.025</v>
      </c>
      <c r="F249" s="75"/>
      <c r="G249" s="9"/>
      <c r="H249" s="9"/>
      <c r="I249" s="11"/>
      <c r="J249" s="9"/>
      <c r="K249" s="9"/>
      <c r="L249" s="9"/>
      <c r="M249" s="9"/>
      <c r="N249" s="32"/>
      <c r="O249" s="9"/>
      <c r="P249" s="9"/>
      <c r="Q249" s="9"/>
      <c r="R249" s="9"/>
      <c r="S249" s="9"/>
      <c r="T249" s="9"/>
    </row>
    <row r="250" ht="21.0" customHeight="1">
      <c r="A250" s="9"/>
      <c r="B250" s="9"/>
      <c r="C250" s="74"/>
      <c r="D250" s="74"/>
      <c r="E250" s="71">
        <v>0.025</v>
      </c>
      <c r="F250" s="75"/>
      <c r="G250" s="9"/>
      <c r="H250" s="9"/>
      <c r="I250" s="11"/>
      <c r="J250" s="9"/>
      <c r="K250" s="9"/>
      <c r="L250" s="9"/>
      <c r="M250" s="9"/>
      <c r="N250" s="32"/>
      <c r="O250" s="9"/>
      <c r="P250" s="9"/>
      <c r="Q250" s="9"/>
      <c r="R250" s="9"/>
      <c r="S250" s="9"/>
      <c r="T250" s="9"/>
    </row>
    <row r="251" ht="21.0" customHeight="1">
      <c r="A251" s="9"/>
      <c r="B251" s="9"/>
      <c r="C251" s="74"/>
      <c r="D251" s="74"/>
      <c r="E251" s="71">
        <v>0.025</v>
      </c>
      <c r="F251" s="75"/>
      <c r="G251" s="9"/>
      <c r="H251" s="9"/>
      <c r="I251" s="11"/>
      <c r="J251" s="9"/>
      <c r="K251" s="9"/>
      <c r="L251" s="9"/>
      <c r="M251" s="9"/>
      <c r="N251" s="32"/>
      <c r="O251" s="9"/>
      <c r="P251" s="9"/>
      <c r="Q251" s="9"/>
      <c r="R251" s="9"/>
      <c r="S251" s="9"/>
      <c r="T251" s="9"/>
    </row>
    <row r="252" ht="21.0" customHeight="1">
      <c r="A252" s="9"/>
      <c r="B252" s="9"/>
      <c r="C252" s="74"/>
      <c r="D252" s="74"/>
      <c r="E252" s="71">
        <v>0.025</v>
      </c>
      <c r="F252" s="75"/>
      <c r="G252" s="9"/>
      <c r="H252" s="9"/>
      <c r="I252" s="11"/>
      <c r="J252" s="9"/>
      <c r="K252" s="9"/>
      <c r="L252" s="9"/>
      <c r="M252" s="9"/>
      <c r="N252" s="32"/>
      <c r="O252" s="9"/>
      <c r="P252" s="9"/>
      <c r="Q252" s="9"/>
      <c r="R252" s="9"/>
      <c r="S252" s="9"/>
      <c r="T252" s="9"/>
    </row>
    <row r="253" ht="21.0" customHeight="1">
      <c r="A253" s="9"/>
      <c r="B253" s="9"/>
      <c r="C253" s="74"/>
      <c r="D253" s="74"/>
      <c r="E253" s="71">
        <v>0.025</v>
      </c>
      <c r="F253" s="75"/>
      <c r="G253" s="9"/>
      <c r="H253" s="9"/>
      <c r="I253" s="11"/>
      <c r="J253" s="9"/>
      <c r="K253" s="9"/>
      <c r="L253" s="9"/>
      <c r="M253" s="9"/>
      <c r="N253" s="32"/>
      <c r="O253" s="9"/>
      <c r="P253" s="9"/>
      <c r="Q253" s="9"/>
      <c r="R253" s="9"/>
      <c r="S253" s="9"/>
      <c r="T253" s="9"/>
    </row>
    <row r="254" ht="21.0" customHeight="1">
      <c r="A254" s="9"/>
      <c r="B254" s="9"/>
      <c r="C254" s="74"/>
      <c r="D254" s="74"/>
      <c r="E254" s="71">
        <v>0.025</v>
      </c>
      <c r="F254" s="75"/>
      <c r="G254" s="9"/>
      <c r="H254" s="9"/>
      <c r="I254" s="11"/>
      <c r="J254" s="9"/>
      <c r="K254" s="9"/>
      <c r="L254" s="9"/>
      <c r="M254" s="9"/>
      <c r="N254" s="32"/>
      <c r="O254" s="9"/>
      <c r="P254" s="9"/>
      <c r="Q254" s="9"/>
      <c r="R254" s="9"/>
      <c r="S254" s="9"/>
      <c r="T254" s="9"/>
    </row>
    <row r="255" ht="21.0" customHeight="1">
      <c r="A255" s="9"/>
      <c r="B255" s="9"/>
      <c r="C255" s="74"/>
      <c r="D255" s="74"/>
      <c r="E255" s="71">
        <v>0.025</v>
      </c>
      <c r="F255" s="75"/>
      <c r="G255" s="9"/>
      <c r="H255" s="9"/>
      <c r="I255" s="11"/>
      <c r="J255" s="9"/>
      <c r="K255" s="9"/>
      <c r="L255" s="9"/>
      <c r="M255" s="9"/>
      <c r="N255" s="32"/>
      <c r="O255" s="9"/>
      <c r="P255" s="9"/>
      <c r="Q255" s="9"/>
      <c r="R255" s="9"/>
      <c r="S255" s="9"/>
      <c r="T255" s="9"/>
    </row>
    <row r="256" ht="21.0" customHeight="1">
      <c r="A256" s="9"/>
      <c r="B256" s="9"/>
      <c r="C256" s="9"/>
      <c r="D256" s="9"/>
      <c r="E256" s="10"/>
      <c r="F256" s="10"/>
      <c r="G256" s="9"/>
      <c r="H256" s="9"/>
      <c r="I256" s="11"/>
      <c r="J256" s="9"/>
      <c r="K256" s="9"/>
      <c r="L256" s="9"/>
      <c r="M256" s="43"/>
      <c r="N256" s="32"/>
      <c r="O256" s="9"/>
      <c r="P256" s="9"/>
      <c r="Q256" s="9"/>
      <c r="R256" s="9"/>
      <c r="S256" s="9"/>
      <c r="T256" s="9"/>
    </row>
    <row r="257" ht="21.0" customHeight="1">
      <c r="A257" s="9"/>
      <c r="B257" s="9"/>
      <c r="C257" s="9"/>
      <c r="D257" s="9"/>
      <c r="E257" s="10"/>
      <c r="F257" s="10"/>
      <c r="G257" s="9"/>
      <c r="H257" s="9"/>
      <c r="I257" s="11"/>
      <c r="J257" s="9"/>
      <c r="K257" s="9"/>
      <c r="L257" s="9"/>
      <c r="M257" s="43"/>
      <c r="N257" s="32"/>
      <c r="O257" s="9"/>
      <c r="P257" s="9"/>
      <c r="Q257" s="9"/>
      <c r="R257" s="9"/>
      <c r="S257" s="9"/>
      <c r="T257" s="9"/>
    </row>
    <row r="258" ht="21.0" customHeight="1">
      <c r="A258" s="9"/>
      <c r="B258" s="9"/>
      <c r="C258" s="9"/>
      <c r="D258" s="9"/>
      <c r="E258" s="10"/>
      <c r="F258" s="10"/>
      <c r="G258" s="9"/>
      <c r="H258" s="9"/>
      <c r="I258" s="11"/>
      <c r="J258" s="9"/>
      <c r="K258" s="9"/>
      <c r="L258" s="9"/>
      <c r="M258" s="43"/>
      <c r="N258" s="32"/>
      <c r="O258" s="9"/>
      <c r="P258" s="9"/>
      <c r="Q258" s="9"/>
      <c r="R258" s="9"/>
      <c r="S258" s="9"/>
      <c r="T258" s="9"/>
    </row>
    <row r="259" ht="21.0" customHeight="1">
      <c r="A259" s="9"/>
      <c r="B259" s="9"/>
      <c r="C259" s="9"/>
      <c r="D259" s="9"/>
      <c r="E259" s="10"/>
      <c r="F259" s="10"/>
      <c r="G259" s="9"/>
      <c r="H259" s="9"/>
      <c r="I259" s="11"/>
      <c r="J259" s="9"/>
      <c r="K259" s="9"/>
      <c r="L259" s="9"/>
      <c r="M259" s="43"/>
      <c r="N259" s="32"/>
      <c r="O259" s="9"/>
      <c r="P259" s="9"/>
      <c r="Q259" s="9"/>
      <c r="R259" s="9"/>
      <c r="S259" s="9"/>
      <c r="T259" s="9"/>
    </row>
    <row r="260" ht="21.0" customHeight="1">
      <c r="A260" s="9"/>
      <c r="B260" s="9"/>
      <c r="C260" s="9"/>
      <c r="D260" s="9"/>
      <c r="E260" s="10"/>
      <c r="F260" s="10"/>
      <c r="G260" s="9"/>
      <c r="H260" s="9"/>
      <c r="I260" s="11"/>
      <c r="J260" s="9"/>
      <c r="K260" s="9"/>
      <c r="L260" s="9"/>
      <c r="M260" s="43"/>
      <c r="N260" s="32"/>
      <c r="O260" s="9"/>
      <c r="P260" s="9"/>
      <c r="Q260" s="9"/>
      <c r="R260" s="9"/>
      <c r="S260" s="9"/>
      <c r="T260" s="9"/>
    </row>
    <row r="261" ht="21.0" customHeight="1">
      <c r="A261" s="9"/>
      <c r="B261" s="9"/>
      <c r="C261" s="9"/>
      <c r="D261" s="9"/>
      <c r="E261" s="10"/>
      <c r="F261" s="10"/>
      <c r="G261" s="9"/>
      <c r="H261" s="9"/>
      <c r="I261" s="11"/>
      <c r="J261" s="9"/>
      <c r="K261" s="9"/>
      <c r="L261" s="9"/>
      <c r="M261" s="43"/>
      <c r="N261" s="32"/>
      <c r="O261" s="9"/>
      <c r="P261" s="9"/>
      <c r="Q261" s="9"/>
      <c r="R261" s="9"/>
      <c r="S261" s="9"/>
      <c r="T261" s="9"/>
    </row>
    <row r="262" ht="21.0" customHeight="1">
      <c r="A262" s="9"/>
      <c r="B262" s="9"/>
      <c r="C262" s="9"/>
      <c r="D262" s="9"/>
      <c r="E262" s="10"/>
      <c r="F262" s="10"/>
      <c r="G262" s="9"/>
      <c r="H262" s="9"/>
      <c r="I262" s="11"/>
      <c r="J262" s="9"/>
      <c r="K262" s="9"/>
      <c r="L262" s="9"/>
      <c r="M262" s="43"/>
      <c r="N262" s="32"/>
      <c r="O262" s="9"/>
      <c r="P262" s="9"/>
      <c r="Q262" s="9"/>
      <c r="R262" s="9"/>
      <c r="S262" s="9"/>
      <c r="T262" s="9"/>
    </row>
    <row r="263" ht="21.0" customHeight="1">
      <c r="A263" s="9"/>
      <c r="B263" s="9"/>
      <c r="C263" s="9"/>
      <c r="D263" s="9"/>
      <c r="E263" s="10"/>
      <c r="F263" s="10"/>
      <c r="G263" s="9"/>
      <c r="H263" s="9"/>
      <c r="I263" s="11"/>
      <c r="J263" s="9"/>
      <c r="K263" s="9"/>
      <c r="L263" s="9"/>
      <c r="M263" s="43"/>
      <c r="N263" s="32"/>
      <c r="O263" s="9"/>
      <c r="P263" s="9"/>
      <c r="Q263" s="9"/>
      <c r="R263" s="9"/>
      <c r="S263" s="9"/>
      <c r="T263" s="9"/>
    </row>
    <row r="264" ht="21.0" customHeight="1">
      <c r="A264" s="9"/>
      <c r="B264" s="9"/>
      <c r="C264" s="9"/>
      <c r="D264" s="9"/>
      <c r="E264" s="10"/>
      <c r="F264" s="10"/>
      <c r="G264" s="9"/>
      <c r="H264" s="9"/>
      <c r="I264" s="11"/>
      <c r="J264" s="9"/>
      <c r="K264" s="9"/>
      <c r="L264" s="9"/>
      <c r="M264" s="43"/>
      <c r="N264" s="32"/>
      <c r="O264" s="9"/>
      <c r="P264" s="9"/>
      <c r="Q264" s="9"/>
      <c r="R264" s="9"/>
      <c r="S264" s="9"/>
      <c r="T264" s="9"/>
    </row>
    <row r="265" ht="21.0" customHeight="1">
      <c r="A265" s="9"/>
      <c r="B265" s="9"/>
      <c r="C265" s="9"/>
      <c r="D265" s="9"/>
      <c r="E265" s="10"/>
      <c r="F265" s="10"/>
      <c r="G265" s="9"/>
      <c r="H265" s="9"/>
      <c r="I265" s="11"/>
      <c r="J265" s="9"/>
      <c r="K265" s="9"/>
      <c r="L265" s="9"/>
      <c r="M265" s="43"/>
      <c r="N265" s="32"/>
      <c r="O265" s="9"/>
      <c r="P265" s="9"/>
      <c r="Q265" s="9"/>
      <c r="R265" s="9"/>
      <c r="S265" s="9"/>
      <c r="T265" s="9"/>
    </row>
    <row r="266" ht="21.0" customHeight="1">
      <c r="A266" s="9"/>
      <c r="B266" s="9"/>
      <c r="C266" s="9"/>
      <c r="D266" s="9"/>
      <c r="E266" s="10"/>
      <c r="F266" s="10"/>
      <c r="G266" s="9"/>
      <c r="H266" s="9"/>
      <c r="I266" s="11"/>
      <c r="J266" s="9"/>
      <c r="K266" s="9"/>
      <c r="L266" s="9"/>
      <c r="M266" s="43"/>
      <c r="N266" s="32"/>
      <c r="O266" s="9"/>
      <c r="P266" s="9"/>
      <c r="Q266" s="9"/>
      <c r="R266" s="9"/>
      <c r="S266" s="9"/>
      <c r="T266" s="9"/>
    </row>
    <row r="267" ht="21.0" customHeight="1">
      <c r="A267" s="9"/>
      <c r="B267" s="9"/>
      <c r="C267" s="9"/>
      <c r="D267" s="9"/>
      <c r="E267" s="10"/>
      <c r="F267" s="10"/>
      <c r="G267" s="9"/>
      <c r="H267" s="9"/>
      <c r="I267" s="11"/>
      <c r="J267" s="9"/>
      <c r="K267" s="9"/>
      <c r="L267" s="9"/>
      <c r="M267" s="43"/>
      <c r="N267" s="32"/>
      <c r="O267" s="9"/>
      <c r="P267" s="9"/>
      <c r="Q267" s="9"/>
      <c r="R267" s="9"/>
      <c r="S267" s="9"/>
      <c r="T267" s="9"/>
    </row>
    <row r="268" ht="21.0" customHeight="1">
      <c r="A268" s="9"/>
      <c r="B268" s="9"/>
      <c r="C268" s="9"/>
      <c r="D268" s="9"/>
      <c r="E268" s="10"/>
      <c r="F268" s="10"/>
      <c r="G268" s="9"/>
      <c r="H268" s="9"/>
      <c r="I268" s="11"/>
      <c r="J268" s="9"/>
      <c r="K268" s="9"/>
      <c r="L268" s="9"/>
      <c r="M268" s="43"/>
      <c r="N268" s="32"/>
      <c r="O268" s="9"/>
      <c r="P268" s="9"/>
      <c r="Q268" s="9"/>
      <c r="R268" s="9"/>
      <c r="S268" s="9"/>
      <c r="T268" s="9"/>
    </row>
    <row r="269" ht="21.0" customHeight="1">
      <c r="A269" s="9"/>
      <c r="B269" s="9"/>
      <c r="C269" s="9"/>
      <c r="D269" s="9"/>
      <c r="E269" s="10"/>
      <c r="F269" s="10"/>
      <c r="G269" s="9"/>
      <c r="H269" s="9"/>
      <c r="I269" s="11"/>
      <c r="J269" s="9"/>
      <c r="K269" s="9"/>
      <c r="L269" s="9"/>
      <c r="M269" s="43"/>
      <c r="N269" s="32"/>
      <c r="O269" s="9"/>
      <c r="P269" s="9"/>
      <c r="Q269" s="9"/>
      <c r="R269" s="9"/>
      <c r="S269" s="9"/>
      <c r="T269" s="9"/>
    </row>
    <row r="270" ht="21.0" customHeight="1">
      <c r="A270" s="9"/>
      <c r="B270" s="9"/>
      <c r="C270" s="9"/>
      <c r="D270" s="9"/>
      <c r="E270" s="10"/>
      <c r="F270" s="10"/>
      <c r="G270" s="9"/>
      <c r="H270" s="9"/>
      <c r="I270" s="11"/>
      <c r="J270" s="9"/>
      <c r="K270" s="9"/>
      <c r="L270" s="9"/>
      <c r="M270" s="43"/>
      <c r="N270" s="32"/>
      <c r="O270" s="9"/>
      <c r="P270" s="9"/>
      <c r="Q270" s="9"/>
      <c r="R270" s="9"/>
      <c r="S270" s="9"/>
      <c r="T270" s="9"/>
    </row>
    <row r="271" ht="21.0" customHeight="1">
      <c r="A271" s="9"/>
      <c r="B271" s="9"/>
      <c r="C271" s="9"/>
      <c r="D271" s="9"/>
      <c r="E271" s="10"/>
      <c r="F271" s="10"/>
      <c r="G271" s="9"/>
      <c r="H271" s="9"/>
      <c r="I271" s="11"/>
      <c r="J271" s="9"/>
      <c r="K271" s="9"/>
      <c r="L271" s="9"/>
      <c r="M271" s="43"/>
      <c r="N271" s="32"/>
      <c r="O271" s="9"/>
      <c r="P271" s="9"/>
      <c r="Q271" s="9"/>
      <c r="R271" s="9"/>
      <c r="S271" s="9"/>
      <c r="T271" s="9"/>
    </row>
    <row r="272" ht="21.0" customHeight="1">
      <c r="A272" s="9"/>
      <c r="B272" s="9"/>
      <c r="C272" s="9"/>
      <c r="D272" s="9"/>
      <c r="E272" s="10"/>
      <c r="F272" s="10"/>
      <c r="G272" s="9"/>
      <c r="H272" s="9"/>
      <c r="I272" s="11"/>
      <c r="J272" s="9"/>
      <c r="K272" s="9"/>
      <c r="L272" s="9"/>
      <c r="M272" s="43"/>
      <c r="N272" s="32"/>
      <c r="O272" s="9"/>
      <c r="P272" s="9"/>
      <c r="Q272" s="9"/>
      <c r="R272" s="9"/>
      <c r="S272" s="9"/>
      <c r="T272" s="9"/>
    </row>
    <row r="273" ht="21.0" customHeight="1">
      <c r="A273" s="9"/>
      <c r="B273" s="9"/>
      <c r="C273" s="9"/>
      <c r="D273" s="9"/>
      <c r="E273" s="10"/>
      <c r="F273" s="10"/>
      <c r="G273" s="9"/>
      <c r="H273" s="9"/>
      <c r="I273" s="11"/>
      <c r="J273" s="9"/>
      <c r="K273" s="9"/>
      <c r="L273" s="9"/>
      <c r="M273" s="43"/>
      <c r="N273" s="32"/>
      <c r="O273" s="9"/>
      <c r="P273" s="9"/>
      <c r="Q273" s="9"/>
      <c r="R273" s="9"/>
      <c r="S273" s="9"/>
      <c r="T273" s="9"/>
    </row>
    <row r="274" ht="21.0" customHeight="1">
      <c r="A274" s="9"/>
      <c r="B274" s="9"/>
      <c r="C274" s="9"/>
      <c r="D274" s="9"/>
      <c r="E274" s="10"/>
      <c r="F274" s="10"/>
      <c r="G274" s="9"/>
      <c r="H274" s="9"/>
      <c r="I274" s="11"/>
      <c r="J274" s="9"/>
      <c r="K274" s="9"/>
      <c r="L274" s="9"/>
      <c r="M274" s="43"/>
      <c r="N274" s="32"/>
      <c r="O274" s="9"/>
      <c r="P274" s="9"/>
      <c r="Q274" s="9"/>
      <c r="R274" s="9"/>
      <c r="S274" s="9"/>
      <c r="T274" s="9"/>
    </row>
    <row r="275" ht="21.0" customHeight="1">
      <c r="A275" s="9"/>
      <c r="B275" s="9"/>
      <c r="C275" s="9"/>
      <c r="D275" s="9"/>
      <c r="E275" s="10"/>
      <c r="F275" s="10"/>
      <c r="G275" s="9"/>
      <c r="H275" s="9"/>
      <c r="I275" s="11"/>
      <c r="J275" s="9"/>
      <c r="K275" s="9"/>
      <c r="L275" s="9"/>
      <c r="M275" s="43"/>
      <c r="N275" s="32"/>
      <c r="O275" s="9"/>
      <c r="P275" s="9"/>
      <c r="Q275" s="9"/>
      <c r="R275" s="9"/>
      <c r="S275" s="9"/>
      <c r="T275" s="9"/>
    </row>
    <row r="276" ht="21.0" customHeight="1">
      <c r="A276" s="9"/>
      <c r="B276" s="9"/>
      <c r="C276" s="9"/>
      <c r="D276" s="9"/>
      <c r="E276" s="10"/>
      <c r="F276" s="10"/>
      <c r="G276" s="9"/>
      <c r="H276" s="9"/>
      <c r="I276" s="11"/>
      <c r="J276" s="9"/>
      <c r="K276" s="9"/>
      <c r="L276" s="9"/>
      <c r="M276" s="43"/>
      <c r="N276" s="32"/>
      <c r="O276" s="9"/>
      <c r="P276" s="9"/>
      <c r="Q276" s="9"/>
      <c r="R276" s="9"/>
      <c r="S276" s="9"/>
      <c r="T276" s="9"/>
    </row>
    <row r="277" ht="21.0" customHeight="1">
      <c r="A277" s="9"/>
      <c r="B277" s="9"/>
      <c r="C277" s="9"/>
      <c r="D277" s="9"/>
      <c r="E277" s="10"/>
      <c r="F277" s="10"/>
      <c r="G277" s="9"/>
      <c r="H277" s="9"/>
      <c r="I277" s="11"/>
      <c r="J277" s="9"/>
      <c r="K277" s="9"/>
      <c r="L277" s="9"/>
      <c r="M277" s="43"/>
      <c r="N277" s="32"/>
      <c r="O277" s="9"/>
      <c r="P277" s="9"/>
      <c r="Q277" s="9"/>
      <c r="R277" s="9"/>
      <c r="S277" s="9"/>
      <c r="T277" s="9"/>
    </row>
    <row r="278" ht="21.0" customHeight="1">
      <c r="A278" s="9"/>
      <c r="B278" s="9"/>
      <c r="C278" s="9"/>
      <c r="D278" s="9"/>
      <c r="E278" s="10"/>
      <c r="F278" s="10"/>
      <c r="G278" s="9"/>
      <c r="H278" s="9"/>
      <c r="I278" s="11"/>
      <c r="J278" s="9"/>
      <c r="K278" s="9"/>
      <c r="L278" s="9"/>
      <c r="M278" s="43"/>
      <c r="N278" s="32"/>
      <c r="O278" s="9"/>
      <c r="P278" s="9"/>
      <c r="Q278" s="9"/>
      <c r="R278" s="9"/>
      <c r="S278" s="9"/>
      <c r="T278" s="9"/>
    </row>
    <row r="279" ht="21.0" customHeight="1">
      <c r="A279" s="9"/>
      <c r="B279" s="9"/>
      <c r="C279" s="9"/>
      <c r="D279" s="9"/>
      <c r="E279" s="10"/>
      <c r="F279" s="10"/>
      <c r="G279" s="9"/>
      <c r="H279" s="9"/>
      <c r="I279" s="11"/>
      <c r="J279" s="9"/>
      <c r="K279" s="9"/>
      <c r="L279" s="9"/>
      <c r="M279" s="43"/>
      <c r="N279" s="32"/>
      <c r="O279" s="9"/>
      <c r="P279" s="9"/>
      <c r="Q279" s="9"/>
      <c r="R279" s="9"/>
      <c r="S279" s="9"/>
      <c r="T279" s="9"/>
    </row>
    <row r="280" ht="21.0" customHeight="1">
      <c r="A280" s="9"/>
      <c r="B280" s="9"/>
      <c r="C280" s="9"/>
      <c r="D280" s="9"/>
      <c r="E280" s="10"/>
      <c r="F280" s="10"/>
      <c r="G280" s="9"/>
      <c r="H280" s="9"/>
      <c r="I280" s="11"/>
      <c r="J280" s="9"/>
      <c r="K280" s="9"/>
      <c r="L280" s="9"/>
      <c r="M280" s="43"/>
      <c r="N280" s="32"/>
      <c r="O280" s="9"/>
      <c r="P280" s="9"/>
      <c r="Q280" s="9"/>
      <c r="R280" s="9"/>
      <c r="S280" s="9"/>
      <c r="T280" s="9"/>
    </row>
    <row r="281" ht="21.0" customHeight="1">
      <c r="A281" s="9"/>
      <c r="B281" s="9"/>
      <c r="C281" s="9"/>
      <c r="D281" s="9"/>
      <c r="E281" s="10"/>
      <c r="F281" s="10"/>
      <c r="G281" s="9"/>
      <c r="H281" s="9"/>
      <c r="I281" s="11"/>
      <c r="J281" s="9"/>
      <c r="K281" s="9"/>
      <c r="L281" s="9"/>
      <c r="M281" s="43"/>
      <c r="N281" s="32"/>
      <c r="O281" s="9"/>
      <c r="P281" s="9"/>
      <c r="Q281" s="9"/>
      <c r="R281" s="9"/>
      <c r="S281" s="9"/>
      <c r="T281" s="9"/>
    </row>
    <row r="282" ht="21.0" customHeight="1">
      <c r="A282" s="9"/>
      <c r="B282" s="9"/>
      <c r="C282" s="9"/>
      <c r="D282" s="9"/>
      <c r="E282" s="10"/>
      <c r="F282" s="10"/>
      <c r="G282" s="9"/>
      <c r="H282" s="9"/>
      <c r="I282" s="11"/>
      <c r="J282" s="9"/>
      <c r="K282" s="9"/>
      <c r="L282" s="9"/>
      <c r="M282" s="43"/>
      <c r="N282" s="32"/>
      <c r="O282" s="9"/>
      <c r="P282" s="9"/>
      <c r="Q282" s="9"/>
      <c r="R282" s="9"/>
      <c r="S282" s="9"/>
      <c r="T282" s="9"/>
    </row>
    <row r="283" ht="21.0" customHeight="1">
      <c r="A283" s="9"/>
      <c r="B283" s="9"/>
      <c r="C283" s="9"/>
      <c r="D283" s="9"/>
      <c r="E283" s="10"/>
      <c r="F283" s="10"/>
      <c r="G283" s="9"/>
      <c r="H283" s="9"/>
      <c r="I283" s="11"/>
      <c r="J283" s="9"/>
      <c r="K283" s="9"/>
      <c r="L283" s="9"/>
      <c r="M283" s="43"/>
      <c r="N283" s="32"/>
      <c r="O283" s="9"/>
      <c r="P283" s="9"/>
      <c r="Q283" s="9"/>
      <c r="R283" s="9"/>
      <c r="S283" s="9"/>
      <c r="T283" s="9"/>
    </row>
    <row r="284" ht="21.0" customHeight="1">
      <c r="A284" s="9"/>
      <c r="B284" s="9"/>
      <c r="C284" s="9"/>
      <c r="D284" s="9"/>
      <c r="E284" s="10"/>
      <c r="F284" s="10"/>
      <c r="G284" s="9"/>
      <c r="H284" s="9"/>
      <c r="I284" s="11"/>
      <c r="J284" s="9"/>
      <c r="K284" s="9"/>
      <c r="L284" s="9"/>
      <c r="M284" s="43"/>
      <c r="N284" s="32"/>
      <c r="O284" s="9"/>
      <c r="P284" s="9"/>
      <c r="Q284" s="9"/>
      <c r="R284" s="9"/>
      <c r="S284" s="9"/>
      <c r="T284" s="9"/>
    </row>
    <row r="285" ht="21.0" customHeight="1">
      <c r="A285" s="9"/>
      <c r="B285" s="9"/>
      <c r="C285" s="9"/>
      <c r="D285" s="9"/>
      <c r="E285" s="10"/>
      <c r="F285" s="10"/>
      <c r="G285" s="9"/>
      <c r="H285" s="9"/>
      <c r="I285" s="11"/>
      <c r="J285" s="9"/>
      <c r="K285" s="9"/>
      <c r="L285" s="9"/>
      <c r="M285" s="43"/>
      <c r="N285" s="32"/>
      <c r="O285" s="9"/>
      <c r="P285" s="9"/>
      <c r="Q285" s="9"/>
      <c r="R285" s="9"/>
      <c r="S285" s="9"/>
      <c r="T285" s="9"/>
    </row>
    <row r="286" ht="21.0" customHeight="1">
      <c r="A286" s="9"/>
      <c r="B286" s="9"/>
      <c r="C286" s="9"/>
      <c r="D286" s="9"/>
      <c r="E286" s="10"/>
      <c r="F286" s="10"/>
      <c r="G286" s="9"/>
      <c r="H286" s="9"/>
      <c r="I286" s="11"/>
      <c r="J286" s="9"/>
      <c r="K286" s="9"/>
      <c r="L286" s="9"/>
      <c r="M286" s="43"/>
      <c r="N286" s="32"/>
      <c r="O286" s="9"/>
      <c r="P286" s="9"/>
      <c r="Q286" s="9"/>
      <c r="R286" s="9"/>
      <c r="S286" s="9"/>
      <c r="T286" s="9"/>
    </row>
    <row r="287" ht="21.0" customHeight="1">
      <c r="A287" s="9"/>
      <c r="B287" s="9"/>
      <c r="C287" s="9"/>
      <c r="D287" s="9"/>
      <c r="E287" s="10"/>
      <c r="F287" s="10"/>
      <c r="G287" s="9"/>
      <c r="H287" s="9"/>
      <c r="I287" s="11"/>
      <c r="J287" s="9"/>
      <c r="K287" s="9"/>
      <c r="L287" s="9"/>
      <c r="M287" s="43"/>
      <c r="N287" s="32"/>
      <c r="O287" s="9"/>
      <c r="P287" s="9"/>
      <c r="Q287" s="9"/>
      <c r="R287" s="9"/>
      <c r="S287" s="9"/>
      <c r="T287" s="9"/>
    </row>
    <row r="288" ht="21.0" customHeight="1">
      <c r="A288" s="9"/>
      <c r="B288" s="9"/>
      <c r="C288" s="9"/>
      <c r="D288" s="9"/>
      <c r="E288" s="10"/>
      <c r="F288" s="10"/>
      <c r="G288" s="9"/>
      <c r="H288" s="9"/>
      <c r="I288" s="11"/>
      <c r="J288" s="9"/>
      <c r="K288" s="9"/>
      <c r="L288" s="9"/>
      <c r="M288" s="43"/>
      <c r="N288" s="32"/>
      <c r="O288" s="9"/>
      <c r="P288" s="9"/>
      <c r="Q288" s="9"/>
      <c r="R288" s="9"/>
      <c r="S288" s="9"/>
      <c r="T288" s="9"/>
    </row>
    <row r="289" ht="21.0" customHeight="1">
      <c r="A289" s="9"/>
      <c r="B289" s="9"/>
      <c r="C289" s="9"/>
      <c r="D289" s="9"/>
      <c r="E289" s="10"/>
      <c r="F289" s="10"/>
      <c r="G289" s="9"/>
      <c r="H289" s="9"/>
      <c r="I289" s="11"/>
      <c r="J289" s="9"/>
      <c r="K289" s="9"/>
      <c r="L289" s="9"/>
      <c r="M289" s="43"/>
      <c r="N289" s="32"/>
      <c r="O289" s="9"/>
      <c r="P289" s="9"/>
      <c r="Q289" s="9"/>
      <c r="R289" s="9"/>
      <c r="S289" s="9"/>
      <c r="T289" s="9"/>
    </row>
    <row r="290" ht="21.0" customHeight="1">
      <c r="A290" s="9"/>
      <c r="B290" s="9"/>
      <c r="C290" s="9"/>
      <c r="D290" s="9"/>
      <c r="E290" s="10"/>
      <c r="F290" s="10"/>
      <c r="G290" s="9"/>
      <c r="H290" s="9"/>
      <c r="I290" s="11"/>
      <c r="J290" s="9"/>
      <c r="K290" s="9"/>
      <c r="L290" s="9"/>
      <c r="M290" s="43"/>
      <c r="N290" s="32"/>
      <c r="O290" s="9"/>
      <c r="P290" s="9"/>
      <c r="Q290" s="9"/>
      <c r="R290" s="9"/>
      <c r="S290" s="9"/>
      <c r="T290" s="9"/>
    </row>
    <row r="291" ht="21.0" customHeight="1">
      <c r="A291" s="9"/>
      <c r="B291" s="9"/>
      <c r="C291" s="9"/>
      <c r="D291" s="9"/>
      <c r="E291" s="10"/>
      <c r="F291" s="10"/>
      <c r="G291" s="9"/>
      <c r="H291" s="9"/>
      <c r="I291" s="11"/>
      <c r="J291" s="9"/>
      <c r="K291" s="9"/>
      <c r="L291" s="9"/>
      <c r="M291" s="43"/>
      <c r="N291" s="32"/>
      <c r="O291" s="9"/>
      <c r="P291" s="9"/>
      <c r="Q291" s="9"/>
      <c r="R291" s="9"/>
      <c r="S291" s="9"/>
      <c r="T291" s="9"/>
    </row>
    <row r="292" ht="21.0" customHeight="1">
      <c r="A292" s="9"/>
      <c r="B292" s="9"/>
      <c r="C292" s="9"/>
      <c r="D292" s="9"/>
      <c r="E292" s="10"/>
      <c r="F292" s="10"/>
      <c r="G292" s="9"/>
      <c r="H292" s="9"/>
      <c r="I292" s="11"/>
      <c r="J292" s="9"/>
      <c r="K292" s="9"/>
      <c r="L292" s="9"/>
      <c r="M292" s="43"/>
      <c r="N292" s="32"/>
      <c r="O292" s="9"/>
      <c r="P292" s="9"/>
      <c r="Q292" s="9"/>
      <c r="R292" s="9"/>
      <c r="S292" s="9"/>
      <c r="T292" s="9"/>
    </row>
    <row r="293" ht="21.0" customHeight="1">
      <c r="A293" s="9"/>
      <c r="B293" s="9"/>
      <c r="C293" s="9"/>
      <c r="D293" s="9"/>
      <c r="E293" s="10"/>
      <c r="F293" s="10"/>
      <c r="G293" s="9"/>
      <c r="H293" s="9"/>
      <c r="I293" s="11"/>
      <c r="J293" s="9"/>
      <c r="K293" s="9"/>
      <c r="L293" s="9"/>
      <c r="M293" s="43"/>
      <c r="N293" s="32"/>
      <c r="O293" s="9"/>
      <c r="P293" s="9"/>
      <c r="Q293" s="9"/>
      <c r="R293" s="9"/>
      <c r="S293" s="9"/>
      <c r="T293" s="9"/>
    </row>
    <row r="294" ht="21.0" customHeight="1">
      <c r="A294" s="9"/>
      <c r="B294" s="9"/>
      <c r="C294" s="9"/>
      <c r="D294" s="9"/>
      <c r="E294" s="10"/>
      <c r="F294" s="10"/>
      <c r="G294" s="9"/>
      <c r="H294" s="9"/>
      <c r="I294" s="11"/>
      <c r="J294" s="9"/>
      <c r="K294" s="9"/>
      <c r="L294" s="9"/>
      <c r="M294" s="43"/>
      <c r="N294" s="32"/>
      <c r="O294" s="9"/>
      <c r="P294" s="9"/>
      <c r="Q294" s="9"/>
      <c r="R294" s="9"/>
      <c r="S294" s="9"/>
      <c r="T294" s="9"/>
    </row>
    <row r="295" ht="21.0" customHeight="1">
      <c r="A295" s="9"/>
      <c r="B295" s="9"/>
      <c r="C295" s="9"/>
      <c r="D295" s="9"/>
      <c r="E295" s="10"/>
      <c r="F295" s="10"/>
      <c r="G295" s="9"/>
      <c r="H295" s="9"/>
      <c r="I295" s="11"/>
      <c r="J295" s="9"/>
      <c r="K295" s="9"/>
      <c r="L295" s="9"/>
      <c r="M295" s="43"/>
      <c r="N295" s="32"/>
      <c r="O295" s="9"/>
      <c r="P295" s="9"/>
      <c r="Q295" s="9"/>
      <c r="R295" s="9"/>
      <c r="S295" s="9"/>
      <c r="T295" s="9"/>
    </row>
    <row r="296" ht="21.0" customHeight="1">
      <c r="A296" s="9"/>
      <c r="B296" s="9"/>
      <c r="C296" s="9"/>
      <c r="D296" s="9"/>
      <c r="E296" s="10"/>
      <c r="F296" s="10"/>
      <c r="G296" s="9"/>
      <c r="H296" s="9"/>
      <c r="I296" s="11"/>
      <c r="J296" s="9"/>
      <c r="K296" s="9"/>
      <c r="L296" s="9"/>
      <c r="M296" s="43"/>
      <c r="N296" s="32"/>
      <c r="O296" s="9"/>
      <c r="P296" s="9"/>
      <c r="Q296" s="9"/>
      <c r="R296" s="9"/>
      <c r="S296" s="9"/>
      <c r="T296" s="9"/>
    </row>
    <row r="297" ht="21.0" customHeight="1">
      <c r="A297" s="9"/>
      <c r="B297" s="9"/>
      <c r="C297" s="9"/>
      <c r="D297" s="9"/>
      <c r="E297" s="10"/>
      <c r="F297" s="10"/>
      <c r="G297" s="9"/>
      <c r="H297" s="9"/>
      <c r="I297" s="11"/>
      <c r="J297" s="9"/>
      <c r="K297" s="9"/>
      <c r="L297" s="9"/>
      <c r="M297" s="43"/>
      <c r="N297" s="32"/>
      <c r="O297" s="9"/>
      <c r="P297" s="9"/>
      <c r="Q297" s="9"/>
      <c r="R297" s="9"/>
      <c r="S297" s="9"/>
      <c r="T297" s="9"/>
    </row>
    <row r="298" ht="21.0" customHeight="1">
      <c r="A298" s="9"/>
      <c r="B298" s="9"/>
      <c r="C298" s="9"/>
      <c r="D298" s="9"/>
      <c r="E298" s="10"/>
      <c r="F298" s="10"/>
      <c r="G298" s="9"/>
      <c r="H298" s="9"/>
      <c r="I298" s="11"/>
      <c r="J298" s="9"/>
      <c r="K298" s="9"/>
      <c r="L298" s="9"/>
      <c r="M298" s="43"/>
      <c r="N298" s="32"/>
      <c r="O298" s="9"/>
      <c r="P298" s="9"/>
      <c r="Q298" s="9"/>
      <c r="R298" s="9"/>
      <c r="S298" s="9"/>
      <c r="T298" s="9"/>
    </row>
    <row r="299" ht="21.0" customHeight="1">
      <c r="A299" s="9"/>
      <c r="B299" s="9"/>
      <c r="C299" s="9"/>
      <c r="D299" s="9"/>
      <c r="E299" s="10"/>
      <c r="F299" s="10"/>
      <c r="G299" s="9"/>
      <c r="H299" s="9"/>
      <c r="I299" s="11"/>
      <c r="J299" s="9"/>
      <c r="K299" s="9"/>
      <c r="L299" s="9"/>
      <c r="M299" s="43"/>
      <c r="N299" s="32"/>
      <c r="O299" s="9"/>
      <c r="P299" s="9"/>
      <c r="Q299" s="9"/>
      <c r="R299" s="9"/>
      <c r="S299" s="9"/>
      <c r="T299" s="9"/>
    </row>
    <row r="300" ht="21.0" customHeight="1">
      <c r="A300" s="9"/>
      <c r="B300" s="9"/>
      <c r="C300" s="9"/>
      <c r="D300" s="9"/>
      <c r="E300" s="10"/>
      <c r="F300" s="10"/>
      <c r="G300" s="9"/>
      <c r="H300" s="9"/>
      <c r="I300" s="11"/>
      <c r="J300" s="9"/>
      <c r="K300" s="9"/>
      <c r="L300" s="9"/>
      <c r="M300" s="43"/>
      <c r="N300" s="32"/>
      <c r="O300" s="9"/>
      <c r="P300" s="9"/>
      <c r="Q300" s="9"/>
      <c r="R300" s="9"/>
      <c r="S300" s="9"/>
      <c r="T300" s="9"/>
    </row>
    <row r="301" ht="21.0" customHeight="1">
      <c r="A301" s="9"/>
      <c r="B301" s="9"/>
      <c r="C301" s="9"/>
      <c r="D301" s="9"/>
      <c r="E301" s="10"/>
      <c r="F301" s="10"/>
      <c r="G301" s="9"/>
      <c r="H301" s="9"/>
      <c r="I301" s="11"/>
      <c r="J301" s="9"/>
      <c r="K301" s="9"/>
      <c r="L301" s="9"/>
      <c r="M301" s="43"/>
      <c r="N301" s="32"/>
      <c r="O301" s="9"/>
      <c r="P301" s="9"/>
      <c r="Q301" s="9"/>
      <c r="R301" s="9"/>
      <c r="S301" s="9"/>
      <c r="T301" s="9"/>
    </row>
    <row r="302" ht="21.0" customHeight="1">
      <c r="A302" s="9"/>
      <c r="B302" s="9"/>
      <c r="C302" s="9"/>
      <c r="D302" s="9"/>
      <c r="E302" s="10"/>
      <c r="F302" s="10"/>
      <c r="G302" s="9"/>
      <c r="H302" s="9"/>
      <c r="I302" s="11"/>
      <c r="J302" s="9"/>
      <c r="K302" s="9"/>
      <c r="L302" s="9"/>
      <c r="M302" s="43"/>
      <c r="N302" s="32"/>
      <c r="O302" s="9"/>
      <c r="P302" s="9"/>
      <c r="Q302" s="9"/>
      <c r="R302" s="9"/>
      <c r="S302" s="9"/>
      <c r="T302" s="9"/>
    </row>
    <row r="303" ht="21.0" customHeight="1">
      <c r="A303" s="9"/>
      <c r="B303" s="9"/>
      <c r="C303" s="9"/>
      <c r="D303" s="9"/>
      <c r="E303" s="10"/>
      <c r="F303" s="10"/>
      <c r="G303" s="9"/>
      <c r="H303" s="9"/>
      <c r="I303" s="11"/>
      <c r="J303" s="9"/>
      <c r="K303" s="9"/>
      <c r="L303" s="9"/>
      <c r="M303" s="43"/>
      <c r="N303" s="32"/>
      <c r="O303" s="9"/>
      <c r="P303" s="9"/>
      <c r="Q303" s="9"/>
      <c r="R303" s="9"/>
      <c r="S303" s="9"/>
      <c r="T303" s="9"/>
    </row>
    <row r="304" ht="21.0" customHeight="1">
      <c r="A304" s="9"/>
      <c r="B304" s="9"/>
      <c r="C304" s="9"/>
      <c r="D304" s="9"/>
      <c r="E304" s="10"/>
      <c r="F304" s="10"/>
      <c r="G304" s="9"/>
      <c r="H304" s="9"/>
      <c r="I304" s="11"/>
      <c r="J304" s="9"/>
      <c r="K304" s="9"/>
      <c r="L304" s="9"/>
      <c r="M304" s="43"/>
      <c r="N304" s="32"/>
      <c r="O304" s="9"/>
      <c r="P304" s="9"/>
      <c r="Q304" s="9"/>
      <c r="R304" s="9"/>
      <c r="S304" s="9"/>
      <c r="T304" s="9"/>
    </row>
    <row r="305" ht="21.0" customHeight="1">
      <c r="A305" s="9"/>
      <c r="B305" s="9"/>
      <c r="C305" s="9"/>
      <c r="D305" s="9"/>
      <c r="E305" s="10"/>
      <c r="F305" s="10"/>
      <c r="G305" s="9"/>
      <c r="H305" s="9"/>
      <c r="I305" s="11"/>
      <c r="J305" s="9"/>
      <c r="K305" s="9"/>
      <c r="L305" s="9"/>
      <c r="M305" s="43"/>
      <c r="N305" s="32"/>
      <c r="O305" s="9"/>
      <c r="P305" s="9"/>
      <c r="Q305" s="9"/>
      <c r="R305" s="9"/>
      <c r="S305" s="9"/>
      <c r="T305" s="9"/>
    </row>
    <row r="306" ht="21.0" customHeight="1">
      <c r="A306" s="9"/>
      <c r="B306" s="9"/>
      <c r="C306" s="9"/>
      <c r="D306" s="9"/>
      <c r="E306" s="10"/>
      <c r="F306" s="10"/>
      <c r="G306" s="9"/>
      <c r="H306" s="9"/>
      <c r="I306" s="11"/>
      <c r="J306" s="9"/>
      <c r="K306" s="9"/>
      <c r="L306" s="9"/>
      <c r="M306" s="43"/>
      <c r="N306" s="32"/>
      <c r="O306" s="9"/>
      <c r="P306" s="9"/>
      <c r="Q306" s="9"/>
      <c r="R306" s="9"/>
      <c r="S306" s="9"/>
      <c r="T306" s="9"/>
    </row>
    <row r="307" ht="21.0" customHeight="1">
      <c r="A307" s="9"/>
      <c r="B307" s="9"/>
      <c r="C307" s="9"/>
      <c r="D307" s="9"/>
      <c r="E307" s="10"/>
      <c r="F307" s="10"/>
      <c r="G307" s="9"/>
      <c r="H307" s="9"/>
      <c r="I307" s="11"/>
      <c r="J307" s="9"/>
      <c r="K307" s="9"/>
      <c r="L307" s="9"/>
      <c r="M307" s="43"/>
      <c r="N307" s="32"/>
      <c r="O307" s="9"/>
      <c r="P307" s="9"/>
      <c r="Q307" s="9"/>
      <c r="R307" s="9"/>
      <c r="S307" s="9"/>
      <c r="T307" s="9"/>
    </row>
    <row r="308" ht="21.0" customHeight="1">
      <c r="A308" s="9"/>
      <c r="B308" s="9"/>
      <c r="C308" s="9"/>
      <c r="D308" s="9"/>
      <c r="E308" s="10"/>
      <c r="F308" s="10"/>
      <c r="G308" s="9"/>
      <c r="H308" s="9"/>
      <c r="I308" s="11"/>
      <c r="J308" s="9"/>
      <c r="K308" s="9"/>
      <c r="L308" s="9"/>
      <c r="M308" s="43"/>
      <c r="N308" s="32"/>
      <c r="O308" s="9"/>
      <c r="P308" s="9"/>
      <c r="Q308" s="9"/>
      <c r="R308" s="9"/>
      <c r="S308" s="9"/>
      <c r="T308" s="9"/>
    </row>
    <row r="309" ht="21.0" customHeight="1">
      <c r="A309" s="9"/>
      <c r="B309" s="9"/>
      <c r="C309" s="9"/>
      <c r="D309" s="9"/>
      <c r="E309" s="10"/>
      <c r="F309" s="10"/>
      <c r="G309" s="9"/>
      <c r="H309" s="9"/>
      <c r="I309" s="11"/>
      <c r="J309" s="9"/>
      <c r="K309" s="9"/>
      <c r="L309" s="9"/>
      <c r="M309" s="43"/>
      <c r="N309" s="32"/>
      <c r="O309" s="9"/>
      <c r="P309" s="9"/>
      <c r="Q309" s="9"/>
      <c r="R309" s="9"/>
      <c r="S309" s="9"/>
      <c r="T309" s="9"/>
    </row>
    <row r="310" ht="21.0" customHeight="1">
      <c r="A310" s="9"/>
      <c r="B310" s="9"/>
      <c r="C310" s="9"/>
      <c r="D310" s="9"/>
      <c r="E310" s="10"/>
      <c r="F310" s="10"/>
      <c r="G310" s="9"/>
      <c r="H310" s="9"/>
      <c r="I310" s="11"/>
      <c r="J310" s="9"/>
      <c r="K310" s="9"/>
      <c r="L310" s="9"/>
      <c r="M310" s="43"/>
      <c r="N310" s="32"/>
      <c r="O310" s="9"/>
      <c r="P310" s="9"/>
      <c r="Q310" s="9"/>
      <c r="R310" s="9"/>
      <c r="S310" s="9"/>
      <c r="T310" s="9"/>
    </row>
    <row r="311" ht="21.0" customHeight="1">
      <c r="A311" s="9"/>
      <c r="B311" s="9"/>
      <c r="C311" s="9"/>
      <c r="D311" s="9"/>
      <c r="E311" s="10"/>
      <c r="F311" s="10"/>
      <c r="G311" s="9"/>
      <c r="H311" s="9"/>
      <c r="I311" s="11"/>
      <c r="J311" s="9"/>
      <c r="K311" s="9"/>
      <c r="L311" s="9"/>
      <c r="M311" s="43"/>
      <c r="N311" s="32"/>
      <c r="O311" s="9"/>
      <c r="P311" s="9"/>
      <c r="Q311" s="9"/>
      <c r="R311" s="9"/>
      <c r="S311" s="9"/>
      <c r="T311" s="9"/>
    </row>
    <row r="312" ht="21.0" customHeight="1">
      <c r="A312" s="9"/>
      <c r="B312" s="9"/>
      <c r="C312" s="9"/>
      <c r="D312" s="9"/>
      <c r="E312" s="10"/>
      <c r="F312" s="10"/>
      <c r="G312" s="9"/>
      <c r="H312" s="9"/>
      <c r="I312" s="11"/>
      <c r="J312" s="9"/>
      <c r="K312" s="9"/>
      <c r="L312" s="9"/>
      <c r="M312" s="43"/>
      <c r="N312" s="32"/>
      <c r="O312" s="9"/>
      <c r="P312" s="9"/>
      <c r="Q312" s="9"/>
      <c r="R312" s="9"/>
      <c r="S312" s="9"/>
      <c r="T312" s="9"/>
    </row>
    <row r="313" ht="21.0" customHeight="1">
      <c r="A313" s="9"/>
      <c r="B313" s="9"/>
      <c r="C313" s="9"/>
      <c r="D313" s="9"/>
      <c r="E313" s="10"/>
      <c r="F313" s="10"/>
      <c r="G313" s="9"/>
      <c r="H313" s="9"/>
      <c r="I313" s="11"/>
      <c r="J313" s="9"/>
      <c r="K313" s="9"/>
      <c r="L313" s="9"/>
      <c r="M313" s="43"/>
      <c r="N313" s="32"/>
      <c r="O313" s="9"/>
      <c r="P313" s="9"/>
      <c r="Q313" s="9"/>
      <c r="R313" s="9"/>
      <c r="S313" s="9"/>
      <c r="T313" s="9"/>
    </row>
    <row r="314" ht="21.0" customHeight="1">
      <c r="A314" s="9"/>
      <c r="B314" s="9"/>
      <c r="C314" s="9"/>
      <c r="D314" s="9"/>
      <c r="E314" s="10"/>
      <c r="F314" s="10"/>
      <c r="G314" s="9"/>
      <c r="H314" s="9"/>
      <c r="I314" s="11"/>
      <c r="J314" s="9"/>
      <c r="K314" s="9"/>
      <c r="L314" s="9"/>
      <c r="M314" s="43"/>
      <c r="N314" s="32"/>
      <c r="O314" s="9"/>
      <c r="P314" s="9"/>
      <c r="Q314" s="9"/>
      <c r="R314" s="9"/>
      <c r="S314" s="9"/>
      <c r="T314" s="9"/>
    </row>
    <row r="315" ht="21.0" customHeight="1">
      <c r="A315" s="9"/>
      <c r="B315" s="9"/>
      <c r="C315" s="9"/>
      <c r="D315" s="9"/>
      <c r="E315" s="10"/>
      <c r="F315" s="10"/>
      <c r="G315" s="9"/>
      <c r="H315" s="9"/>
      <c r="I315" s="11"/>
      <c r="J315" s="9"/>
      <c r="K315" s="9"/>
      <c r="L315" s="9"/>
      <c r="M315" s="43"/>
      <c r="N315" s="32"/>
      <c r="O315" s="9"/>
      <c r="P315" s="9"/>
      <c r="Q315" s="9"/>
      <c r="R315" s="9"/>
      <c r="S315" s="9"/>
      <c r="T315" s="9"/>
    </row>
    <row r="316" ht="21.0" customHeight="1">
      <c r="A316" s="9"/>
      <c r="B316" s="9"/>
      <c r="C316" s="9"/>
      <c r="D316" s="9"/>
      <c r="E316" s="10"/>
      <c r="F316" s="10"/>
      <c r="G316" s="9"/>
      <c r="H316" s="9"/>
      <c r="I316" s="11"/>
      <c r="J316" s="9"/>
      <c r="K316" s="9"/>
      <c r="L316" s="9"/>
      <c r="M316" s="43"/>
      <c r="N316" s="32"/>
      <c r="O316" s="9"/>
      <c r="P316" s="9"/>
      <c r="Q316" s="9"/>
      <c r="R316" s="9"/>
      <c r="S316" s="9"/>
      <c r="T316" s="9"/>
    </row>
    <row r="317" ht="21.0" customHeight="1">
      <c r="A317" s="9"/>
      <c r="B317" s="9"/>
      <c r="C317" s="9"/>
      <c r="D317" s="9"/>
      <c r="E317" s="10"/>
      <c r="F317" s="10"/>
      <c r="G317" s="9"/>
      <c r="H317" s="9"/>
      <c r="I317" s="11"/>
      <c r="J317" s="9"/>
      <c r="K317" s="9"/>
      <c r="L317" s="9"/>
      <c r="M317" s="43"/>
      <c r="N317" s="32"/>
      <c r="O317" s="9"/>
      <c r="P317" s="9"/>
      <c r="Q317" s="9"/>
      <c r="R317" s="9"/>
      <c r="S317" s="9"/>
      <c r="T317" s="9"/>
    </row>
    <row r="318" ht="21.0" customHeight="1">
      <c r="A318" s="9"/>
      <c r="B318" s="9"/>
      <c r="C318" s="9"/>
      <c r="D318" s="9"/>
      <c r="E318" s="10"/>
      <c r="F318" s="10"/>
      <c r="G318" s="9"/>
      <c r="H318" s="9"/>
      <c r="I318" s="11"/>
      <c r="J318" s="9"/>
      <c r="K318" s="9"/>
      <c r="L318" s="9"/>
      <c r="M318" s="43"/>
      <c r="N318" s="32"/>
      <c r="O318" s="9"/>
      <c r="P318" s="9"/>
      <c r="Q318" s="9"/>
      <c r="R318" s="9"/>
      <c r="S318" s="9"/>
      <c r="T318" s="9"/>
    </row>
    <row r="319" ht="21.0" customHeight="1">
      <c r="A319" s="9"/>
      <c r="B319" s="9"/>
      <c r="C319" s="9"/>
      <c r="D319" s="9"/>
      <c r="E319" s="10"/>
      <c r="F319" s="10"/>
      <c r="G319" s="9"/>
      <c r="H319" s="9"/>
      <c r="I319" s="11"/>
      <c r="J319" s="9"/>
      <c r="K319" s="9"/>
      <c r="L319" s="9"/>
      <c r="M319" s="43"/>
      <c r="N319" s="32"/>
      <c r="O319" s="9"/>
      <c r="P319" s="9"/>
      <c r="Q319" s="9"/>
      <c r="R319" s="9"/>
      <c r="S319" s="9"/>
      <c r="T319" s="9"/>
    </row>
    <row r="320" ht="21.0" customHeight="1">
      <c r="A320" s="9"/>
      <c r="B320" s="9"/>
      <c r="C320" s="9"/>
      <c r="D320" s="9"/>
      <c r="E320" s="10"/>
      <c r="F320" s="10"/>
      <c r="G320" s="9"/>
      <c r="H320" s="9"/>
      <c r="I320" s="11"/>
      <c r="J320" s="9"/>
      <c r="K320" s="9"/>
      <c r="L320" s="9"/>
      <c r="M320" s="43"/>
      <c r="N320" s="32"/>
      <c r="O320" s="9"/>
      <c r="P320" s="9"/>
      <c r="Q320" s="9"/>
      <c r="R320" s="9"/>
      <c r="S320" s="9"/>
      <c r="T320" s="9"/>
    </row>
    <row r="321" ht="21.0" customHeight="1">
      <c r="A321" s="9"/>
      <c r="B321" s="9"/>
      <c r="C321" s="9"/>
      <c r="D321" s="9"/>
      <c r="E321" s="10"/>
      <c r="F321" s="10"/>
      <c r="G321" s="9"/>
      <c r="H321" s="9"/>
      <c r="I321" s="11"/>
      <c r="J321" s="9"/>
      <c r="K321" s="9"/>
      <c r="L321" s="9"/>
      <c r="M321" s="43"/>
      <c r="N321" s="32"/>
      <c r="O321" s="9"/>
      <c r="P321" s="9"/>
      <c r="Q321" s="9"/>
      <c r="R321" s="9"/>
      <c r="S321" s="9"/>
      <c r="T321" s="9"/>
    </row>
    <row r="322" ht="21.0" customHeight="1">
      <c r="A322" s="9"/>
      <c r="B322" s="9"/>
      <c r="C322" s="9"/>
      <c r="D322" s="9"/>
      <c r="E322" s="10"/>
      <c r="F322" s="10"/>
      <c r="G322" s="9"/>
      <c r="H322" s="9"/>
      <c r="I322" s="11"/>
      <c r="J322" s="9"/>
      <c r="K322" s="9"/>
      <c r="L322" s="9"/>
      <c r="M322" s="43"/>
      <c r="N322" s="32"/>
      <c r="O322" s="9"/>
      <c r="P322" s="9"/>
      <c r="Q322" s="9"/>
      <c r="R322" s="9"/>
      <c r="S322" s="9"/>
      <c r="T322" s="9"/>
    </row>
    <row r="323" ht="21.0" customHeight="1">
      <c r="A323" s="9"/>
      <c r="B323" s="9"/>
      <c r="C323" s="9"/>
      <c r="D323" s="9"/>
      <c r="E323" s="10"/>
      <c r="F323" s="10"/>
      <c r="G323" s="9"/>
      <c r="H323" s="9"/>
      <c r="I323" s="11"/>
      <c r="J323" s="9"/>
      <c r="K323" s="9"/>
      <c r="L323" s="9"/>
      <c r="M323" s="43"/>
      <c r="N323" s="32"/>
      <c r="O323" s="9"/>
      <c r="P323" s="9"/>
      <c r="Q323" s="9"/>
      <c r="R323" s="9"/>
      <c r="S323" s="9"/>
      <c r="T323" s="9"/>
    </row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02:E202"/>
  </mergeCells>
  <conditionalFormatting sqref="M4:M189">
    <cfRule type="cellIs" dxfId="1" priority="1" operator="lessThan">
      <formula>0.06</formula>
    </cfRule>
  </conditionalFormatting>
  <printOptions/>
  <pageMargins bottom="0.75" footer="0.0" header="0.0" left="0.7" right="0.7" top="0.75"/>
  <pageSetup fitToHeight="0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0.1" defaultRowHeight="15.0"/>
  <cols>
    <col customWidth="1" min="1" max="1" width="7.5"/>
    <col customWidth="1" min="2" max="2" width="19.9"/>
    <col customWidth="1" min="3" max="3" width="39.0"/>
    <col customWidth="1" min="4" max="4" width="16.5"/>
    <col customWidth="1" min="5" max="5" width="11.6"/>
    <col customWidth="1" min="6" max="6" width="20.1"/>
    <col customWidth="1" min="7" max="7" width="19.6"/>
    <col customWidth="1" min="8" max="8" width="18.6"/>
    <col customWidth="1" min="9" max="9" width="10.2"/>
    <col customWidth="1" min="10" max="10" width="20.4"/>
    <col customWidth="1" min="11" max="11" width="20.7"/>
    <col customWidth="1" min="12" max="12" width="17.9"/>
    <col customWidth="1" min="13" max="13" width="12.4"/>
    <col customWidth="1" min="14" max="20" width="13.4"/>
    <col customWidth="1" min="21" max="26" width="12.6"/>
  </cols>
  <sheetData>
    <row r="1" ht="36.0" customHeight="1">
      <c r="A1" s="1" t="s">
        <v>0</v>
      </c>
      <c r="B1" s="2"/>
      <c r="C1" s="3" t="s">
        <v>1</v>
      </c>
      <c r="D1" s="3"/>
      <c r="E1" s="2"/>
      <c r="F1" s="2"/>
      <c r="G1" s="1" t="s">
        <v>2</v>
      </c>
      <c r="H1" s="4"/>
      <c r="I1" s="5"/>
      <c r="J1" s="1"/>
      <c r="K1" s="2"/>
      <c r="L1" s="6"/>
      <c r="M1" s="6" t="s">
        <v>3</v>
      </c>
      <c r="N1" s="7"/>
      <c r="O1" s="7"/>
      <c r="P1" s="8" t="s">
        <v>4</v>
      </c>
      <c r="Q1" s="7"/>
      <c r="R1" s="7"/>
      <c r="S1" s="7"/>
      <c r="T1" s="7"/>
    </row>
    <row r="2" ht="21.0" customHeight="1">
      <c r="A2" s="9"/>
      <c r="B2" s="9"/>
      <c r="C2" s="9"/>
      <c r="D2" s="9"/>
      <c r="E2" s="10"/>
      <c r="F2" s="10"/>
      <c r="G2" s="9" t="s">
        <v>5</v>
      </c>
      <c r="H2" s="9"/>
      <c r="I2" s="11"/>
      <c r="J2" s="9" t="s">
        <v>6</v>
      </c>
      <c r="K2" s="9"/>
      <c r="L2" s="9"/>
      <c r="M2" s="12"/>
      <c r="N2" s="9"/>
      <c r="O2" s="9"/>
      <c r="P2" s="9"/>
      <c r="Q2" s="9"/>
      <c r="R2" s="9"/>
      <c r="S2" s="9"/>
      <c r="T2" s="9"/>
    </row>
    <row r="3" ht="21.0" customHeight="1">
      <c r="A3" s="13"/>
      <c r="B3" s="14" t="s">
        <v>7</v>
      </c>
      <c r="C3" s="15" t="s">
        <v>8</v>
      </c>
      <c r="D3" s="15" t="s">
        <v>9</v>
      </c>
      <c r="E3" s="15" t="s">
        <v>10</v>
      </c>
      <c r="F3" s="79" t="s">
        <v>74</v>
      </c>
      <c r="G3" s="17" t="s">
        <v>12</v>
      </c>
      <c r="H3" s="17" t="s">
        <v>13</v>
      </c>
      <c r="I3" s="18" t="s">
        <v>14</v>
      </c>
      <c r="J3" s="17" t="s">
        <v>15</v>
      </c>
      <c r="K3" s="15" t="s">
        <v>16</v>
      </c>
      <c r="L3" s="17" t="s">
        <v>17</v>
      </c>
      <c r="M3" s="19" t="s">
        <v>18</v>
      </c>
      <c r="N3" s="20" t="s">
        <v>75</v>
      </c>
      <c r="O3" s="21" t="s">
        <v>20</v>
      </c>
      <c r="P3" s="20" t="s">
        <v>21</v>
      </c>
      <c r="Q3" s="20" t="s">
        <v>22</v>
      </c>
      <c r="R3" s="22" t="s">
        <v>23</v>
      </c>
      <c r="S3" s="22"/>
      <c r="T3" s="23"/>
    </row>
    <row r="4" ht="21.0" customHeight="1">
      <c r="A4" s="13"/>
      <c r="B4" s="24" t="str">
        <f>'ALL DATA &amp; IT4PROFIT'!A6</f>
        <v>HUAWEI</v>
      </c>
      <c r="C4" s="24" t="str">
        <f>'ALL DATA &amp; IT4PROFIT'!B6</f>
        <v>SUN2000-2KTL-L1</v>
      </c>
      <c r="D4" s="24" t="str">
        <f>'ALL DATA &amp; IT4PROFIT'!C6</f>
        <v>1PH HYBRID</v>
      </c>
      <c r="E4" s="25">
        <v>1.0</v>
      </c>
      <c r="F4" s="26">
        <f>'ALL DATA &amp; IT4PROFIT'!R6</f>
        <v>449</v>
      </c>
      <c r="G4" s="27">
        <f t="shared" ref="G4:G31" si="1">F4+$G$190</f>
        <v>539</v>
      </c>
      <c r="H4" s="27">
        <f t="shared" ref="H4:H177" si="2">(G4*$E$190)+G4</f>
        <v>552.475</v>
      </c>
      <c r="I4" s="28">
        <f t="shared" ref="I4:I175" si="3">(J4-H4)/J4</f>
        <v>0.07</v>
      </c>
      <c r="J4" s="29">
        <f t="shared" ref="J4:J175" si="4">H4/(1-M4)</f>
        <v>594.0591398</v>
      </c>
      <c r="K4" s="30">
        <f t="shared" ref="K4:K175" si="5">SUM(E4*J4)</f>
        <v>594.0591398</v>
      </c>
      <c r="L4" s="30">
        <f t="shared" ref="L4:L175" si="6">SUM(E4*H4)</f>
        <v>552.475</v>
      </c>
      <c r="M4" s="31">
        <v>0.07</v>
      </c>
      <c r="N4" s="32">
        <f>'ALL DATA &amp; IT4PROFIT'!L6</f>
        <v>420</v>
      </c>
      <c r="O4" s="33"/>
      <c r="P4" s="32">
        <f>'ALL DATA &amp; IT4PROFIT'!H6</f>
        <v>557</v>
      </c>
      <c r="Q4" s="33">
        <f>'ALL DATA &amp; IT4PROFIT'!K6</f>
        <v>344</v>
      </c>
      <c r="R4" s="33">
        <f>'ALL DATA &amp; IT4PROFIT'!D6</f>
        <v>489</v>
      </c>
      <c r="S4" s="9"/>
      <c r="T4" s="34"/>
    </row>
    <row r="5" ht="21.0" customHeight="1">
      <c r="A5" s="13"/>
      <c r="B5" s="24" t="str">
        <f>'ALL DATA &amp; IT4PROFIT'!A7</f>
        <v>HUAWEI</v>
      </c>
      <c r="C5" s="24" t="str">
        <f>'ALL DATA &amp; IT4PROFIT'!B7</f>
        <v>SUN2000-3KTL-L1</v>
      </c>
      <c r="D5" s="24" t="str">
        <f>'ALL DATA &amp; IT4PROFIT'!C7</f>
        <v>1PH HYBRID</v>
      </c>
      <c r="E5" s="25">
        <v>1.0</v>
      </c>
      <c r="F5" s="26">
        <f>'ALL DATA &amp; IT4PROFIT'!R7</f>
        <v>529</v>
      </c>
      <c r="G5" s="27">
        <f t="shared" si="1"/>
        <v>619</v>
      </c>
      <c r="H5" s="27">
        <f t="shared" si="2"/>
        <v>634.475</v>
      </c>
      <c r="I5" s="28">
        <f t="shared" si="3"/>
        <v>0.07</v>
      </c>
      <c r="J5" s="29">
        <f t="shared" si="4"/>
        <v>682.2311828</v>
      </c>
      <c r="K5" s="30">
        <f t="shared" si="5"/>
        <v>682.2311828</v>
      </c>
      <c r="L5" s="30">
        <f t="shared" si="6"/>
        <v>634.475</v>
      </c>
      <c r="M5" s="31">
        <v>0.07</v>
      </c>
      <c r="N5" s="32">
        <f>'ALL DATA &amp; IT4PROFIT'!L7</f>
        <v>510</v>
      </c>
      <c r="O5" s="35"/>
      <c r="P5" s="32">
        <f>'ALL DATA &amp; IT4PROFIT'!H7</f>
        <v>545</v>
      </c>
      <c r="Q5" s="35">
        <f>'ALL DATA &amp; IT4PROFIT'!K7</f>
        <v>432</v>
      </c>
      <c r="R5" s="35">
        <f>'ALL DATA &amp; IT4PROFIT'!D7</f>
        <v>575</v>
      </c>
      <c r="S5" s="9"/>
      <c r="T5" s="9"/>
    </row>
    <row r="6" ht="21.0" customHeight="1">
      <c r="A6" s="13"/>
      <c r="B6" s="24" t="str">
        <f>'ALL DATA &amp; IT4PROFIT'!A8</f>
        <v>HUAWEI</v>
      </c>
      <c r="C6" s="24" t="str">
        <f>'ALL DATA &amp; IT4PROFIT'!B8</f>
        <v>SUN2000-3.68KTL-L1</v>
      </c>
      <c r="D6" s="24" t="str">
        <f>'ALL DATA &amp; IT4PROFIT'!C8</f>
        <v>1PH HYBRID</v>
      </c>
      <c r="E6" s="25">
        <v>1.0</v>
      </c>
      <c r="F6" s="26">
        <f>'ALL DATA &amp; IT4PROFIT'!R8</f>
        <v>523</v>
      </c>
      <c r="G6" s="27">
        <f t="shared" si="1"/>
        <v>613</v>
      </c>
      <c r="H6" s="27">
        <f t="shared" si="2"/>
        <v>628.325</v>
      </c>
      <c r="I6" s="28">
        <f t="shared" si="3"/>
        <v>0.07</v>
      </c>
      <c r="J6" s="29">
        <f t="shared" si="4"/>
        <v>675.6182796</v>
      </c>
      <c r="K6" s="30">
        <f t="shared" si="5"/>
        <v>675.6182796</v>
      </c>
      <c r="L6" s="30">
        <f t="shared" si="6"/>
        <v>628.325</v>
      </c>
      <c r="M6" s="31">
        <v>0.07</v>
      </c>
      <c r="N6" s="32">
        <f>'ALL DATA &amp; IT4PROFIT'!L8</f>
        <v>580</v>
      </c>
      <c r="O6" s="35"/>
      <c r="P6" s="32" t="str">
        <f>'ALL DATA &amp; IT4PROFIT'!H8</f>
        <v/>
      </c>
      <c r="Q6" s="35" t="str">
        <f>'ALL DATA &amp; IT4PROFIT'!K8</f>
        <v/>
      </c>
      <c r="R6" s="35">
        <f>'ALL DATA &amp; IT4PROFIT'!D8</f>
        <v>677</v>
      </c>
      <c r="S6" s="9"/>
      <c r="T6" s="9"/>
    </row>
    <row r="7" ht="21.0" customHeight="1">
      <c r="A7" s="13"/>
      <c r="B7" s="24" t="str">
        <f>'ALL DATA &amp; IT4PROFIT'!A9</f>
        <v>HUAWEI</v>
      </c>
      <c r="C7" s="24" t="str">
        <f>'ALL DATA &amp; IT4PROFIT'!B9</f>
        <v>SUN2000-4KTL-L1</v>
      </c>
      <c r="D7" s="24" t="str">
        <f>'ALL DATA &amp; IT4PROFIT'!C9</f>
        <v>1PH HYBRID</v>
      </c>
      <c r="E7" s="25">
        <v>1.0</v>
      </c>
      <c r="F7" s="26">
        <f>'ALL DATA &amp; IT4PROFIT'!R9</f>
        <v>648</v>
      </c>
      <c r="G7" s="27">
        <f t="shared" si="1"/>
        <v>738</v>
      </c>
      <c r="H7" s="27">
        <f t="shared" si="2"/>
        <v>756.45</v>
      </c>
      <c r="I7" s="28">
        <f t="shared" si="3"/>
        <v>0.07</v>
      </c>
      <c r="J7" s="29">
        <f t="shared" si="4"/>
        <v>813.3870968</v>
      </c>
      <c r="K7" s="30">
        <f t="shared" si="5"/>
        <v>813.3870968</v>
      </c>
      <c r="L7" s="30">
        <f t="shared" si="6"/>
        <v>756.45</v>
      </c>
      <c r="M7" s="31">
        <v>0.07</v>
      </c>
      <c r="N7" s="32">
        <f>'ALL DATA &amp; IT4PROFIT'!L9</f>
        <v>620</v>
      </c>
      <c r="O7" s="35"/>
      <c r="P7" s="32">
        <f>'ALL DATA &amp; IT4PROFIT'!H9</f>
        <v>580</v>
      </c>
      <c r="Q7" s="35">
        <f>'ALL DATA &amp; IT4PROFIT'!K9</f>
        <v>563</v>
      </c>
      <c r="R7" s="35">
        <f>'ALL DATA &amp; IT4PROFIT'!D9</f>
        <v>705</v>
      </c>
      <c r="S7" s="9"/>
      <c r="T7" s="9"/>
    </row>
    <row r="8" ht="21.0" customHeight="1">
      <c r="A8" s="13"/>
      <c r="B8" s="24" t="str">
        <f>'ALL DATA &amp; IT4PROFIT'!A10</f>
        <v>HUAWEI</v>
      </c>
      <c r="C8" s="24" t="str">
        <f>'ALL DATA &amp; IT4PROFIT'!B10</f>
        <v>SUN2000-4.6KTL-L1</v>
      </c>
      <c r="D8" s="24" t="str">
        <f>'ALL DATA &amp; IT4PROFIT'!C10</f>
        <v>1PH HYBRID</v>
      </c>
      <c r="E8" s="25">
        <v>1.0</v>
      </c>
      <c r="F8" s="26">
        <f>'ALL DATA &amp; IT4PROFIT'!R10</f>
        <v>696</v>
      </c>
      <c r="G8" s="27">
        <f t="shared" si="1"/>
        <v>786</v>
      </c>
      <c r="H8" s="27">
        <f t="shared" si="2"/>
        <v>805.65</v>
      </c>
      <c r="I8" s="28">
        <f t="shared" si="3"/>
        <v>0.07</v>
      </c>
      <c r="J8" s="29">
        <f t="shared" si="4"/>
        <v>866.2903226</v>
      </c>
      <c r="K8" s="30">
        <f t="shared" si="5"/>
        <v>866.2903226</v>
      </c>
      <c r="L8" s="30">
        <f t="shared" si="6"/>
        <v>805.65</v>
      </c>
      <c r="M8" s="31">
        <v>0.07</v>
      </c>
      <c r="N8" s="32">
        <f>'ALL DATA &amp; IT4PROFIT'!L10</f>
        <v>645</v>
      </c>
      <c r="O8" s="35"/>
      <c r="P8" s="32">
        <f>'ALL DATA &amp; IT4PROFIT'!H10</f>
        <v>595</v>
      </c>
      <c r="Q8" s="35">
        <f>'ALL DATA &amp; IT4PROFIT'!K10</f>
        <v>616</v>
      </c>
      <c r="R8" s="35">
        <f>'ALL DATA &amp; IT4PROFIT'!D10</f>
        <v>756</v>
      </c>
      <c r="S8" s="9"/>
      <c r="T8" s="9"/>
    </row>
    <row r="9" ht="21.0" customHeight="1">
      <c r="A9" s="13"/>
      <c r="B9" s="24" t="str">
        <f>'ALL DATA &amp; IT4PROFIT'!A11</f>
        <v>HUAWEI</v>
      </c>
      <c r="C9" s="24" t="str">
        <f>'ALL DATA &amp; IT4PROFIT'!B11</f>
        <v>SUN2000-5KTL-L1</v>
      </c>
      <c r="D9" s="24" t="str">
        <f>'ALL DATA &amp; IT4PROFIT'!C11</f>
        <v>1PH HYBRID</v>
      </c>
      <c r="E9" s="25">
        <v>1.0</v>
      </c>
      <c r="F9" s="26">
        <f>'ALL DATA &amp; IT4PROFIT'!R11</f>
        <v>703</v>
      </c>
      <c r="G9" s="27">
        <f t="shared" si="1"/>
        <v>793</v>
      </c>
      <c r="H9" s="27">
        <f t="shared" si="2"/>
        <v>812.825</v>
      </c>
      <c r="I9" s="28">
        <f t="shared" si="3"/>
        <v>0.07</v>
      </c>
      <c r="J9" s="29">
        <f t="shared" si="4"/>
        <v>874.0053763</v>
      </c>
      <c r="K9" s="30">
        <f t="shared" si="5"/>
        <v>874.0053763</v>
      </c>
      <c r="L9" s="30">
        <f t="shared" si="6"/>
        <v>812.825</v>
      </c>
      <c r="M9" s="31">
        <v>0.07</v>
      </c>
      <c r="N9" s="32">
        <f>'ALL DATA &amp; IT4PROFIT'!L11</f>
        <v>660</v>
      </c>
      <c r="O9" s="35"/>
      <c r="P9" s="32">
        <f>'ALL DATA &amp; IT4PROFIT'!H11</f>
        <v>620</v>
      </c>
      <c r="Q9" s="35">
        <f>'ALL DATA &amp; IT4PROFIT'!K11</f>
        <v>624</v>
      </c>
      <c r="R9" s="35">
        <f>'ALL DATA &amp; IT4PROFIT'!D11</f>
        <v>764</v>
      </c>
      <c r="S9" s="9"/>
      <c r="T9" s="9"/>
    </row>
    <row r="10" ht="21.0" customHeight="1">
      <c r="A10" s="13"/>
      <c r="B10" s="24" t="str">
        <f>'ALL DATA &amp; IT4PROFIT'!A12</f>
        <v>HUAWEI</v>
      </c>
      <c r="C10" s="24" t="str">
        <f>'ALL DATA &amp; IT4PROFIT'!B12</f>
        <v>SUN2000-6KTL-L1</v>
      </c>
      <c r="D10" s="24" t="str">
        <f>'ALL DATA &amp; IT4PROFIT'!C12</f>
        <v>1PH HYBRID</v>
      </c>
      <c r="E10" s="25">
        <v>1.0</v>
      </c>
      <c r="F10" s="26">
        <f>'ALL DATA &amp; IT4PROFIT'!R12</f>
        <v>799</v>
      </c>
      <c r="G10" s="27">
        <f t="shared" si="1"/>
        <v>889</v>
      </c>
      <c r="H10" s="27">
        <f t="shared" si="2"/>
        <v>911.225</v>
      </c>
      <c r="I10" s="28">
        <f t="shared" si="3"/>
        <v>0.07</v>
      </c>
      <c r="J10" s="29">
        <f t="shared" si="4"/>
        <v>979.811828</v>
      </c>
      <c r="K10" s="30">
        <f t="shared" si="5"/>
        <v>979.811828</v>
      </c>
      <c r="L10" s="30">
        <f t="shared" si="6"/>
        <v>911.225</v>
      </c>
      <c r="M10" s="31">
        <v>0.07</v>
      </c>
      <c r="N10" s="32" t="str">
        <f>'ALL DATA &amp; IT4PROFIT'!L12</f>
        <v/>
      </c>
      <c r="O10" s="35"/>
      <c r="P10" s="32" t="str">
        <f>'ALL DATA &amp; IT4PROFIT'!H12</f>
        <v/>
      </c>
      <c r="Q10" s="35" t="str">
        <f>'ALL DATA &amp; IT4PROFIT'!K12</f>
        <v/>
      </c>
      <c r="R10" s="35">
        <f>'ALL DATA &amp; IT4PROFIT'!D12</f>
        <v>868</v>
      </c>
      <c r="S10" s="9"/>
      <c r="T10" s="9"/>
    </row>
    <row r="11" ht="21.0" customHeight="1">
      <c r="A11" s="13"/>
      <c r="B11" s="24" t="str">
        <f>'ALL DATA &amp; IT4PROFIT'!A13</f>
        <v>HUAWEI</v>
      </c>
      <c r="C11" s="24" t="str">
        <f>'ALL DATA &amp; IT4PROFIT'!B13</f>
        <v>SUN2000-3KTL-M1</v>
      </c>
      <c r="D11" s="24" t="str">
        <f>'ALL DATA &amp; IT4PROFIT'!C13</f>
        <v>3PH HYBRID</v>
      </c>
      <c r="E11" s="25">
        <v>1.0</v>
      </c>
      <c r="F11" s="26">
        <f>'ALL DATA &amp; IT4PROFIT'!R13</f>
        <v>794</v>
      </c>
      <c r="G11" s="27">
        <f t="shared" si="1"/>
        <v>884</v>
      </c>
      <c r="H11" s="27">
        <f t="shared" si="2"/>
        <v>906.1</v>
      </c>
      <c r="I11" s="28">
        <f t="shared" si="3"/>
        <v>0.07</v>
      </c>
      <c r="J11" s="29">
        <f t="shared" si="4"/>
        <v>974.3010753</v>
      </c>
      <c r="K11" s="30">
        <f t="shared" si="5"/>
        <v>974.3010753</v>
      </c>
      <c r="L11" s="30">
        <f t="shared" si="6"/>
        <v>906.1</v>
      </c>
      <c r="M11" s="31">
        <v>0.07</v>
      </c>
      <c r="N11" s="32">
        <f>'ALL DATA &amp; IT4PROFIT'!L13</f>
        <v>845</v>
      </c>
      <c r="O11" s="35"/>
      <c r="P11" s="32">
        <f>'ALL DATA &amp; IT4PROFIT'!H13</f>
        <v>907</v>
      </c>
      <c r="Q11" s="35">
        <f>'ALL DATA &amp; IT4PROFIT'!K13</f>
        <v>832</v>
      </c>
      <c r="R11" s="35">
        <f>'ALL DATA &amp; IT4PROFIT'!D13</f>
        <v>880</v>
      </c>
      <c r="S11" s="9"/>
      <c r="T11" s="9"/>
    </row>
    <row r="12" ht="21.0" customHeight="1">
      <c r="A12" s="13"/>
      <c r="B12" s="24" t="str">
        <f>'ALL DATA &amp; IT4PROFIT'!A14</f>
        <v>HUAWEI</v>
      </c>
      <c r="C12" s="24" t="str">
        <f>'ALL DATA &amp; IT4PROFIT'!B14</f>
        <v>SUN2000-4KTL-M1</v>
      </c>
      <c r="D12" s="24" t="str">
        <f>'ALL DATA &amp; IT4PROFIT'!C14</f>
        <v>3PH HYBRID</v>
      </c>
      <c r="E12" s="25">
        <v>1.0</v>
      </c>
      <c r="F12" s="26">
        <f>'ALL DATA &amp; IT4PROFIT'!R14</f>
        <v>830</v>
      </c>
      <c r="G12" s="27">
        <f t="shared" si="1"/>
        <v>920</v>
      </c>
      <c r="H12" s="27">
        <f t="shared" si="2"/>
        <v>943</v>
      </c>
      <c r="I12" s="28">
        <f t="shared" si="3"/>
        <v>0.07</v>
      </c>
      <c r="J12" s="29">
        <f t="shared" si="4"/>
        <v>1013.978495</v>
      </c>
      <c r="K12" s="30">
        <f t="shared" si="5"/>
        <v>1013.978495</v>
      </c>
      <c r="L12" s="30">
        <f t="shared" si="6"/>
        <v>943</v>
      </c>
      <c r="M12" s="31">
        <v>0.07</v>
      </c>
      <c r="N12" s="32">
        <f>'ALL DATA &amp; IT4PROFIT'!L14</f>
        <v>880</v>
      </c>
      <c r="O12" s="35"/>
      <c r="P12" s="32">
        <f>'ALL DATA &amp; IT4PROFIT'!H14</f>
        <v>906</v>
      </c>
      <c r="Q12" s="35">
        <f>'ALL DATA &amp; IT4PROFIT'!K14</f>
        <v>871</v>
      </c>
      <c r="R12" s="35">
        <f>'ALL DATA &amp; IT4PROFIT'!D14</f>
        <v>920</v>
      </c>
      <c r="S12" s="9"/>
      <c r="T12" s="9"/>
    </row>
    <row r="13" ht="21.0" customHeight="1">
      <c r="A13" s="13"/>
      <c r="B13" s="24" t="str">
        <f>'ALL DATA &amp; IT4PROFIT'!A15</f>
        <v>HUAWEI</v>
      </c>
      <c r="C13" s="24" t="str">
        <f>'ALL DATA &amp; IT4PROFIT'!B15</f>
        <v>SUN2000-5KTL-M1</v>
      </c>
      <c r="D13" s="24" t="str">
        <f>'ALL DATA &amp; IT4PROFIT'!C15</f>
        <v>3PH HYBRID</v>
      </c>
      <c r="E13" s="25">
        <v>1.0</v>
      </c>
      <c r="F13" s="26">
        <f>'ALL DATA &amp; IT4PROFIT'!R15</f>
        <v>876</v>
      </c>
      <c r="G13" s="27">
        <f t="shared" si="1"/>
        <v>966</v>
      </c>
      <c r="H13" s="27">
        <f t="shared" si="2"/>
        <v>990.15</v>
      </c>
      <c r="I13" s="28">
        <f t="shared" si="3"/>
        <v>0.07</v>
      </c>
      <c r="J13" s="29">
        <f t="shared" si="4"/>
        <v>1064.677419</v>
      </c>
      <c r="K13" s="30">
        <f t="shared" si="5"/>
        <v>1064.677419</v>
      </c>
      <c r="L13" s="30">
        <f t="shared" si="6"/>
        <v>990.15</v>
      </c>
      <c r="M13" s="31">
        <v>0.07</v>
      </c>
      <c r="N13" s="32">
        <f>'ALL DATA &amp; IT4PROFIT'!L15</f>
        <v>930</v>
      </c>
      <c r="O13" s="35"/>
      <c r="P13" s="32">
        <f>'ALL DATA &amp; IT4PROFIT'!H15</f>
        <v>930</v>
      </c>
      <c r="Q13" s="35">
        <f>'ALL DATA &amp; IT4PROFIT'!K15</f>
        <v>919</v>
      </c>
      <c r="R13" s="35">
        <f>'ALL DATA &amp; IT4PROFIT'!D15</f>
        <v>971</v>
      </c>
      <c r="S13" s="9"/>
      <c r="T13" s="9"/>
    </row>
    <row r="14" ht="21.0" customHeight="1">
      <c r="A14" s="13"/>
      <c r="B14" s="24" t="str">
        <f>'ALL DATA &amp; IT4PROFIT'!A16</f>
        <v>HUAWEI</v>
      </c>
      <c r="C14" s="24" t="str">
        <f>'ALL DATA &amp; IT4PROFIT'!B16</f>
        <v>SUN2000-6KTL-M1</v>
      </c>
      <c r="D14" s="24" t="str">
        <f>'ALL DATA &amp; IT4PROFIT'!C16</f>
        <v>3PH HYBRID</v>
      </c>
      <c r="E14" s="25">
        <v>1.0</v>
      </c>
      <c r="F14" s="26">
        <f>'ALL DATA &amp; IT4PROFIT'!R16</f>
        <v>980</v>
      </c>
      <c r="G14" s="27">
        <f t="shared" si="1"/>
        <v>1070</v>
      </c>
      <c r="H14" s="27">
        <f t="shared" si="2"/>
        <v>1096.75</v>
      </c>
      <c r="I14" s="28">
        <f t="shared" si="3"/>
        <v>0.07</v>
      </c>
      <c r="J14" s="29">
        <f t="shared" si="4"/>
        <v>1179.301075</v>
      </c>
      <c r="K14" s="30">
        <f t="shared" si="5"/>
        <v>1179.301075</v>
      </c>
      <c r="L14" s="30">
        <f t="shared" si="6"/>
        <v>1096.75</v>
      </c>
      <c r="M14" s="31">
        <v>0.07</v>
      </c>
      <c r="N14" s="32">
        <f>'ALL DATA &amp; IT4PROFIT'!L16</f>
        <v>1040</v>
      </c>
      <c r="O14" s="35"/>
      <c r="P14" s="32">
        <f>'ALL DATA &amp; IT4PROFIT'!H16</f>
        <v>1090</v>
      </c>
      <c r="Q14" s="35">
        <f>'ALL DATA &amp; IT4PROFIT'!K16</f>
        <v>1028</v>
      </c>
      <c r="R14" s="35">
        <f>'ALL DATA &amp; IT4PROFIT'!D16</f>
        <v>1086</v>
      </c>
      <c r="S14" s="9"/>
      <c r="T14" s="9"/>
    </row>
    <row r="15" ht="21.0" customHeight="1">
      <c r="A15" s="13"/>
      <c r="B15" s="24" t="str">
        <f>'ALL DATA &amp; IT4PROFIT'!A17</f>
        <v>HUAWEI</v>
      </c>
      <c r="C15" s="24" t="str">
        <f>'ALL DATA &amp; IT4PROFIT'!B17</f>
        <v>SUN2000-8KTL-M1</v>
      </c>
      <c r="D15" s="24" t="str">
        <f>'ALL DATA &amp; IT4PROFIT'!C17</f>
        <v>3PH HYBRID</v>
      </c>
      <c r="E15" s="25">
        <v>1.0</v>
      </c>
      <c r="F15" s="26">
        <f>'ALL DATA &amp; IT4PROFIT'!R17</f>
        <v>1162</v>
      </c>
      <c r="G15" s="27">
        <f t="shared" si="1"/>
        <v>1252</v>
      </c>
      <c r="H15" s="27">
        <f t="shared" si="2"/>
        <v>1283.3</v>
      </c>
      <c r="I15" s="28">
        <f t="shared" si="3"/>
        <v>0.07</v>
      </c>
      <c r="J15" s="29">
        <f t="shared" si="4"/>
        <v>1379.892473</v>
      </c>
      <c r="K15" s="30">
        <f t="shared" si="5"/>
        <v>1379.892473</v>
      </c>
      <c r="L15" s="30">
        <f t="shared" si="6"/>
        <v>1283.3</v>
      </c>
      <c r="M15" s="31">
        <v>0.07</v>
      </c>
      <c r="N15" s="32">
        <f>'ALL DATA &amp; IT4PROFIT'!L17</f>
        <v>1235</v>
      </c>
      <c r="O15" s="35"/>
      <c r="P15" s="32">
        <f>'ALL DATA &amp; IT4PROFIT'!H17</f>
        <v>1260</v>
      </c>
      <c r="Q15" s="35">
        <f>'ALL DATA &amp; IT4PROFIT'!K17</f>
        <v>1219</v>
      </c>
      <c r="R15" s="35">
        <f>'ALL DATA &amp; IT4PROFIT'!D17</f>
        <v>1289</v>
      </c>
      <c r="S15" s="9"/>
      <c r="T15" s="9"/>
    </row>
    <row r="16" ht="21.0" customHeight="1">
      <c r="A16" s="13"/>
      <c r="B16" s="24" t="str">
        <f>'ALL DATA &amp; IT4PROFIT'!A18</f>
        <v>HUAWEI</v>
      </c>
      <c r="C16" s="24" t="str">
        <f>'ALL DATA &amp; IT4PROFIT'!B18</f>
        <v>SUN2000-10KTL-M1</v>
      </c>
      <c r="D16" s="24" t="str">
        <f>'ALL DATA &amp; IT4PROFIT'!C18</f>
        <v>3PH HYBRID</v>
      </c>
      <c r="E16" s="25">
        <v>1.0</v>
      </c>
      <c r="F16" s="26">
        <f>'ALL DATA &amp; IT4PROFIT'!R18</f>
        <v>1306</v>
      </c>
      <c r="G16" s="27">
        <f t="shared" si="1"/>
        <v>1396</v>
      </c>
      <c r="H16" s="27">
        <f t="shared" si="2"/>
        <v>1430.9</v>
      </c>
      <c r="I16" s="28">
        <f t="shared" si="3"/>
        <v>0.07</v>
      </c>
      <c r="J16" s="29">
        <f t="shared" si="4"/>
        <v>1538.602151</v>
      </c>
      <c r="K16" s="30">
        <f t="shared" si="5"/>
        <v>1538.602151</v>
      </c>
      <c r="L16" s="30">
        <f t="shared" si="6"/>
        <v>1430.9</v>
      </c>
      <c r="M16" s="31">
        <v>0.07</v>
      </c>
      <c r="N16" s="32">
        <f>'ALL DATA &amp; IT4PROFIT'!L18</f>
        <v>1385</v>
      </c>
      <c r="O16" s="35"/>
      <c r="P16" s="32">
        <f>'ALL DATA &amp; IT4PROFIT'!H18</f>
        <v>1385</v>
      </c>
      <c r="Q16" s="35">
        <f>'ALL DATA &amp; IT4PROFIT'!K18</f>
        <v>1369</v>
      </c>
      <c r="R16" s="35">
        <f>'ALL DATA &amp; IT4PROFIT'!D18</f>
        <v>1448</v>
      </c>
      <c r="S16" s="9"/>
      <c r="T16" s="9"/>
    </row>
    <row r="17" ht="21.0" customHeight="1">
      <c r="A17" s="13"/>
      <c r="B17" s="24" t="str">
        <f>'ALL DATA &amp; IT4PROFIT'!A19</f>
        <v>HUAWEI</v>
      </c>
      <c r="C17" s="24" t="str">
        <f>'ALL DATA &amp; IT4PROFIT'!B19</f>
        <v>SUN2000-12KTL-M5</v>
      </c>
      <c r="D17" s="24" t="str">
        <f>'ALL DATA &amp; IT4PROFIT'!C19</f>
        <v>3PH HYBRID</v>
      </c>
      <c r="E17" s="25">
        <v>1.0</v>
      </c>
      <c r="F17" s="26">
        <f>'ALL DATA &amp; IT4PROFIT'!R19</f>
        <v>1375</v>
      </c>
      <c r="G17" s="27">
        <f t="shared" si="1"/>
        <v>1465</v>
      </c>
      <c r="H17" s="27">
        <f t="shared" si="2"/>
        <v>1501.625</v>
      </c>
      <c r="I17" s="28">
        <f t="shared" si="3"/>
        <v>0.07</v>
      </c>
      <c r="J17" s="29">
        <f t="shared" si="4"/>
        <v>1614.650538</v>
      </c>
      <c r="K17" s="30">
        <f t="shared" si="5"/>
        <v>1614.650538</v>
      </c>
      <c r="L17" s="30">
        <f t="shared" si="6"/>
        <v>1501.625</v>
      </c>
      <c r="M17" s="31">
        <v>0.07</v>
      </c>
      <c r="N17" s="32">
        <f>'ALL DATA &amp; IT4PROFIT'!L19</f>
        <v>1450</v>
      </c>
      <c r="O17" s="35"/>
      <c r="P17" s="32" t="str">
        <f>'ALL DATA &amp; IT4PROFIT'!H19</f>
        <v/>
      </c>
      <c r="Q17" s="35">
        <f>'ALL DATA &amp; IT4PROFIT'!K19</f>
        <v>947.6</v>
      </c>
      <c r="R17" s="35">
        <f>'ALL DATA &amp; IT4PROFIT'!D19</f>
        <v>1515</v>
      </c>
      <c r="S17" s="9"/>
      <c r="T17" s="9"/>
    </row>
    <row r="18" ht="21.0" customHeight="1">
      <c r="A18" s="13"/>
      <c r="B18" s="24" t="str">
        <f>'ALL DATA &amp; IT4PROFIT'!A20</f>
        <v>HUAWEI</v>
      </c>
      <c r="C18" s="24" t="str">
        <f>'ALL DATA &amp; IT4PROFIT'!B20</f>
        <v>SUN2000-15KTL-M5</v>
      </c>
      <c r="D18" s="24" t="str">
        <f>'ALL DATA &amp; IT4PROFIT'!C20</f>
        <v>3PH HYBRID</v>
      </c>
      <c r="E18" s="25">
        <v>1.0</v>
      </c>
      <c r="F18" s="26">
        <f>'ALL DATA &amp; IT4PROFIT'!R20</f>
        <v>1552</v>
      </c>
      <c r="G18" s="27">
        <f t="shared" si="1"/>
        <v>1642</v>
      </c>
      <c r="H18" s="27">
        <f t="shared" si="2"/>
        <v>1683.05</v>
      </c>
      <c r="I18" s="28">
        <f t="shared" si="3"/>
        <v>0.07</v>
      </c>
      <c r="J18" s="29">
        <f t="shared" si="4"/>
        <v>1809.731183</v>
      </c>
      <c r="K18" s="30">
        <f t="shared" si="5"/>
        <v>1809.731183</v>
      </c>
      <c r="L18" s="30">
        <f t="shared" si="6"/>
        <v>1683.05</v>
      </c>
      <c r="M18" s="31">
        <v>0.07</v>
      </c>
      <c r="N18" s="32">
        <f>'ALL DATA &amp; IT4PROFIT'!L20</f>
        <v>1640</v>
      </c>
      <c r="O18" s="35"/>
      <c r="P18" s="32" t="str">
        <f>'ALL DATA &amp; IT4PROFIT'!H20</f>
        <v/>
      </c>
      <c r="Q18" s="35">
        <f>'ALL DATA &amp; IT4PROFIT'!K20</f>
        <v>1133.5</v>
      </c>
      <c r="R18" s="35">
        <f>'ALL DATA &amp; IT4PROFIT'!D20</f>
        <v>1710</v>
      </c>
      <c r="S18" s="9"/>
      <c r="T18" s="9"/>
    </row>
    <row r="19" ht="21.0" customHeight="1">
      <c r="A19" s="13"/>
      <c r="B19" s="24" t="str">
        <f>'ALL DATA &amp; IT4PROFIT'!A21</f>
        <v>HUAWEI</v>
      </c>
      <c r="C19" s="24" t="str">
        <f>'ALL DATA &amp; IT4PROFIT'!B21</f>
        <v>SUN2000-17KTL-M5</v>
      </c>
      <c r="D19" s="24" t="str">
        <f>'ALL DATA &amp; IT4PROFIT'!C21</f>
        <v>3PH HYBRID</v>
      </c>
      <c r="E19" s="25">
        <v>1.0</v>
      </c>
      <c r="F19" s="26">
        <f>'ALL DATA &amp; IT4PROFIT'!R21</f>
        <v>1585</v>
      </c>
      <c r="G19" s="27">
        <f t="shared" si="1"/>
        <v>1675</v>
      </c>
      <c r="H19" s="27">
        <f t="shared" si="2"/>
        <v>1716.875</v>
      </c>
      <c r="I19" s="28">
        <f t="shared" si="3"/>
        <v>0.07</v>
      </c>
      <c r="J19" s="29">
        <f t="shared" si="4"/>
        <v>1846.102151</v>
      </c>
      <c r="K19" s="30">
        <f t="shared" si="5"/>
        <v>1846.102151</v>
      </c>
      <c r="L19" s="30">
        <f t="shared" si="6"/>
        <v>1716.875</v>
      </c>
      <c r="M19" s="31">
        <v>0.07</v>
      </c>
      <c r="N19" s="32">
        <f>'ALL DATA &amp; IT4PROFIT'!L21</f>
        <v>1675</v>
      </c>
      <c r="O19" s="35"/>
      <c r="P19" s="32" t="str">
        <f>'ALL DATA &amp; IT4PROFIT'!H21</f>
        <v/>
      </c>
      <c r="Q19" s="35">
        <f>'ALL DATA &amp; IT4PROFIT'!K21</f>
        <v>1167.6</v>
      </c>
      <c r="R19" s="35">
        <f>'ALL DATA &amp; IT4PROFIT'!D21</f>
        <v>1447</v>
      </c>
      <c r="S19" s="9"/>
      <c r="T19" s="9"/>
    </row>
    <row r="20" ht="21.0" customHeight="1">
      <c r="A20" s="13"/>
      <c r="B20" s="24" t="str">
        <f>'ALL DATA &amp; IT4PROFIT'!A22</f>
        <v>HUAWEI</v>
      </c>
      <c r="C20" s="24" t="str">
        <f>'ALL DATA &amp; IT4PROFIT'!B22</f>
        <v>SUN2000-20KTL-M5</v>
      </c>
      <c r="D20" s="24" t="str">
        <f>'ALL DATA &amp; IT4PROFIT'!C22</f>
        <v>3PH HYBRID</v>
      </c>
      <c r="E20" s="25">
        <v>1.0</v>
      </c>
      <c r="F20" s="26">
        <f>'ALL DATA &amp; IT4PROFIT'!R22</f>
        <v>1674</v>
      </c>
      <c r="G20" s="27">
        <f t="shared" si="1"/>
        <v>1764</v>
      </c>
      <c r="H20" s="27">
        <f t="shared" si="2"/>
        <v>1808.1</v>
      </c>
      <c r="I20" s="28">
        <f t="shared" si="3"/>
        <v>0.07</v>
      </c>
      <c r="J20" s="29">
        <f t="shared" si="4"/>
        <v>1944.193548</v>
      </c>
      <c r="K20" s="30">
        <f t="shared" si="5"/>
        <v>1944.193548</v>
      </c>
      <c r="L20" s="30">
        <f t="shared" si="6"/>
        <v>1808.1</v>
      </c>
      <c r="M20" s="31">
        <v>0.07</v>
      </c>
      <c r="N20" s="32">
        <f>'ALL DATA &amp; IT4PROFIT'!L22</f>
        <v>1790</v>
      </c>
      <c r="O20" s="35"/>
      <c r="P20" s="32" t="str">
        <f>'ALL DATA &amp; IT4PROFIT'!H22</f>
        <v/>
      </c>
      <c r="Q20" s="35">
        <f>'ALL DATA &amp; IT4PROFIT'!K22</f>
        <v>1262.2</v>
      </c>
      <c r="R20" s="35">
        <f>'ALL DATA &amp; IT4PROFIT'!D22</f>
        <v>1844</v>
      </c>
      <c r="S20" s="9"/>
      <c r="T20" s="9"/>
    </row>
    <row r="21" ht="21.0" customHeight="1">
      <c r="A21" s="13"/>
      <c r="B21" s="24" t="str">
        <f>'ALL DATA &amp; IT4PROFIT'!A23</f>
        <v>HUAWEI</v>
      </c>
      <c r="C21" s="24" t="str">
        <f>'ALL DATA &amp; IT4PROFIT'!B23</f>
        <v>SUN2000-25KTL-M5</v>
      </c>
      <c r="D21" s="24" t="str">
        <f>'ALL DATA &amp; IT4PROFIT'!C23</f>
        <v>3PH HYBRID</v>
      </c>
      <c r="E21" s="25">
        <v>1.0</v>
      </c>
      <c r="F21" s="26">
        <f>'ALL DATA &amp; IT4PROFIT'!R23</f>
        <v>1730</v>
      </c>
      <c r="G21" s="27">
        <f t="shared" si="1"/>
        <v>1820</v>
      </c>
      <c r="H21" s="27">
        <f t="shared" si="2"/>
        <v>1865.5</v>
      </c>
      <c r="I21" s="28">
        <f t="shared" si="3"/>
        <v>0.07</v>
      </c>
      <c r="J21" s="29">
        <f t="shared" si="4"/>
        <v>2005.913978</v>
      </c>
      <c r="K21" s="30">
        <f t="shared" si="5"/>
        <v>2005.913978</v>
      </c>
      <c r="L21" s="30">
        <f t="shared" si="6"/>
        <v>1865.5</v>
      </c>
      <c r="M21" s="31">
        <v>0.07</v>
      </c>
      <c r="N21" s="32">
        <f>'ALL DATA &amp; IT4PROFIT'!L23</f>
        <v>1825</v>
      </c>
      <c r="O21" s="35"/>
      <c r="P21" s="32" t="str">
        <f>'ALL DATA &amp; IT4PROFIT'!H23</f>
        <v/>
      </c>
      <c r="Q21" s="35">
        <f>'ALL DATA &amp; IT4PROFIT'!K23</f>
        <v>1320.5</v>
      </c>
      <c r="R21" s="35">
        <f>'ALL DATA &amp; IT4PROFIT'!D23</f>
        <v>1906</v>
      </c>
      <c r="S21" s="9"/>
      <c r="T21" s="9"/>
    </row>
    <row r="22" ht="21.0" customHeight="1">
      <c r="A22" s="13"/>
      <c r="B22" s="24" t="str">
        <f>'ALL DATA &amp; IT4PROFIT'!A24</f>
        <v>HUAWEI</v>
      </c>
      <c r="C22" s="24" t="str">
        <f>'ALL DATA &amp; IT4PROFIT'!B24</f>
        <v>SUN2000-30KTL-M3</v>
      </c>
      <c r="D22" s="24" t="str">
        <f>'ALL DATA &amp; IT4PROFIT'!C24</f>
        <v>3PH HYBRID</v>
      </c>
      <c r="E22" s="25">
        <v>1.0</v>
      </c>
      <c r="F22" s="26">
        <f>'ALL DATA &amp; IT4PROFIT'!R24</f>
        <v>1881</v>
      </c>
      <c r="G22" s="27">
        <f t="shared" si="1"/>
        <v>1971</v>
      </c>
      <c r="H22" s="27">
        <f t="shared" si="2"/>
        <v>2020.275</v>
      </c>
      <c r="I22" s="28">
        <f t="shared" si="3"/>
        <v>0.07</v>
      </c>
      <c r="J22" s="29">
        <f t="shared" si="4"/>
        <v>2172.33871</v>
      </c>
      <c r="K22" s="30">
        <f t="shared" si="5"/>
        <v>2172.33871</v>
      </c>
      <c r="L22" s="30">
        <f t="shared" si="6"/>
        <v>2020.275</v>
      </c>
      <c r="M22" s="31">
        <v>0.07</v>
      </c>
      <c r="N22" s="32">
        <f>'ALL DATA &amp; IT4PROFIT'!L24</f>
        <v>2080</v>
      </c>
      <c r="O22" s="35"/>
      <c r="P22" s="32" t="str">
        <f>'ALL DATA &amp; IT4PROFIT'!H24</f>
        <v/>
      </c>
      <c r="Q22" s="35">
        <f>'ALL DATA &amp; IT4PROFIT'!K24</f>
        <v>1993</v>
      </c>
      <c r="R22" s="35">
        <f>'ALL DATA &amp; IT4PROFIT'!D24</f>
        <v>2106</v>
      </c>
      <c r="S22" s="9"/>
      <c r="T22" s="9"/>
    </row>
    <row r="23" ht="21.0" customHeight="1">
      <c r="A23" s="13"/>
      <c r="B23" s="24" t="str">
        <f>'ALL DATA &amp; IT4PROFIT'!A25</f>
        <v>HUAWEI</v>
      </c>
      <c r="C23" s="24" t="str">
        <f>'ALL DATA &amp; IT4PROFIT'!B25</f>
        <v>SUN2000-36KTL-M3</v>
      </c>
      <c r="D23" s="24" t="str">
        <f>'ALL DATA &amp; IT4PROFIT'!C25</f>
        <v>3PH HYBRID</v>
      </c>
      <c r="E23" s="25">
        <v>1.0</v>
      </c>
      <c r="F23" s="26">
        <f>'ALL DATA &amp; IT4PROFIT'!R25</f>
        <v>2170</v>
      </c>
      <c r="G23" s="27">
        <f t="shared" si="1"/>
        <v>2260</v>
      </c>
      <c r="H23" s="27">
        <f t="shared" si="2"/>
        <v>2316.5</v>
      </c>
      <c r="I23" s="28">
        <f t="shared" si="3"/>
        <v>0.07</v>
      </c>
      <c r="J23" s="29">
        <f t="shared" si="4"/>
        <v>2490.860215</v>
      </c>
      <c r="K23" s="30">
        <f t="shared" si="5"/>
        <v>2490.860215</v>
      </c>
      <c r="L23" s="30">
        <f t="shared" si="6"/>
        <v>2316.5</v>
      </c>
      <c r="M23" s="31">
        <v>0.07</v>
      </c>
      <c r="N23" s="32">
        <f>'ALL DATA &amp; IT4PROFIT'!L25</f>
        <v>2250</v>
      </c>
      <c r="O23" s="35"/>
      <c r="P23" s="32" t="str">
        <f>'ALL DATA &amp; IT4PROFIT'!H25</f>
        <v/>
      </c>
      <c r="Q23" s="35">
        <f>'ALL DATA &amp; IT4PROFIT'!K25</f>
        <v>2274</v>
      </c>
      <c r="R23" s="35">
        <f>'ALL DATA &amp; IT4PROFIT'!D25</f>
        <v>2405</v>
      </c>
      <c r="S23" s="9"/>
      <c r="T23" s="9"/>
    </row>
    <row r="24" ht="21.0" customHeight="1">
      <c r="A24" s="13"/>
      <c r="B24" s="24" t="str">
        <f>'ALL DATA &amp; IT4PROFIT'!A26</f>
        <v>HUAWEI</v>
      </c>
      <c r="C24" s="24" t="str">
        <f>'ALL DATA &amp; IT4PROFIT'!B26</f>
        <v>SUN2000-40KTL-M3</v>
      </c>
      <c r="D24" s="24" t="str">
        <f>'ALL DATA &amp; IT4PROFIT'!C26</f>
        <v>3PH HYBRID</v>
      </c>
      <c r="E24" s="25">
        <v>1.0</v>
      </c>
      <c r="F24" s="26">
        <f>'ALL DATA &amp; IT4PROFIT'!R26</f>
        <v>2289</v>
      </c>
      <c r="G24" s="27">
        <f t="shared" si="1"/>
        <v>2379</v>
      </c>
      <c r="H24" s="27">
        <f t="shared" si="2"/>
        <v>2438.475</v>
      </c>
      <c r="I24" s="28">
        <f t="shared" si="3"/>
        <v>0.07</v>
      </c>
      <c r="J24" s="29">
        <f t="shared" si="4"/>
        <v>2622.016129</v>
      </c>
      <c r="K24" s="30">
        <f t="shared" si="5"/>
        <v>2622.016129</v>
      </c>
      <c r="L24" s="30">
        <f t="shared" si="6"/>
        <v>2438.475</v>
      </c>
      <c r="M24" s="31">
        <v>0.07</v>
      </c>
      <c r="N24" s="32">
        <f>'ALL DATA &amp; IT4PROFIT'!L26</f>
        <v>2380</v>
      </c>
      <c r="O24" s="35"/>
      <c r="P24" s="32" t="str">
        <f>'ALL DATA &amp; IT4PROFIT'!H26</f>
        <v/>
      </c>
      <c r="Q24" s="35">
        <f>'ALL DATA &amp; IT4PROFIT'!K26</f>
        <v>2399</v>
      </c>
      <c r="R24" s="35">
        <f>'ALL DATA &amp; IT4PROFIT'!D26</f>
        <v>2536</v>
      </c>
      <c r="S24" s="9"/>
      <c r="T24" s="9"/>
    </row>
    <row r="25" ht="21.0" customHeight="1">
      <c r="A25" s="13"/>
      <c r="B25" s="24" t="str">
        <f>'ALL DATA &amp; IT4PROFIT'!A27</f>
        <v>HUAWEI</v>
      </c>
      <c r="C25" s="24" t="str">
        <f>'ALL DATA &amp; IT4PROFIT'!B27</f>
        <v>SUN2000-50KTL-M3</v>
      </c>
      <c r="D25" s="24" t="str">
        <f>'ALL DATA &amp; IT4PROFIT'!C27</f>
        <v>3PH HYBRID</v>
      </c>
      <c r="E25" s="25">
        <v>1.0</v>
      </c>
      <c r="F25" s="26">
        <f>'ALL DATA &amp; IT4PROFIT'!R27</f>
        <v>2319</v>
      </c>
      <c r="G25" s="27">
        <f t="shared" si="1"/>
        <v>2409</v>
      </c>
      <c r="H25" s="27">
        <f t="shared" si="2"/>
        <v>2469.225</v>
      </c>
      <c r="I25" s="28">
        <f t="shared" si="3"/>
        <v>0.07</v>
      </c>
      <c r="J25" s="29">
        <f t="shared" si="4"/>
        <v>2655.080645</v>
      </c>
      <c r="K25" s="30">
        <f t="shared" si="5"/>
        <v>2655.080645</v>
      </c>
      <c r="L25" s="30">
        <f t="shared" si="6"/>
        <v>2469.225</v>
      </c>
      <c r="M25" s="31">
        <v>0.07</v>
      </c>
      <c r="N25" s="32">
        <f>'ALL DATA &amp; IT4PROFIT'!L27</f>
        <v>2400</v>
      </c>
      <c r="O25" s="35"/>
      <c r="P25" s="32" t="str">
        <f>'ALL DATA &amp; IT4PROFIT'!H27</f>
        <v/>
      </c>
      <c r="Q25" s="35">
        <f>'ALL DATA &amp; IT4PROFIT'!K27</f>
        <v>2405</v>
      </c>
      <c r="R25" s="35">
        <f>'ALL DATA &amp; IT4PROFIT'!D27</f>
        <v>2543</v>
      </c>
      <c r="S25" s="9"/>
      <c r="T25" s="9"/>
    </row>
    <row r="26" ht="21.0" customHeight="1">
      <c r="A26" s="13"/>
      <c r="B26" s="24" t="str">
        <f>'ALL DATA &amp; IT4PROFIT'!A28</f>
        <v>HUAWEI</v>
      </c>
      <c r="C26" s="24" t="str">
        <f>'ALL DATA &amp; IT4PROFIT'!B28</f>
        <v>SUN2000-100KTL-M2-AFCI</v>
      </c>
      <c r="D26" s="24" t="str">
        <f>'ALL DATA &amp; IT4PROFIT'!C28</f>
        <v>3PH HYBRID</v>
      </c>
      <c r="E26" s="25">
        <v>1.0</v>
      </c>
      <c r="F26" s="26">
        <f>'ALL DATA &amp; IT4PROFIT'!R28</f>
        <v>3626</v>
      </c>
      <c r="G26" s="27">
        <f t="shared" si="1"/>
        <v>3716</v>
      </c>
      <c r="H26" s="27">
        <f t="shared" si="2"/>
        <v>3808.9</v>
      </c>
      <c r="I26" s="28">
        <f t="shared" si="3"/>
        <v>0.07</v>
      </c>
      <c r="J26" s="29">
        <f t="shared" si="4"/>
        <v>4095.591398</v>
      </c>
      <c r="K26" s="30">
        <f t="shared" si="5"/>
        <v>4095.591398</v>
      </c>
      <c r="L26" s="30">
        <f t="shared" si="6"/>
        <v>3808.9</v>
      </c>
      <c r="M26" s="31">
        <v>0.07</v>
      </c>
      <c r="N26" s="32" t="str">
        <f>'ALL DATA &amp; IT4PROFIT'!L28</f>
        <v/>
      </c>
      <c r="O26" s="35"/>
      <c r="P26" s="32" t="str">
        <f>'ALL DATA &amp; IT4PROFIT'!H28</f>
        <v/>
      </c>
      <c r="Q26" s="35">
        <f>'ALL DATA &amp; IT4PROFIT'!K28</f>
        <v>3800</v>
      </c>
      <c r="R26" s="35">
        <f>'ALL DATA &amp; IT4PROFIT'!D28</f>
        <v>4020</v>
      </c>
      <c r="S26" s="9"/>
      <c r="T26" s="9"/>
    </row>
    <row r="27" ht="21.0" customHeight="1">
      <c r="A27" s="13"/>
      <c r="B27" s="24" t="str">
        <f>'ALL DATA &amp; IT4PROFIT'!A29</f>
        <v>HUAWEI</v>
      </c>
      <c r="C27" s="24" t="str">
        <f>'ALL DATA &amp; IT4PROFIT'!B29</f>
        <v>IV HU SUN2000 115 KTL M2</v>
      </c>
      <c r="D27" s="24" t="str">
        <f>'ALL DATA &amp; IT4PROFIT'!C29</f>
        <v/>
      </c>
      <c r="E27" s="25">
        <v>1.0</v>
      </c>
      <c r="F27" s="26">
        <f>'ALL DATA &amp; IT4PROFIT'!R29</f>
        <v>3998</v>
      </c>
      <c r="G27" s="27">
        <f t="shared" si="1"/>
        <v>4088</v>
      </c>
      <c r="H27" s="27">
        <f t="shared" si="2"/>
        <v>4190.2</v>
      </c>
      <c r="I27" s="28">
        <f t="shared" si="3"/>
        <v>0.07</v>
      </c>
      <c r="J27" s="29">
        <f t="shared" si="4"/>
        <v>4505.591398</v>
      </c>
      <c r="K27" s="30">
        <f t="shared" si="5"/>
        <v>4505.591398</v>
      </c>
      <c r="L27" s="30">
        <f t="shared" si="6"/>
        <v>4190.2</v>
      </c>
      <c r="M27" s="31">
        <v>0.07</v>
      </c>
      <c r="N27" s="32" t="str">
        <f>'ALL DATA &amp; IT4PROFIT'!L29</f>
        <v/>
      </c>
      <c r="O27" s="35"/>
      <c r="P27" s="32" t="str">
        <f>'ALL DATA &amp; IT4PROFIT'!H29</f>
        <v/>
      </c>
      <c r="Q27" s="35">
        <f>'ALL DATA &amp; IT4PROFIT'!K29</f>
        <v>3842.6</v>
      </c>
      <c r="R27" s="35" t="str">
        <f>'ALL DATA &amp; IT4PROFIT'!D29</f>
        <v/>
      </c>
      <c r="S27" s="9"/>
      <c r="T27" s="9"/>
    </row>
    <row r="28" ht="21.0" customHeight="1">
      <c r="A28" s="13"/>
      <c r="B28" s="24" t="str">
        <f>'ALL DATA &amp; IT4PROFIT'!A30</f>
        <v>HUAWEI</v>
      </c>
      <c r="C28" s="24" t="str">
        <f>'ALL DATA &amp; IT4PROFIT'!B30</f>
        <v>IV HU SUN2000 105 KTL H1 (1500V)</v>
      </c>
      <c r="D28" s="24" t="str">
        <f>'ALL DATA &amp; IT4PROFIT'!C30</f>
        <v/>
      </c>
      <c r="E28" s="25">
        <v>1.0</v>
      </c>
      <c r="F28" s="26" t="str">
        <f>'ALL DATA &amp; IT4PROFIT'!R30</f>
        <v/>
      </c>
      <c r="G28" s="27">
        <f t="shared" si="1"/>
        <v>90</v>
      </c>
      <c r="H28" s="27">
        <f t="shared" si="2"/>
        <v>92.25</v>
      </c>
      <c r="I28" s="28">
        <f t="shared" si="3"/>
        <v>0.07</v>
      </c>
      <c r="J28" s="29">
        <f t="shared" si="4"/>
        <v>99.19354839</v>
      </c>
      <c r="K28" s="30">
        <f t="shared" si="5"/>
        <v>99.19354839</v>
      </c>
      <c r="L28" s="30">
        <f t="shared" si="6"/>
        <v>92.25</v>
      </c>
      <c r="M28" s="31">
        <v>0.07</v>
      </c>
      <c r="N28" s="32" t="str">
        <f>'ALL DATA &amp; IT4PROFIT'!L30</f>
        <v/>
      </c>
      <c r="O28" s="35"/>
      <c r="P28" s="32" t="str">
        <f>'ALL DATA &amp; IT4PROFIT'!H30</f>
        <v/>
      </c>
      <c r="Q28" s="35" t="str">
        <f>'ALL DATA &amp; IT4PROFIT'!K30</f>
        <v/>
      </c>
      <c r="R28" s="35" t="str">
        <f>'ALL DATA &amp; IT4PROFIT'!D30</f>
        <v/>
      </c>
      <c r="S28" s="9"/>
      <c r="T28" s="9"/>
    </row>
    <row r="29" ht="21.0" customHeight="1">
      <c r="A29" s="13"/>
      <c r="B29" s="24" t="str">
        <f>'ALL DATA &amp; IT4PROFIT'!A31</f>
        <v>HUAWEI</v>
      </c>
      <c r="C29" s="24" t="str">
        <f>'ALL DATA &amp; IT4PROFIT'!B31</f>
        <v>IV HU SUN2000 215 KTL-H3 (1500V)</v>
      </c>
      <c r="D29" s="24" t="str">
        <f>'ALL DATA &amp; IT4PROFIT'!C31</f>
        <v/>
      </c>
      <c r="E29" s="25">
        <v>1.0</v>
      </c>
      <c r="F29" s="26" t="str">
        <f>'ALL DATA &amp; IT4PROFIT'!R31</f>
        <v/>
      </c>
      <c r="G29" s="27">
        <f t="shared" si="1"/>
        <v>90</v>
      </c>
      <c r="H29" s="27">
        <f t="shared" si="2"/>
        <v>92.25</v>
      </c>
      <c r="I29" s="28">
        <f t="shared" si="3"/>
        <v>0.07</v>
      </c>
      <c r="J29" s="29">
        <f t="shared" si="4"/>
        <v>99.19354839</v>
      </c>
      <c r="K29" s="30">
        <f t="shared" si="5"/>
        <v>99.19354839</v>
      </c>
      <c r="L29" s="30">
        <f t="shared" si="6"/>
        <v>92.25</v>
      </c>
      <c r="M29" s="31">
        <v>0.07</v>
      </c>
      <c r="N29" s="32" t="str">
        <f>'ALL DATA &amp; IT4PROFIT'!L31</f>
        <v/>
      </c>
      <c r="O29" s="35"/>
      <c r="P29" s="32" t="str">
        <f>'ALL DATA &amp; IT4PROFIT'!H31</f>
        <v/>
      </c>
      <c r="Q29" s="35" t="str">
        <f>'ALL DATA &amp; IT4PROFIT'!K31</f>
        <v/>
      </c>
      <c r="R29" s="35" t="str">
        <f>'ALL DATA &amp; IT4PROFIT'!D31</f>
        <v/>
      </c>
      <c r="S29" s="9"/>
      <c r="T29" s="9"/>
    </row>
    <row r="30" ht="21.0" customHeight="1">
      <c r="A30" s="13"/>
      <c r="B30" s="24" t="str">
        <f>'ALL DATA &amp; IT4PROFIT'!A32</f>
        <v>HUAWEI</v>
      </c>
      <c r="C30" s="24" t="str">
        <f>'ALL DATA &amp; IT4PROFIT'!B32</f>
        <v>IV HU SUN2000-330KTL-H1 (1500V)</v>
      </c>
      <c r="D30" s="24" t="str">
        <f>'ALL DATA &amp; IT4PROFIT'!C32</f>
        <v/>
      </c>
      <c r="E30" s="25">
        <v>1.0</v>
      </c>
      <c r="F30" s="26" t="str">
        <f>'ALL DATA &amp; IT4PROFIT'!R32</f>
        <v/>
      </c>
      <c r="G30" s="27">
        <f t="shared" si="1"/>
        <v>90</v>
      </c>
      <c r="H30" s="27">
        <f t="shared" si="2"/>
        <v>92.25</v>
      </c>
      <c r="I30" s="28">
        <f t="shared" si="3"/>
        <v>0.07</v>
      </c>
      <c r="J30" s="29">
        <f t="shared" si="4"/>
        <v>99.19354839</v>
      </c>
      <c r="K30" s="30">
        <f t="shared" si="5"/>
        <v>99.19354839</v>
      </c>
      <c r="L30" s="30">
        <f t="shared" si="6"/>
        <v>92.25</v>
      </c>
      <c r="M30" s="31">
        <v>0.07</v>
      </c>
      <c r="N30" s="32" t="str">
        <f>'ALL DATA &amp; IT4PROFIT'!L32</f>
        <v/>
      </c>
      <c r="O30" s="35"/>
      <c r="P30" s="32" t="str">
        <f>'ALL DATA &amp; IT4PROFIT'!H32</f>
        <v/>
      </c>
      <c r="Q30" s="35" t="str">
        <f>'ALL DATA &amp; IT4PROFIT'!K32</f>
        <v/>
      </c>
      <c r="R30" s="35" t="str">
        <f>'ALL DATA &amp; IT4PROFIT'!D32</f>
        <v/>
      </c>
      <c r="S30" s="9"/>
      <c r="T30" s="9"/>
    </row>
    <row r="31" ht="21.0" customHeight="1">
      <c r="A31" s="13"/>
      <c r="B31" s="24" t="str">
        <f>'ALL DATA &amp; IT4PROFIT'!A34</f>
        <v/>
      </c>
      <c r="C31" s="24" t="str">
        <f>'ALL DATA &amp; IT4PROFIT'!B34</f>
        <v/>
      </c>
      <c r="D31" s="24" t="str">
        <f>'ALL DATA &amp; IT4PROFIT'!C34</f>
        <v/>
      </c>
      <c r="E31" s="25">
        <v>1.0</v>
      </c>
      <c r="F31" s="26" t="str">
        <f>'ALL DATA &amp; IT4PROFIT'!R34</f>
        <v/>
      </c>
      <c r="G31" s="27">
        <f t="shared" si="1"/>
        <v>90</v>
      </c>
      <c r="H31" s="27">
        <f t="shared" si="2"/>
        <v>92.25</v>
      </c>
      <c r="I31" s="28">
        <f t="shared" si="3"/>
        <v>0.07</v>
      </c>
      <c r="J31" s="29">
        <f t="shared" si="4"/>
        <v>99.19354839</v>
      </c>
      <c r="K31" s="30">
        <f t="shared" si="5"/>
        <v>99.19354839</v>
      </c>
      <c r="L31" s="30">
        <f t="shared" si="6"/>
        <v>92.25</v>
      </c>
      <c r="M31" s="31">
        <v>0.07</v>
      </c>
      <c r="N31" s="32" t="str">
        <f>'ALL DATA &amp; IT4PROFIT'!L34</f>
        <v/>
      </c>
      <c r="O31" s="35"/>
      <c r="P31" s="32" t="str">
        <f>'ALL DATA &amp; IT4PROFIT'!H34</f>
        <v/>
      </c>
      <c r="Q31" s="35" t="str">
        <f>'ALL DATA &amp; IT4PROFIT'!K34</f>
        <v/>
      </c>
      <c r="R31" s="35" t="str">
        <f>'ALL DATA &amp; IT4PROFIT'!D34</f>
        <v/>
      </c>
      <c r="S31" s="9"/>
      <c r="T31" s="9"/>
    </row>
    <row r="32" ht="21.0" customHeight="1">
      <c r="A32" s="13"/>
      <c r="B32" s="24" t="str">
        <f>'ALL DATA &amp; IT4PROFIT'!A35</f>
        <v>HUAWEI</v>
      </c>
      <c r="C32" s="24" t="str">
        <f>'ALL DATA &amp; IT4PROFIT'!B35</f>
        <v>SUN2000-450W-P2</v>
      </c>
      <c r="D32" s="24" t="str">
        <f>'ALL DATA &amp; IT4PROFIT'!C35</f>
        <v>OPTIMIZER</v>
      </c>
      <c r="E32" s="25">
        <v>1.0</v>
      </c>
      <c r="F32" s="26">
        <f>'ALL DATA &amp; IT4PROFIT'!R35</f>
        <v>35</v>
      </c>
      <c r="G32" s="27">
        <f t="shared" ref="G32:G33" si="7">F32+$G$191</f>
        <v>40</v>
      </c>
      <c r="H32" s="27">
        <f t="shared" si="2"/>
        <v>41</v>
      </c>
      <c r="I32" s="28">
        <f t="shared" si="3"/>
        <v>0.07</v>
      </c>
      <c r="J32" s="29">
        <f t="shared" si="4"/>
        <v>44.08602151</v>
      </c>
      <c r="K32" s="30">
        <f t="shared" si="5"/>
        <v>44.08602151</v>
      </c>
      <c r="L32" s="30">
        <f t="shared" si="6"/>
        <v>41</v>
      </c>
      <c r="M32" s="31">
        <v>0.07</v>
      </c>
      <c r="N32" s="32">
        <f>'ALL DATA &amp; IT4PROFIT'!L35</f>
        <v>40</v>
      </c>
      <c r="O32" s="35"/>
      <c r="P32" s="32" t="str">
        <f>'ALL DATA &amp; IT4PROFIT'!H35</f>
        <v/>
      </c>
      <c r="Q32" s="35">
        <f>'ALL DATA &amp; IT4PROFIT'!K35</f>
        <v>38.5</v>
      </c>
      <c r="R32" s="35">
        <f>'ALL DATA &amp; IT4PROFIT'!D35</f>
        <v>41</v>
      </c>
      <c r="S32" s="9"/>
      <c r="T32" s="9"/>
    </row>
    <row r="33" ht="21.0" customHeight="1">
      <c r="A33" s="13"/>
      <c r="B33" s="24" t="str">
        <f>'ALL DATA &amp; IT4PROFIT'!A36</f>
        <v>HUAWEI</v>
      </c>
      <c r="C33" s="24" t="str">
        <f>'ALL DATA &amp; IT4PROFIT'!B36</f>
        <v>SUN2000-600W-P</v>
      </c>
      <c r="D33" s="24" t="str">
        <f>'ALL DATA &amp; IT4PROFIT'!C36</f>
        <v>OPTIMIZER</v>
      </c>
      <c r="E33" s="25">
        <v>1.0</v>
      </c>
      <c r="F33" s="26">
        <f>'ALL DATA &amp; IT4PROFIT'!R36</f>
        <v>36.4</v>
      </c>
      <c r="G33" s="27">
        <f t="shared" si="7"/>
        <v>41.4</v>
      </c>
      <c r="H33" s="27">
        <f t="shared" si="2"/>
        <v>42.435</v>
      </c>
      <c r="I33" s="28">
        <f t="shared" si="3"/>
        <v>0.07</v>
      </c>
      <c r="J33" s="29">
        <f t="shared" si="4"/>
        <v>45.62903226</v>
      </c>
      <c r="K33" s="30">
        <f t="shared" si="5"/>
        <v>45.62903226</v>
      </c>
      <c r="L33" s="30">
        <f t="shared" si="6"/>
        <v>42.435</v>
      </c>
      <c r="M33" s="31">
        <v>0.07</v>
      </c>
      <c r="N33" s="32">
        <f>'ALL DATA &amp; IT4PROFIT'!L36</f>
        <v>40</v>
      </c>
      <c r="O33" s="35"/>
      <c r="P33" s="32" t="str">
        <f>'ALL DATA &amp; IT4PROFIT'!H36</f>
        <v/>
      </c>
      <c r="Q33" s="35">
        <f>'ALL DATA &amp; IT4PROFIT'!K36</f>
        <v>39</v>
      </c>
      <c r="R33" s="35">
        <f>'ALL DATA &amp; IT4PROFIT'!D36</f>
        <v>41</v>
      </c>
      <c r="S33" s="9"/>
      <c r="T33" s="9"/>
    </row>
    <row r="34" ht="21.0" customHeight="1">
      <c r="A34" s="13"/>
      <c r="B34" s="24" t="str">
        <f>'ALL DATA &amp; IT4PROFIT'!A37</f>
        <v/>
      </c>
      <c r="C34" s="24" t="str">
        <f>'ALL DATA &amp; IT4PROFIT'!B37</f>
        <v/>
      </c>
      <c r="D34" s="24" t="str">
        <f>'ALL DATA &amp; IT4PROFIT'!C37</f>
        <v/>
      </c>
      <c r="E34" s="25">
        <v>1.0</v>
      </c>
      <c r="F34" s="26" t="str">
        <f>'ALL DATA &amp; IT4PROFIT'!R37</f>
        <v/>
      </c>
      <c r="G34" s="27">
        <f t="shared" ref="G34:G175" si="8">F34+$G$190</f>
        <v>90</v>
      </c>
      <c r="H34" s="27">
        <f t="shared" si="2"/>
        <v>92.25</v>
      </c>
      <c r="I34" s="28">
        <f t="shared" si="3"/>
        <v>0.07</v>
      </c>
      <c r="J34" s="29">
        <f t="shared" si="4"/>
        <v>99.19354839</v>
      </c>
      <c r="K34" s="30">
        <f t="shared" si="5"/>
        <v>99.19354839</v>
      </c>
      <c r="L34" s="30">
        <f t="shared" si="6"/>
        <v>92.25</v>
      </c>
      <c r="M34" s="31">
        <v>0.07</v>
      </c>
      <c r="N34" s="32" t="str">
        <f>'ALL DATA &amp; IT4PROFIT'!L37</f>
        <v/>
      </c>
      <c r="O34" s="35"/>
      <c r="P34" s="32" t="str">
        <f>'ALL DATA &amp; IT4PROFIT'!H37</f>
        <v/>
      </c>
      <c r="Q34" s="35" t="str">
        <f>'ALL DATA &amp; IT4PROFIT'!K37</f>
        <v/>
      </c>
      <c r="R34" s="35" t="str">
        <f>'ALL DATA &amp; IT4PROFIT'!D37</f>
        <v/>
      </c>
      <c r="S34" s="9"/>
      <c r="T34" s="9"/>
    </row>
    <row r="35" ht="21.0" customHeight="1">
      <c r="A35" s="13"/>
      <c r="B35" s="24" t="str">
        <f>'ALL DATA &amp; IT4PROFIT'!A38</f>
        <v/>
      </c>
      <c r="C35" s="24" t="str">
        <f>'ALL DATA &amp; IT4PROFIT'!B38</f>
        <v/>
      </c>
      <c r="D35" s="24" t="str">
        <f>'ALL DATA &amp; IT4PROFIT'!C38</f>
        <v/>
      </c>
      <c r="E35" s="25">
        <v>1.0</v>
      </c>
      <c r="F35" s="26" t="str">
        <f>'ALL DATA &amp; IT4PROFIT'!R38</f>
        <v/>
      </c>
      <c r="G35" s="27">
        <f t="shared" si="8"/>
        <v>90</v>
      </c>
      <c r="H35" s="27">
        <f t="shared" si="2"/>
        <v>92.25</v>
      </c>
      <c r="I35" s="28">
        <f t="shared" si="3"/>
        <v>0.07</v>
      </c>
      <c r="J35" s="29">
        <f t="shared" si="4"/>
        <v>99.19354839</v>
      </c>
      <c r="K35" s="30">
        <f t="shared" si="5"/>
        <v>99.19354839</v>
      </c>
      <c r="L35" s="30">
        <f t="shared" si="6"/>
        <v>92.25</v>
      </c>
      <c r="M35" s="31">
        <v>0.07</v>
      </c>
      <c r="N35" s="32" t="str">
        <f>'ALL DATA &amp; IT4PROFIT'!L38</f>
        <v/>
      </c>
      <c r="O35" s="35"/>
      <c r="P35" s="32" t="str">
        <f>'ALL DATA &amp; IT4PROFIT'!H38</f>
        <v/>
      </c>
      <c r="Q35" s="35" t="str">
        <f>'ALL DATA &amp; IT4PROFIT'!K38</f>
        <v/>
      </c>
      <c r="R35" s="35" t="str">
        <f>'ALL DATA &amp; IT4PROFIT'!D38</f>
        <v/>
      </c>
      <c r="S35" s="9"/>
      <c r="T35" s="9"/>
    </row>
    <row r="36" ht="21.0" customHeight="1">
      <c r="A36" s="13"/>
      <c r="B36" s="24" t="str">
        <f>'ALL DATA &amp; IT4PROFIT'!A39</f>
        <v>SUNGROW</v>
      </c>
      <c r="C36" s="24" t="str">
        <f>'ALL DATA &amp; IT4PROFIT'!B39</f>
        <v>IV SUNG SG2.0RS</v>
      </c>
      <c r="D36" s="24" t="str">
        <f>'ALL DATA &amp; IT4PROFIT'!C39</f>
        <v>1PH</v>
      </c>
      <c r="E36" s="25">
        <v>1.0</v>
      </c>
      <c r="F36" s="26" t="str">
        <f>'ALL DATA &amp; IT4PROFIT'!R39</f>
        <v/>
      </c>
      <c r="G36" s="27">
        <f t="shared" si="8"/>
        <v>90</v>
      </c>
      <c r="H36" s="27">
        <f t="shared" si="2"/>
        <v>92.25</v>
      </c>
      <c r="I36" s="28">
        <f t="shared" si="3"/>
        <v>0.07</v>
      </c>
      <c r="J36" s="29">
        <f t="shared" si="4"/>
        <v>99.19354839</v>
      </c>
      <c r="K36" s="30">
        <f t="shared" si="5"/>
        <v>99.19354839</v>
      </c>
      <c r="L36" s="30">
        <f t="shared" si="6"/>
        <v>92.25</v>
      </c>
      <c r="M36" s="31">
        <v>0.07</v>
      </c>
      <c r="N36" s="32" t="str">
        <f>'ALL DATA &amp; IT4PROFIT'!L39</f>
        <v/>
      </c>
      <c r="O36" s="35"/>
      <c r="P36" s="32" t="str">
        <f>'ALL DATA &amp; IT4PROFIT'!H39</f>
        <v/>
      </c>
      <c r="Q36" s="35" t="str">
        <f>'ALL DATA &amp; IT4PROFIT'!K39</f>
        <v/>
      </c>
      <c r="R36" s="35" t="str">
        <f>'ALL DATA &amp; IT4PROFIT'!D39</f>
        <v/>
      </c>
      <c r="S36" s="9"/>
      <c r="T36" s="9"/>
    </row>
    <row r="37" ht="21.0" customHeight="1">
      <c r="A37" s="13"/>
      <c r="B37" s="24" t="str">
        <f>'ALL DATA &amp; IT4PROFIT'!A40</f>
        <v>SUNGROW</v>
      </c>
      <c r="C37" s="24" t="str">
        <f>'ALL DATA &amp; IT4PROFIT'!B40</f>
        <v>IV SUNG SG3.0RS</v>
      </c>
      <c r="D37" s="24" t="str">
        <f>'ALL DATA &amp; IT4PROFIT'!C40</f>
        <v>1PH</v>
      </c>
      <c r="E37" s="25">
        <v>1.0</v>
      </c>
      <c r="F37" s="26" t="str">
        <f>'ALL DATA &amp; IT4PROFIT'!R40</f>
        <v/>
      </c>
      <c r="G37" s="27">
        <f t="shared" si="8"/>
        <v>90</v>
      </c>
      <c r="H37" s="27">
        <f t="shared" si="2"/>
        <v>92.25</v>
      </c>
      <c r="I37" s="28">
        <f t="shared" si="3"/>
        <v>0.07</v>
      </c>
      <c r="J37" s="29">
        <f t="shared" si="4"/>
        <v>99.19354839</v>
      </c>
      <c r="K37" s="30">
        <f t="shared" si="5"/>
        <v>99.19354839</v>
      </c>
      <c r="L37" s="30">
        <f t="shared" si="6"/>
        <v>92.25</v>
      </c>
      <c r="M37" s="31">
        <v>0.07</v>
      </c>
      <c r="N37" s="32" t="str">
        <f>'ALL DATA &amp; IT4PROFIT'!L40</f>
        <v/>
      </c>
      <c r="O37" s="35"/>
      <c r="P37" s="32" t="str">
        <f>'ALL DATA &amp; IT4PROFIT'!H40</f>
        <v/>
      </c>
      <c r="Q37" s="35" t="str">
        <f>'ALL DATA &amp; IT4PROFIT'!K40</f>
        <v/>
      </c>
      <c r="R37" s="35" t="str">
        <f>'ALL DATA &amp; IT4PROFIT'!D40</f>
        <v/>
      </c>
      <c r="S37" s="9"/>
      <c r="T37" s="9"/>
    </row>
    <row r="38" ht="21.0" customHeight="1">
      <c r="A38" s="13"/>
      <c r="B38" s="24" t="str">
        <f>'ALL DATA &amp; IT4PROFIT'!A41</f>
        <v>SUNGROW</v>
      </c>
      <c r="C38" s="24" t="str">
        <f>'ALL DATA &amp; IT4PROFIT'!B41</f>
        <v>IV SUNG SG4.0RS</v>
      </c>
      <c r="D38" s="24" t="str">
        <f>'ALL DATA &amp; IT4PROFIT'!C41</f>
        <v>1PH</v>
      </c>
      <c r="E38" s="25">
        <v>1.0</v>
      </c>
      <c r="F38" s="26" t="str">
        <f>'ALL DATA &amp; IT4PROFIT'!R41</f>
        <v/>
      </c>
      <c r="G38" s="27">
        <f t="shared" si="8"/>
        <v>90</v>
      </c>
      <c r="H38" s="27">
        <f t="shared" si="2"/>
        <v>92.25</v>
      </c>
      <c r="I38" s="28">
        <f t="shared" si="3"/>
        <v>0.07</v>
      </c>
      <c r="J38" s="29">
        <f t="shared" si="4"/>
        <v>99.19354839</v>
      </c>
      <c r="K38" s="30">
        <f t="shared" si="5"/>
        <v>99.19354839</v>
      </c>
      <c r="L38" s="30">
        <f t="shared" si="6"/>
        <v>92.25</v>
      </c>
      <c r="M38" s="31">
        <v>0.07</v>
      </c>
      <c r="N38" s="32" t="str">
        <f>'ALL DATA &amp; IT4PROFIT'!L41</f>
        <v/>
      </c>
      <c r="O38" s="35"/>
      <c r="P38" s="32" t="str">
        <f>'ALL DATA &amp; IT4PROFIT'!H41</f>
        <v/>
      </c>
      <c r="Q38" s="35" t="str">
        <f>'ALL DATA &amp; IT4PROFIT'!K41</f>
        <v/>
      </c>
      <c r="R38" s="35" t="str">
        <f>'ALL DATA &amp; IT4PROFIT'!D41</f>
        <v/>
      </c>
      <c r="S38" s="9"/>
      <c r="T38" s="9"/>
    </row>
    <row r="39" ht="21.0" customHeight="1">
      <c r="A39" s="13"/>
      <c r="B39" s="24" t="str">
        <f>'ALL DATA &amp; IT4PROFIT'!A42</f>
        <v>SUNGROW</v>
      </c>
      <c r="C39" s="24" t="str">
        <f>'ALL DATA &amp; IT4PROFIT'!B42</f>
        <v>IV SUNG SG5.0RS</v>
      </c>
      <c r="D39" s="24" t="str">
        <f>'ALL DATA &amp; IT4PROFIT'!C42</f>
        <v>1PH</v>
      </c>
      <c r="E39" s="25">
        <v>1.0</v>
      </c>
      <c r="F39" s="26" t="str">
        <f>'ALL DATA &amp; IT4PROFIT'!R42</f>
        <v/>
      </c>
      <c r="G39" s="27">
        <f t="shared" si="8"/>
        <v>90</v>
      </c>
      <c r="H39" s="27">
        <f t="shared" si="2"/>
        <v>92.25</v>
      </c>
      <c r="I39" s="28">
        <f t="shared" si="3"/>
        <v>0.07</v>
      </c>
      <c r="J39" s="29">
        <f t="shared" si="4"/>
        <v>99.19354839</v>
      </c>
      <c r="K39" s="30">
        <f t="shared" si="5"/>
        <v>99.19354839</v>
      </c>
      <c r="L39" s="30">
        <f t="shared" si="6"/>
        <v>92.25</v>
      </c>
      <c r="M39" s="31">
        <v>0.07</v>
      </c>
      <c r="N39" s="32" t="str">
        <f>'ALL DATA &amp; IT4PROFIT'!L42</f>
        <v/>
      </c>
      <c r="O39" s="35"/>
      <c r="P39" s="32" t="str">
        <f>'ALL DATA &amp; IT4PROFIT'!H42</f>
        <v/>
      </c>
      <c r="Q39" s="35" t="str">
        <f>'ALL DATA &amp; IT4PROFIT'!K42</f>
        <v/>
      </c>
      <c r="R39" s="35" t="str">
        <f>'ALL DATA &amp; IT4PROFIT'!D42</f>
        <v/>
      </c>
      <c r="S39" s="9"/>
      <c r="T39" s="9"/>
    </row>
    <row r="40" ht="21.0" customHeight="1">
      <c r="A40" s="13"/>
      <c r="B40" s="24" t="str">
        <f>'ALL DATA &amp; IT4PROFIT'!A43</f>
        <v>SUNGROW</v>
      </c>
      <c r="C40" s="24" t="str">
        <f>'ALL DATA &amp; IT4PROFIT'!B43</f>
        <v>IV SUNG SG3.0RT</v>
      </c>
      <c r="D40" s="24" t="str">
        <f>'ALL DATA &amp; IT4PROFIT'!C43</f>
        <v>3PH</v>
      </c>
      <c r="E40" s="25">
        <v>1.0</v>
      </c>
      <c r="F40" s="26" t="str">
        <f>'ALL DATA &amp; IT4PROFIT'!R43</f>
        <v/>
      </c>
      <c r="G40" s="27">
        <f t="shared" si="8"/>
        <v>90</v>
      </c>
      <c r="H40" s="27">
        <f t="shared" si="2"/>
        <v>92.25</v>
      </c>
      <c r="I40" s="28">
        <f t="shared" si="3"/>
        <v>0.07</v>
      </c>
      <c r="J40" s="29">
        <f t="shared" si="4"/>
        <v>99.19354839</v>
      </c>
      <c r="K40" s="30">
        <f t="shared" si="5"/>
        <v>99.19354839</v>
      </c>
      <c r="L40" s="30">
        <f t="shared" si="6"/>
        <v>92.25</v>
      </c>
      <c r="M40" s="31">
        <v>0.07</v>
      </c>
      <c r="N40" s="32" t="str">
        <f>'ALL DATA &amp; IT4PROFIT'!L43</f>
        <v/>
      </c>
      <c r="O40" s="35"/>
      <c r="P40" s="32" t="str">
        <f>'ALL DATA &amp; IT4PROFIT'!H43</f>
        <v/>
      </c>
      <c r="Q40" s="35" t="str">
        <f>'ALL DATA &amp; IT4PROFIT'!K43</f>
        <v/>
      </c>
      <c r="R40" s="35" t="str">
        <f>'ALL DATA &amp; IT4PROFIT'!D43</f>
        <v/>
      </c>
      <c r="S40" s="9"/>
      <c r="T40" s="9"/>
    </row>
    <row r="41" ht="21.0" customHeight="1">
      <c r="A41" s="13"/>
      <c r="B41" s="24" t="str">
        <f>'ALL DATA &amp; IT4PROFIT'!A44</f>
        <v>SUNGROW</v>
      </c>
      <c r="C41" s="24" t="str">
        <f>'ALL DATA &amp; IT4PROFIT'!B44</f>
        <v>IV SUNG SG4.0RT</v>
      </c>
      <c r="D41" s="24" t="str">
        <f>'ALL DATA &amp; IT4PROFIT'!C44</f>
        <v>3PH</v>
      </c>
      <c r="E41" s="25">
        <v>1.0</v>
      </c>
      <c r="F41" s="26" t="str">
        <f>'ALL DATA &amp; IT4PROFIT'!R44</f>
        <v/>
      </c>
      <c r="G41" s="27">
        <f t="shared" si="8"/>
        <v>90</v>
      </c>
      <c r="H41" s="27">
        <f t="shared" si="2"/>
        <v>92.25</v>
      </c>
      <c r="I41" s="28">
        <f t="shared" si="3"/>
        <v>0.07</v>
      </c>
      <c r="J41" s="29">
        <f t="shared" si="4"/>
        <v>99.19354839</v>
      </c>
      <c r="K41" s="30">
        <f t="shared" si="5"/>
        <v>99.19354839</v>
      </c>
      <c r="L41" s="30">
        <f t="shared" si="6"/>
        <v>92.25</v>
      </c>
      <c r="M41" s="31">
        <v>0.07</v>
      </c>
      <c r="N41" s="32" t="str">
        <f>'ALL DATA &amp; IT4PROFIT'!L44</f>
        <v/>
      </c>
      <c r="O41" s="35"/>
      <c r="P41" s="32" t="str">
        <f>'ALL DATA &amp; IT4PROFIT'!H44</f>
        <v/>
      </c>
      <c r="Q41" s="35" t="str">
        <f>'ALL DATA &amp; IT4PROFIT'!K44</f>
        <v/>
      </c>
      <c r="R41" s="35" t="str">
        <f>'ALL DATA &amp; IT4PROFIT'!D44</f>
        <v/>
      </c>
      <c r="S41" s="9"/>
      <c r="T41" s="9"/>
    </row>
    <row r="42" ht="21.0" customHeight="1">
      <c r="A42" s="13"/>
      <c r="B42" s="24" t="str">
        <f>'ALL DATA &amp; IT4PROFIT'!A45</f>
        <v>SUNGROW</v>
      </c>
      <c r="C42" s="24" t="str">
        <f>'ALL DATA &amp; IT4PROFIT'!B45</f>
        <v>IV SUNG SG5.0RT</v>
      </c>
      <c r="D42" s="24" t="str">
        <f>'ALL DATA &amp; IT4PROFIT'!C45</f>
        <v>3PH</v>
      </c>
      <c r="E42" s="25">
        <v>1.0</v>
      </c>
      <c r="F42" s="26" t="str">
        <f>'ALL DATA &amp; IT4PROFIT'!R45</f>
        <v/>
      </c>
      <c r="G42" s="27">
        <f t="shared" si="8"/>
        <v>90</v>
      </c>
      <c r="H42" s="27">
        <f t="shared" si="2"/>
        <v>92.25</v>
      </c>
      <c r="I42" s="28">
        <f t="shared" si="3"/>
        <v>0.07</v>
      </c>
      <c r="J42" s="29">
        <f t="shared" si="4"/>
        <v>99.19354839</v>
      </c>
      <c r="K42" s="30">
        <f t="shared" si="5"/>
        <v>99.19354839</v>
      </c>
      <c r="L42" s="30">
        <f t="shared" si="6"/>
        <v>92.25</v>
      </c>
      <c r="M42" s="31">
        <v>0.07</v>
      </c>
      <c r="N42" s="32" t="str">
        <f>'ALL DATA &amp; IT4PROFIT'!L45</f>
        <v/>
      </c>
      <c r="O42" s="35"/>
      <c r="P42" s="32" t="str">
        <f>'ALL DATA &amp; IT4PROFIT'!H45</f>
        <v/>
      </c>
      <c r="Q42" s="35" t="str">
        <f>'ALL DATA &amp; IT4PROFIT'!K45</f>
        <v/>
      </c>
      <c r="R42" s="35" t="str">
        <f>'ALL DATA &amp; IT4PROFIT'!D45</f>
        <v/>
      </c>
      <c r="S42" s="9"/>
      <c r="T42" s="9"/>
    </row>
    <row r="43" ht="21.0" customHeight="1">
      <c r="A43" s="13"/>
      <c r="B43" s="24" t="str">
        <f>'ALL DATA &amp; IT4PROFIT'!A46</f>
        <v>SUNGROW</v>
      </c>
      <c r="C43" s="24" t="str">
        <f>'ALL DATA &amp; IT4PROFIT'!B46</f>
        <v>IV SUNG SG6.0RT</v>
      </c>
      <c r="D43" s="24" t="str">
        <f>'ALL DATA &amp; IT4PROFIT'!C46</f>
        <v>3PH</v>
      </c>
      <c r="E43" s="25">
        <v>1.0</v>
      </c>
      <c r="F43" s="26" t="str">
        <f>'ALL DATA &amp; IT4PROFIT'!R46</f>
        <v/>
      </c>
      <c r="G43" s="27">
        <f t="shared" si="8"/>
        <v>90</v>
      </c>
      <c r="H43" s="27">
        <f t="shared" si="2"/>
        <v>92.25</v>
      </c>
      <c r="I43" s="28">
        <f t="shared" si="3"/>
        <v>0.07</v>
      </c>
      <c r="J43" s="29">
        <f t="shared" si="4"/>
        <v>99.19354839</v>
      </c>
      <c r="K43" s="30">
        <f t="shared" si="5"/>
        <v>99.19354839</v>
      </c>
      <c r="L43" s="30">
        <f t="shared" si="6"/>
        <v>92.25</v>
      </c>
      <c r="M43" s="31">
        <v>0.07</v>
      </c>
      <c r="N43" s="32" t="str">
        <f>'ALL DATA &amp; IT4PROFIT'!L46</f>
        <v/>
      </c>
      <c r="O43" s="35"/>
      <c r="P43" s="32" t="str">
        <f>'ALL DATA &amp; IT4PROFIT'!H46</f>
        <v/>
      </c>
      <c r="Q43" s="35" t="str">
        <f>'ALL DATA &amp; IT4PROFIT'!K46</f>
        <v/>
      </c>
      <c r="R43" s="35" t="str">
        <f>'ALL DATA &amp; IT4PROFIT'!D46</f>
        <v/>
      </c>
      <c r="S43" s="9"/>
      <c r="T43" s="9"/>
    </row>
    <row r="44" ht="21.0" customHeight="1">
      <c r="A44" s="13"/>
      <c r="B44" s="24" t="str">
        <f>'ALL DATA &amp; IT4PROFIT'!A47</f>
        <v>SUNGROW</v>
      </c>
      <c r="C44" s="24" t="str">
        <f>'ALL DATA &amp; IT4PROFIT'!B47</f>
        <v>IV SUNG SG8.0RT</v>
      </c>
      <c r="D44" s="24" t="str">
        <f>'ALL DATA &amp; IT4PROFIT'!C47</f>
        <v>3PH</v>
      </c>
      <c r="E44" s="25">
        <v>1.0</v>
      </c>
      <c r="F44" s="26" t="str">
        <f>'ALL DATA &amp; IT4PROFIT'!R47</f>
        <v/>
      </c>
      <c r="G44" s="27">
        <f t="shared" si="8"/>
        <v>90</v>
      </c>
      <c r="H44" s="27">
        <f t="shared" si="2"/>
        <v>92.25</v>
      </c>
      <c r="I44" s="28">
        <f t="shared" si="3"/>
        <v>0.07</v>
      </c>
      <c r="J44" s="29">
        <f t="shared" si="4"/>
        <v>99.19354839</v>
      </c>
      <c r="K44" s="30">
        <f t="shared" si="5"/>
        <v>99.19354839</v>
      </c>
      <c r="L44" s="30">
        <f t="shared" si="6"/>
        <v>92.25</v>
      </c>
      <c r="M44" s="31">
        <v>0.07</v>
      </c>
      <c r="N44" s="32" t="str">
        <f>'ALL DATA &amp; IT4PROFIT'!L47</f>
        <v/>
      </c>
      <c r="O44" s="35"/>
      <c r="P44" s="32" t="str">
        <f>'ALL DATA &amp; IT4PROFIT'!H47</f>
        <v/>
      </c>
      <c r="Q44" s="35" t="str">
        <f>'ALL DATA &amp; IT4PROFIT'!K47</f>
        <v/>
      </c>
      <c r="R44" s="35" t="str">
        <f>'ALL DATA &amp; IT4PROFIT'!D47</f>
        <v/>
      </c>
      <c r="S44" s="9"/>
      <c r="T44" s="9"/>
    </row>
    <row r="45" ht="21.0" customHeight="1">
      <c r="A45" s="13"/>
      <c r="B45" s="24" t="str">
        <f>'ALL DATA &amp; IT4PROFIT'!A48</f>
        <v>SUNGROW</v>
      </c>
      <c r="C45" s="24" t="str">
        <f>'ALL DATA &amp; IT4PROFIT'!B48</f>
        <v>IV SUNG SG10.0RT</v>
      </c>
      <c r="D45" s="24" t="str">
        <f>'ALL DATA &amp; IT4PROFIT'!C48</f>
        <v>3PH</v>
      </c>
      <c r="E45" s="25">
        <v>1.0</v>
      </c>
      <c r="F45" s="26" t="str">
        <f>'ALL DATA &amp; IT4PROFIT'!R48</f>
        <v/>
      </c>
      <c r="G45" s="27">
        <f t="shared" si="8"/>
        <v>90</v>
      </c>
      <c r="H45" s="27">
        <f t="shared" si="2"/>
        <v>92.25</v>
      </c>
      <c r="I45" s="28">
        <f t="shared" si="3"/>
        <v>0.07</v>
      </c>
      <c r="J45" s="29">
        <f t="shared" si="4"/>
        <v>99.19354839</v>
      </c>
      <c r="K45" s="30">
        <f t="shared" si="5"/>
        <v>99.19354839</v>
      </c>
      <c r="L45" s="30">
        <f t="shared" si="6"/>
        <v>92.25</v>
      </c>
      <c r="M45" s="31">
        <v>0.07</v>
      </c>
      <c r="N45" s="32" t="str">
        <f>'ALL DATA &amp; IT4PROFIT'!L48</f>
        <v/>
      </c>
      <c r="O45" s="35"/>
      <c r="P45" s="32" t="str">
        <f>'ALL DATA &amp; IT4PROFIT'!H48</f>
        <v/>
      </c>
      <c r="Q45" s="35" t="str">
        <f>'ALL DATA &amp; IT4PROFIT'!K48</f>
        <v/>
      </c>
      <c r="R45" s="35" t="str">
        <f>'ALL DATA &amp; IT4PROFIT'!D48</f>
        <v/>
      </c>
      <c r="S45" s="9"/>
      <c r="T45" s="9"/>
    </row>
    <row r="46" ht="21.0" customHeight="1">
      <c r="A46" s="13"/>
      <c r="B46" s="24" t="str">
        <f>'ALL DATA &amp; IT4PROFIT'!A49</f>
        <v>SUNGROW</v>
      </c>
      <c r="C46" s="24" t="str">
        <f>'ALL DATA &amp; IT4PROFIT'!B49</f>
        <v>IV SUNG SG12.0RT</v>
      </c>
      <c r="D46" s="24" t="str">
        <f>'ALL DATA &amp; IT4PROFIT'!C49</f>
        <v>3PH</v>
      </c>
      <c r="E46" s="25">
        <v>1.0</v>
      </c>
      <c r="F46" s="26" t="str">
        <f>'ALL DATA &amp; IT4PROFIT'!R49</f>
        <v/>
      </c>
      <c r="G46" s="27">
        <f t="shared" si="8"/>
        <v>90</v>
      </c>
      <c r="H46" s="27">
        <f t="shared" si="2"/>
        <v>92.25</v>
      </c>
      <c r="I46" s="28">
        <f t="shared" si="3"/>
        <v>0.07</v>
      </c>
      <c r="J46" s="29">
        <f t="shared" si="4"/>
        <v>99.19354839</v>
      </c>
      <c r="K46" s="30">
        <f t="shared" si="5"/>
        <v>99.19354839</v>
      </c>
      <c r="L46" s="30">
        <f t="shared" si="6"/>
        <v>92.25</v>
      </c>
      <c r="M46" s="31">
        <v>0.07</v>
      </c>
      <c r="N46" s="32" t="str">
        <f>'ALL DATA &amp; IT4PROFIT'!L49</f>
        <v/>
      </c>
      <c r="O46" s="35"/>
      <c r="P46" s="32" t="str">
        <f>'ALL DATA &amp; IT4PROFIT'!H49</f>
        <v/>
      </c>
      <c r="Q46" s="35" t="str">
        <f>'ALL DATA &amp; IT4PROFIT'!K49</f>
        <v/>
      </c>
      <c r="R46" s="35" t="str">
        <f>'ALL DATA &amp; IT4PROFIT'!D49</f>
        <v/>
      </c>
      <c r="S46" s="9"/>
      <c r="T46" s="9"/>
    </row>
    <row r="47" ht="21.0" customHeight="1">
      <c r="A47" s="13"/>
      <c r="B47" s="24" t="str">
        <f>'ALL DATA &amp; IT4PROFIT'!A50</f>
        <v>SUNGROW</v>
      </c>
      <c r="C47" s="24" t="str">
        <f>'ALL DATA &amp; IT4PROFIT'!B50</f>
        <v>IV SUNG SG15.0RT</v>
      </c>
      <c r="D47" s="24" t="str">
        <f>'ALL DATA &amp; IT4PROFIT'!C50</f>
        <v>3PH</v>
      </c>
      <c r="E47" s="25">
        <v>1.0</v>
      </c>
      <c r="F47" s="26" t="str">
        <f>'ALL DATA &amp; IT4PROFIT'!R50</f>
        <v/>
      </c>
      <c r="G47" s="27">
        <f t="shared" si="8"/>
        <v>90</v>
      </c>
      <c r="H47" s="27">
        <f t="shared" si="2"/>
        <v>92.25</v>
      </c>
      <c r="I47" s="28">
        <f t="shared" si="3"/>
        <v>0.07</v>
      </c>
      <c r="J47" s="29">
        <f t="shared" si="4"/>
        <v>99.19354839</v>
      </c>
      <c r="K47" s="30">
        <f t="shared" si="5"/>
        <v>99.19354839</v>
      </c>
      <c r="L47" s="30">
        <f t="shared" si="6"/>
        <v>92.25</v>
      </c>
      <c r="M47" s="31">
        <v>0.07</v>
      </c>
      <c r="N47" s="32" t="str">
        <f>'ALL DATA &amp; IT4PROFIT'!L50</f>
        <v/>
      </c>
      <c r="O47" s="35"/>
      <c r="P47" s="32" t="str">
        <f>'ALL DATA &amp; IT4PROFIT'!H50</f>
        <v/>
      </c>
      <c r="Q47" s="35" t="str">
        <f>'ALL DATA &amp; IT4PROFIT'!K50</f>
        <v/>
      </c>
      <c r="R47" s="35" t="str">
        <f>'ALL DATA &amp; IT4PROFIT'!D50</f>
        <v/>
      </c>
      <c r="S47" s="9"/>
      <c r="T47" s="9"/>
    </row>
    <row r="48" ht="21.0" customHeight="1">
      <c r="A48" s="13"/>
      <c r="B48" s="24" t="str">
        <f>'ALL DATA &amp; IT4PROFIT'!A51</f>
        <v>SUNGROW</v>
      </c>
      <c r="C48" s="24" t="str">
        <f>'ALL DATA &amp; IT4PROFIT'!B51</f>
        <v>IV SUNG SG20.0RT</v>
      </c>
      <c r="D48" s="24" t="str">
        <f>'ALL DATA &amp; IT4PROFIT'!C51</f>
        <v>3PH</v>
      </c>
      <c r="E48" s="25">
        <v>1.0</v>
      </c>
      <c r="F48" s="26" t="str">
        <f>'ALL DATA &amp; IT4PROFIT'!R51</f>
        <v/>
      </c>
      <c r="G48" s="27">
        <f t="shared" si="8"/>
        <v>90</v>
      </c>
      <c r="H48" s="27">
        <f t="shared" si="2"/>
        <v>92.25</v>
      </c>
      <c r="I48" s="28">
        <f t="shared" si="3"/>
        <v>0.07</v>
      </c>
      <c r="J48" s="29">
        <f t="shared" si="4"/>
        <v>99.19354839</v>
      </c>
      <c r="K48" s="30">
        <f t="shared" si="5"/>
        <v>99.19354839</v>
      </c>
      <c r="L48" s="30">
        <f t="shared" si="6"/>
        <v>92.25</v>
      </c>
      <c r="M48" s="31">
        <v>0.07</v>
      </c>
      <c r="N48" s="32" t="str">
        <f>'ALL DATA &amp; IT4PROFIT'!L51</f>
        <v/>
      </c>
      <c r="O48" s="35"/>
      <c r="P48" s="32" t="str">
        <f>'ALL DATA &amp; IT4PROFIT'!H51</f>
        <v/>
      </c>
      <c r="Q48" s="35" t="str">
        <f>'ALL DATA &amp; IT4PROFIT'!K51</f>
        <v/>
      </c>
      <c r="R48" s="35" t="str">
        <f>'ALL DATA &amp; IT4PROFIT'!D51</f>
        <v/>
      </c>
      <c r="S48" s="9"/>
      <c r="T48" s="9"/>
    </row>
    <row r="49" ht="21.0" customHeight="1">
      <c r="A49" s="13"/>
      <c r="B49" s="24" t="str">
        <f>'ALL DATA &amp; IT4PROFIT'!A52</f>
        <v>SUNGROW</v>
      </c>
      <c r="C49" s="24" t="str">
        <f>'ALL DATA &amp; IT4PROFIT'!B52</f>
        <v>IV SUNG SG33CX</v>
      </c>
      <c r="D49" s="24" t="str">
        <f>'ALL DATA &amp; IT4PROFIT'!C52</f>
        <v>3PH</v>
      </c>
      <c r="E49" s="25">
        <v>1.0</v>
      </c>
      <c r="F49" s="26" t="str">
        <f>'ALL DATA &amp; IT4PROFIT'!R52</f>
        <v/>
      </c>
      <c r="G49" s="27">
        <f t="shared" si="8"/>
        <v>90</v>
      </c>
      <c r="H49" s="27">
        <f t="shared" si="2"/>
        <v>92.25</v>
      </c>
      <c r="I49" s="28">
        <f t="shared" si="3"/>
        <v>0.07</v>
      </c>
      <c r="J49" s="29">
        <f t="shared" si="4"/>
        <v>99.19354839</v>
      </c>
      <c r="K49" s="30">
        <f t="shared" si="5"/>
        <v>99.19354839</v>
      </c>
      <c r="L49" s="30">
        <f t="shared" si="6"/>
        <v>92.25</v>
      </c>
      <c r="M49" s="31">
        <v>0.07</v>
      </c>
      <c r="N49" s="32" t="str">
        <f>'ALL DATA &amp; IT4PROFIT'!L52</f>
        <v/>
      </c>
      <c r="O49" s="35"/>
      <c r="P49" s="32" t="str">
        <f>'ALL DATA &amp; IT4PROFIT'!H52</f>
        <v/>
      </c>
      <c r="Q49" s="35" t="str">
        <f>'ALL DATA &amp; IT4PROFIT'!K52</f>
        <v/>
      </c>
      <c r="R49" s="35" t="str">
        <f>'ALL DATA &amp; IT4PROFIT'!D52</f>
        <v/>
      </c>
      <c r="S49" s="9"/>
      <c r="T49" s="9"/>
    </row>
    <row r="50" ht="21.0" customHeight="1">
      <c r="A50" s="13"/>
      <c r="B50" s="24" t="str">
        <f>'ALL DATA &amp; IT4PROFIT'!A53</f>
        <v>SUNGROW</v>
      </c>
      <c r="C50" s="24" t="str">
        <f>'ALL DATA &amp; IT4PROFIT'!B53</f>
        <v>IV SUNG SG50CX-P2</v>
      </c>
      <c r="D50" s="24" t="str">
        <f>'ALL DATA &amp; IT4PROFIT'!C53</f>
        <v>3PH</v>
      </c>
      <c r="E50" s="25">
        <v>1.0</v>
      </c>
      <c r="F50" s="26" t="str">
        <f>'ALL DATA &amp; IT4PROFIT'!R53</f>
        <v/>
      </c>
      <c r="G50" s="27">
        <f t="shared" si="8"/>
        <v>90</v>
      </c>
      <c r="H50" s="27">
        <f t="shared" si="2"/>
        <v>92.25</v>
      </c>
      <c r="I50" s="28">
        <f t="shared" si="3"/>
        <v>0.07</v>
      </c>
      <c r="J50" s="29">
        <f t="shared" si="4"/>
        <v>99.19354839</v>
      </c>
      <c r="K50" s="30">
        <f t="shared" si="5"/>
        <v>99.19354839</v>
      </c>
      <c r="L50" s="30">
        <f t="shared" si="6"/>
        <v>92.25</v>
      </c>
      <c r="M50" s="31">
        <v>0.07</v>
      </c>
      <c r="N50" s="32" t="str">
        <f>'ALL DATA &amp; IT4PROFIT'!L53</f>
        <v/>
      </c>
      <c r="O50" s="35"/>
      <c r="P50" s="32" t="str">
        <f>'ALL DATA &amp; IT4PROFIT'!H53</f>
        <v/>
      </c>
      <c r="Q50" s="35" t="str">
        <f>'ALL DATA &amp; IT4PROFIT'!K53</f>
        <v/>
      </c>
      <c r="R50" s="35" t="str">
        <f>'ALL DATA &amp; IT4PROFIT'!D53</f>
        <v/>
      </c>
      <c r="S50" s="9"/>
      <c r="T50" s="9"/>
    </row>
    <row r="51" ht="21.0" customHeight="1">
      <c r="A51" s="13"/>
      <c r="B51" s="24" t="str">
        <f>'ALL DATA &amp; IT4PROFIT'!A54</f>
        <v>SUNGROW</v>
      </c>
      <c r="C51" s="24" t="str">
        <f>'ALL DATA &amp; IT4PROFIT'!B54</f>
        <v>IV SUNG SG125-250-350CX-P2</v>
      </c>
      <c r="D51" s="24" t="str">
        <f>'ALL DATA &amp; IT4PROFIT'!C54</f>
        <v>3PH</v>
      </c>
      <c r="E51" s="25">
        <v>1.0</v>
      </c>
      <c r="F51" s="26" t="str">
        <f>'ALL DATA &amp; IT4PROFIT'!R54</f>
        <v/>
      </c>
      <c r="G51" s="27">
        <f t="shared" si="8"/>
        <v>90</v>
      </c>
      <c r="H51" s="27">
        <f t="shared" si="2"/>
        <v>92.25</v>
      </c>
      <c r="I51" s="28">
        <f t="shared" si="3"/>
        <v>0.07</v>
      </c>
      <c r="J51" s="29">
        <f t="shared" si="4"/>
        <v>99.19354839</v>
      </c>
      <c r="K51" s="30">
        <f t="shared" si="5"/>
        <v>99.19354839</v>
      </c>
      <c r="L51" s="30">
        <f t="shared" si="6"/>
        <v>92.25</v>
      </c>
      <c r="M51" s="31">
        <v>0.07</v>
      </c>
      <c r="N51" s="32" t="str">
        <f>'ALL DATA &amp; IT4PROFIT'!L54</f>
        <v/>
      </c>
      <c r="O51" s="35"/>
      <c r="P51" s="32" t="str">
        <f>'ALL DATA &amp; IT4PROFIT'!H54</f>
        <v/>
      </c>
      <c r="Q51" s="35" t="str">
        <f>'ALL DATA &amp; IT4PROFIT'!K54</f>
        <v/>
      </c>
      <c r="R51" s="35" t="str">
        <f>'ALL DATA &amp; IT4PROFIT'!D54</f>
        <v/>
      </c>
      <c r="S51" s="9"/>
      <c r="T51" s="9"/>
    </row>
    <row r="52" ht="21.0" customHeight="1">
      <c r="A52" s="13"/>
      <c r="B52" s="24" t="str">
        <f>'ALL DATA &amp; IT4PROFIT'!A55</f>
        <v>SUNGROW</v>
      </c>
      <c r="C52" s="24" t="str">
        <f>'ALL DATA &amp; IT4PROFIT'!B55</f>
        <v>IVH SUNG SH3.0RS</v>
      </c>
      <c r="D52" s="24" t="str">
        <f>'ALL DATA &amp; IT4PROFIT'!C55</f>
        <v>1PH HYBRID</v>
      </c>
      <c r="E52" s="25">
        <v>1.0</v>
      </c>
      <c r="F52" s="26" t="str">
        <f>'ALL DATA &amp; IT4PROFIT'!R55</f>
        <v/>
      </c>
      <c r="G52" s="27">
        <f t="shared" si="8"/>
        <v>90</v>
      </c>
      <c r="H52" s="27">
        <f t="shared" si="2"/>
        <v>92.25</v>
      </c>
      <c r="I52" s="28">
        <f t="shared" si="3"/>
        <v>0.07</v>
      </c>
      <c r="J52" s="29">
        <f t="shared" si="4"/>
        <v>99.19354839</v>
      </c>
      <c r="K52" s="30">
        <f t="shared" si="5"/>
        <v>99.19354839</v>
      </c>
      <c r="L52" s="30">
        <f t="shared" si="6"/>
        <v>92.25</v>
      </c>
      <c r="M52" s="31">
        <v>0.07</v>
      </c>
      <c r="N52" s="32" t="str">
        <f>'ALL DATA &amp; IT4PROFIT'!L55</f>
        <v/>
      </c>
      <c r="O52" s="35"/>
      <c r="P52" s="32" t="str">
        <f>'ALL DATA &amp; IT4PROFIT'!H55</f>
        <v/>
      </c>
      <c r="Q52" s="35" t="str">
        <f>'ALL DATA &amp; IT4PROFIT'!K55</f>
        <v/>
      </c>
      <c r="R52" s="35" t="str">
        <f>'ALL DATA &amp; IT4PROFIT'!D55</f>
        <v/>
      </c>
      <c r="S52" s="9"/>
      <c r="T52" s="9"/>
    </row>
    <row r="53" ht="21.0" customHeight="1">
      <c r="A53" s="13"/>
      <c r="B53" s="24" t="str">
        <f>'ALL DATA &amp; IT4PROFIT'!A56</f>
        <v>SUNGROW</v>
      </c>
      <c r="C53" s="24" t="str">
        <f>'ALL DATA &amp; IT4PROFIT'!B56</f>
        <v>IVH SUNG SH4.0RS</v>
      </c>
      <c r="D53" s="24" t="str">
        <f>'ALL DATA &amp; IT4PROFIT'!C56</f>
        <v>1PH HYBRID</v>
      </c>
      <c r="E53" s="25">
        <v>1.0</v>
      </c>
      <c r="F53" s="26" t="str">
        <f>'ALL DATA &amp; IT4PROFIT'!R56</f>
        <v/>
      </c>
      <c r="G53" s="27">
        <f t="shared" si="8"/>
        <v>90</v>
      </c>
      <c r="H53" s="27">
        <f t="shared" si="2"/>
        <v>92.25</v>
      </c>
      <c r="I53" s="28">
        <f t="shared" si="3"/>
        <v>0.07</v>
      </c>
      <c r="J53" s="29">
        <f t="shared" si="4"/>
        <v>99.19354839</v>
      </c>
      <c r="K53" s="30">
        <f t="shared" si="5"/>
        <v>99.19354839</v>
      </c>
      <c r="L53" s="30">
        <f t="shared" si="6"/>
        <v>92.25</v>
      </c>
      <c r="M53" s="31">
        <v>0.07</v>
      </c>
      <c r="N53" s="32" t="str">
        <f>'ALL DATA &amp; IT4PROFIT'!L56</f>
        <v/>
      </c>
      <c r="O53" s="35"/>
      <c r="P53" s="32" t="str">
        <f>'ALL DATA &amp; IT4PROFIT'!H56</f>
        <v/>
      </c>
      <c r="Q53" s="35" t="str">
        <f>'ALL DATA &amp; IT4PROFIT'!K56</f>
        <v/>
      </c>
      <c r="R53" s="35" t="str">
        <f>'ALL DATA &amp; IT4PROFIT'!D56</f>
        <v/>
      </c>
      <c r="S53" s="9"/>
      <c r="T53" s="9"/>
    </row>
    <row r="54" ht="21.0" customHeight="1">
      <c r="A54" s="13"/>
      <c r="B54" s="24" t="str">
        <f>'ALL DATA &amp; IT4PROFIT'!A57</f>
        <v>SUNGROW</v>
      </c>
      <c r="C54" s="24" t="str">
        <f>'ALL DATA &amp; IT4PROFIT'!B57</f>
        <v>IVH SUNG SH5.0RS</v>
      </c>
      <c r="D54" s="24" t="str">
        <f>'ALL DATA &amp; IT4PROFIT'!C57</f>
        <v>1PH HYBRID</v>
      </c>
      <c r="E54" s="25">
        <v>1.0</v>
      </c>
      <c r="F54" s="26" t="str">
        <f>'ALL DATA &amp; IT4PROFIT'!R57</f>
        <v/>
      </c>
      <c r="G54" s="27">
        <f t="shared" si="8"/>
        <v>90</v>
      </c>
      <c r="H54" s="27">
        <f t="shared" si="2"/>
        <v>92.25</v>
      </c>
      <c r="I54" s="28">
        <f t="shared" si="3"/>
        <v>0.07</v>
      </c>
      <c r="J54" s="29">
        <f t="shared" si="4"/>
        <v>99.19354839</v>
      </c>
      <c r="K54" s="30">
        <f t="shared" si="5"/>
        <v>99.19354839</v>
      </c>
      <c r="L54" s="30">
        <f t="shared" si="6"/>
        <v>92.25</v>
      </c>
      <c r="M54" s="31">
        <v>0.07</v>
      </c>
      <c r="N54" s="32" t="str">
        <f>'ALL DATA &amp; IT4PROFIT'!L57</f>
        <v/>
      </c>
      <c r="O54" s="35"/>
      <c r="P54" s="32" t="str">
        <f>'ALL DATA &amp; IT4PROFIT'!H57</f>
        <v/>
      </c>
      <c r="Q54" s="35" t="str">
        <f>'ALL DATA &amp; IT4PROFIT'!K57</f>
        <v/>
      </c>
      <c r="R54" s="35" t="str">
        <f>'ALL DATA &amp; IT4PROFIT'!D57</f>
        <v/>
      </c>
      <c r="S54" s="9"/>
      <c r="T54" s="9"/>
    </row>
    <row r="55" ht="21.0" customHeight="1">
      <c r="A55" s="13"/>
      <c r="B55" s="24" t="str">
        <f>'ALL DATA &amp; IT4PROFIT'!A58</f>
        <v>SUNGROW</v>
      </c>
      <c r="C55" s="24" t="str">
        <f>'ALL DATA &amp; IT4PROFIT'!B58</f>
        <v>IVH SUNG SH5RT V112 S</v>
      </c>
      <c r="D55" s="24" t="str">
        <f>'ALL DATA &amp; IT4PROFIT'!C58</f>
        <v>3PH HYBRID</v>
      </c>
      <c r="E55" s="25">
        <v>1.0</v>
      </c>
      <c r="F55" s="26" t="str">
        <f>'ALL DATA &amp; IT4PROFIT'!R58</f>
        <v/>
      </c>
      <c r="G55" s="27">
        <f t="shared" si="8"/>
        <v>90</v>
      </c>
      <c r="H55" s="27">
        <f t="shared" si="2"/>
        <v>92.25</v>
      </c>
      <c r="I55" s="28">
        <f t="shared" si="3"/>
        <v>0.07</v>
      </c>
      <c r="J55" s="29">
        <f t="shared" si="4"/>
        <v>99.19354839</v>
      </c>
      <c r="K55" s="30">
        <f t="shared" si="5"/>
        <v>99.19354839</v>
      </c>
      <c r="L55" s="30">
        <f t="shared" si="6"/>
        <v>92.25</v>
      </c>
      <c r="M55" s="31">
        <v>0.07</v>
      </c>
      <c r="N55" s="32" t="str">
        <f>'ALL DATA &amp; IT4PROFIT'!L58</f>
        <v/>
      </c>
      <c r="O55" s="35"/>
      <c r="P55" s="32" t="str">
        <f>'ALL DATA &amp; IT4PROFIT'!H58</f>
        <v/>
      </c>
      <c r="Q55" s="35" t="str">
        <f>'ALL DATA &amp; IT4PROFIT'!K58</f>
        <v/>
      </c>
      <c r="R55" s="35" t="str">
        <f>'ALL DATA &amp; IT4PROFIT'!D58</f>
        <v/>
      </c>
      <c r="S55" s="9"/>
      <c r="T55" s="9"/>
    </row>
    <row r="56" ht="21.0" customHeight="1">
      <c r="A56" s="13"/>
      <c r="B56" s="24" t="str">
        <f>'ALL DATA &amp; IT4PROFIT'!A59</f>
        <v>SUNGROW</v>
      </c>
      <c r="C56" s="24" t="str">
        <f>'ALL DATA &amp; IT4PROFIT'!B59</f>
        <v>IVH SUNG SH6RT V112 S</v>
      </c>
      <c r="D56" s="24" t="str">
        <f>'ALL DATA &amp; IT4PROFIT'!C59</f>
        <v>3PH HYBRID</v>
      </c>
      <c r="E56" s="25">
        <v>1.0</v>
      </c>
      <c r="F56" s="26" t="str">
        <f>'ALL DATA &amp; IT4PROFIT'!R59</f>
        <v/>
      </c>
      <c r="G56" s="27">
        <f t="shared" si="8"/>
        <v>90</v>
      </c>
      <c r="H56" s="27">
        <f t="shared" si="2"/>
        <v>92.25</v>
      </c>
      <c r="I56" s="28">
        <f t="shared" si="3"/>
        <v>0.07</v>
      </c>
      <c r="J56" s="29">
        <f t="shared" si="4"/>
        <v>99.19354839</v>
      </c>
      <c r="K56" s="30">
        <f t="shared" si="5"/>
        <v>99.19354839</v>
      </c>
      <c r="L56" s="30">
        <f t="shared" si="6"/>
        <v>92.25</v>
      </c>
      <c r="M56" s="31">
        <v>0.07</v>
      </c>
      <c r="N56" s="32" t="str">
        <f>'ALL DATA &amp; IT4PROFIT'!L59</f>
        <v/>
      </c>
      <c r="O56" s="35"/>
      <c r="P56" s="32" t="str">
        <f>'ALL DATA &amp; IT4PROFIT'!H59</f>
        <v/>
      </c>
      <c r="Q56" s="35" t="str">
        <f>'ALL DATA &amp; IT4PROFIT'!K59</f>
        <v/>
      </c>
      <c r="R56" s="35" t="str">
        <f>'ALL DATA &amp; IT4PROFIT'!D59</f>
        <v/>
      </c>
      <c r="S56" s="9"/>
      <c r="T56" s="9"/>
    </row>
    <row r="57" ht="21.0" customHeight="1">
      <c r="A57" s="13"/>
      <c r="B57" s="24" t="str">
        <f>'ALL DATA &amp; IT4PROFIT'!A60</f>
        <v>SUNGROW</v>
      </c>
      <c r="C57" s="24" t="str">
        <f>'ALL DATA &amp; IT4PROFIT'!B60</f>
        <v>IVH SUNG SH8RT V112 S</v>
      </c>
      <c r="D57" s="24" t="str">
        <f>'ALL DATA &amp; IT4PROFIT'!C60</f>
        <v>3PH HYBRID</v>
      </c>
      <c r="E57" s="25">
        <v>1.0</v>
      </c>
      <c r="F57" s="26" t="str">
        <f>'ALL DATA &amp; IT4PROFIT'!R60</f>
        <v/>
      </c>
      <c r="G57" s="27">
        <f t="shared" si="8"/>
        <v>90</v>
      </c>
      <c r="H57" s="27">
        <f t="shared" si="2"/>
        <v>92.25</v>
      </c>
      <c r="I57" s="28">
        <f t="shared" si="3"/>
        <v>0.07</v>
      </c>
      <c r="J57" s="29">
        <f t="shared" si="4"/>
        <v>99.19354839</v>
      </c>
      <c r="K57" s="30">
        <f t="shared" si="5"/>
        <v>99.19354839</v>
      </c>
      <c r="L57" s="30">
        <f t="shared" si="6"/>
        <v>92.25</v>
      </c>
      <c r="M57" s="31">
        <v>0.07</v>
      </c>
      <c r="N57" s="32" t="str">
        <f>'ALL DATA &amp; IT4PROFIT'!L60</f>
        <v/>
      </c>
      <c r="O57" s="35"/>
      <c r="P57" s="32" t="str">
        <f>'ALL DATA &amp; IT4PROFIT'!H60</f>
        <v/>
      </c>
      <c r="Q57" s="35" t="str">
        <f>'ALL DATA &amp; IT4PROFIT'!K60</f>
        <v/>
      </c>
      <c r="R57" s="35" t="str">
        <f>'ALL DATA &amp; IT4PROFIT'!D60</f>
        <v/>
      </c>
      <c r="S57" s="9"/>
      <c r="T57" s="9"/>
    </row>
    <row r="58" ht="21.0" customHeight="1">
      <c r="A58" s="13"/>
      <c r="B58" s="24" t="str">
        <f>'ALL DATA &amp; IT4PROFIT'!A61</f>
        <v>SUNGROW</v>
      </c>
      <c r="C58" s="24" t="str">
        <f>'ALL DATA &amp; IT4PROFIT'!B61</f>
        <v>IVH SUNG SH10RT V112 S</v>
      </c>
      <c r="D58" s="24" t="str">
        <f>'ALL DATA &amp; IT4PROFIT'!C61</f>
        <v>3PH HYBRID</v>
      </c>
      <c r="E58" s="25">
        <v>1.0</v>
      </c>
      <c r="F58" s="26" t="str">
        <f>'ALL DATA &amp; IT4PROFIT'!R61</f>
        <v/>
      </c>
      <c r="G58" s="27">
        <f t="shared" si="8"/>
        <v>90</v>
      </c>
      <c r="H58" s="27">
        <f t="shared" si="2"/>
        <v>92.25</v>
      </c>
      <c r="I58" s="28">
        <f t="shared" si="3"/>
        <v>0.07</v>
      </c>
      <c r="J58" s="29">
        <f t="shared" si="4"/>
        <v>99.19354839</v>
      </c>
      <c r="K58" s="30">
        <f t="shared" si="5"/>
        <v>99.19354839</v>
      </c>
      <c r="L58" s="30">
        <f t="shared" si="6"/>
        <v>92.25</v>
      </c>
      <c r="M58" s="31">
        <v>0.07</v>
      </c>
      <c r="N58" s="32" t="str">
        <f>'ALL DATA &amp; IT4PROFIT'!L61</f>
        <v/>
      </c>
      <c r="O58" s="35"/>
      <c r="P58" s="32" t="str">
        <f>'ALL DATA &amp; IT4PROFIT'!H61</f>
        <v/>
      </c>
      <c r="Q58" s="35" t="str">
        <f>'ALL DATA &amp; IT4PROFIT'!K61</f>
        <v/>
      </c>
      <c r="R58" s="35" t="str">
        <f>'ALL DATA &amp; IT4PROFIT'!D61</f>
        <v/>
      </c>
      <c r="S58" s="9"/>
      <c r="T58" s="9"/>
    </row>
    <row r="59" ht="21.0" customHeight="1">
      <c r="A59" s="13"/>
      <c r="B59" s="24" t="str">
        <f>'ALL DATA &amp; IT4PROFIT'!A62</f>
        <v/>
      </c>
      <c r="C59" s="24" t="str">
        <f>'ALL DATA &amp; IT4PROFIT'!B62</f>
        <v/>
      </c>
      <c r="D59" s="24" t="str">
        <f>'ALL DATA &amp; IT4PROFIT'!C62</f>
        <v/>
      </c>
      <c r="E59" s="25">
        <v>1.0</v>
      </c>
      <c r="F59" s="26" t="str">
        <f>'ALL DATA &amp; IT4PROFIT'!R62</f>
        <v/>
      </c>
      <c r="G59" s="27">
        <f t="shared" si="8"/>
        <v>90</v>
      </c>
      <c r="H59" s="27">
        <f t="shared" si="2"/>
        <v>92.25</v>
      </c>
      <c r="I59" s="28">
        <f t="shared" si="3"/>
        <v>0.07</v>
      </c>
      <c r="J59" s="29">
        <f t="shared" si="4"/>
        <v>99.19354839</v>
      </c>
      <c r="K59" s="30">
        <f t="shared" si="5"/>
        <v>99.19354839</v>
      </c>
      <c r="L59" s="30">
        <f t="shared" si="6"/>
        <v>92.25</v>
      </c>
      <c r="M59" s="31">
        <v>0.07</v>
      </c>
      <c r="N59" s="32" t="str">
        <f>'ALL DATA &amp; IT4PROFIT'!L62</f>
        <v/>
      </c>
      <c r="O59" s="35"/>
      <c r="P59" s="32" t="str">
        <f>'ALL DATA &amp; IT4PROFIT'!H62</f>
        <v/>
      </c>
      <c r="Q59" s="35" t="str">
        <f>'ALL DATA &amp; IT4PROFIT'!K62</f>
        <v/>
      </c>
      <c r="R59" s="35" t="str">
        <f>'ALL DATA &amp; IT4PROFIT'!D62</f>
        <v/>
      </c>
      <c r="S59" s="9"/>
      <c r="T59" s="9"/>
    </row>
    <row r="60" ht="21.0" customHeight="1">
      <c r="A60" s="13"/>
      <c r="B60" s="24" t="str">
        <f>'ALL DATA &amp; IT4PROFIT'!A63</f>
        <v>FRONIUS</v>
      </c>
      <c r="C60" s="24" t="str">
        <f>'ALL DATA &amp; IT4PROFIT'!B63</f>
        <v>PRIMO 3.0</v>
      </c>
      <c r="D60" s="24" t="str">
        <f>'ALL DATA &amp; IT4PROFIT'!C63</f>
        <v>1PH</v>
      </c>
      <c r="E60" s="25">
        <v>1.0</v>
      </c>
      <c r="F60" s="26" t="str">
        <f>'ALL DATA &amp; IT4PROFIT'!R63</f>
        <v/>
      </c>
      <c r="G60" s="27">
        <f t="shared" si="8"/>
        <v>90</v>
      </c>
      <c r="H60" s="27">
        <f t="shared" si="2"/>
        <v>92.25</v>
      </c>
      <c r="I60" s="28">
        <f t="shared" si="3"/>
        <v>0.07</v>
      </c>
      <c r="J60" s="29">
        <f t="shared" si="4"/>
        <v>99.19354839</v>
      </c>
      <c r="K60" s="30">
        <f t="shared" si="5"/>
        <v>99.19354839</v>
      </c>
      <c r="L60" s="30">
        <f t="shared" si="6"/>
        <v>92.25</v>
      </c>
      <c r="M60" s="31">
        <v>0.07</v>
      </c>
      <c r="N60" s="32" t="str">
        <f>'ALL DATA &amp; IT4PROFIT'!L63</f>
        <v/>
      </c>
      <c r="O60" s="35">
        <f>1570-1570*0.42</f>
        <v>910.6</v>
      </c>
      <c r="P60" s="32">
        <f>'ALL DATA &amp; IT4PROFIT'!H63</f>
        <v>950</v>
      </c>
      <c r="Q60" s="35" t="str">
        <f>'ALL DATA &amp; IT4PROFIT'!K63</f>
        <v/>
      </c>
      <c r="R60" s="35" t="str">
        <f>'ALL DATA &amp; IT4PROFIT'!D63</f>
        <v/>
      </c>
      <c r="S60" s="9"/>
      <c r="T60" s="9"/>
    </row>
    <row r="61" ht="21.0" customHeight="1">
      <c r="A61" s="13"/>
      <c r="B61" s="24" t="str">
        <f>'ALL DATA &amp; IT4PROFIT'!A64</f>
        <v>FRONIUS</v>
      </c>
      <c r="C61" s="24" t="str">
        <f>'ALL DATA &amp; IT4PROFIT'!B64</f>
        <v>Fronius Primo 3.6-1</v>
      </c>
      <c r="D61" s="24" t="str">
        <f>'ALL DATA &amp; IT4PROFIT'!C64</f>
        <v/>
      </c>
      <c r="E61" s="25">
        <v>1.0</v>
      </c>
      <c r="F61" s="26" t="str">
        <f>'ALL DATA &amp; IT4PROFIT'!R64</f>
        <v/>
      </c>
      <c r="G61" s="27">
        <f t="shared" si="8"/>
        <v>90</v>
      </c>
      <c r="H61" s="27">
        <f t="shared" si="2"/>
        <v>92.25</v>
      </c>
      <c r="I61" s="28">
        <f t="shared" si="3"/>
        <v>0.07</v>
      </c>
      <c r="J61" s="29">
        <f t="shared" si="4"/>
        <v>99.19354839</v>
      </c>
      <c r="K61" s="30">
        <f t="shared" si="5"/>
        <v>99.19354839</v>
      </c>
      <c r="L61" s="30">
        <f t="shared" si="6"/>
        <v>92.25</v>
      </c>
      <c r="M61" s="31">
        <v>0.07</v>
      </c>
      <c r="N61" s="32" t="str">
        <f>'ALL DATA &amp; IT4PROFIT'!L64</f>
        <v/>
      </c>
      <c r="O61" s="35"/>
      <c r="P61" s="32" t="str">
        <f>'ALL DATA &amp; IT4PROFIT'!H64</f>
        <v/>
      </c>
      <c r="Q61" s="35" t="str">
        <f>'ALL DATA &amp; IT4PROFIT'!K64</f>
        <v/>
      </c>
      <c r="R61" s="35" t="str">
        <f>'ALL DATA &amp; IT4PROFIT'!D64</f>
        <v/>
      </c>
      <c r="S61" s="9"/>
      <c r="T61" s="9"/>
    </row>
    <row r="62" ht="21.0" customHeight="1">
      <c r="A62" s="13"/>
      <c r="B62" s="24" t="str">
        <f>'ALL DATA &amp; IT4PROFIT'!A65</f>
        <v>FRONIUS</v>
      </c>
      <c r="C62" s="24" t="str">
        <f>'ALL DATA &amp; IT4PROFIT'!B65</f>
        <v>PRIMO 4.0</v>
      </c>
      <c r="D62" s="24" t="str">
        <f>'ALL DATA &amp; IT4PROFIT'!C65</f>
        <v>1PH</v>
      </c>
      <c r="E62" s="25">
        <v>1.0</v>
      </c>
      <c r="F62" s="26" t="str">
        <f>'ALL DATA &amp; IT4PROFIT'!R65</f>
        <v/>
      </c>
      <c r="G62" s="27">
        <f t="shared" si="8"/>
        <v>90</v>
      </c>
      <c r="H62" s="27">
        <f t="shared" si="2"/>
        <v>92.25</v>
      </c>
      <c r="I62" s="28">
        <f t="shared" si="3"/>
        <v>0.07</v>
      </c>
      <c r="J62" s="29">
        <f t="shared" si="4"/>
        <v>99.19354839</v>
      </c>
      <c r="K62" s="30">
        <f t="shared" si="5"/>
        <v>99.19354839</v>
      </c>
      <c r="L62" s="30">
        <f t="shared" si="6"/>
        <v>92.25</v>
      </c>
      <c r="M62" s="31">
        <v>0.07</v>
      </c>
      <c r="N62" s="32" t="str">
        <f>'ALL DATA &amp; IT4PROFIT'!L65</f>
        <v/>
      </c>
      <c r="O62" s="35">
        <f>1740-1740*0.42</f>
        <v>1009.2</v>
      </c>
      <c r="P62" s="32">
        <f>'ALL DATA &amp; IT4PROFIT'!H65</f>
        <v>1026</v>
      </c>
      <c r="Q62" s="35" t="str">
        <f>'ALL DATA &amp; IT4PROFIT'!K65</f>
        <v/>
      </c>
      <c r="R62" s="35" t="str">
        <f>'ALL DATA &amp; IT4PROFIT'!D65</f>
        <v/>
      </c>
      <c r="S62" s="9"/>
      <c r="T62" s="9"/>
    </row>
    <row r="63" ht="21.0" customHeight="1">
      <c r="A63" s="13"/>
      <c r="B63" s="24" t="str">
        <f>'ALL DATA &amp; IT4PROFIT'!A66</f>
        <v>FRONIUS</v>
      </c>
      <c r="C63" s="24" t="str">
        <f>'ALL DATA &amp; IT4PROFIT'!B66</f>
        <v>Fronius Primo 4.6-1</v>
      </c>
      <c r="D63" s="24" t="str">
        <f>'ALL DATA &amp; IT4PROFIT'!C66</f>
        <v/>
      </c>
      <c r="E63" s="25">
        <v>1.0</v>
      </c>
      <c r="F63" s="26" t="str">
        <f>'ALL DATA &amp; IT4PROFIT'!R66</f>
        <v/>
      </c>
      <c r="G63" s="27">
        <f t="shared" si="8"/>
        <v>90</v>
      </c>
      <c r="H63" s="27">
        <f t="shared" si="2"/>
        <v>92.25</v>
      </c>
      <c r="I63" s="28">
        <f t="shared" si="3"/>
        <v>0.07</v>
      </c>
      <c r="J63" s="29">
        <f t="shared" si="4"/>
        <v>99.19354839</v>
      </c>
      <c r="K63" s="30">
        <f t="shared" si="5"/>
        <v>99.19354839</v>
      </c>
      <c r="L63" s="30">
        <f t="shared" si="6"/>
        <v>92.25</v>
      </c>
      <c r="M63" s="31">
        <v>0.07</v>
      </c>
      <c r="N63" s="32" t="str">
        <f>'ALL DATA &amp; IT4PROFIT'!L66</f>
        <v/>
      </c>
      <c r="O63" s="35"/>
      <c r="P63" s="32" t="str">
        <f>'ALL DATA &amp; IT4PROFIT'!H66</f>
        <v/>
      </c>
      <c r="Q63" s="35" t="str">
        <f>'ALL DATA &amp; IT4PROFIT'!K66</f>
        <v/>
      </c>
      <c r="R63" s="35" t="str">
        <f>'ALL DATA &amp; IT4PROFIT'!D66</f>
        <v/>
      </c>
      <c r="S63" s="9"/>
      <c r="T63" s="9"/>
    </row>
    <row r="64" ht="21.0" customHeight="1">
      <c r="A64" s="13"/>
      <c r="B64" s="24" t="str">
        <f>'ALL DATA &amp; IT4PROFIT'!A67</f>
        <v>FRONIUS</v>
      </c>
      <c r="C64" s="24" t="str">
        <f>'ALL DATA &amp; IT4PROFIT'!B67</f>
        <v>PRIMO 5.0</v>
      </c>
      <c r="D64" s="24" t="str">
        <f>'ALL DATA &amp; IT4PROFIT'!C67</f>
        <v>1PH</v>
      </c>
      <c r="E64" s="25">
        <v>1.0</v>
      </c>
      <c r="F64" s="26" t="str">
        <f>'ALL DATA &amp; IT4PROFIT'!R67</f>
        <v/>
      </c>
      <c r="G64" s="27">
        <f t="shared" si="8"/>
        <v>90</v>
      </c>
      <c r="H64" s="27">
        <f t="shared" si="2"/>
        <v>92.25</v>
      </c>
      <c r="I64" s="28">
        <f t="shared" si="3"/>
        <v>0.07</v>
      </c>
      <c r="J64" s="29">
        <f t="shared" si="4"/>
        <v>99.19354839</v>
      </c>
      <c r="K64" s="30">
        <f t="shared" si="5"/>
        <v>99.19354839</v>
      </c>
      <c r="L64" s="30">
        <f t="shared" si="6"/>
        <v>92.25</v>
      </c>
      <c r="M64" s="31">
        <v>0.07</v>
      </c>
      <c r="N64" s="32" t="str">
        <f>'ALL DATA &amp; IT4PROFIT'!L67</f>
        <v/>
      </c>
      <c r="O64" s="35">
        <f>1905-1905*0.42</f>
        <v>1104.9</v>
      </c>
      <c r="P64" s="32">
        <f>'ALL DATA &amp; IT4PROFIT'!H67</f>
        <v>1124</v>
      </c>
      <c r="Q64" s="35" t="str">
        <f>'ALL DATA &amp; IT4PROFIT'!K67</f>
        <v/>
      </c>
      <c r="R64" s="35" t="str">
        <f>'ALL DATA &amp; IT4PROFIT'!D67</f>
        <v/>
      </c>
      <c r="S64" s="9"/>
      <c r="T64" s="9"/>
    </row>
    <row r="65" ht="21.0" customHeight="1">
      <c r="A65" s="13"/>
      <c r="B65" s="24" t="str">
        <f>'ALL DATA &amp; IT4PROFIT'!A68</f>
        <v/>
      </c>
      <c r="C65" s="24" t="str">
        <f>'ALL DATA &amp; IT4PROFIT'!B68</f>
        <v/>
      </c>
      <c r="D65" s="24" t="str">
        <f>'ALL DATA &amp; IT4PROFIT'!C68</f>
        <v/>
      </c>
      <c r="E65" s="25">
        <v>1.0</v>
      </c>
      <c r="F65" s="26" t="str">
        <f>'ALL DATA &amp; IT4PROFIT'!R68</f>
        <v/>
      </c>
      <c r="G65" s="27">
        <f t="shared" si="8"/>
        <v>90</v>
      </c>
      <c r="H65" s="27">
        <f t="shared" si="2"/>
        <v>92.25</v>
      </c>
      <c r="I65" s="28">
        <f t="shared" si="3"/>
        <v>0.07</v>
      </c>
      <c r="J65" s="29">
        <f t="shared" si="4"/>
        <v>99.19354839</v>
      </c>
      <c r="K65" s="30">
        <f t="shared" si="5"/>
        <v>99.19354839</v>
      </c>
      <c r="L65" s="30">
        <f t="shared" si="6"/>
        <v>92.25</v>
      </c>
      <c r="M65" s="31">
        <v>0.07</v>
      </c>
      <c r="N65" s="32" t="str">
        <f>'ALL DATA &amp; IT4PROFIT'!L68</f>
        <v/>
      </c>
      <c r="O65" s="35"/>
      <c r="P65" s="32" t="str">
        <f>'ALL DATA &amp; IT4PROFIT'!H68</f>
        <v/>
      </c>
      <c r="Q65" s="35" t="str">
        <f>'ALL DATA &amp; IT4PROFIT'!K68</f>
        <v/>
      </c>
      <c r="R65" s="35" t="str">
        <f>'ALL DATA &amp; IT4PROFIT'!D68</f>
        <v/>
      </c>
      <c r="S65" s="9"/>
      <c r="T65" s="9"/>
    </row>
    <row r="66" ht="21.0" customHeight="1">
      <c r="A66" s="13"/>
      <c r="B66" s="24" t="str">
        <f>'ALL DATA &amp; IT4PROFIT'!A69</f>
        <v>FRONIUS</v>
      </c>
      <c r="C66" s="24" t="str">
        <f>'ALL DATA &amp; IT4PROFIT'!B69</f>
        <v>SYMO 3.0-S</v>
      </c>
      <c r="D66" s="24" t="str">
        <f>'ALL DATA &amp; IT4PROFIT'!C69</f>
        <v>3PH</v>
      </c>
      <c r="E66" s="25">
        <v>1.0</v>
      </c>
      <c r="F66" s="26" t="str">
        <f>'ALL DATA &amp; IT4PROFIT'!R69</f>
        <v/>
      </c>
      <c r="G66" s="27">
        <f t="shared" si="8"/>
        <v>90</v>
      </c>
      <c r="H66" s="27">
        <f t="shared" si="2"/>
        <v>92.25</v>
      </c>
      <c r="I66" s="28">
        <f t="shared" si="3"/>
        <v>0.07</v>
      </c>
      <c r="J66" s="29">
        <f t="shared" si="4"/>
        <v>99.19354839</v>
      </c>
      <c r="K66" s="30">
        <f t="shared" si="5"/>
        <v>99.19354839</v>
      </c>
      <c r="L66" s="30">
        <f t="shared" si="6"/>
        <v>92.25</v>
      </c>
      <c r="M66" s="31">
        <v>0.07</v>
      </c>
      <c r="N66" s="32" t="str">
        <f>'ALL DATA &amp; IT4PROFIT'!L69</f>
        <v/>
      </c>
      <c r="O66" s="35">
        <f>1630-1630*0.42</f>
        <v>945.4</v>
      </c>
      <c r="P66" s="32">
        <f>'ALL DATA &amp; IT4PROFIT'!H69</f>
        <v>955</v>
      </c>
      <c r="Q66" s="35" t="str">
        <f>'ALL DATA &amp; IT4PROFIT'!K69</f>
        <v/>
      </c>
      <c r="R66" s="35" t="str">
        <f>'ALL DATA &amp; IT4PROFIT'!D69</f>
        <v/>
      </c>
      <c r="S66" s="9"/>
      <c r="T66" s="9"/>
    </row>
    <row r="67" ht="21.0" customHeight="1">
      <c r="A67" s="13"/>
      <c r="B67" s="24" t="str">
        <f>'ALL DATA &amp; IT4PROFIT'!A70</f>
        <v>FRONIUS</v>
      </c>
      <c r="C67" s="24" t="str">
        <f>'ALL DATA &amp; IT4PROFIT'!B70</f>
        <v>SYMO 3.7-S</v>
      </c>
      <c r="D67" s="24" t="str">
        <f>'ALL DATA &amp; IT4PROFIT'!C70</f>
        <v>3PH</v>
      </c>
      <c r="E67" s="25">
        <v>1.0</v>
      </c>
      <c r="F67" s="26" t="str">
        <f>'ALL DATA &amp; IT4PROFIT'!R70</f>
        <v/>
      </c>
      <c r="G67" s="27">
        <f t="shared" si="8"/>
        <v>90</v>
      </c>
      <c r="H67" s="27">
        <f t="shared" si="2"/>
        <v>92.25</v>
      </c>
      <c r="I67" s="28">
        <f t="shared" si="3"/>
        <v>0.07</v>
      </c>
      <c r="J67" s="29">
        <f t="shared" si="4"/>
        <v>99.19354839</v>
      </c>
      <c r="K67" s="30">
        <f t="shared" si="5"/>
        <v>99.19354839</v>
      </c>
      <c r="L67" s="30">
        <f t="shared" si="6"/>
        <v>92.25</v>
      </c>
      <c r="M67" s="31">
        <v>0.07</v>
      </c>
      <c r="N67" s="32" t="str">
        <f>'ALL DATA &amp; IT4PROFIT'!L70</f>
        <v/>
      </c>
      <c r="O67" s="35">
        <f>1790-1790*0.42</f>
        <v>1038.2</v>
      </c>
      <c r="P67" s="32">
        <f>'ALL DATA &amp; IT4PROFIT'!H70</f>
        <v>960</v>
      </c>
      <c r="Q67" s="35" t="str">
        <f>'ALL DATA &amp; IT4PROFIT'!K70</f>
        <v/>
      </c>
      <c r="R67" s="35" t="str">
        <f>'ALL DATA &amp; IT4PROFIT'!D70</f>
        <v/>
      </c>
      <c r="S67" s="9"/>
      <c r="T67" s="9"/>
    </row>
    <row r="68" ht="21.0" customHeight="1">
      <c r="A68" s="13"/>
      <c r="B68" s="24" t="str">
        <f>'ALL DATA &amp; IT4PROFIT'!A71</f>
        <v>FRONIUS</v>
      </c>
      <c r="C68" s="24" t="str">
        <f>'ALL DATA &amp; IT4PROFIT'!B71</f>
        <v>SYMO 4.5-S</v>
      </c>
      <c r="D68" s="24" t="str">
        <f>'ALL DATA &amp; IT4PROFIT'!C71</f>
        <v>3PH</v>
      </c>
      <c r="E68" s="25">
        <v>1.0</v>
      </c>
      <c r="F68" s="26" t="str">
        <f>'ALL DATA &amp; IT4PROFIT'!R71</f>
        <v/>
      </c>
      <c r="G68" s="27">
        <f t="shared" si="8"/>
        <v>90</v>
      </c>
      <c r="H68" s="27">
        <f t="shared" si="2"/>
        <v>92.25</v>
      </c>
      <c r="I68" s="28">
        <f t="shared" si="3"/>
        <v>0.07</v>
      </c>
      <c r="J68" s="29">
        <f t="shared" si="4"/>
        <v>99.19354839</v>
      </c>
      <c r="K68" s="30">
        <f t="shared" si="5"/>
        <v>99.19354839</v>
      </c>
      <c r="L68" s="30">
        <f t="shared" si="6"/>
        <v>92.25</v>
      </c>
      <c r="M68" s="31">
        <v>0.07</v>
      </c>
      <c r="N68" s="32" t="str">
        <f>'ALL DATA &amp; IT4PROFIT'!L71</f>
        <v/>
      </c>
      <c r="O68" s="35">
        <f>1980-1980*0.42</f>
        <v>1148.4</v>
      </c>
      <c r="P68" s="32" t="str">
        <f>'ALL DATA &amp; IT4PROFIT'!H71</f>
        <v/>
      </c>
      <c r="Q68" s="35" t="str">
        <f>'ALL DATA &amp; IT4PROFIT'!K71</f>
        <v/>
      </c>
      <c r="R68" s="35" t="str">
        <f>'ALL DATA &amp; IT4PROFIT'!D71</f>
        <v/>
      </c>
      <c r="S68" s="9"/>
      <c r="T68" s="9"/>
    </row>
    <row r="69" ht="21.0" customHeight="1">
      <c r="A69" s="13"/>
      <c r="B69" s="24" t="str">
        <f>'ALL DATA &amp; IT4PROFIT'!A72</f>
        <v>FRONIUS</v>
      </c>
      <c r="C69" s="24" t="str">
        <f>'ALL DATA &amp; IT4PROFIT'!B72</f>
        <v>SYMO 3.0-M</v>
      </c>
      <c r="D69" s="24" t="str">
        <f>'ALL DATA &amp; IT4PROFIT'!C72</f>
        <v>3PH</v>
      </c>
      <c r="E69" s="25">
        <v>1.0</v>
      </c>
      <c r="F69" s="26">
        <f>'ALL DATA &amp; IT4PROFIT'!R72</f>
        <v>885.89</v>
      </c>
      <c r="G69" s="27">
        <f t="shared" si="8"/>
        <v>975.89</v>
      </c>
      <c r="H69" s="27">
        <f t="shared" si="2"/>
        <v>1000.28725</v>
      </c>
      <c r="I69" s="28">
        <f t="shared" si="3"/>
        <v>0.07</v>
      </c>
      <c r="J69" s="29">
        <f t="shared" si="4"/>
        <v>1075.577688</v>
      </c>
      <c r="K69" s="30">
        <f t="shared" si="5"/>
        <v>1075.577688</v>
      </c>
      <c r="L69" s="30">
        <f t="shared" si="6"/>
        <v>1000.28725</v>
      </c>
      <c r="M69" s="31">
        <v>0.07</v>
      </c>
      <c r="N69" s="32" t="str">
        <f>'ALL DATA &amp; IT4PROFIT'!L72</f>
        <v/>
      </c>
      <c r="O69" s="35">
        <f>1800-1800*0.42</f>
        <v>1044</v>
      </c>
      <c r="P69" s="32">
        <f>'ALL DATA &amp; IT4PROFIT'!H72</f>
        <v>1040</v>
      </c>
      <c r="Q69" s="35" t="str">
        <f>'ALL DATA &amp; IT4PROFIT'!K72</f>
        <v/>
      </c>
      <c r="R69" s="35" t="str">
        <f>'ALL DATA &amp; IT4PROFIT'!D72</f>
        <v/>
      </c>
      <c r="S69" s="9"/>
      <c r="T69" s="9"/>
    </row>
    <row r="70" ht="21.0" customHeight="1">
      <c r="A70" s="13"/>
      <c r="B70" s="24" t="str">
        <f>'ALL DATA &amp; IT4PROFIT'!A73</f>
        <v>FRONIUS</v>
      </c>
      <c r="C70" s="24" t="str">
        <f>'ALL DATA &amp; IT4PROFIT'!B73</f>
        <v>SYMO 3.7-M</v>
      </c>
      <c r="D70" s="24" t="str">
        <f>'ALL DATA &amp; IT4PROFIT'!C73</f>
        <v>3PH</v>
      </c>
      <c r="E70" s="25">
        <v>1.0</v>
      </c>
      <c r="F70" s="26" t="str">
        <f>'ALL DATA &amp; IT4PROFIT'!R73</f>
        <v/>
      </c>
      <c r="G70" s="27">
        <f t="shared" si="8"/>
        <v>90</v>
      </c>
      <c r="H70" s="27">
        <f t="shared" si="2"/>
        <v>92.25</v>
      </c>
      <c r="I70" s="28">
        <f t="shared" si="3"/>
        <v>0.07</v>
      </c>
      <c r="J70" s="29">
        <f t="shared" si="4"/>
        <v>99.19354839</v>
      </c>
      <c r="K70" s="30">
        <f t="shared" si="5"/>
        <v>99.19354839</v>
      </c>
      <c r="L70" s="30">
        <f t="shared" si="6"/>
        <v>92.25</v>
      </c>
      <c r="M70" s="31">
        <v>0.07</v>
      </c>
      <c r="N70" s="32" t="str">
        <f>'ALL DATA &amp; IT4PROFIT'!L73</f>
        <v/>
      </c>
      <c r="O70" s="35">
        <f>1980-1980*0.42</f>
        <v>1148.4</v>
      </c>
      <c r="P70" s="32">
        <f>'ALL DATA &amp; IT4PROFIT'!H73</f>
        <v>1168</v>
      </c>
      <c r="Q70" s="35" t="str">
        <f>'ALL DATA &amp; IT4PROFIT'!K73</f>
        <v/>
      </c>
      <c r="R70" s="35" t="str">
        <f>'ALL DATA &amp; IT4PROFIT'!D73</f>
        <v/>
      </c>
      <c r="S70" s="9"/>
      <c r="T70" s="9"/>
    </row>
    <row r="71" ht="21.0" customHeight="1">
      <c r="A71" s="13"/>
      <c r="B71" s="24" t="str">
        <f>'ALL DATA &amp; IT4PROFIT'!A74</f>
        <v>FRONIUS</v>
      </c>
      <c r="C71" s="24" t="str">
        <f>'ALL DATA &amp; IT4PROFIT'!B74</f>
        <v>SYMO 4.5-M</v>
      </c>
      <c r="D71" s="24" t="str">
        <f>'ALL DATA &amp; IT4PROFIT'!C74</f>
        <v>3PH</v>
      </c>
      <c r="E71" s="25">
        <v>1.0</v>
      </c>
      <c r="F71" s="26">
        <f>'ALL DATA &amp; IT4PROFIT'!R74</f>
        <v>1033</v>
      </c>
      <c r="G71" s="27">
        <f t="shared" si="8"/>
        <v>1123</v>
      </c>
      <c r="H71" s="27">
        <f t="shared" si="2"/>
        <v>1151.075</v>
      </c>
      <c r="I71" s="28">
        <f t="shared" si="3"/>
        <v>0.07</v>
      </c>
      <c r="J71" s="29">
        <f t="shared" si="4"/>
        <v>1237.715054</v>
      </c>
      <c r="K71" s="30">
        <f t="shared" si="5"/>
        <v>1237.715054</v>
      </c>
      <c r="L71" s="30">
        <f t="shared" si="6"/>
        <v>1151.075</v>
      </c>
      <c r="M71" s="31">
        <v>0.07</v>
      </c>
      <c r="N71" s="32" t="str">
        <f>'ALL DATA &amp; IT4PROFIT'!L74</f>
        <v/>
      </c>
      <c r="O71" s="35">
        <f>2090-2090*0.42</f>
        <v>1212.2</v>
      </c>
      <c r="P71" s="32">
        <f>'ALL DATA &amp; IT4PROFIT'!H74</f>
        <v>1240</v>
      </c>
      <c r="Q71" s="35" t="str">
        <f>'ALL DATA &amp; IT4PROFIT'!K74</f>
        <v/>
      </c>
      <c r="R71" s="35" t="str">
        <f>'ALL DATA &amp; IT4PROFIT'!D74</f>
        <v/>
      </c>
      <c r="S71" s="9"/>
      <c r="T71" s="9"/>
    </row>
    <row r="72" ht="21.0" customHeight="1">
      <c r="A72" s="13"/>
      <c r="B72" s="24" t="str">
        <f>'ALL DATA &amp; IT4PROFIT'!A75</f>
        <v>FRONIUS</v>
      </c>
      <c r="C72" s="24" t="str">
        <f>'ALL DATA &amp; IT4PROFIT'!B75</f>
        <v>SYMO 5.0-M</v>
      </c>
      <c r="D72" s="24" t="str">
        <f>'ALL DATA &amp; IT4PROFIT'!C75</f>
        <v>3PH</v>
      </c>
      <c r="E72" s="25">
        <v>1.0</v>
      </c>
      <c r="F72" s="26">
        <f>'ALL DATA &amp; IT4PROFIT'!R75</f>
        <v>1033</v>
      </c>
      <c r="G72" s="27">
        <f t="shared" si="8"/>
        <v>1123</v>
      </c>
      <c r="H72" s="27">
        <f t="shared" si="2"/>
        <v>1151.075</v>
      </c>
      <c r="I72" s="28">
        <f t="shared" si="3"/>
        <v>0.07</v>
      </c>
      <c r="J72" s="29">
        <f t="shared" si="4"/>
        <v>1237.715054</v>
      </c>
      <c r="K72" s="30">
        <f t="shared" si="5"/>
        <v>1237.715054</v>
      </c>
      <c r="L72" s="30">
        <f t="shared" si="6"/>
        <v>1151.075</v>
      </c>
      <c r="M72" s="31">
        <v>0.07</v>
      </c>
      <c r="N72" s="32" t="str">
        <f>'ALL DATA &amp; IT4PROFIT'!L75</f>
        <v/>
      </c>
      <c r="O72" s="35">
        <f>2120-2120*0.42</f>
        <v>1229.6</v>
      </c>
      <c r="P72" s="32">
        <f>'ALL DATA &amp; IT4PROFIT'!H75</f>
        <v>1250</v>
      </c>
      <c r="Q72" s="35" t="str">
        <f>'ALL DATA &amp; IT4PROFIT'!K75</f>
        <v/>
      </c>
      <c r="R72" s="35" t="str">
        <f>'ALL DATA &amp; IT4PROFIT'!D75</f>
        <v/>
      </c>
      <c r="S72" s="9"/>
      <c r="T72" s="9"/>
    </row>
    <row r="73" ht="21.0" customHeight="1">
      <c r="A73" s="13"/>
      <c r="B73" s="24" t="str">
        <f>'ALL DATA &amp; IT4PROFIT'!A76</f>
        <v>FRONIUS</v>
      </c>
      <c r="C73" s="24" t="str">
        <f>'ALL DATA &amp; IT4PROFIT'!B76</f>
        <v>SYMO 6.0-M</v>
      </c>
      <c r="D73" s="24" t="str">
        <f>'ALL DATA &amp; IT4PROFIT'!C76</f>
        <v>3PH</v>
      </c>
      <c r="E73" s="25">
        <v>1.0</v>
      </c>
      <c r="F73" s="26">
        <f>'ALL DATA &amp; IT4PROFIT'!R76</f>
        <v>1055</v>
      </c>
      <c r="G73" s="27">
        <f t="shared" si="8"/>
        <v>1145</v>
      </c>
      <c r="H73" s="27">
        <f t="shared" si="2"/>
        <v>1173.625</v>
      </c>
      <c r="I73" s="28">
        <f t="shared" si="3"/>
        <v>0.07</v>
      </c>
      <c r="J73" s="29">
        <f t="shared" si="4"/>
        <v>1261.962366</v>
      </c>
      <c r="K73" s="30">
        <f t="shared" si="5"/>
        <v>1261.962366</v>
      </c>
      <c r="L73" s="30">
        <f t="shared" si="6"/>
        <v>1173.625</v>
      </c>
      <c r="M73" s="31">
        <v>0.07</v>
      </c>
      <c r="N73" s="32" t="str">
        <f>'ALL DATA &amp; IT4PROFIT'!L76</f>
        <v/>
      </c>
      <c r="O73" s="35">
        <f>2160-2160*0.42</f>
        <v>1252.8</v>
      </c>
      <c r="P73" s="32">
        <f>'ALL DATA &amp; IT4PROFIT'!H76</f>
        <v>1274</v>
      </c>
      <c r="Q73" s="35" t="str">
        <f>'ALL DATA &amp; IT4PROFIT'!K76</f>
        <v/>
      </c>
      <c r="R73" s="35" t="str">
        <f>'ALL DATA &amp; IT4PROFIT'!D76</f>
        <v/>
      </c>
      <c r="S73" s="9"/>
      <c r="T73" s="9"/>
    </row>
    <row r="74" ht="21.0" customHeight="1">
      <c r="A74" s="13"/>
      <c r="B74" s="24" t="str">
        <f>'ALL DATA &amp; IT4PROFIT'!A77</f>
        <v>FRONIUS</v>
      </c>
      <c r="C74" s="24" t="str">
        <f>'ALL DATA &amp; IT4PROFIT'!B77</f>
        <v>SYMO 7.0-M</v>
      </c>
      <c r="D74" s="24" t="str">
        <f>'ALL DATA &amp; IT4PROFIT'!C77</f>
        <v>3PH</v>
      </c>
      <c r="E74" s="25">
        <v>1.0</v>
      </c>
      <c r="F74" s="26">
        <f>'ALL DATA &amp; IT4PROFIT'!R77</f>
        <v>1309</v>
      </c>
      <c r="G74" s="27">
        <f t="shared" si="8"/>
        <v>1399</v>
      </c>
      <c r="H74" s="27">
        <f t="shared" si="2"/>
        <v>1433.975</v>
      </c>
      <c r="I74" s="28">
        <f t="shared" si="3"/>
        <v>0.07</v>
      </c>
      <c r="J74" s="29">
        <f t="shared" si="4"/>
        <v>1541.908602</v>
      </c>
      <c r="K74" s="30">
        <f t="shared" si="5"/>
        <v>1541.908602</v>
      </c>
      <c r="L74" s="30">
        <f t="shared" si="6"/>
        <v>1433.975</v>
      </c>
      <c r="M74" s="31">
        <v>0.07</v>
      </c>
      <c r="N74" s="32" t="str">
        <f>'ALL DATA &amp; IT4PROFIT'!L77</f>
        <v/>
      </c>
      <c r="O74" s="35">
        <f>2670-2670*0.42</f>
        <v>1548.6</v>
      </c>
      <c r="P74" s="32">
        <f>'ALL DATA &amp; IT4PROFIT'!H77</f>
        <v>1580</v>
      </c>
      <c r="Q74" s="35" t="str">
        <f>'ALL DATA &amp; IT4PROFIT'!K77</f>
        <v/>
      </c>
      <c r="R74" s="35" t="str">
        <f>'ALL DATA &amp; IT4PROFIT'!D77</f>
        <v/>
      </c>
      <c r="S74" s="9"/>
      <c r="T74" s="9"/>
    </row>
    <row r="75" ht="21.0" customHeight="1">
      <c r="A75" s="13"/>
      <c r="B75" s="24" t="str">
        <f>'ALL DATA &amp; IT4PROFIT'!A78</f>
        <v>FRONIUS</v>
      </c>
      <c r="C75" s="24" t="str">
        <f>'ALL DATA &amp; IT4PROFIT'!B78</f>
        <v>SYMO 8.2-M</v>
      </c>
      <c r="D75" s="24" t="str">
        <f>'ALL DATA &amp; IT4PROFIT'!C78</f>
        <v>3PH</v>
      </c>
      <c r="E75" s="25">
        <v>1.0</v>
      </c>
      <c r="F75" s="26">
        <f>'ALL DATA &amp; IT4PROFIT'!R78</f>
        <v>1448</v>
      </c>
      <c r="G75" s="27">
        <f t="shared" si="8"/>
        <v>1538</v>
      </c>
      <c r="H75" s="27">
        <f t="shared" si="2"/>
        <v>1576.45</v>
      </c>
      <c r="I75" s="28">
        <f t="shared" si="3"/>
        <v>0.07</v>
      </c>
      <c r="J75" s="29">
        <f t="shared" si="4"/>
        <v>1695.107527</v>
      </c>
      <c r="K75" s="30">
        <f t="shared" si="5"/>
        <v>1695.107527</v>
      </c>
      <c r="L75" s="30">
        <f t="shared" si="6"/>
        <v>1576.45</v>
      </c>
      <c r="M75" s="31">
        <v>0.07</v>
      </c>
      <c r="N75" s="32" t="str">
        <f>'ALL DATA &amp; IT4PROFIT'!L78</f>
        <v/>
      </c>
      <c r="O75" s="35">
        <f>2950-2950*0.42</f>
        <v>1711</v>
      </c>
      <c r="P75" s="32">
        <f>'ALL DATA &amp; IT4PROFIT'!H78</f>
        <v>1740</v>
      </c>
      <c r="Q75" s="35" t="str">
        <f>'ALL DATA &amp; IT4PROFIT'!K78</f>
        <v/>
      </c>
      <c r="R75" s="35" t="str">
        <f>'ALL DATA &amp; IT4PROFIT'!D78</f>
        <v/>
      </c>
      <c r="S75" s="9"/>
      <c r="T75" s="9"/>
    </row>
    <row r="76" ht="21.0" customHeight="1">
      <c r="A76" s="13"/>
      <c r="B76" s="24" t="str">
        <f>'ALL DATA &amp; IT4PROFIT'!A79</f>
        <v>FRONIUS</v>
      </c>
      <c r="C76" s="24" t="str">
        <f>'ALL DATA &amp; IT4PROFIT'!B79</f>
        <v>SYMO 10.0-M</v>
      </c>
      <c r="D76" s="24" t="str">
        <f>'ALL DATA &amp; IT4PROFIT'!C79</f>
        <v>3PH</v>
      </c>
      <c r="E76" s="25">
        <v>1.0</v>
      </c>
      <c r="F76" s="26">
        <f>'ALL DATA &amp; IT4PROFIT'!R79</f>
        <v>1491</v>
      </c>
      <c r="G76" s="27">
        <f t="shared" si="8"/>
        <v>1581</v>
      </c>
      <c r="H76" s="27">
        <f t="shared" si="2"/>
        <v>1620.525</v>
      </c>
      <c r="I76" s="28">
        <f t="shared" si="3"/>
        <v>0.07</v>
      </c>
      <c r="J76" s="29">
        <f t="shared" si="4"/>
        <v>1742.5</v>
      </c>
      <c r="K76" s="30">
        <f t="shared" si="5"/>
        <v>1742.5</v>
      </c>
      <c r="L76" s="30">
        <f t="shared" si="6"/>
        <v>1620.525</v>
      </c>
      <c r="M76" s="31">
        <v>0.07</v>
      </c>
      <c r="N76" s="32" t="str">
        <f>'ALL DATA &amp; IT4PROFIT'!L79</f>
        <v/>
      </c>
      <c r="O76" s="35">
        <f>3100-3100*0.42</f>
        <v>1798</v>
      </c>
      <c r="P76" s="32">
        <f>'ALL DATA &amp; IT4PROFIT'!H79</f>
        <v>1895</v>
      </c>
      <c r="Q76" s="35" t="str">
        <f>'ALL DATA &amp; IT4PROFIT'!K79</f>
        <v/>
      </c>
      <c r="R76" s="35" t="str">
        <f>'ALL DATA &amp; IT4PROFIT'!D79</f>
        <v/>
      </c>
      <c r="S76" s="9"/>
      <c r="T76" s="9"/>
    </row>
    <row r="77" ht="21.0" customHeight="1">
      <c r="A77" s="13"/>
      <c r="B77" s="24" t="str">
        <f>'ALL DATA &amp; IT4PROFIT'!A80</f>
        <v>FRONIUS</v>
      </c>
      <c r="C77" s="24" t="str">
        <f>'ALL DATA &amp; IT4PROFIT'!B80</f>
        <v>SYMO 12.5-3-M</v>
      </c>
      <c r="D77" s="24" t="str">
        <f>'ALL DATA &amp; IT4PROFIT'!C80</f>
        <v>3PH</v>
      </c>
      <c r="E77" s="25">
        <v>1.0</v>
      </c>
      <c r="F77" s="26">
        <f>'ALL DATA &amp; IT4PROFIT'!R80</f>
        <v>1696</v>
      </c>
      <c r="G77" s="27">
        <f t="shared" si="8"/>
        <v>1786</v>
      </c>
      <c r="H77" s="27">
        <f t="shared" si="2"/>
        <v>1830.65</v>
      </c>
      <c r="I77" s="28">
        <f t="shared" si="3"/>
        <v>0.07</v>
      </c>
      <c r="J77" s="29">
        <f t="shared" si="4"/>
        <v>1968.44086</v>
      </c>
      <c r="K77" s="30">
        <f t="shared" si="5"/>
        <v>1968.44086</v>
      </c>
      <c r="L77" s="30">
        <f t="shared" si="6"/>
        <v>1830.65</v>
      </c>
      <c r="M77" s="31">
        <v>0.07</v>
      </c>
      <c r="N77" s="32" t="str">
        <f>'ALL DATA &amp; IT4PROFIT'!L80</f>
        <v/>
      </c>
      <c r="O77" s="35"/>
      <c r="P77" s="32" t="str">
        <f>'ALL DATA &amp; IT4PROFIT'!H80</f>
        <v/>
      </c>
      <c r="Q77" s="35" t="str">
        <f>'ALL DATA &amp; IT4PROFIT'!K80</f>
        <v/>
      </c>
      <c r="R77" s="35" t="str">
        <f>'ALL DATA &amp; IT4PROFIT'!D80</f>
        <v/>
      </c>
      <c r="S77" s="9"/>
      <c r="T77" s="9"/>
    </row>
    <row r="78" ht="21.0" customHeight="1">
      <c r="A78" s="13"/>
      <c r="B78" s="24" t="str">
        <f>'ALL DATA &amp; IT4PROFIT'!A81</f>
        <v>FRONIUS</v>
      </c>
      <c r="C78" s="24" t="str">
        <f>'ALL DATA &amp; IT4PROFIT'!B81</f>
        <v>SYMO 15.0-3-M</v>
      </c>
      <c r="D78" s="24" t="str">
        <f>'ALL DATA &amp; IT4PROFIT'!C81</f>
        <v>3PH</v>
      </c>
      <c r="E78" s="25">
        <v>1.0</v>
      </c>
      <c r="F78" s="26">
        <f>'ALL DATA &amp; IT4PROFIT'!R81</f>
        <v>1703</v>
      </c>
      <c r="G78" s="27">
        <f t="shared" si="8"/>
        <v>1793</v>
      </c>
      <c r="H78" s="27">
        <f t="shared" si="2"/>
        <v>1837.825</v>
      </c>
      <c r="I78" s="28">
        <f t="shared" si="3"/>
        <v>0.07</v>
      </c>
      <c r="J78" s="29">
        <f t="shared" si="4"/>
        <v>1976.155914</v>
      </c>
      <c r="K78" s="30">
        <f t="shared" si="5"/>
        <v>1976.155914</v>
      </c>
      <c r="L78" s="30">
        <f t="shared" si="6"/>
        <v>1837.825</v>
      </c>
      <c r="M78" s="31">
        <v>0.07</v>
      </c>
      <c r="N78" s="32" t="str">
        <f>'ALL DATA &amp; IT4PROFIT'!L81</f>
        <v/>
      </c>
      <c r="O78" s="35"/>
      <c r="P78" s="32" t="str">
        <f>'ALL DATA &amp; IT4PROFIT'!H81</f>
        <v/>
      </c>
      <c r="Q78" s="35" t="str">
        <f>'ALL DATA &amp; IT4PROFIT'!K81</f>
        <v/>
      </c>
      <c r="R78" s="35" t="str">
        <f>'ALL DATA &amp; IT4PROFIT'!D81</f>
        <v/>
      </c>
      <c r="S78" s="9"/>
      <c r="T78" s="9"/>
    </row>
    <row r="79" ht="21.0" customHeight="1">
      <c r="A79" s="13"/>
      <c r="B79" s="24" t="str">
        <f>'ALL DATA &amp; IT4PROFIT'!A82</f>
        <v>FRONIUS</v>
      </c>
      <c r="C79" s="24" t="str">
        <f>'ALL DATA &amp; IT4PROFIT'!B82</f>
        <v>SYMO 17.5-3-M</v>
      </c>
      <c r="D79" s="24" t="str">
        <f>'ALL DATA &amp; IT4PROFIT'!C82</f>
        <v>3PH</v>
      </c>
      <c r="E79" s="25">
        <v>1.0</v>
      </c>
      <c r="F79" s="26">
        <f>'ALL DATA &amp; IT4PROFIT'!R82</f>
        <v>1835</v>
      </c>
      <c r="G79" s="27">
        <f t="shared" si="8"/>
        <v>1925</v>
      </c>
      <c r="H79" s="27">
        <f t="shared" si="2"/>
        <v>1973.125</v>
      </c>
      <c r="I79" s="28">
        <f t="shared" si="3"/>
        <v>0.07</v>
      </c>
      <c r="J79" s="29">
        <f t="shared" si="4"/>
        <v>2121.639785</v>
      </c>
      <c r="K79" s="30">
        <f t="shared" si="5"/>
        <v>2121.639785</v>
      </c>
      <c r="L79" s="30">
        <f t="shared" si="6"/>
        <v>1973.125</v>
      </c>
      <c r="M79" s="31">
        <v>0.07</v>
      </c>
      <c r="N79" s="32" t="str">
        <f>'ALL DATA &amp; IT4PROFIT'!L82</f>
        <v/>
      </c>
      <c r="O79" s="35"/>
      <c r="P79" s="32" t="str">
        <f>'ALL DATA &amp; IT4PROFIT'!H82</f>
        <v/>
      </c>
      <c r="Q79" s="35" t="str">
        <f>'ALL DATA &amp; IT4PROFIT'!K82</f>
        <v/>
      </c>
      <c r="R79" s="35" t="str">
        <f>'ALL DATA &amp; IT4PROFIT'!D82</f>
        <v/>
      </c>
      <c r="S79" s="9"/>
      <c r="T79" s="9"/>
    </row>
    <row r="80" ht="21.0" customHeight="1">
      <c r="A80" s="13"/>
      <c r="B80" s="24" t="str">
        <f>'ALL DATA &amp; IT4PROFIT'!A83</f>
        <v>FRONIUS</v>
      </c>
      <c r="C80" s="24" t="str">
        <f>'ALL DATA &amp; IT4PROFIT'!B83</f>
        <v>SYMO 20.0-3-M</v>
      </c>
      <c r="D80" s="24" t="str">
        <f>'ALL DATA &amp; IT4PROFIT'!C83</f>
        <v>3PH</v>
      </c>
      <c r="E80" s="25">
        <v>1.0</v>
      </c>
      <c r="F80" s="26" t="str">
        <f>'ALL DATA &amp; IT4PROFIT'!R83</f>
        <v/>
      </c>
      <c r="G80" s="27">
        <f t="shared" si="8"/>
        <v>90</v>
      </c>
      <c r="H80" s="27">
        <f t="shared" si="2"/>
        <v>92.25</v>
      </c>
      <c r="I80" s="28">
        <f t="shared" si="3"/>
        <v>0.07</v>
      </c>
      <c r="J80" s="29">
        <f t="shared" si="4"/>
        <v>99.19354839</v>
      </c>
      <c r="K80" s="30">
        <f t="shared" si="5"/>
        <v>99.19354839</v>
      </c>
      <c r="L80" s="30">
        <f t="shared" si="6"/>
        <v>92.25</v>
      </c>
      <c r="M80" s="31">
        <v>0.07</v>
      </c>
      <c r="N80" s="32" t="str">
        <f>'ALL DATA &amp; IT4PROFIT'!L83</f>
        <v/>
      </c>
      <c r="O80" s="35"/>
      <c r="P80" s="32" t="str">
        <f>'ALL DATA &amp; IT4PROFIT'!H83</f>
        <v/>
      </c>
      <c r="Q80" s="35" t="str">
        <f>'ALL DATA &amp; IT4PROFIT'!K83</f>
        <v/>
      </c>
      <c r="R80" s="35" t="str">
        <f>'ALL DATA &amp; IT4PROFIT'!D83</f>
        <v/>
      </c>
      <c r="S80" s="9"/>
      <c r="T80" s="9"/>
    </row>
    <row r="81" ht="21.0" customHeight="1">
      <c r="A81" s="13"/>
      <c r="B81" s="24" t="str">
        <f>'ALL DATA &amp; IT4PROFIT'!A84</f>
        <v/>
      </c>
      <c r="C81" s="24" t="str">
        <f>'ALL DATA &amp; IT4PROFIT'!B84</f>
        <v/>
      </c>
      <c r="D81" s="24" t="str">
        <f>'ALL DATA &amp; IT4PROFIT'!C84</f>
        <v/>
      </c>
      <c r="E81" s="25">
        <v>1.0</v>
      </c>
      <c r="F81" s="26" t="str">
        <f>'ALL DATA &amp; IT4PROFIT'!R84</f>
        <v/>
      </c>
      <c r="G81" s="27">
        <f t="shared" si="8"/>
        <v>90</v>
      </c>
      <c r="H81" s="27">
        <f t="shared" si="2"/>
        <v>92.25</v>
      </c>
      <c r="I81" s="28">
        <f t="shared" si="3"/>
        <v>0.07</v>
      </c>
      <c r="J81" s="29">
        <f t="shared" si="4"/>
        <v>99.19354839</v>
      </c>
      <c r="K81" s="30">
        <f t="shared" si="5"/>
        <v>99.19354839</v>
      </c>
      <c r="L81" s="30">
        <f t="shared" si="6"/>
        <v>92.25</v>
      </c>
      <c r="M81" s="31">
        <v>0.07</v>
      </c>
      <c r="N81" s="32" t="str">
        <f>'ALL DATA &amp; IT4PROFIT'!L84</f>
        <v/>
      </c>
      <c r="O81" s="35"/>
      <c r="P81" s="32" t="str">
        <f>'ALL DATA &amp; IT4PROFIT'!H84</f>
        <v/>
      </c>
      <c r="Q81" s="35" t="str">
        <f>'ALL DATA &amp; IT4PROFIT'!K84</f>
        <v/>
      </c>
      <c r="R81" s="35" t="str">
        <f>'ALL DATA &amp; IT4PROFIT'!D84</f>
        <v/>
      </c>
      <c r="S81" s="9"/>
      <c r="T81" s="9"/>
    </row>
    <row r="82" ht="21.0" customHeight="1">
      <c r="A82" s="13"/>
      <c r="B82" s="24" t="str">
        <f>'ALL DATA &amp; IT4PROFIT'!A85</f>
        <v>FRONIUS</v>
      </c>
      <c r="C82" s="24" t="str">
        <f>'ALL DATA &amp; IT4PROFIT'!B85</f>
        <v>Fronius Symo GEN24 3.0</v>
      </c>
      <c r="D82" s="24" t="str">
        <f>'ALL DATA &amp; IT4PROFIT'!C85</f>
        <v>3PH H lock</v>
      </c>
      <c r="E82" s="25">
        <v>1.0</v>
      </c>
      <c r="F82" s="26">
        <f>'ALL DATA &amp; IT4PROFIT'!R85</f>
        <v>933</v>
      </c>
      <c r="G82" s="27">
        <f t="shared" si="8"/>
        <v>1023</v>
      </c>
      <c r="H82" s="27">
        <f t="shared" si="2"/>
        <v>1048.575</v>
      </c>
      <c r="I82" s="28">
        <f t="shared" si="3"/>
        <v>0.07</v>
      </c>
      <c r="J82" s="29">
        <f t="shared" si="4"/>
        <v>1127.5</v>
      </c>
      <c r="K82" s="30">
        <f t="shared" si="5"/>
        <v>1127.5</v>
      </c>
      <c r="L82" s="30">
        <f t="shared" si="6"/>
        <v>1048.575</v>
      </c>
      <c r="M82" s="31">
        <v>0.07</v>
      </c>
      <c r="N82" s="32" t="str">
        <f>'ALL DATA &amp; IT4PROFIT'!L85</f>
        <v/>
      </c>
      <c r="O82" s="35"/>
      <c r="P82" s="32" t="str">
        <f>'ALL DATA &amp; IT4PROFIT'!H85</f>
        <v/>
      </c>
      <c r="Q82" s="35" t="str">
        <f>'ALL DATA &amp; IT4PROFIT'!K85</f>
        <v/>
      </c>
      <c r="R82" s="35" t="str">
        <f>'ALL DATA &amp; IT4PROFIT'!D85</f>
        <v/>
      </c>
      <c r="S82" s="9"/>
      <c r="T82" s="9"/>
    </row>
    <row r="83" ht="21.0" customHeight="1">
      <c r="A83" s="13"/>
      <c r="B83" s="24" t="str">
        <f>'ALL DATA &amp; IT4PROFIT'!A86</f>
        <v>FRONIUS</v>
      </c>
      <c r="C83" s="24" t="str">
        <f>'ALL DATA &amp; IT4PROFIT'!B86</f>
        <v>Fronius Symo GEN24 4.0</v>
      </c>
      <c r="D83" s="24" t="str">
        <f>'ALL DATA &amp; IT4PROFIT'!C86</f>
        <v>3PH H lock</v>
      </c>
      <c r="E83" s="25">
        <v>1.0</v>
      </c>
      <c r="F83" s="26">
        <f>'ALL DATA &amp; IT4PROFIT'!R86</f>
        <v>1068</v>
      </c>
      <c r="G83" s="27">
        <f t="shared" si="8"/>
        <v>1158</v>
      </c>
      <c r="H83" s="27">
        <f t="shared" si="2"/>
        <v>1186.95</v>
      </c>
      <c r="I83" s="28">
        <f t="shared" si="3"/>
        <v>0.07</v>
      </c>
      <c r="J83" s="29">
        <f t="shared" si="4"/>
        <v>1276.290323</v>
      </c>
      <c r="K83" s="30">
        <f t="shared" si="5"/>
        <v>1276.290323</v>
      </c>
      <c r="L83" s="30">
        <f t="shared" si="6"/>
        <v>1186.95</v>
      </c>
      <c r="M83" s="31">
        <v>0.07</v>
      </c>
      <c r="N83" s="32" t="str">
        <f>'ALL DATA &amp; IT4PROFIT'!L86</f>
        <v/>
      </c>
      <c r="O83" s="35"/>
      <c r="P83" s="32" t="str">
        <f>'ALL DATA &amp; IT4PROFIT'!H86</f>
        <v/>
      </c>
      <c r="Q83" s="35" t="str">
        <f>'ALL DATA &amp; IT4PROFIT'!K86</f>
        <v/>
      </c>
      <c r="R83" s="35" t="str">
        <f>'ALL DATA &amp; IT4PROFIT'!D86</f>
        <v/>
      </c>
      <c r="S83" s="9"/>
      <c r="T83" s="9"/>
    </row>
    <row r="84" ht="21.0" customHeight="1">
      <c r="A84" s="13"/>
      <c r="B84" s="24" t="str">
        <f>'ALL DATA &amp; IT4PROFIT'!A87</f>
        <v>FRONIUS</v>
      </c>
      <c r="C84" s="24" t="str">
        <f>'ALL DATA &amp; IT4PROFIT'!B87</f>
        <v>Fronius Symo GEN24 5.0</v>
      </c>
      <c r="D84" s="24" t="str">
        <f>'ALL DATA &amp; IT4PROFIT'!C87</f>
        <v>3PH H lock</v>
      </c>
      <c r="E84" s="25">
        <v>1.0</v>
      </c>
      <c r="F84" s="26">
        <f>'ALL DATA &amp; IT4PROFIT'!R87</f>
        <v>1099</v>
      </c>
      <c r="G84" s="27">
        <f t="shared" si="8"/>
        <v>1189</v>
      </c>
      <c r="H84" s="27">
        <f t="shared" si="2"/>
        <v>1218.725</v>
      </c>
      <c r="I84" s="28">
        <f t="shared" si="3"/>
        <v>0.07</v>
      </c>
      <c r="J84" s="29">
        <f t="shared" si="4"/>
        <v>1310.456989</v>
      </c>
      <c r="K84" s="30">
        <f t="shared" si="5"/>
        <v>1310.456989</v>
      </c>
      <c r="L84" s="30">
        <f t="shared" si="6"/>
        <v>1218.725</v>
      </c>
      <c r="M84" s="31">
        <v>0.07</v>
      </c>
      <c r="N84" s="32" t="str">
        <f>'ALL DATA &amp; IT4PROFIT'!L87</f>
        <v/>
      </c>
      <c r="O84" s="35"/>
      <c r="P84" s="32" t="str">
        <f>'ALL DATA &amp; IT4PROFIT'!H87</f>
        <v/>
      </c>
      <c r="Q84" s="35" t="str">
        <f>'ALL DATA &amp; IT4PROFIT'!K87</f>
        <v/>
      </c>
      <c r="R84" s="35" t="str">
        <f>'ALL DATA &amp; IT4PROFIT'!D87</f>
        <v/>
      </c>
      <c r="S84" s="9"/>
      <c r="T84" s="9"/>
    </row>
    <row r="85" ht="21.0" customHeight="1">
      <c r="A85" s="13"/>
      <c r="B85" s="24" t="str">
        <f>'ALL DATA &amp; IT4PROFIT'!A88</f>
        <v>FRONIUS</v>
      </c>
      <c r="C85" s="24" t="str">
        <f>'ALL DATA &amp; IT4PROFIT'!B88</f>
        <v>Fronius Symo GEN24 6.0</v>
      </c>
      <c r="D85" s="24" t="str">
        <f>'ALL DATA &amp; IT4PROFIT'!C88</f>
        <v>3PH H lock</v>
      </c>
      <c r="E85" s="25">
        <v>1.0</v>
      </c>
      <c r="F85" s="26">
        <f>'ALL DATA &amp; IT4PROFIT'!R88</f>
        <v>1266</v>
      </c>
      <c r="G85" s="27">
        <f t="shared" si="8"/>
        <v>1356</v>
      </c>
      <c r="H85" s="27">
        <f t="shared" si="2"/>
        <v>1389.9</v>
      </c>
      <c r="I85" s="28">
        <f t="shared" si="3"/>
        <v>0.07</v>
      </c>
      <c r="J85" s="29">
        <f t="shared" si="4"/>
        <v>1494.516129</v>
      </c>
      <c r="K85" s="30">
        <f t="shared" si="5"/>
        <v>1494.516129</v>
      </c>
      <c r="L85" s="30">
        <f t="shared" si="6"/>
        <v>1389.9</v>
      </c>
      <c r="M85" s="31">
        <v>0.07</v>
      </c>
      <c r="N85" s="32" t="str">
        <f>'ALL DATA &amp; IT4PROFIT'!L88</f>
        <v/>
      </c>
      <c r="O85" s="35"/>
      <c r="P85" s="32" t="str">
        <f>'ALL DATA &amp; IT4PROFIT'!H88</f>
        <v/>
      </c>
      <c r="Q85" s="35" t="str">
        <f>'ALL DATA &amp; IT4PROFIT'!K88</f>
        <v/>
      </c>
      <c r="R85" s="35" t="str">
        <f>'ALL DATA &amp; IT4PROFIT'!D88</f>
        <v/>
      </c>
      <c r="S85" s="9"/>
      <c r="T85" s="9"/>
    </row>
    <row r="86" ht="21.0" customHeight="1">
      <c r="A86" s="13"/>
      <c r="B86" s="24" t="str">
        <f>'ALL DATA &amp; IT4PROFIT'!A89</f>
        <v>FRONIUS</v>
      </c>
      <c r="C86" s="24" t="str">
        <f>'ALL DATA &amp; IT4PROFIT'!B89</f>
        <v>Fronius Symo GEN24 8.0</v>
      </c>
      <c r="D86" s="24" t="str">
        <f>'ALL DATA &amp; IT4PROFIT'!C89</f>
        <v>3PH H lock</v>
      </c>
      <c r="E86" s="25">
        <v>1.0</v>
      </c>
      <c r="F86" s="26">
        <f>'ALL DATA &amp; IT4PROFIT'!R89</f>
        <v>1531</v>
      </c>
      <c r="G86" s="27">
        <f t="shared" si="8"/>
        <v>1621</v>
      </c>
      <c r="H86" s="27">
        <f t="shared" si="2"/>
        <v>1661.525</v>
      </c>
      <c r="I86" s="28">
        <f t="shared" si="3"/>
        <v>0.07</v>
      </c>
      <c r="J86" s="29">
        <f t="shared" si="4"/>
        <v>1786.586022</v>
      </c>
      <c r="K86" s="30">
        <f t="shared" si="5"/>
        <v>1786.586022</v>
      </c>
      <c r="L86" s="30">
        <f t="shared" si="6"/>
        <v>1661.525</v>
      </c>
      <c r="M86" s="31">
        <v>0.07</v>
      </c>
      <c r="N86" s="32" t="str">
        <f>'ALL DATA &amp; IT4PROFIT'!L89</f>
        <v/>
      </c>
      <c r="O86" s="35"/>
      <c r="P86" s="32" t="str">
        <f>'ALL DATA &amp; IT4PROFIT'!H89</f>
        <v/>
      </c>
      <c r="Q86" s="35" t="str">
        <f>'ALL DATA &amp; IT4PROFIT'!K89</f>
        <v/>
      </c>
      <c r="R86" s="35" t="str">
        <f>'ALL DATA &amp; IT4PROFIT'!D89</f>
        <v/>
      </c>
      <c r="S86" s="9"/>
      <c r="T86" s="9"/>
    </row>
    <row r="87" ht="21.0" customHeight="1">
      <c r="A87" s="13"/>
      <c r="B87" s="24" t="str">
        <f>'ALL DATA &amp; IT4PROFIT'!A90</f>
        <v>FRONIUS</v>
      </c>
      <c r="C87" s="24" t="str">
        <f>'ALL DATA &amp; IT4PROFIT'!B90</f>
        <v>Fronius Symo GEN24 10.0</v>
      </c>
      <c r="D87" s="24" t="str">
        <f>'ALL DATA &amp; IT4PROFIT'!C90</f>
        <v>3PH H lock</v>
      </c>
      <c r="E87" s="25">
        <v>1.0</v>
      </c>
      <c r="F87" s="26">
        <f>'ALL DATA &amp; IT4PROFIT'!R90</f>
        <v>1625</v>
      </c>
      <c r="G87" s="27">
        <f t="shared" si="8"/>
        <v>1715</v>
      </c>
      <c r="H87" s="27">
        <f t="shared" si="2"/>
        <v>1757.875</v>
      </c>
      <c r="I87" s="28">
        <f t="shared" si="3"/>
        <v>0.07</v>
      </c>
      <c r="J87" s="29">
        <f t="shared" si="4"/>
        <v>1890.188172</v>
      </c>
      <c r="K87" s="30">
        <f t="shared" si="5"/>
        <v>1890.188172</v>
      </c>
      <c r="L87" s="30">
        <f t="shared" si="6"/>
        <v>1757.875</v>
      </c>
      <c r="M87" s="31">
        <v>0.07</v>
      </c>
      <c r="N87" s="32" t="str">
        <f>'ALL DATA &amp; IT4PROFIT'!L90</f>
        <v/>
      </c>
      <c r="O87" s="35"/>
      <c r="P87" s="32" t="str">
        <f>'ALL DATA &amp; IT4PROFIT'!H90</f>
        <v/>
      </c>
      <c r="Q87" s="35" t="str">
        <f>'ALL DATA &amp; IT4PROFIT'!K90</f>
        <v/>
      </c>
      <c r="R87" s="35" t="str">
        <f>'ALL DATA &amp; IT4PROFIT'!D90</f>
        <v/>
      </c>
      <c r="S87" s="9"/>
      <c r="T87" s="9"/>
    </row>
    <row r="88" ht="21.0" customHeight="1">
      <c r="A88" s="13"/>
      <c r="B88" s="24" t="str">
        <f>'ALL DATA &amp; IT4PROFIT'!A91</f>
        <v/>
      </c>
      <c r="C88" s="24" t="str">
        <f>'ALL DATA &amp; IT4PROFIT'!B91</f>
        <v/>
      </c>
      <c r="D88" s="24" t="str">
        <f>'ALL DATA &amp; IT4PROFIT'!C91</f>
        <v/>
      </c>
      <c r="E88" s="25">
        <v>1.0</v>
      </c>
      <c r="F88" s="26" t="str">
        <f>'ALL DATA &amp; IT4PROFIT'!R91</f>
        <v/>
      </c>
      <c r="G88" s="27">
        <f t="shared" si="8"/>
        <v>90</v>
      </c>
      <c r="H88" s="27">
        <f t="shared" si="2"/>
        <v>92.25</v>
      </c>
      <c r="I88" s="28">
        <f t="shared" si="3"/>
        <v>0.07</v>
      </c>
      <c r="J88" s="29">
        <f t="shared" si="4"/>
        <v>99.19354839</v>
      </c>
      <c r="K88" s="30">
        <f t="shared" si="5"/>
        <v>99.19354839</v>
      </c>
      <c r="L88" s="30">
        <f t="shared" si="6"/>
        <v>92.25</v>
      </c>
      <c r="M88" s="31">
        <v>0.07</v>
      </c>
      <c r="N88" s="32" t="str">
        <f>'ALL DATA &amp; IT4PROFIT'!L91</f>
        <v/>
      </c>
      <c r="O88" s="35"/>
      <c r="P88" s="32" t="str">
        <f>'ALL DATA &amp; IT4PROFIT'!H91</f>
        <v/>
      </c>
      <c r="Q88" s="35" t="str">
        <f>'ALL DATA &amp; IT4PROFIT'!K91</f>
        <v/>
      </c>
      <c r="R88" s="35" t="str">
        <f>'ALL DATA &amp; IT4PROFIT'!D91</f>
        <v/>
      </c>
      <c r="S88" s="9"/>
      <c r="T88" s="9"/>
    </row>
    <row r="89" ht="21.0" customHeight="1">
      <c r="A89" s="13"/>
      <c r="B89" s="24" t="str">
        <f>'ALL DATA &amp; IT4PROFIT'!A92</f>
        <v>FRONIUS</v>
      </c>
      <c r="C89" s="24" t="str">
        <f>'ALL DATA &amp; IT4PROFIT'!B92</f>
        <v>Fronius Primo Gen24 3.0 Plus</v>
      </c>
      <c r="D89" s="24" t="str">
        <f>'ALL DATA &amp; IT4PROFIT'!C92</f>
        <v>1PH HYBRID</v>
      </c>
      <c r="E89" s="25">
        <v>1.0</v>
      </c>
      <c r="F89" s="26">
        <f>'ALL DATA &amp; IT4PROFIT'!R92</f>
        <v>1221</v>
      </c>
      <c r="G89" s="27">
        <f t="shared" si="8"/>
        <v>1311</v>
      </c>
      <c r="H89" s="27">
        <f t="shared" si="2"/>
        <v>1343.775</v>
      </c>
      <c r="I89" s="28">
        <f t="shared" si="3"/>
        <v>0.07</v>
      </c>
      <c r="J89" s="29">
        <f t="shared" si="4"/>
        <v>1444.919355</v>
      </c>
      <c r="K89" s="30">
        <f t="shared" si="5"/>
        <v>1444.919355</v>
      </c>
      <c r="L89" s="30">
        <f t="shared" si="6"/>
        <v>1343.775</v>
      </c>
      <c r="M89" s="31">
        <v>0.07</v>
      </c>
      <c r="N89" s="32" t="str">
        <f>'ALL DATA &amp; IT4PROFIT'!L92</f>
        <v/>
      </c>
      <c r="O89" s="35"/>
      <c r="P89" s="32" t="str">
        <f>'ALL DATA &amp; IT4PROFIT'!H92</f>
        <v/>
      </c>
      <c r="Q89" s="35" t="str">
        <f>'ALL DATA &amp; IT4PROFIT'!K92</f>
        <v/>
      </c>
      <c r="R89" s="35" t="str">
        <f>'ALL DATA &amp; IT4PROFIT'!D92</f>
        <v/>
      </c>
      <c r="S89" s="9"/>
      <c r="T89" s="9"/>
    </row>
    <row r="90" ht="21.0" customHeight="1">
      <c r="A90" s="13"/>
      <c r="B90" s="24" t="str">
        <f>'ALL DATA &amp; IT4PROFIT'!A93</f>
        <v>FRONIUS</v>
      </c>
      <c r="C90" s="24" t="str">
        <f>'ALL DATA &amp; IT4PROFIT'!B93</f>
        <v>Fronius Primo Gen24 3.6 Plus</v>
      </c>
      <c r="D90" s="24" t="str">
        <f>'ALL DATA &amp; IT4PROFIT'!C93</f>
        <v>1PH HYBRID</v>
      </c>
      <c r="E90" s="25">
        <v>1.0</v>
      </c>
      <c r="F90" s="26">
        <f>'ALL DATA &amp; IT4PROFIT'!R93</f>
        <v>1208</v>
      </c>
      <c r="G90" s="27">
        <f t="shared" si="8"/>
        <v>1298</v>
      </c>
      <c r="H90" s="27">
        <f t="shared" si="2"/>
        <v>1330.45</v>
      </c>
      <c r="I90" s="28">
        <f t="shared" si="3"/>
        <v>0.07</v>
      </c>
      <c r="J90" s="29">
        <f t="shared" si="4"/>
        <v>1430.591398</v>
      </c>
      <c r="K90" s="30">
        <f t="shared" si="5"/>
        <v>1430.591398</v>
      </c>
      <c r="L90" s="30">
        <f t="shared" si="6"/>
        <v>1330.45</v>
      </c>
      <c r="M90" s="31">
        <v>0.07</v>
      </c>
      <c r="N90" s="32" t="str">
        <f>'ALL DATA &amp; IT4PROFIT'!L93</f>
        <v/>
      </c>
      <c r="O90" s="35"/>
      <c r="P90" s="32" t="str">
        <f>'ALL DATA &amp; IT4PROFIT'!H93</f>
        <v/>
      </c>
      <c r="Q90" s="35" t="str">
        <f>'ALL DATA &amp; IT4PROFIT'!K93</f>
        <v/>
      </c>
      <c r="R90" s="35" t="str">
        <f>'ALL DATA &amp; IT4PROFIT'!D93</f>
        <v/>
      </c>
      <c r="S90" s="9"/>
      <c r="T90" s="9"/>
    </row>
    <row r="91" ht="21.0" customHeight="1">
      <c r="A91" s="13"/>
      <c r="B91" s="24" t="str">
        <f>'ALL DATA &amp; IT4PROFIT'!A94</f>
        <v>FRONIUS</v>
      </c>
      <c r="C91" s="24" t="str">
        <f>'ALL DATA &amp; IT4PROFIT'!B94</f>
        <v>Fronius Primo Gen24 4.0 Plus</v>
      </c>
      <c r="D91" s="24" t="str">
        <f>'ALL DATA &amp; IT4PROFIT'!C94</f>
        <v>1PH HYBRID</v>
      </c>
      <c r="E91" s="25">
        <v>1.0</v>
      </c>
      <c r="F91" s="26">
        <f>'ALL DATA &amp; IT4PROFIT'!R94</f>
        <v>1277</v>
      </c>
      <c r="G91" s="27">
        <f t="shared" si="8"/>
        <v>1367</v>
      </c>
      <c r="H91" s="27">
        <f t="shared" si="2"/>
        <v>1401.175</v>
      </c>
      <c r="I91" s="28">
        <f t="shared" si="3"/>
        <v>0.07</v>
      </c>
      <c r="J91" s="29">
        <f t="shared" si="4"/>
        <v>1506.639785</v>
      </c>
      <c r="K91" s="30">
        <f t="shared" si="5"/>
        <v>1506.639785</v>
      </c>
      <c r="L91" s="30">
        <f t="shared" si="6"/>
        <v>1401.175</v>
      </c>
      <c r="M91" s="31">
        <v>0.07</v>
      </c>
      <c r="N91" s="32" t="str">
        <f>'ALL DATA &amp; IT4PROFIT'!L94</f>
        <v/>
      </c>
      <c r="O91" s="35"/>
      <c r="P91" s="32" t="str">
        <f>'ALL DATA &amp; IT4PROFIT'!H94</f>
        <v/>
      </c>
      <c r="Q91" s="35" t="str">
        <f>'ALL DATA &amp; IT4PROFIT'!K94</f>
        <v/>
      </c>
      <c r="R91" s="35" t="str">
        <f>'ALL DATA &amp; IT4PROFIT'!D94</f>
        <v/>
      </c>
      <c r="S91" s="9"/>
      <c r="T91" s="9"/>
    </row>
    <row r="92" ht="21.0" customHeight="1">
      <c r="A92" s="13"/>
      <c r="B92" s="24" t="str">
        <f>'ALL DATA &amp; IT4PROFIT'!A95</f>
        <v>FRONIUS</v>
      </c>
      <c r="C92" s="24" t="str">
        <f>'ALL DATA &amp; IT4PROFIT'!B95</f>
        <v>Fronius Primo Gen24 4.6 Plus</v>
      </c>
      <c r="D92" s="24" t="str">
        <f>'ALL DATA &amp; IT4PROFIT'!C95</f>
        <v>1PH HYBRID</v>
      </c>
      <c r="E92" s="25">
        <v>1.0</v>
      </c>
      <c r="F92" s="26">
        <f>'ALL DATA &amp; IT4PROFIT'!R95</f>
        <v>1342</v>
      </c>
      <c r="G92" s="27">
        <f t="shared" si="8"/>
        <v>1432</v>
      </c>
      <c r="H92" s="27">
        <f t="shared" si="2"/>
        <v>1467.8</v>
      </c>
      <c r="I92" s="28">
        <f t="shared" si="3"/>
        <v>0.07</v>
      </c>
      <c r="J92" s="29">
        <f t="shared" si="4"/>
        <v>1578.27957</v>
      </c>
      <c r="K92" s="30">
        <f t="shared" si="5"/>
        <v>1578.27957</v>
      </c>
      <c r="L92" s="30">
        <f t="shared" si="6"/>
        <v>1467.8</v>
      </c>
      <c r="M92" s="31">
        <v>0.07</v>
      </c>
      <c r="N92" s="32" t="str">
        <f>'ALL DATA &amp; IT4PROFIT'!L95</f>
        <v/>
      </c>
      <c r="O92" s="35"/>
      <c r="P92" s="32" t="str">
        <f>'ALL DATA &amp; IT4PROFIT'!H95</f>
        <v/>
      </c>
      <c r="Q92" s="35" t="str">
        <f>'ALL DATA &amp; IT4PROFIT'!K95</f>
        <v/>
      </c>
      <c r="R92" s="35" t="str">
        <f>'ALL DATA &amp; IT4PROFIT'!D95</f>
        <v/>
      </c>
      <c r="S92" s="9"/>
      <c r="T92" s="9"/>
    </row>
    <row r="93" ht="21.0" customHeight="1">
      <c r="A93" s="13"/>
      <c r="B93" s="24" t="str">
        <f>'ALL DATA &amp; IT4PROFIT'!A96</f>
        <v>FRONIUS</v>
      </c>
      <c r="C93" s="24" t="str">
        <f>'ALL DATA &amp; IT4PROFIT'!B96</f>
        <v>Fronius Primo Gen24 5.0 Plus</v>
      </c>
      <c r="D93" s="24" t="str">
        <f>'ALL DATA &amp; IT4PROFIT'!C96</f>
        <v>1PH HYBRID</v>
      </c>
      <c r="E93" s="25">
        <v>1.0</v>
      </c>
      <c r="F93" s="26">
        <f>'ALL DATA &amp; IT4PROFIT'!R96</f>
        <v>1454</v>
      </c>
      <c r="G93" s="27">
        <f t="shared" si="8"/>
        <v>1544</v>
      </c>
      <c r="H93" s="27">
        <f t="shared" si="2"/>
        <v>1582.6</v>
      </c>
      <c r="I93" s="28">
        <f t="shared" si="3"/>
        <v>0.07</v>
      </c>
      <c r="J93" s="29">
        <f t="shared" si="4"/>
        <v>1701.72043</v>
      </c>
      <c r="K93" s="30">
        <f t="shared" si="5"/>
        <v>1701.72043</v>
      </c>
      <c r="L93" s="30">
        <f t="shared" si="6"/>
        <v>1582.6</v>
      </c>
      <c r="M93" s="31">
        <v>0.07</v>
      </c>
      <c r="N93" s="32" t="str">
        <f>'ALL DATA &amp; IT4PROFIT'!L96</f>
        <v/>
      </c>
      <c r="O93" s="35"/>
      <c r="P93" s="32" t="str">
        <f>'ALL DATA &amp; IT4PROFIT'!H96</f>
        <v/>
      </c>
      <c r="Q93" s="35" t="str">
        <f>'ALL DATA &amp; IT4PROFIT'!K96</f>
        <v/>
      </c>
      <c r="R93" s="35" t="str">
        <f>'ALL DATA &amp; IT4PROFIT'!D96</f>
        <v/>
      </c>
      <c r="S93" s="9"/>
      <c r="T93" s="9"/>
    </row>
    <row r="94" ht="21.0" customHeight="1">
      <c r="A94" s="13"/>
      <c r="B94" s="24" t="str">
        <f>'ALL DATA &amp; IT4PROFIT'!A97</f>
        <v>FRONIUS</v>
      </c>
      <c r="C94" s="24" t="str">
        <f>'ALL DATA &amp; IT4PROFIT'!B97</f>
        <v>Fronius Primo Gen24 6.0 Plus</v>
      </c>
      <c r="D94" s="24" t="str">
        <f>'ALL DATA &amp; IT4PROFIT'!C97</f>
        <v>1PH HYBRID</v>
      </c>
      <c r="E94" s="25">
        <v>1.0</v>
      </c>
      <c r="F94" s="26">
        <f>'ALL DATA &amp; IT4PROFIT'!R97</f>
        <v>1661</v>
      </c>
      <c r="G94" s="27">
        <f t="shared" si="8"/>
        <v>1751</v>
      </c>
      <c r="H94" s="27">
        <f t="shared" si="2"/>
        <v>1794.775</v>
      </c>
      <c r="I94" s="28">
        <f t="shared" si="3"/>
        <v>0.07</v>
      </c>
      <c r="J94" s="29">
        <f t="shared" si="4"/>
        <v>1929.865591</v>
      </c>
      <c r="K94" s="30">
        <f t="shared" si="5"/>
        <v>1929.865591</v>
      </c>
      <c r="L94" s="30">
        <f t="shared" si="6"/>
        <v>1794.775</v>
      </c>
      <c r="M94" s="31">
        <v>0.07</v>
      </c>
      <c r="N94" s="32" t="str">
        <f>'ALL DATA &amp; IT4PROFIT'!L97</f>
        <v/>
      </c>
      <c r="O94" s="35"/>
      <c r="P94" s="32" t="str">
        <f>'ALL DATA &amp; IT4PROFIT'!H97</f>
        <v/>
      </c>
      <c r="Q94" s="35" t="str">
        <f>'ALL DATA &amp; IT4PROFIT'!K97</f>
        <v/>
      </c>
      <c r="R94" s="35" t="str">
        <f>'ALL DATA &amp; IT4PROFIT'!D97</f>
        <v/>
      </c>
      <c r="S94" s="9"/>
      <c r="T94" s="9"/>
    </row>
    <row r="95" ht="21.0" customHeight="1">
      <c r="A95" s="13"/>
      <c r="B95" s="24" t="str">
        <f>'ALL DATA &amp; IT4PROFIT'!A98</f>
        <v/>
      </c>
      <c r="C95" s="24" t="str">
        <f>'ALL DATA &amp; IT4PROFIT'!B98</f>
        <v/>
      </c>
      <c r="D95" s="24" t="str">
        <f>'ALL DATA &amp; IT4PROFIT'!C98</f>
        <v/>
      </c>
      <c r="E95" s="25">
        <v>1.0</v>
      </c>
      <c r="F95" s="26" t="str">
        <f>'ALL DATA &amp; IT4PROFIT'!R98</f>
        <v/>
      </c>
      <c r="G95" s="27">
        <f t="shared" si="8"/>
        <v>90</v>
      </c>
      <c r="H95" s="27">
        <f t="shared" si="2"/>
        <v>92.25</v>
      </c>
      <c r="I95" s="28">
        <f t="shared" si="3"/>
        <v>0.07</v>
      </c>
      <c r="J95" s="29">
        <f t="shared" si="4"/>
        <v>99.19354839</v>
      </c>
      <c r="K95" s="30">
        <f t="shared" si="5"/>
        <v>99.19354839</v>
      </c>
      <c r="L95" s="30">
        <f t="shared" si="6"/>
        <v>92.25</v>
      </c>
      <c r="M95" s="31">
        <v>0.07</v>
      </c>
      <c r="N95" s="32" t="str">
        <f>'ALL DATA &amp; IT4PROFIT'!L98</f>
        <v/>
      </c>
      <c r="O95" s="35"/>
      <c r="P95" s="32" t="str">
        <f>'ALL DATA &amp; IT4PROFIT'!H98</f>
        <v/>
      </c>
      <c r="Q95" s="35" t="str">
        <f>'ALL DATA &amp; IT4PROFIT'!K98</f>
        <v/>
      </c>
      <c r="R95" s="35" t="str">
        <f>'ALL DATA &amp; IT4PROFIT'!D98</f>
        <v/>
      </c>
      <c r="S95" s="9"/>
      <c r="T95" s="9"/>
    </row>
    <row r="96" ht="21.0" customHeight="1">
      <c r="A96" s="13"/>
      <c r="B96" s="24" t="str">
        <f>'ALL DATA &amp; IT4PROFIT'!A99</f>
        <v>FRONIUS</v>
      </c>
      <c r="C96" s="24" t="str">
        <f>'ALL DATA &amp; IT4PROFIT'!B99</f>
        <v>Fronius Symo GEN24 3.0 Plus</v>
      </c>
      <c r="D96" s="24" t="str">
        <f>'ALL DATA &amp; IT4PROFIT'!C99</f>
        <v>3PH HYBRID</v>
      </c>
      <c r="E96" s="25">
        <v>1.0</v>
      </c>
      <c r="F96" s="26">
        <f>'ALL DATA &amp; IT4PROFIT'!R99</f>
        <v>1327</v>
      </c>
      <c r="G96" s="27">
        <f t="shared" si="8"/>
        <v>1417</v>
      </c>
      <c r="H96" s="27">
        <f t="shared" si="2"/>
        <v>1452.425</v>
      </c>
      <c r="I96" s="28">
        <f t="shared" si="3"/>
        <v>0.07</v>
      </c>
      <c r="J96" s="29">
        <f t="shared" si="4"/>
        <v>1561.747312</v>
      </c>
      <c r="K96" s="30">
        <f t="shared" si="5"/>
        <v>1561.747312</v>
      </c>
      <c r="L96" s="30">
        <f t="shared" si="6"/>
        <v>1452.425</v>
      </c>
      <c r="M96" s="31">
        <v>0.07</v>
      </c>
      <c r="N96" s="32" t="str">
        <f>'ALL DATA &amp; IT4PROFIT'!L99</f>
        <v/>
      </c>
      <c r="O96" s="35"/>
      <c r="P96" s="32" t="str">
        <f>'ALL DATA &amp; IT4PROFIT'!H99</f>
        <v/>
      </c>
      <c r="Q96" s="35" t="str">
        <f>'ALL DATA &amp; IT4PROFIT'!K99</f>
        <v/>
      </c>
      <c r="R96" s="35" t="str">
        <f>'ALL DATA &amp; IT4PROFIT'!D99</f>
        <v/>
      </c>
      <c r="S96" s="9"/>
      <c r="T96" s="9"/>
    </row>
    <row r="97" ht="21.0" customHeight="1">
      <c r="A97" s="13"/>
      <c r="B97" s="24" t="str">
        <f>'ALL DATA &amp; IT4PROFIT'!A100</f>
        <v>FRONIUS</v>
      </c>
      <c r="C97" s="24" t="str">
        <f>'ALL DATA &amp; IT4PROFIT'!B100</f>
        <v>Fronius Symo GEN24 4.0 Plus</v>
      </c>
      <c r="D97" s="24" t="str">
        <f>'ALL DATA &amp; IT4PROFIT'!C100</f>
        <v>3PH HYBRID</v>
      </c>
      <c r="E97" s="25">
        <v>1.0</v>
      </c>
      <c r="F97" s="26">
        <f>'ALL DATA &amp; IT4PROFIT'!R100</f>
        <v>1416</v>
      </c>
      <c r="G97" s="27">
        <f t="shared" si="8"/>
        <v>1506</v>
      </c>
      <c r="H97" s="27">
        <f t="shared" si="2"/>
        <v>1543.65</v>
      </c>
      <c r="I97" s="28">
        <f t="shared" si="3"/>
        <v>0.07</v>
      </c>
      <c r="J97" s="29">
        <f t="shared" si="4"/>
        <v>1659.83871</v>
      </c>
      <c r="K97" s="30">
        <f t="shared" si="5"/>
        <v>1659.83871</v>
      </c>
      <c r="L97" s="30">
        <f t="shared" si="6"/>
        <v>1543.65</v>
      </c>
      <c r="M97" s="31">
        <v>0.07</v>
      </c>
      <c r="N97" s="32" t="str">
        <f>'ALL DATA &amp; IT4PROFIT'!L100</f>
        <v/>
      </c>
      <c r="O97" s="35"/>
      <c r="P97" s="32" t="str">
        <f>'ALL DATA &amp; IT4PROFIT'!H100</f>
        <v/>
      </c>
      <c r="Q97" s="35" t="str">
        <f>'ALL DATA &amp; IT4PROFIT'!K100</f>
        <v/>
      </c>
      <c r="R97" s="35" t="str">
        <f>'ALL DATA &amp; IT4PROFIT'!D100</f>
        <v/>
      </c>
      <c r="S97" s="9"/>
      <c r="T97" s="9"/>
    </row>
    <row r="98" ht="21.0" customHeight="1">
      <c r="A98" s="13"/>
      <c r="B98" s="24" t="str">
        <f>'ALL DATA &amp; IT4PROFIT'!A101</f>
        <v>FRONIUS</v>
      </c>
      <c r="C98" s="24" t="str">
        <f>'ALL DATA &amp; IT4PROFIT'!B101</f>
        <v>Fronius Symo GEN24 5.0 Plus</v>
      </c>
      <c r="D98" s="24" t="str">
        <f>'ALL DATA &amp; IT4PROFIT'!C101</f>
        <v>3PH HYBRID</v>
      </c>
      <c r="E98" s="25">
        <v>1.0</v>
      </c>
      <c r="F98" s="26">
        <f>'ALL DATA &amp; IT4PROFIT'!R101</f>
        <v>1504</v>
      </c>
      <c r="G98" s="27">
        <f t="shared" si="8"/>
        <v>1594</v>
      </c>
      <c r="H98" s="27">
        <f t="shared" si="2"/>
        <v>1633.85</v>
      </c>
      <c r="I98" s="28">
        <f t="shared" si="3"/>
        <v>0.07</v>
      </c>
      <c r="J98" s="29">
        <f t="shared" si="4"/>
        <v>1756.827957</v>
      </c>
      <c r="K98" s="30">
        <f t="shared" si="5"/>
        <v>1756.827957</v>
      </c>
      <c r="L98" s="30">
        <f t="shared" si="6"/>
        <v>1633.85</v>
      </c>
      <c r="M98" s="31">
        <v>0.07</v>
      </c>
      <c r="N98" s="32" t="str">
        <f>'ALL DATA &amp; IT4PROFIT'!L101</f>
        <v/>
      </c>
      <c r="O98" s="35"/>
      <c r="P98" s="32" t="str">
        <f>'ALL DATA &amp; IT4PROFIT'!H101</f>
        <v/>
      </c>
      <c r="Q98" s="35" t="str">
        <f>'ALL DATA &amp; IT4PROFIT'!K101</f>
        <v/>
      </c>
      <c r="R98" s="35" t="str">
        <f>'ALL DATA &amp; IT4PROFIT'!D101</f>
        <v/>
      </c>
      <c r="S98" s="9"/>
      <c r="T98" s="9"/>
    </row>
    <row r="99" ht="21.0" customHeight="1">
      <c r="A99" s="13"/>
      <c r="B99" s="24" t="str">
        <f>'ALL DATA &amp; IT4PROFIT'!A102</f>
        <v>FRONIUS</v>
      </c>
      <c r="C99" s="24" t="str">
        <f>'ALL DATA &amp; IT4PROFIT'!B102</f>
        <v>Fronius Symo GEN24 6.0 Plus</v>
      </c>
      <c r="D99" s="24" t="str">
        <f>'ALL DATA &amp; IT4PROFIT'!C102</f>
        <v>3PH HYBRID</v>
      </c>
      <c r="E99" s="25">
        <v>1.0</v>
      </c>
      <c r="F99" s="26">
        <f>'ALL DATA &amp; IT4PROFIT'!R102</f>
        <v>1788</v>
      </c>
      <c r="G99" s="27">
        <f t="shared" si="8"/>
        <v>1878</v>
      </c>
      <c r="H99" s="27">
        <f t="shared" si="2"/>
        <v>1924.95</v>
      </c>
      <c r="I99" s="28">
        <f t="shared" si="3"/>
        <v>0.07</v>
      </c>
      <c r="J99" s="29">
        <f t="shared" si="4"/>
        <v>2069.83871</v>
      </c>
      <c r="K99" s="30">
        <f t="shared" si="5"/>
        <v>2069.83871</v>
      </c>
      <c r="L99" s="30">
        <f t="shared" si="6"/>
        <v>1924.95</v>
      </c>
      <c r="M99" s="31">
        <v>0.07</v>
      </c>
      <c r="N99" s="32" t="str">
        <f>'ALL DATA &amp; IT4PROFIT'!L102</f>
        <v/>
      </c>
      <c r="O99" s="35"/>
      <c r="P99" s="32" t="str">
        <f>'ALL DATA &amp; IT4PROFIT'!H102</f>
        <v/>
      </c>
      <c r="Q99" s="35" t="str">
        <f>'ALL DATA &amp; IT4PROFIT'!K102</f>
        <v/>
      </c>
      <c r="R99" s="35" t="str">
        <f>'ALL DATA &amp; IT4PROFIT'!D102</f>
        <v/>
      </c>
      <c r="S99" s="9"/>
      <c r="T99" s="9"/>
    </row>
    <row r="100" ht="21.0" customHeight="1">
      <c r="A100" s="13"/>
      <c r="B100" s="24" t="str">
        <f>'ALL DATA &amp; IT4PROFIT'!A103</f>
        <v>FRONIUS</v>
      </c>
      <c r="C100" s="24" t="str">
        <f>'ALL DATA &amp; IT4PROFIT'!B103</f>
        <v>Fronius Symo GEN24 8.0 Plus</v>
      </c>
      <c r="D100" s="24" t="str">
        <f>'ALL DATA &amp; IT4PROFIT'!C103</f>
        <v>3PH HYBRID</v>
      </c>
      <c r="E100" s="25">
        <v>1.0</v>
      </c>
      <c r="F100" s="26">
        <f>'ALL DATA &amp; IT4PROFIT'!R103</f>
        <v>2057</v>
      </c>
      <c r="G100" s="27">
        <f t="shared" si="8"/>
        <v>2147</v>
      </c>
      <c r="H100" s="27">
        <f t="shared" si="2"/>
        <v>2200.675</v>
      </c>
      <c r="I100" s="28">
        <f t="shared" si="3"/>
        <v>0.07</v>
      </c>
      <c r="J100" s="29">
        <f t="shared" si="4"/>
        <v>2366.317204</v>
      </c>
      <c r="K100" s="30">
        <f t="shared" si="5"/>
        <v>2366.317204</v>
      </c>
      <c r="L100" s="30">
        <f t="shared" si="6"/>
        <v>2200.675</v>
      </c>
      <c r="M100" s="31">
        <v>0.07</v>
      </c>
      <c r="N100" s="32" t="str">
        <f>'ALL DATA &amp; IT4PROFIT'!L103</f>
        <v/>
      </c>
      <c r="O100" s="35"/>
      <c r="P100" s="32" t="str">
        <f>'ALL DATA &amp; IT4PROFIT'!H103</f>
        <v/>
      </c>
      <c r="Q100" s="35" t="str">
        <f>'ALL DATA &amp; IT4PROFIT'!K103</f>
        <v/>
      </c>
      <c r="R100" s="35" t="str">
        <f>'ALL DATA &amp; IT4PROFIT'!D103</f>
        <v/>
      </c>
      <c r="S100" s="9"/>
      <c r="T100" s="9"/>
    </row>
    <row r="101" ht="21.0" customHeight="1">
      <c r="A101" s="13"/>
      <c r="B101" s="24" t="str">
        <f>'ALL DATA &amp; IT4PROFIT'!A104</f>
        <v>FRONIUS</v>
      </c>
      <c r="C101" s="24" t="str">
        <f>'ALL DATA &amp; IT4PROFIT'!B104</f>
        <v>Fronius Symo GEN24 10.0 Plus</v>
      </c>
      <c r="D101" s="24" t="str">
        <f>'ALL DATA &amp; IT4PROFIT'!C104</f>
        <v>3PH HYBRID</v>
      </c>
      <c r="E101" s="25">
        <v>1.0</v>
      </c>
      <c r="F101" s="26">
        <f>'ALL DATA &amp; IT4PROFIT'!R104</f>
        <v>2143</v>
      </c>
      <c r="G101" s="27">
        <f t="shared" si="8"/>
        <v>2233</v>
      </c>
      <c r="H101" s="27">
        <f t="shared" si="2"/>
        <v>2288.825</v>
      </c>
      <c r="I101" s="28">
        <f t="shared" si="3"/>
        <v>0.07</v>
      </c>
      <c r="J101" s="29">
        <f t="shared" si="4"/>
        <v>2461.102151</v>
      </c>
      <c r="K101" s="30">
        <f t="shared" si="5"/>
        <v>2461.102151</v>
      </c>
      <c r="L101" s="30">
        <f t="shared" si="6"/>
        <v>2288.825</v>
      </c>
      <c r="M101" s="31">
        <v>0.07</v>
      </c>
      <c r="N101" s="32" t="str">
        <f>'ALL DATA &amp; IT4PROFIT'!L104</f>
        <v/>
      </c>
      <c r="O101" s="35"/>
      <c r="P101" s="32" t="str">
        <f>'ALL DATA &amp; IT4PROFIT'!H104</f>
        <v/>
      </c>
      <c r="Q101" s="35" t="str">
        <f>'ALL DATA &amp; IT4PROFIT'!K104</f>
        <v/>
      </c>
      <c r="R101" s="35" t="str">
        <f>'ALL DATA &amp; IT4PROFIT'!D104</f>
        <v/>
      </c>
      <c r="S101" s="9"/>
      <c r="T101" s="9"/>
    </row>
    <row r="102" ht="21.0" customHeight="1">
      <c r="A102" s="13"/>
      <c r="B102" s="24" t="str">
        <f>'ALL DATA &amp; IT4PROFIT'!A105</f>
        <v/>
      </c>
      <c r="C102" s="24" t="str">
        <f>'ALL DATA &amp; IT4PROFIT'!B105</f>
        <v/>
      </c>
      <c r="D102" s="24" t="str">
        <f>'ALL DATA &amp; IT4PROFIT'!C105</f>
        <v/>
      </c>
      <c r="E102" s="25">
        <v>1.0</v>
      </c>
      <c r="F102" s="26" t="str">
        <f>'ALL DATA &amp; IT4PROFIT'!R105</f>
        <v/>
      </c>
      <c r="G102" s="27">
        <f t="shared" si="8"/>
        <v>90</v>
      </c>
      <c r="H102" s="27">
        <f t="shared" si="2"/>
        <v>92.25</v>
      </c>
      <c r="I102" s="28">
        <f t="shared" si="3"/>
        <v>0.07</v>
      </c>
      <c r="J102" s="29">
        <f t="shared" si="4"/>
        <v>99.19354839</v>
      </c>
      <c r="K102" s="30">
        <f t="shared" si="5"/>
        <v>99.19354839</v>
      </c>
      <c r="L102" s="30">
        <f t="shared" si="6"/>
        <v>92.25</v>
      </c>
      <c r="M102" s="31">
        <v>0.07</v>
      </c>
      <c r="N102" s="32" t="str">
        <f>'ALL DATA &amp; IT4PROFIT'!L105</f>
        <v/>
      </c>
      <c r="O102" s="35"/>
      <c r="P102" s="32" t="str">
        <f>'ALL DATA &amp; IT4PROFIT'!H105</f>
        <v/>
      </c>
      <c r="Q102" s="35" t="str">
        <f>'ALL DATA &amp; IT4PROFIT'!K105</f>
        <v/>
      </c>
      <c r="R102" s="35" t="str">
        <f>'ALL DATA &amp; IT4PROFIT'!D105</f>
        <v/>
      </c>
      <c r="S102" s="9"/>
      <c r="T102" s="9"/>
    </row>
    <row r="103" ht="21.0" customHeight="1">
      <c r="A103" s="13"/>
      <c r="B103" s="24" t="str">
        <f>'ALL DATA &amp; IT4PROFIT'!A125</f>
        <v>SOLAREDGE</v>
      </c>
      <c r="C103" s="24" t="str">
        <f>'ALL DATA &amp; IT4PROFIT'!B125</f>
        <v>SE 17 k SETAPP WITH PLASTIC COVER</v>
      </c>
      <c r="D103" s="24" t="str">
        <f>'ALL DATA &amp; IT4PROFIT'!C125</f>
        <v>3PH</v>
      </c>
      <c r="E103" s="25">
        <v>1.0</v>
      </c>
      <c r="F103" s="26" t="str">
        <f>'ALL DATA &amp; IT4PROFIT'!R125</f>
        <v/>
      </c>
      <c r="G103" s="27">
        <f t="shared" si="8"/>
        <v>90</v>
      </c>
      <c r="H103" s="27">
        <f t="shared" si="2"/>
        <v>92.25</v>
      </c>
      <c r="I103" s="28">
        <f t="shared" si="3"/>
        <v>0.07</v>
      </c>
      <c r="J103" s="29">
        <f t="shared" si="4"/>
        <v>99.19354839</v>
      </c>
      <c r="K103" s="30">
        <f t="shared" si="5"/>
        <v>99.19354839</v>
      </c>
      <c r="L103" s="30">
        <f t="shared" si="6"/>
        <v>92.25</v>
      </c>
      <c r="M103" s="31">
        <v>0.07</v>
      </c>
      <c r="N103" s="32" t="str">
        <f>'ALL DATA &amp; IT4PROFIT'!L125</f>
        <v/>
      </c>
      <c r="O103" s="35"/>
      <c r="P103" s="32" t="str">
        <f>'ALL DATA &amp; IT4PROFIT'!H125</f>
        <v/>
      </c>
      <c r="Q103" s="35" t="str">
        <f>'ALL DATA &amp; IT4PROFIT'!K125</f>
        <v/>
      </c>
      <c r="R103" s="35" t="str">
        <f>'ALL DATA &amp; IT4PROFIT'!D125</f>
        <v/>
      </c>
      <c r="S103" s="9"/>
      <c r="T103" s="9"/>
    </row>
    <row r="104" ht="21.0" customHeight="1">
      <c r="A104" s="13"/>
      <c r="B104" s="24" t="str">
        <f>'ALL DATA &amp; IT4PROFIT'!A126</f>
        <v>SOLAREDGE</v>
      </c>
      <c r="C104" s="24" t="str">
        <f>'ALL DATA &amp; IT4PROFIT'!B126</f>
        <v>SE20 k SETAPP</v>
      </c>
      <c r="D104" s="24" t="str">
        <f>'ALL DATA &amp; IT4PROFIT'!C126</f>
        <v>3PH</v>
      </c>
      <c r="E104" s="25">
        <v>1.0</v>
      </c>
      <c r="F104" s="26" t="str">
        <f>'ALL DATA &amp; IT4PROFIT'!R126</f>
        <v/>
      </c>
      <c r="G104" s="27">
        <f t="shared" si="8"/>
        <v>90</v>
      </c>
      <c r="H104" s="27">
        <f t="shared" si="2"/>
        <v>92.25</v>
      </c>
      <c r="I104" s="28">
        <f t="shared" si="3"/>
        <v>0.07</v>
      </c>
      <c r="J104" s="29">
        <f t="shared" si="4"/>
        <v>99.19354839</v>
      </c>
      <c r="K104" s="30">
        <f t="shared" si="5"/>
        <v>99.19354839</v>
      </c>
      <c r="L104" s="30">
        <f t="shared" si="6"/>
        <v>92.25</v>
      </c>
      <c r="M104" s="31">
        <v>0.07</v>
      </c>
      <c r="N104" s="32" t="str">
        <f>'ALL DATA &amp; IT4PROFIT'!L126</f>
        <v/>
      </c>
      <c r="O104" s="35"/>
      <c r="P104" s="32" t="str">
        <f>'ALL DATA &amp; IT4PROFIT'!H126</f>
        <v/>
      </c>
      <c r="Q104" s="35" t="str">
        <f>'ALL DATA &amp; IT4PROFIT'!K126</f>
        <v/>
      </c>
      <c r="R104" s="35" t="str">
        <f>'ALL DATA &amp; IT4PROFIT'!D126</f>
        <v/>
      </c>
      <c r="S104" s="9"/>
      <c r="T104" s="9"/>
    </row>
    <row r="105" ht="21.0" customHeight="1">
      <c r="A105" s="13"/>
      <c r="B105" s="24" t="str">
        <f>'ALL DATA &amp; IT4PROFIT'!A144</f>
        <v>SOLAREDGE</v>
      </c>
      <c r="C105" s="24" t="str">
        <f>'ALL DATA &amp; IT4PROFIT'!B144</f>
        <v/>
      </c>
      <c r="D105" s="24" t="str">
        <f>'ALL DATA &amp; IT4PROFIT'!C144</f>
        <v/>
      </c>
      <c r="E105" s="25">
        <v>1.0</v>
      </c>
      <c r="F105" s="26" t="str">
        <f>'ALL DATA &amp; IT4PROFIT'!R144</f>
        <v/>
      </c>
      <c r="G105" s="27">
        <f t="shared" si="8"/>
        <v>90</v>
      </c>
      <c r="H105" s="27">
        <f t="shared" si="2"/>
        <v>92.25</v>
      </c>
      <c r="I105" s="28">
        <f t="shared" si="3"/>
        <v>0.07</v>
      </c>
      <c r="J105" s="29">
        <f t="shared" si="4"/>
        <v>99.19354839</v>
      </c>
      <c r="K105" s="30">
        <f t="shared" si="5"/>
        <v>99.19354839</v>
      </c>
      <c r="L105" s="30">
        <f t="shared" si="6"/>
        <v>92.25</v>
      </c>
      <c r="M105" s="31">
        <v>0.07</v>
      </c>
      <c r="N105" s="32" t="str">
        <f>'ALL DATA &amp; IT4PROFIT'!L144</f>
        <v/>
      </c>
      <c r="O105" s="35"/>
      <c r="P105" s="32" t="str">
        <f>'ALL DATA &amp; IT4PROFIT'!H144</f>
        <v/>
      </c>
      <c r="Q105" s="35" t="str">
        <f>'ALL DATA &amp; IT4PROFIT'!K144</f>
        <v/>
      </c>
      <c r="R105" s="35" t="str">
        <f>'ALL DATA &amp; IT4PROFIT'!D144</f>
        <v/>
      </c>
      <c r="S105" s="9"/>
      <c r="T105" s="9"/>
    </row>
    <row r="106" ht="21.0" customHeight="1">
      <c r="A106" s="13"/>
      <c r="B106" s="24" t="str">
        <f>'ALL DATA &amp; IT4PROFIT'!A159</f>
        <v/>
      </c>
      <c r="C106" s="24" t="str">
        <f>'ALL DATA &amp; IT4PROFIT'!B159</f>
        <v/>
      </c>
      <c r="D106" s="24" t="str">
        <f>'ALL DATA &amp; IT4PROFIT'!C159</f>
        <v/>
      </c>
      <c r="E106" s="25">
        <v>1.0</v>
      </c>
      <c r="F106" s="26" t="str">
        <f>'ALL DATA &amp; IT4PROFIT'!R159</f>
        <v/>
      </c>
      <c r="G106" s="27">
        <f t="shared" si="8"/>
        <v>90</v>
      </c>
      <c r="H106" s="27">
        <f t="shared" si="2"/>
        <v>92.25</v>
      </c>
      <c r="I106" s="28">
        <f t="shared" si="3"/>
        <v>0.07</v>
      </c>
      <c r="J106" s="29">
        <f t="shared" si="4"/>
        <v>99.19354839</v>
      </c>
      <c r="K106" s="30">
        <f t="shared" si="5"/>
        <v>99.19354839</v>
      </c>
      <c r="L106" s="30">
        <f t="shared" si="6"/>
        <v>92.25</v>
      </c>
      <c r="M106" s="31">
        <v>0.07</v>
      </c>
      <c r="N106" s="32" t="str">
        <f>'ALL DATA &amp; IT4PROFIT'!L159</f>
        <v/>
      </c>
      <c r="O106" s="35"/>
      <c r="P106" s="32" t="str">
        <f>'ALL DATA &amp; IT4PROFIT'!H159</f>
        <v/>
      </c>
      <c r="Q106" s="35" t="str">
        <f>'ALL DATA &amp; IT4PROFIT'!K159</f>
        <v/>
      </c>
      <c r="R106" s="35" t="str">
        <f>'ALL DATA &amp; IT4PROFIT'!D159</f>
        <v/>
      </c>
      <c r="S106" s="9"/>
      <c r="T106" s="9"/>
    </row>
    <row r="107" ht="21.0" customHeight="1">
      <c r="A107" s="13"/>
      <c r="B107" s="24" t="str">
        <f>'ALL DATA &amp; IT4PROFIT'!A160</f>
        <v/>
      </c>
      <c r="C107" s="24" t="str">
        <f>'ALL DATA &amp; IT4PROFIT'!B160</f>
        <v/>
      </c>
      <c r="D107" s="24" t="str">
        <f>'ALL DATA &amp; IT4PROFIT'!C160</f>
        <v/>
      </c>
      <c r="E107" s="25">
        <v>1.0</v>
      </c>
      <c r="F107" s="26" t="str">
        <f>'ALL DATA &amp; IT4PROFIT'!R160</f>
        <v/>
      </c>
      <c r="G107" s="27">
        <f t="shared" si="8"/>
        <v>90</v>
      </c>
      <c r="H107" s="27">
        <f t="shared" si="2"/>
        <v>92.25</v>
      </c>
      <c r="I107" s="28">
        <f t="shared" si="3"/>
        <v>0.07</v>
      </c>
      <c r="J107" s="29">
        <f t="shared" si="4"/>
        <v>99.19354839</v>
      </c>
      <c r="K107" s="30">
        <f t="shared" si="5"/>
        <v>99.19354839</v>
      </c>
      <c r="L107" s="30">
        <f t="shared" si="6"/>
        <v>92.25</v>
      </c>
      <c r="M107" s="31">
        <v>0.07</v>
      </c>
      <c r="N107" s="32" t="str">
        <f>'ALL DATA &amp; IT4PROFIT'!L160</f>
        <v/>
      </c>
      <c r="O107" s="35"/>
      <c r="P107" s="32" t="str">
        <f>'ALL DATA &amp; IT4PROFIT'!H160</f>
        <v/>
      </c>
      <c r="Q107" s="35" t="str">
        <f>'ALL DATA &amp; IT4PROFIT'!K160</f>
        <v/>
      </c>
      <c r="R107" s="35" t="str">
        <f>'ALL DATA &amp; IT4PROFIT'!D160</f>
        <v/>
      </c>
      <c r="S107" s="9"/>
      <c r="T107" s="9"/>
    </row>
    <row r="108" ht="21.0" customHeight="1">
      <c r="A108" s="13"/>
      <c r="B108" s="24" t="str">
        <f>'ALL DATA &amp; IT4PROFIT'!A161</f>
        <v/>
      </c>
      <c r="C108" s="24" t="str">
        <f>'ALL DATA &amp; IT4PROFIT'!B161</f>
        <v/>
      </c>
      <c r="D108" s="24" t="str">
        <f>'ALL DATA &amp; IT4PROFIT'!C161</f>
        <v/>
      </c>
      <c r="E108" s="25">
        <v>1.0</v>
      </c>
      <c r="F108" s="26" t="str">
        <f>'ALL DATA &amp; IT4PROFIT'!R161</f>
        <v/>
      </c>
      <c r="G108" s="27">
        <f t="shared" si="8"/>
        <v>90</v>
      </c>
      <c r="H108" s="27">
        <f t="shared" si="2"/>
        <v>92.25</v>
      </c>
      <c r="I108" s="28">
        <f t="shared" si="3"/>
        <v>0.07</v>
      </c>
      <c r="J108" s="29">
        <f t="shared" si="4"/>
        <v>99.19354839</v>
      </c>
      <c r="K108" s="30">
        <f t="shared" si="5"/>
        <v>99.19354839</v>
      </c>
      <c r="L108" s="30">
        <f t="shared" si="6"/>
        <v>92.25</v>
      </c>
      <c r="M108" s="31">
        <v>0.07</v>
      </c>
      <c r="N108" s="32" t="str">
        <f>'ALL DATA &amp; IT4PROFIT'!L161</f>
        <v/>
      </c>
      <c r="O108" s="35"/>
      <c r="P108" s="32" t="str">
        <f>'ALL DATA &amp; IT4PROFIT'!H161</f>
        <v/>
      </c>
      <c r="Q108" s="35" t="str">
        <f>'ALL DATA &amp; IT4PROFIT'!K161</f>
        <v/>
      </c>
      <c r="R108" s="35" t="str">
        <f>'ALL DATA &amp; IT4PROFIT'!D161</f>
        <v/>
      </c>
      <c r="S108" s="9"/>
      <c r="T108" s="9"/>
    </row>
    <row r="109" ht="21.0" customHeight="1">
      <c r="A109" s="13"/>
      <c r="B109" s="24" t="str">
        <f>'ALL DATA &amp; IT4PROFIT'!A162</f>
        <v>SOLAX</v>
      </c>
      <c r="C109" s="24" t="str">
        <f>'ALL DATA &amp; IT4PROFIT'!B162</f>
        <v>X1 2.0-S-D(L) Mini G3</v>
      </c>
      <c r="D109" s="24" t="str">
        <f>'ALL DATA &amp; IT4PROFIT'!C162</f>
        <v>1PH</v>
      </c>
      <c r="E109" s="25">
        <v>1.0</v>
      </c>
      <c r="F109" s="26" t="str">
        <f>'ALL DATA &amp; IT4PROFIT'!R162</f>
        <v/>
      </c>
      <c r="G109" s="27">
        <f t="shared" si="8"/>
        <v>90</v>
      </c>
      <c r="H109" s="27">
        <f t="shared" si="2"/>
        <v>92.25</v>
      </c>
      <c r="I109" s="28">
        <f t="shared" si="3"/>
        <v>0.07</v>
      </c>
      <c r="J109" s="29">
        <f t="shared" si="4"/>
        <v>99.19354839</v>
      </c>
      <c r="K109" s="30">
        <f t="shared" si="5"/>
        <v>99.19354839</v>
      </c>
      <c r="L109" s="30">
        <f t="shared" si="6"/>
        <v>92.25</v>
      </c>
      <c r="M109" s="31">
        <v>0.07</v>
      </c>
      <c r="N109" s="32" t="str">
        <f>'ALL DATA &amp; IT4PROFIT'!L162</f>
        <v/>
      </c>
      <c r="O109" s="35">
        <f>615-615*0.4</f>
        <v>369</v>
      </c>
      <c r="P109" s="32" t="str">
        <f>'ALL DATA &amp; IT4PROFIT'!H162</f>
        <v/>
      </c>
      <c r="Q109" s="35" t="str">
        <f>'ALL DATA &amp; IT4PROFIT'!K162</f>
        <v/>
      </c>
      <c r="R109" s="35" t="str">
        <f>'ALL DATA &amp; IT4PROFIT'!D162</f>
        <v/>
      </c>
      <c r="S109" s="9"/>
      <c r="T109" s="9"/>
    </row>
    <row r="110" ht="21.0" customHeight="1">
      <c r="A110" s="13"/>
      <c r="B110" s="24" t="str">
        <f>'ALL DATA &amp; IT4PROFIT'!A163</f>
        <v>SOLAX</v>
      </c>
      <c r="C110" s="24" t="str">
        <f>'ALL DATA &amp; IT4PROFIT'!B163</f>
        <v>X1 3.3-T-D(L) BOOST</v>
      </c>
      <c r="D110" s="24" t="str">
        <f>'ALL DATA &amp; IT4PROFIT'!C163</f>
        <v>1PH</v>
      </c>
      <c r="E110" s="25">
        <v>1.0</v>
      </c>
      <c r="F110" s="26" t="str">
        <f>'ALL DATA &amp; IT4PROFIT'!R163</f>
        <v/>
      </c>
      <c r="G110" s="27">
        <f t="shared" si="8"/>
        <v>90</v>
      </c>
      <c r="H110" s="27">
        <f t="shared" si="2"/>
        <v>92.25</v>
      </c>
      <c r="I110" s="28">
        <f t="shared" si="3"/>
        <v>0.07</v>
      </c>
      <c r="J110" s="29">
        <f t="shared" si="4"/>
        <v>99.19354839</v>
      </c>
      <c r="K110" s="30">
        <f t="shared" si="5"/>
        <v>99.19354839</v>
      </c>
      <c r="L110" s="30">
        <f t="shared" si="6"/>
        <v>92.25</v>
      </c>
      <c r="M110" s="31">
        <v>0.07</v>
      </c>
      <c r="N110" s="32" t="str">
        <f>'ALL DATA &amp; IT4PROFIT'!L163</f>
        <v/>
      </c>
      <c r="O110" s="35">
        <f>920-920*0.4</f>
        <v>552</v>
      </c>
      <c r="P110" s="32" t="str">
        <f>'ALL DATA &amp; IT4PROFIT'!H163</f>
        <v/>
      </c>
      <c r="Q110" s="35" t="str">
        <f>'ALL DATA &amp; IT4PROFIT'!K163</f>
        <v/>
      </c>
      <c r="R110" s="35" t="str">
        <f>'ALL DATA &amp; IT4PROFIT'!D163</f>
        <v/>
      </c>
      <c r="S110" s="9"/>
      <c r="T110" s="9"/>
    </row>
    <row r="111" ht="21.0" customHeight="1">
      <c r="A111" s="13"/>
      <c r="B111" s="24" t="str">
        <f>'ALL DATA &amp; IT4PROFIT'!A164</f>
        <v>SOLAX</v>
      </c>
      <c r="C111" s="24" t="str">
        <f>'ALL DATA &amp; IT4PROFIT'!B164</f>
        <v>X1 4.2-T-D(L) BOOST</v>
      </c>
      <c r="D111" s="24" t="str">
        <f>'ALL DATA &amp; IT4PROFIT'!C164</f>
        <v>1PH</v>
      </c>
      <c r="E111" s="25">
        <v>1.0</v>
      </c>
      <c r="F111" s="26" t="str">
        <f>'ALL DATA &amp; IT4PROFIT'!R164</f>
        <v/>
      </c>
      <c r="G111" s="27">
        <f t="shared" si="8"/>
        <v>90</v>
      </c>
      <c r="H111" s="27">
        <f t="shared" si="2"/>
        <v>92.25</v>
      </c>
      <c r="I111" s="28">
        <f t="shared" si="3"/>
        <v>0.07</v>
      </c>
      <c r="J111" s="29">
        <f t="shared" si="4"/>
        <v>99.19354839</v>
      </c>
      <c r="K111" s="30">
        <f t="shared" si="5"/>
        <v>99.19354839</v>
      </c>
      <c r="L111" s="30">
        <f t="shared" si="6"/>
        <v>92.25</v>
      </c>
      <c r="M111" s="31">
        <v>0.07</v>
      </c>
      <c r="N111" s="32" t="str">
        <f>'ALL DATA &amp; IT4PROFIT'!L164</f>
        <v/>
      </c>
      <c r="O111" s="35">
        <f>985-985*0.4</f>
        <v>591</v>
      </c>
      <c r="P111" s="32" t="str">
        <f>'ALL DATA &amp; IT4PROFIT'!H164</f>
        <v/>
      </c>
      <c r="Q111" s="35" t="str">
        <f>'ALL DATA &amp; IT4PROFIT'!K164</f>
        <v/>
      </c>
      <c r="R111" s="35" t="str">
        <f>'ALL DATA &amp; IT4PROFIT'!D164</f>
        <v/>
      </c>
      <c r="S111" s="9"/>
      <c r="T111" s="9"/>
    </row>
    <row r="112" ht="21.0" customHeight="1">
      <c r="A112" s="13"/>
      <c r="B112" s="24" t="str">
        <f>'ALL DATA &amp; IT4PROFIT'!A165</f>
        <v>SOLAX</v>
      </c>
      <c r="C112" s="24" t="str">
        <f>'ALL DATA &amp; IT4PROFIT'!B165</f>
        <v>X1 5.0-T-D(L) BOOST</v>
      </c>
      <c r="D112" s="24" t="str">
        <f>'ALL DATA &amp; IT4PROFIT'!C165</f>
        <v>1PH</v>
      </c>
      <c r="E112" s="25">
        <v>1.0</v>
      </c>
      <c r="F112" s="26" t="str">
        <f>'ALL DATA &amp; IT4PROFIT'!R165</f>
        <v/>
      </c>
      <c r="G112" s="27">
        <f t="shared" si="8"/>
        <v>90</v>
      </c>
      <c r="H112" s="27">
        <f t="shared" si="2"/>
        <v>92.25</v>
      </c>
      <c r="I112" s="28">
        <f t="shared" si="3"/>
        <v>0.07</v>
      </c>
      <c r="J112" s="29">
        <f t="shared" si="4"/>
        <v>99.19354839</v>
      </c>
      <c r="K112" s="30">
        <f t="shared" si="5"/>
        <v>99.19354839</v>
      </c>
      <c r="L112" s="30">
        <f t="shared" si="6"/>
        <v>92.25</v>
      </c>
      <c r="M112" s="31">
        <v>0.07</v>
      </c>
      <c r="N112" s="32" t="str">
        <f>'ALL DATA &amp; IT4PROFIT'!L165</f>
        <v/>
      </c>
      <c r="O112" s="35">
        <f>1055-1055*0.4</f>
        <v>633</v>
      </c>
      <c r="P112" s="32" t="str">
        <f>'ALL DATA &amp; IT4PROFIT'!H165</f>
        <v/>
      </c>
      <c r="Q112" s="35" t="str">
        <f>'ALL DATA &amp; IT4PROFIT'!K165</f>
        <v/>
      </c>
      <c r="R112" s="35" t="str">
        <f>'ALL DATA &amp; IT4PROFIT'!D165</f>
        <v/>
      </c>
      <c r="S112" s="9"/>
      <c r="T112" s="9"/>
    </row>
    <row r="113" ht="21.0" customHeight="1">
      <c r="A113" s="13"/>
      <c r="B113" s="24" t="str">
        <f>'ALL DATA &amp; IT4PROFIT'!A166</f>
        <v>SOLAX</v>
      </c>
      <c r="C113" s="24" t="str">
        <f>'ALL DATA &amp; IT4PROFIT'!B166</f>
        <v>X3-MIC-4.0K-G2</v>
      </c>
      <c r="D113" s="24" t="str">
        <f>'ALL DATA &amp; IT4PROFIT'!C166</f>
        <v>3PH</v>
      </c>
      <c r="E113" s="25">
        <v>1.0</v>
      </c>
      <c r="F113" s="26" t="str">
        <f>'ALL DATA &amp; IT4PROFIT'!R166</f>
        <v/>
      </c>
      <c r="G113" s="27">
        <f t="shared" si="8"/>
        <v>90</v>
      </c>
      <c r="H113" s="27">
        <f t="shared" si="2"/>
        <v>92.25</v>
      </c>
      <c r="I113" s="28">
        <f t="shared" si="3"/>
        <v>0.07</v>
      </c>
      <c r="J113" s="29">
        <f t="shared" si="4"/>
        <v>99.19354839</v>
      </c>
      <c r="K113" s="30">
        <f t="shared" si="5"/>
        <v>99.19354839</v>
      </c>
      <c r="L113" s="30">
        <f t="shared" si="6"/>
        <v>92.25</v>
      </c>
      <c r="M113" s="31">
        <v>0.07</v>
      </c>
      <c r="N113" s="32" t="str">
        <f>'ALL DATA &amp; IT4PROFIT'!L166</f>
        <v/>
      </c>
      <c r="O113" s="35">
        <f>1465-1465*0.4</f>
        <v>879</v>
      </c>
      <c r="P113" s="32" t="str">
        <f>'ALL DATA &amp; IT4PROFIT'!H166</f>
        <v/>
      </c>
      <c r="Q113" s="35" t="str">
        <f>'ALL DATA &amp; IT4PROFIT'!K166</f>
        <v/>
      </c>
      <c r="R113" s="35" t="str">
        <f>'ALL DATA &amp; IT4PROFIT'!D166</f>
        <v/>
      </c>
      <c r="S113" s="9"/>
      <c r="T113" s="9"/>
    </row>
    <row r="114" ht="21.0" customHeight="1">
      <c r="A114" s="13"/>
      <c r="B114" s="24" t="str">
        <f>'ALL DATA &amp; IT4PROFIT'!A167</f>
        <v>SOLAX</v>
      </c>
      <c r="C114" s="24" t="str">
        <f>'ALL DATA &amp; IT4PROFIT'!B167</f>
        <v>X3-MIC-5.0K-G2</v>
      </c>
      <c r="D114" s="24" t="str">
        <f>'ALL DATA &amp; IT4PROFIT'!C167</f>
        <v>3PH</v>
      </c>
      <c r="E114" s="25">
        <v>1.0</v>
      </c>
      <c r="F114" s="26" t="str">
        <f>'ALL DATA &amp; IT4PROFIT'!R167</f>
        <v/>
      </c>
      <c r="G114" s="27">
        <f t="shared" si="8"/>
        <v>90</v>
      </c>
      <c r="H114" s="27">
        <f t="shared" si="2"/>
        <v>92.25</v>
      </c>
      <c r="I114" s="28">
        <f t="shared" si="3"/>
        <v>0.07</v>
      </c>
      <c r="J114" s="29">
        <f t="shared" si="4"/>
        <v>99.19354839</v>
      </c>
      <c r="K114" s="30">
        <f t="shared" si="5"/>
        <v>99.19354839</v>
      </c>
      <c r="L114" s="30">
        <f t="shared" si="6"/>
        <v>92.25</v>
      </c>
      <c r="M114" s="31">
        <v>0.07</v>
      </c>
      <c r="N114" s="32" t="str">
        <f>'ALL DATA &amp; IT4PROFIT'!L167</f>
        <v/>
      </c>
      <c r="O114" s="35">
        <f>1530-1530*0.4</f>
        <v>918</v>
      </c>
      <c r="P114" s="32" t="str">
        <f>'ALL DATA &amp; IT4PROFIT'!H167</f>
        <v/>
      </c>
      <c r="Q114" s="35" t="str">
        <f>'ALL DATA &amp; IT4PROFIT'!K167</f>
        <v/>
      </c>
      <c r="R114" s="35" t="str">
        <f>'ALL DATA &amp; IT4PROFIT'!D167</f>
        <v/>
      </c>
      <c r="S114" s="9"/>
      <c r="T114" s="9"/>
    </row>
    <row r="115" ht="21.0" customHeight="1">
      <c r="A115" s="13"/>
      <c r="B115" s="24" t="str">
        <f>'ALL DATA &amp; IT4PROFIT'!A168</f>
        <v>SOLAX</v>
      </c>
      <c r="C115" s="24" t="str">
        <f>'ALL DATA &amp; IT4PROFIT'!B168</f>
        <v>X3-MIC-6.0K-G2</v>
      </c>
      <c r="D115" s="24" t="str">
        <f>'ALL DATA &amp; IT4PROFIT'!C168</f>
        <v>3PH</v>
      </c>
      <c r="E115" s="25">
        <v>1.0</v>
      </c>
      <c r="F115" s="26" t="str">
        <f>'ALL DATA &amp; IT4PROFIT'!R168</f>
        <v/>
      </c>
      <c r="G115" s="27">
        <f t="shared" si="8"/>
        <v>90</v>
      </c>
      <c r="H115" s="27">
        <f t="shared" si="2"/>
        <v>92.25</v>
      </c>
      <c r="I115" s="28">
        <f t="shared" si="3"/>
        <v>0.07</v>
      </c>
      <c r="J115" s="29">
        <f t="shared" si="4"/>
        <v>99.19354839</v>
      </c>
      <c r="K115" s="30">
        <f t="shared" si="5"/>
        <v>99.19354839</v>
      </c>
      <c r="L115" s="30">
        <f t="shared" si="6"/>
        <v>92.25</v>
      </c>
      <c r="M115" s="31">
        <v>0.07</v>
      </c>
      <c r="N115" s="32" t="str">
        <f>'ALL DATA &amp; IT4PROFIT'!L168</f>
        <v/>
      </c>
      <c r="O115" s="35">
        <f>1625-1625*0.4</f>
        <v>975</v>
      </c>
      <c r="P115" s="32" t="str">
        <f>'ALL DATA &amp; IT4PROFIT'!H168</f>
        <v/>
      </c>
      <c r="Q115" s="35" t="str">
        <f>'ALL DATA &amp; IT4PROFIT'!K168</f>
        <v/>
      </c>
      <c r="R115" s="35" t="str">
        <f>'ALL DATA &amp; IT4PROFIT'!D168</f>
        <v/>
      </c>
      <c r="S115" s="9"/>
      <c r="T115" s="9"/>
    </row>
    <row r="116" ht="21.0" customHeight="1">
      <c r="A116" s="13"/>
      <c r="B116" s="24" t="str">
        <f>'ALL DATA &amp; IT4PROFIT'!A169</f>
        <v>SOLAX</v>
      </c>
      <c r="C116" s="24" t="str">
        <f>'ALL DATA &amp; IT4PROFIT'!B169</f>
        <v>X3-MIC-8.0K-G2</v>
      </c>
      <c r="D116" s="24" t="str">
        <f>'ALL DATA &amp; IT4PROFIT'!C169</f>
        <v>3PH</v>
      </c>
      <c r="E116" s="25">
        <v>1.0</v>
      </c>
      <c r="F116" s="26" t="str">
        <f>'ALL DATA &amp; IT4PROFIT'!R169</f>
        <v/>
      </c>
      <c r="G116" s="27">
        <f t="shared" si="8"/>
        <v>90</v>
      </c>
      <c r="H116" s="27">
        <f t="shared" si="2"/>
        <v>92.25</v>
      </c>
      <c r="I116" s="28">
        <f t="shared" si="3"/>
        <v>0.07</v>
      </c>
      <c r="J116" s="29">
        <f t="shared" si="4"/>
        <v>99.19354839</v>
      </c>
      <c r="K116" s="30">
        <f t="shared" si="5"/>
        <v>99.19354839</v>
      </c>
      <c r="L116" s="30">
        <f t="shared" si="6"/>
        <v>92.25</v>
      </c>
      <c r="M116" s="31">
        <v>0.07</v>
      </c>
      <c r="N116" s="32" t="str">
        <f>'ALL DATA &amp; IT4PROFIT'!L169</f>
        <v/>
      </c>
      <c r="O116" s="35">
        <f>1680-1680*0.4</f>
        <v>1008</v>
      </c>
      <c r="P116" s="32" t="str">
        <f>'ALL DATA &amp; IT4PROFIT'!H169</f>
        <v/>
      </c>
      <c r="Q116" s="35" t="str">
        <f>'ALL DATA &amp; IT4PROFIT'!K169</f>
        <v/>
      </c>
      <c r="R116" s="35" t="str">
        <f>'ALL DATA &amp; IT4PROFIT'!D169</f>
        <v/>
      </c>
      <c r="S116" s="9"/>
      <c r="T116" s="9"/>
    </row>
    <row r="117" ht="21.0" customHeight="1">
      <c r="A117" s="13"/>
      <c r="B117" s="24" t="str">
        <f>'ALL DATA &amp; IT4PROFIT'!A170</f>
        <v>SOLAX</v>
      </c>
      <c r="C117" s="24" t="str">
        <f>'ALL DATA &amp; IT4PROFIT'!B170</f>
        <v>X3-MIC-10.0K-G2</v>
      </c>
      <c r="D117" s="24" t="str">
        <f>'ALL DATA &amp; IT4PROFIT'!C170</f>
        <v>3PH</v>
      </c>
      <c r="E117" s="25">
        <v>1.0</v>
      </c>
      <c r="F117" s="26" t="str">
        <f>'ALL DATA &amp; IT4PROFIT'!R170</f>
        <v/>
      </c>
      <c r="G117" s="27">
        <f t="shared" si="8"/>
        <v>90</v>
      </c>
      <c r="H117" s="27">
        <f t="shared" si="2"/>
        <v>92.25</v>
      </c>
      <c r="I117" s="28">
        <f t="shared" si="3"/>
        <v>0.07</v>
      </c>
      <c r="J117" s="29">
        <f t="shared" si="4"/>
        <v>99.19354839</v>
      </c>
      <c r="K117" s="30">
        <f t="shared" si="5"/>
        <v>99.19354839</v>
      </c>
      <c r="L117" s="30">
        <f t="shared" si="6"/>
        <v>92.25</v>
      </c>
      <c r="M117" s="31">
        <v>0.07</v>
      </c>
      <c r="N117" s="32" t="str">
        <f>'ALL DATA &amp; IT4PROFIT'!L170</f>
        <v/>
      </c>
      <c r="O117" s="35">
        <f>1840-1840*0.4</f>
        <v>1104</v>
      </c>
      <c r="P117" s="32" t="str">
        <f>'ALL DATA &amp; IT4PROFIT'!H170</f>
        <v/>
      </c>
      <c r="Q117" s="35" t="str">
        <f>'ALL DATA &amp; IT4PROFIT'!K170</f>
        <v/>
      </c>
      <c r="R117" s="35" t="str">
        <f>'ALL DATA &amp; IT4PROFIT'!D170</f>
        <v/>
      </c>
      <c r="S117" s="9"/>
      <c r="T117" s="9"/>
    </row>
    <row r="118" ht="21.0" customHeight="1">
      <c r="A118" s="13"/>
      <c r="B118" s="24" t="str">
        <f>'ALL DATA &amp; IT4PROFIT'!A171</f>
        <v>SOLAX</v>
      </c>
      <c r="C118" s="24" t="str">
        <f>'ALL DATA &amp; IT4PROFIT'!B171</f>
        <v>Pocket Wifi (2 years warranty)</v>
      </c>
      <c r="D118" s="24" t="str">
        <f>'ALL DATA &amp; IT4PROFIT'!C171</f>
        <v/>
      </c>
      <c r="E118" s="25">
        <v>1.0</v>
      </c>
      <c r="F118" s="26" t="str">
        <f>'ALL DATA &amp; IT4PROFIT'!R171</f>
        <v/>
      </c>
      <c r="G118" s="27">
        <f t="shared" si="8"/>
        <v>90</v>
      </c>
      <c r="H118" s="27">
        <f t="shared" si="2"/>
        <v>92.25</v>
      </c>
      <c r="I118" s="28">
        <f t="shared" si="3"/>
        <v>0.07</v>
      </c>
      <c r="J118" s="29">
        <f t="shared" si="4"/>
        <v>99.19354839</v>
      </c>
      <c r="K118" s="30">
        <f t="shared" si="5"/>
        <v>99.19354839</v>
      </c>
      <c r="L118" s="30">
        <f t="shared" si="6"/>
        <v>92.25</v>
      </c>
      <c r="M118" s="31">
        <v>0.07</v>
      </c>
      <c r="N118" s="32" t="str">
        <f>'ALL DATA &amp; IT4PROFIT'!L171</f>
        <v/>
      </c>
      <c r="O118" s="35">
        <f t="shared" ref="O118:O119" si="9">50-50*0.4</f>
        <v>30</v>
      </c>
      <c r="P118" s="32" t="str">
        <f>'ALL DATA &amp; IT4PROFIT'!H171</f>
        <v/>
      </c>
      <c r="Q118" s="35" t="str">
        <f>'ALL DATA &amp; IT4PROFIT'!K171</f>
        <v/>
      </c>
      <c r="R118" s="35" t="str">
        <f>'ALL DATA &amp; IT4PROFIT'!D171</f>
        <v/>
      </c>
      <c r="S118" s="9"/>
      <c r="T118" s="9"/>
    </row>
    <row r="119" ht="21.0" customHeight="1">
      <c r="A119" s="13"/>
      <c r="B119" s="24" t="str">
        <f>'ALL DATA &amp; IT4PROFIT'!A172</f>
        <v>SOLAX</v>
      </c>
      <c r="C119" s="24" t="str">
        <f>'ALL DATA &amp; IT4PROFIT'!B172</f>
        <v>Pocket Lan 3.0 (2 years warranty)</v>
      </c>
      <c r="D119" s="24" t="str">
        <f>'ALL DATA &amp; IT4PROFIT'!C172</f>
        <v/>
      </c>
      <c r="E119" s="25">
        <v>1.0</v>
      </c>
      <c r="F119" s="26" t="str">
        <f>'ALL DATA &amp; IT4PROFIT'!R172</f>
        <v/>
      </c>
      <c r="G119" s="27">
        <f t="shared" si="8"/>
        <v>90</v>
      </c>
      <c r="H119" s="27">
        <f t="shared" si="2"/>
        <v>92.25</v>
      </c>
      <c r="I119" s="28">
        <f t="shared" si="3"/>
        <v>0.07</v>
      </c>
      <c r="J119" s="29">
        <f t="shared" si="4"/>
        <v>99.19354839</v>
      </c>
      <c r="K119" s="30">
        <f t="shared" si="5"/>
        <v>99.19354839</v>
      </c>
      <c r="L119" s="30">
        <f t="shared" si="6"/>
        <v>92.25</v>
      </c>
      <c r="M119" s="31">
        <v>0.07</v>
      </c>
      <c r="N119" s="32" t="str">
        <f>'ALL DATA &amp; IT4PROFIT'!L172</f>
        <v/>
      </c>
      <c r="O119" s="35">
        <f t="shared" si="9"/>
        <v>30</v>
      </c>
      <c r="P119" s="32" t="str">
        <f>'ALL DATA &amp; IT4PROFIT'!H172</f>
        <v/>
      </c>
      <c r="Q119" s="35" t="str">
        <f>'ALL DATA &amp; IT4PROFIT'!K172</f>
        <v/>
      </c>
      <c r="R119" s="35" t="str">
        <f>'ALL DATA &amp; IT4PROFIT'!D172</f>
        <v/>
      </c>
      <c r="S119" s="9"/>
      <c r="T119" s="9"/>
    </row>
    <row r="120" ht="21.0" customHeight="1">
      <c r="A120" s="13"/>
      <c r="B120" s="24" t="str">
        <f>'ALL DATA &amp; IT4PROFIT'!A173</f>
        <v/>
      </c>
      <c r="C120" s="24" t="str">
        <f>'ALL DATA &amp; IT4PROFIT'!B173</f>
        <v/>
      </c>
      <c r="D120" s="24" t="str">
        <f>'ALL DATA &amp; IT4PROFIT'!C173</f>
        <v/>
      </c>
      <c r="E120" s="25">
        <v>1.0</v>
      </c>
      <c r="F120" s="26" t="str">
        <f>'ALL DATA &amp; IT4PROFIT'!R173</f>
        <v/>
      </c>
      <c r="G120" s="27">
        <f t="shared" si="8"/>
        <v>90</v>
      </c>
      <c r="H120" s="27">
        <f t="shared" si="2"/>
        <v>92.25</v>
      </c>
      <c r="I120" s="28">
        <f t="shared" si="3"/>
        <v>0.07</v>
      </c>
      <c r="J120" s="29">
        <f t="shared" si="4"/>
        <v>99.19354839</v>
      </c>
      <c r="K120" s="30">
        <f t="shared" si="5"/>
        <v>99.19354839</v>
      </c>
      <c r="L120" s="30">
        <f t="shared" si="6"/>
        <v>92.25</v>
      </c>
      <c r="M120" s="31">
        <v>0.07</v>
      </c>
      <c r="N120" s="32" t="str">
        <f>'ALL DATA &amp; IT4PROFIT'!L173</f>
        <v/>
      </c>
      <c r="O120" s="35"/>
      <c r="P120" s="32" t="str">
        <f>'ALL DATA &amp; IT4PROFIT'!H173</f>
        <v/>
      </c>
      <c r="Q120" s="35" t="str">
        <f>'ALL DATA &amp; IT4PROFIT'!K173</f>
        <v/>
      </c>
      <c r="R120" s="35" t="str">
        <f>'ALL DATA &amp; IT4PROFIT'!D173</f>
        <v/>
      </c>
      <c r="S120" s="9"/>
      <c r="T120" s="9"/>
    </row>
    <row r="121" ht="21.0" customHeight="1">
      <c r="A121" s="13"/>
      <c r="B121" s="24" t="str">
        <f>'ALL DATA &amp; IT4PROFIT'!A174</f>
        <v>SMA</v>
      </c>
      <c r="C121" s="24" t="str">
        <f>'ALL DATA &amp; IT4PROFIT'!B174</f>
        <v>SMA Hybrid Sunny Tripower 5.0 Smart Energy</v>
      </c>
      <c r="D121" s="24" t="str">
        <f>'ALL DATA &amp; IT4PROFIT'!C174</f>
        <v>3PH HYBRID</v>
      </c>
      <c r="E121" s="25">
        <v>1.0</v>
      </c>
      <c r="F121" s="26">
        <f>'ALL DATA &amp; IT4PROFIT'!R174</f>
        <v>1700</v>
      </c>
      <c r="G121" s="27">
        <f t="shared" si="8"/>
        <v>1790</v>
      </c>
      <c r="H121" s="27">
        <f t="shared" si="2"/>
        <v>1834.75</v>
      </c>
      <c r="I121" s="28">
        <f t="shared" si="3"/>
        <v>0.07</v>
      </c>
      <c r="J121" s="29">
        <f t="shared" si="4"/>
        <v>1972.849462</v>
      </c>
      <c r="K121" s="30">
        <f t="shared" si="5"/>
        <v>1972.849462</v>
      </c>
      <c r="L121" s="30">
        <f t="shared" si="6"/>
        <v>1834.75</v>
      </c>
      <c r="M121" s="31">
        <v>0.07</v>
      </c>
      <c r="N121" s="32" t="str">
        <f>'ALL DATA &amp; IT4PROFIT'!L174</f>
        <v/>
      </c>
      <c r="O121" s="35"/>
      <c r="P121" s="32" t="str">
        <f>'ALL DATA &amp; IT4PROFIT'!H174</f>
        <v/>
      </c>
      <c r="Q121" s="35" t="str">
        <f>'ALL DATA &amp; IT4PROFIT'!K174</f>
        <v/>
      </c>
      <c r="R121" s="35" t="str">
        <f>'ALL DATA &amp; IT4PROFIT'!D174</f>
        <v/>
      </c>
      <c r="S121" s="9"/>
      <c r="T121" s="9"/>
    </row>
    <row r="122" ht="21.0" customHeight="1">
      <c r="A122" s="13"/>
      <c r="B122" s="24" t="str">
        <f>'ALL DATA &amp; IT4PROFIT'!A175</f>
        <v>SMA</v>
      </c>
      <c r="C122" s="24" t="str">
        <f>'ALL DATA &amp; IT4PROFIT'!B175</f>
        <v>SMA Hybrid Sunny Tripower 6.0 Smart Energy</v>
      </c>
      <c r="D122" s="24" t="str">
        <f>'ALL DATA &amp; IT4PROFIT'!C175</f>
        <v>3PH HYBRID</v>
      </c>
      <c r="E122" s="25">
        <v>1.0</v>
      </c>
      <c r="F122" s="26">
        <f>'ALL DATA &amp; IT4PROFIT'!R175</f>
        <v>1850</v>
      </c>
      <c r="G122" s="27">
        <f t="shared" si="8"/>
        <v>1940</v>
      </c>
      <c r="H122" s="27">
        <f t="shared" si="2"/>
        <v>1988.5</v>
      </c>
      <c r="I122" s="28">
        <f t="shared" si="3"/>
        <v>0.07</v>
      </c>
      <c r="J122" s="29">
        <f t="shared" si="4"/>
        <v>2138.172043</v>
      </c>
      <c r="K122" s="30">
        <f t="shared" si="5"/>
        <v>2138.172043</v>
      </c>
      <c r="L122" s="30">
        <f t="shared" si="6"/>
        <v>1988.5</v>
      </c>
      <c r="M122" s="31">
        <v>0.07</v>
      </c>
      <c r="N122" s="32" t="str">
        <f>'ALL DATA &amp; IT4PROFIT'!L175</f>
        <v/>
      </c>
      <c r="O122" s="35"/>
      <c r="P122" s="32" t="str">
        <f>'ALL DATA &amp; IT4PROFIT'!H175</f>
        <v/>
      </c>
      <c r="Q122" s="35" t="str">
        <f>'ALL DATA &amp; IT4PROFIT'!K175</f>
        <v/>
      </c>
      <c r="R122" s="35" t="str">
        <f>'ALL DATA &amp; IT4PROFIT'!D175</f>
        <v/>
      </c>
      <c r="S122" s="9"/>
      <c r="T122" s="9"/>
    </row>
    <row r="123" ht="21.0" customHeight="1">
      <c r="A123" s="13"/>
      <c r="B123" s="24" t="str">
        <f>'ALL DATA &amp; IT4PROFIT'!A176</f>
        <v>SMA</v>
      </c>
      <c r="C123" s="24" t="str">
        <f>'ALL DATA &amp; IT4PROFIT'!B176</f>
        <v>SMA Hybrid Sunny Tripower 8.0 Smart Energy</v>
      </c>
      <c r="D123" s="24" t="str">
        <f>'ALL DATA &amp; IT4PROFIT'!C176</f>
        <v>3PH HYBRID</v>
      </c>
      <c r="E123" s="25">
        <v>1.0</v>
      </c>
      <c r="F123" s="26">
        <f>'ALL DATA &amp; IT4PROFIT'!R176</f>
        <v>2100</v>
      </c>
      <c r="G123" s="27">
        <f t="shared" si="8"/>
        <v>2190</v>
      </c>
      <c r="H123" s="27">
        <f t="shared" si="2"/>
        <v>2244.75</v>
      </c>
      <c r="I123" s="28">
        <f t="shared" si="3"/>
        <v>0.07</v>
      </c>
      <c r="J123" s="29">
        <f t="shared" si="4"/>
        <v>2413.709677</v>
      </c>
      <c r="K123" s="30">
        <f t="shared" si="5"/>
        <v>2413.709677</v>
      </c>
      <c r="L123" s="30">
        <f t="shared" si="6"/>
        <v>2244.75</v>
      </c>
      <c r="M123" s="31">
        <v>0.07</v>
      </c>
      <c r="N123" s="32" t="str">
        <f>'ALL DATA &amp; IT4PROFIT'!L176</f>
        <v/>
      </c>
      <c r="O123" s="35"/>
      <c r="P123" s="32" t="str">
        <f>'ALL DATA &amp; IT4PROFIT'!H176</f>
        <v/>
      </c>
      <c r="Q123" s="35" t="str">
        <f>'ALL DATA &amp; IT4PROFIT'!K176</f>
        <v/>
      </c>
      <c r="R123" s="35" t="str">
        <f>'ALL DATA &amp; IT4PROFIT'!D176</f>
        <v/>
      </c>
      <c r="S123" s="9"/>
      <c r="T123" s="9"/>
    </row>
    <row r="124" ht="21.0" customHeight="1">
      <c r="A124" s="13"/>
      <c r="B124" s="24" t="str">
        <f>'ALL DATA &amp; IT4PROFIT'!A177</f>
        <v>SMA</v>
      </c>
      <c r="C124" s="24" t="str">
        <f>'ALL DATA &amp; IT4PROFIT'!B177</f>
        <v>SMA Hybrid Sunny Tripower 10.0 Smart Energy</v>
      </c>
      <c r="D124" s="24" t="str">
        <f>'ALL DATA &amp; IT4PROFIT'!C177</f>
        <v>3PH HYBRID</v>
      </c>
      <c r="E124" s="25">
        <v>1.0</v>
      </c>
      <c r="F124" s="26">
        <f>'ALL DATA &amp; IT4PROFIT'!R177</f>
        <v>2350</v>
      </c>
      <c r="G124" s="27">
        <f t="shared" si="8"/>
        <v>2440</v>
      </c>
      <c r="H124" s="27">
        <f t="shared" si="2"/>
        <v>2501</v>
      </c>
      <c r="I124" s="28">
        <f t="shared" si="3"/>
        <v>0.07</v>
      </c>
      <c r="J124" s="29">
        <f t="shared" si="4"/>
        <v>2689.247312</v>
      </c>
      <c r="K124" s="30">
        <f t="shared" si="5"/>
        <v>2689.247312</v>
      </c>
      <c r="L124" s="30">
        <f t="shared" si="6"/>
        <v>2501</v>
      </c>
      <c r="M124" s="31">
        <v>0.07</v>
      </c>
      <c r="N124" s="32" t="str">
        <f>'ALL DATA &amp; IT4PROFIT'!L177</f>
        <v/>
      </c>
      <c r="O124" s="35"/>
      <c r="P124" s="32" t="str">
        <f>'ALL DATA &amp; IT4PROFIT'!H177</f>
        <v/>
      </c>
      <c r="Q124" s="35" t="str">
        <f>'ALL DATA &amp; IT4PROFIT'!K177</f>
        <v/>
      </c>
      <c r="R124" s="35" t="str">
        <f>'ALL DATA &amp; IT4PROFIT'!D177</f>
        <v/>
      </c>
      <c r="S124" s="9"/>
      <c r="T124" s="9"/>
    </row>
    <row r="125" ht="21.0" customHeight="1">
      <c r="A125" s="13"/>
      <c r="B125" s="24" t="str">
        <f>'ALL DATA &amp; IT4PROFIT'!A178</f>
        <v>SMA</v>
      </c>
      <c r="C125" s="24" t="str">
        <f>'ALL DATA &amp; IT4PROFIT'!B178</f>
        <v>SMA Sunny Boy 1.5</v>
      </c>
      <c r="D125" s="24" t="str">
        <f>'ALL DATA &amp; IT4PROFIT'!C178</f>
        <v>1PH</v>
      </c>
      <c r="E125" s="25">
        <v>1.0</v>
      </c>
      <c r="F125" s="26">
        <f>'ALL DATA &amp; IT4PROFIT'!R178</f>
        <v>519</v>
      </c>
      <c r="G125" s="27">
        <f t="shared" si="8"/>
        <v>609</v>
      </c>
      <c r="H125" s="27">
        <f t="shared" si="2"/>
        <v>624.225</v>
      </c>
      <c r="I125" s="28">
        <f t="shared" si="3"/>
        <v>0.07</v>
      </c>
      <c r="J125" s="29">
        <f t="shared" si="4"/>
        <v>671.2096774</v>
      </c>
      <c r="K125" s="30">
        <f t="shared" si="5"/>
        <v>671.2096774</v>
      </c>
      <c r="L125" s="30">
        <f t="shared" si="6"/>
        <v>624.225</v>
      </c>
      <c r="M125" s="31">
        <v>0.07</v>
      </c>
      <c r="N125" s="32" t="str">
        <f>'ALL DATA &amp; IT4PROFIT'!L178</f>
        <v/>
      </c>
      <c r="O125" s="35"/>
      <c r="P125" s="32" t="str">
        <f>'ALL DATA &amp; IT4PROFIT'!H178</f>
        <v/>
      </c>
      <c r="Q125" s="35" t="str">
        <f>'ALL DATA &amp; IT4PROFIT'!K178</f>
        <v/>
      </c>
      <c r="R125" s="35" t="str">
        <f>'ALL DATA &amp; IT4PROFIT'!D178</f>
        <v/>
      </c>
      <c r="S125" s="9"/>
      <c r="T125" s="9"/>
    </row>
    <row r="126" ht="21.0" customHeight="1">
      <c r="A126" s="13"/>
      <c r="B126" s="24" t="str">
        <f>'ALL DATA &amp; IT4PROFIT'!A179</f>
        <v>SMA</v>
      </c>
      <c r="C126" s="24" t="str">
        <f>'ALL DATA &amp; IT4PROFIT'!B179</f>
        <v>SMA Sunny Boy 2.5</v>
      </c>
      <c r="D126" s="24" t="str">
        <f>'ALL DATA &amp; IT4PROFIT'!C179</f>
        <v>1PH</v>
      </c>
      <c r="E126" s="25">
        <v>1.0</v>
      </c>
      <c r="F126" s="26">
        <f>'ALL DATA &amp; IT4PROFIT'!R179</f>
        <v>756</v>
      </c>
      <c r="G126" s="27">
        <f t="shared" si="8"/>
        <v>846</v>
      </c>
      <c r="H126" s="27">
        <f t="shared" si="2"/>
        <v>867.15</v>
      </c>
      <c r="I126" s="28">
        <f t="shared" si="3"/>
        <v>0.07</v>
      </c>
      <c r="J126" s="29">
        <f t="shared" si="4"/>
        <v>932.4193548</v>
      </c>
      <c r="K126" s="30">
        <f t="shared" si="5"/>
        <v>932.4193548</v>
      </c>
      <c r="L126" s="30">
        <f t="shared" si="6"/>
        <v>867.15</v>
      </c>
      <c r="M126" s="31">
        <v>0.07</v>
      </c>
      <c r="N126" s="32" t="str">
        <f>'ALL DATA &amp; IT4PROFIT'!L179</f>
        <v/>
      </c>
      <c r="O126" s="35"/>
      <c r="P126" s="32" t="str">
        <f>'ALL DATA &amp; IT4PROFIT'!H179</f>
        <v/>
      </c>
      <c r="Q126" s="35" t="str">
        <f>'ALL DATA &amp; IT4PROFIT'!K179</f>
        <v/>
      </c>
      <c r="R126" s="35" t="str">
        <f>'ALL DATA &amp; IT4PROFIT'!D179</f>
        <v/>
      </c>
      <c r="S126" s="9"/>
      <c r="T126" s="9"/>
    </row>
    <row r="127" ht="21.0" customHeight="1">
      <c r="A127" s="13"/>
      <c r="B127" s="24" t="str">
        <f>'ALL DATA &amp; IT4PROFIT'!A180</f>
        <v>SMA</v>
      </c>
      <c r="C127" s="24" t="str">
        <f>'ALL DATA &amp; IT4PROFIT'!B180</f>
        <v>SMA Sunny Boy 3.0</v>
      </c>
      <c r="D127" s="24" t="str">
        <f>'ALL DATA &amp; IT4PROFIT'!C180</f>
        <v>1PH</v>
      </c>
      <c r="E127" s="25">
        <v>1.0</v>
      </c>
      <c r="F127" s="26">
        <f>'ALL DATA &amp; IT4PROFIT'!R180</f>
        <v>845</v>
      </c>
      <c r="G127" s="27">
        <f t="shared" si="8"/>
        <v>935</v>
      </c>
      <c r="H127" s="27">
        <f t="shared" si="2"/>
        <v>958.375</v>
      </c>
      <c r="I127" s="28">
        <f t="shared" si="3"/>
        <v>0.07</v>
      </c>
      <c r="J127" s="29">
        <f t="shared" si="4"/>
        <v>1030.510753</v>
      </c>
      <c r="K127" s="30">
        <f t="shared" si="5"/>
        <v>1030.510753</v>
      </c>
      <c r="L127" s="30">
        <f t="shared" si="6"/>
        <v>958.375</v>
      </c>
      <c r="M127" s="31">
        <v>0.07</v>
      </c>
      <c r="N127" s="32" t="str">
        <f>'ALL DATA &amp; IT4PROFIT'!L180</f>
        <v/>
      </c>
      <c r="O127" s="35"/>
      <c r="P127" s="32" t="str">
        <f>'ALL DATA &amp; IT4PROFIT'!H180</f>
        <v/>
      </c>
      <c r="Q127" s="35" t="str">
        <f>'ALL DATA &amp; IT4PROFIT'!K180</f>
        <v/>
      </c>
      <c r="R127" s="35" t="str">
        <f>'ALL DATA &amp; IT4PROFIT'!D180</f>
        <v/>
      </c>
      <c r="S127" s="9"/>
      <c r="T127" s="9"/>
    </row>
    <row r="128" ht="21.0" customHeight="1">
      <c r="A128" s="13"/>
      <c r="B128" s="24" t="str">
        <f>'ALL DATA &amp; IT4PROFIT'!A181</f>
        <v>SMA</v>
      </c>
      <c r="C128" s="24" t="str">
        <f>'ALL DATA &amp; IT4PROFIT'!B181</f>
        <v>SMA Sunny Boy 3.6</v>
      </c>
      <c r="D128" s="24" t="str">
        <f>'ALL DATA &amp; IT4PROFIT'!C181</f>
        <v>1PH</v>
      </c>
      <c r="E128" s="25">
        <v>1.0</v>
      </c>
      <c r="F128" s="26">
        <f>'ALL DATA &amp; IT4PROFIT'!R181</f>
        <v>900</v>
      </c>
      <c r="G128" s="27">
        <f t="shared" si="8"/>
        <v>990</v>
      </c>
      <c r="H128" s="27">
        <f t="shared" si="2"/>
        <v>1014.75</v>
      </c>
      <c r="I128" s="28">
        <f t="shared" si="3"/>
        <v>0.07</v>
      </c>
      <c r="J128" s="29">
        <f t="shared" si="4"/>
        <v>1091.129032</v>
      </c>
      <c r="K128" s="30">
        <f t="shared" si="5"/>
        <v>1091.129032</v>
      </c>
      <c r="L128" s="30">
        <f t="shared" si="6"/>
        <v>1014.75</v>
      </c>
      <c r="M128" s="31">
        <v>0.07</v>
      </c>
      <c r="N128" s="32" t="str">
        <f>'ALL DATA &amp; IT4PROFIT'!L181</f>
        <v/>
      </c>
      <c r="O128" s="35"/>
      <c r="P128" s="32" t="str">
        <f>'ALL DATA &amp; IT4PROFIT'!H181</f>
        <v/>
      </c>
      <c r="Q128" s="35" t="str">
        <f>'ALL DATA &amp; IT4PROFIT'!K181</f>
        <v/>
      </c>
      <c r="R128" s="35" t="str">
        <f>'ALL DATA &amp; IT4PROFIT'!D181</f>
        <v/>
      </c>
      <c r="S128" s="9"/>
      <c r="T128" s="9"/>
    </row>
    <row r="129" ht="21.0" customHeight="1">
      <c r="A129" s="13"/>
      <c r="B129" s="24" t="str">
        <f>'ALL DATA &amp; IT4PROFIT'!A182</f>
        <v>SMA</v>
      </c>
      <c r="C129" s="24" t="str">
        <f>'ALL DATA &amp; IT4PROFIT'!B182</f>
        <v>SMA Sunny Boy 4.0</v>
      </c>
      <c r="D129" s="24" t="str">
        <f>'ALL DATA &amp; IT4PROFIT'!C182</f>
        <v>1PH</v>
      </c>
      <c r="E129" s="25">
        <v>1.0</v>
      </c>
      <c r="F129" s="26">
        <f>'ALL DATA &amp; IT4PROFIT'!R182</f>
        <v>944</v>
      </c>
      <c r="G129" s="27">
        <f t="shared" si="8"/>
        <v>1034</v>
      </c>
      <c r="H129" s="27">
        <f t="shared" si="2"/>
        <v>1059.85</v>
      </c>
      <c r="I129" s="28">
        <f t="shared" si="3"/>
        <v>0.07</v>
      </c>
      <c r="J129" s="29">
        <f t="shared" si="4"/>
        <v>1139.623656</v>
      </c>
      <c r="K129" s="30">
        <f t="shared" si="5"/>
        <v>1139.623656</v>
      </c>
      <c r="L129" s="30">
        <f t="shared" si="6"/>
        <v>1059.85</v>
      </c>
      <c r="M129" s="31">
        <v>0.07</v>
      </c>
      <c r="N129" s="32" t="str">
        <f>'ALL DATA &amp; IT4PROFIT'!L182</f>
        <v/>
      </c>
      <c r="O129" s="35"/>
      <c r="P129" s="32" t="str">
        <f>'ALL DATA &amp; IT4PROFIT'!H182</f>
        <v/>
      </c>
      <c r="Q129" s="35" t="str">
        <f>'ALL DATA &amp; IT4PROFIT'!K182</f>
        <v/>
      </c>
      <c r="R129" s="35" t="str">
        <f>'ALL DATA &amp; IT4PROFIT'!D182</f>
        <v/>
      </c>
      <c r="S129" s="9"/>
      <c r="T129" s="9"/>
    </row>
    <row r="130" ht="21.0" customHeight="1">
      <c r="A130" s="13"/>
      <c r="B130" s="24" t="str">
        <f>'ALL DATA &amp; IT4PROFIT'!A183</f>
        <v>SMA</v>
      </c>
      <c r="C130" s="24" t="str">
        <f>'ALL DATA &amp; IT4PROFIT'!B183</f>
        <v>SMA Sunny Boy 5.0</v>
      </c>
      <c r="D130" s="24" t="str">
        <f>'ALL DATA &amp; IT4PROFIT'!C183</f>
        <v>1PH</v>
      </c>
      <c r="E130" s="25">
        <v>1.0</v>
      </c>
      <c r="F130" s="26">
        <f>'ALL DATA &amp; IT4PROFIT'!R183</f>
        <v>1013</v>
      </c>
      <c r="G130" s="27">
        <f t="shared" si="8"/>
        <v>1103</v>
      </c>
      <c r="H130" s="27">
        <f t="shared" si="2"/>
        <v>1130.575</v>
      </c>
      <c r="I130" s="28">
        <f t="shared" si="3"/>
        <v>0.07</v>
      </c>
      <c r="J130" s="29">
        <f t="shared" si="4"/>
        <v>1215.672043</v>
      </c>
      <c r="K130" s="30">
        <f t="shared" si="5"/>
        <v>1215.672043</v>
      </c>
      <c r="L130" s="30">
        <f t="shared" si="6"/>
        <v>1130.575</v>
      </c>
      <c r="M130" s="31">
        <v>0.07</v>
      </c>
      <c r="N130" s="32" t="str">
        <f>'ALL DATA &amp; IT4PROFIT'!L183</f>
        <v/>
      </c>
      <c r="O130" s="35"/>
      <c r="P130" s="32" t="str">
        <f>'ALL DATA &amp; IT4PROFIT'!H183</f>
        <v/>
      </c>
      <c r="Q130" s="35" t="str">
        <f>'ALL DATA &amp; IT4PROFIT'!K183</f>
        <v/>
      </c>
      <c r="R130" s="35" t="str">
        <f>'ALL DATA &amp; IT4PROFIT'!D183</f>
        <v/>
      </c>
      <c r="S130" s="9"/>
      <c r="T130" s="9"/>
    </row>
    <row r="131" ht="21.0" customHeight="1">
      <c r="A131" s="13"/>
      <c r="B131" s="24" t="str">
        <f>'ALL DATA &amp; IT4PROFIT'!A184</f>
        <v>SMA</v>
      </c>
      <c r="C131" s="24" t="str">
        <f>'ALL DATA &amp; IT4PROFIT'!B184</f>
        <v>SMA Sunny Tripower 3.0</v>
      </c>
      <c r="D131" s="24" t="str">
        <f>'ALL DATA &amp; IT4PROFIT'!C184</f>
        <v>3PH</v>
      </c>
      <c r="E131" s="25">
        <v>1.0</v>
      </c>
      <c r="F131" s="26">
        <f>'ALL DATA &amp; IT4PROFIT'!R184</f>
        <v>1058</v>
      </c>
      <c r="G131" s="27">
        <f t="shared" si="8"/>
        <v>1148</v>
      </c>
      <c r="H131" s="27">
        <f t="shared" si="2"/>
        <v>1176.7</v>
      </c>
      <c r="I131" s="28">
        <f t="shared" si="3"/>
        <v>0.07</v>
      </c>
      <c r="J131" s="29">
        <f t="shared" si="4"/>
        <v>1265.268817</v>
      </c>
      <c r="K131" s="30">
        <f t="shared" si="5"/>
        <v>1265.268817</v>
      </c>
      <c r="L131" s="30">
        <f t="shared" si="6"/>
        <v>1176.7</v>
      </c>
      <c r="M131" s="31">
        <v>0.07</v>
      </c>
      <c r="N131" s="32" t="str">
        <f>'ALL DATA &amp; IT4PROFIT'!L184</f>
        <v/>
      </c>
      <c r="O131" s="35"/>
      <c r="P131" s="32" t="str">
        <f>'ALL DATA &amp; IT4PROFIT'!H184</f>
        <v/>
      </c>
      <c r="Q131" s="35" t="str">
        <f>'ALL DATA &amp; IT4PROFIT'!K184</f>
        <v/>
      </c>
      <c r="R131" s="35" t="str">
        <f>'ALL DATA &amp; IT4PROFIT'!D184</f>
        <v/>
      </c>
      <c r="S131" s="9"/>
      <c r="T131" s="9"/>
    </row>
    <row r="132" ht="21.0" customHeight="1">
      <c r="A132" s="13"/>
      <c r="B132" s="24" t="str">
        <f>'ALL DATA &amp; IT4PROFIT'!A185</f>
        <v>SMA</v>
      </c>
      <c r="C132" s="24" t="str">
        <f>'ALL DATA &amp; IT4PROFIT'!B185</f>
        <v>SMA Sunny Tripower 4.0</v>
      </c>
      <c r="D132" s="24" t="str">
        <f>'ALL DATA &amp; IT4PROFIT'!C185</f>
        <v>3PH</v>
      </c>
      <c r="E132" s="25">
        <v>1.0</v>
      </c>
      <c r="F132" s="26" t="str">
        <f>'ALL DATA &amp; IT4PROFIT'!R185</f>
        <v/>
      </c>
      <c r="G132" s="27">
        <f t="shared" si="8"/>
        <v>90</v>
      </c>
      <c r="H132" s="27">
        <f t="shared" si="2"/>
        <v>92.25</v>
      </c>
      <c r="I132" s="28">
        <f t="shared" si="3"/>
        <v>0.07</v>
      </c>
      <c r="J132" s="29">
        <f t="shared" si="4"/>
        <v>99.19354839</v>
      </c>
      <c r="K132" s="30">
        <f t="shared" si="5"/>
        <v>99.19354839</v>
      </c>
      <c r="L132" s="30">
        <f t="shared" si="6"/>
        <v>92.25</v>
      </c>
      <c r="M132" s="31">
        <v>0.07</v>
      </c>
      <c r="N132" s="32" t="str">
        <f>'ALL DATA &amp; IT4PROFIT'!L185</f>
        <v/>
      </c>
      <c r="O132" s="35"/>
      <c r="P132" s="32" t="str">
        <f>'ALL DATA &amp; IT4PROFIT'!H185</f>
        <v/>
      </c>
      <c r="Q132" s="35" t="str">
        <f>'ALL DATA &amp; IT4PROFIT'!K185</f>
        <v/>
      </c>
      <c r="R132" s="35" t="str">
        <f>'ALL DATA &amp; IT4PROFIT'!D185</f>
        <v/>
      </c>
      <c r="S132" s="9"/>
      <c r="T132" s="9"/>
    </row>
    <row r="133" ht="21.0" customHeight="1">
      <c r="A133" s="13"/>
      <c r="B133" s="24" t="str">
        <f>'ALL DATA &amp; IT4PROFIT'!A186</f>
        <v>SMA</v>
      </c>
      <c r="C133" s="24" t="str">
        <f>'ALL DATA &amp; IT4PROFIT'!B186</f>
        <v>SMA Sunny Tripower 5.0</v>
      </c>
      <c r="D133" s="24" t="str">
        <f>'ALL DATA &amp; IT4PROFIT'!C186</f>
        <v>3PH</v>
      </c>
      <c r="E133" s="25">
        <v>1.0</v>
      </c>
      <c r="F133" s="26">
        <f>'ALL DATA &amp; IT4PROFIT'!R186</f>
        <v>1215</v>
      </c>
      <c r="G133" s="27">
        <f t="shared" si="8"/>
        <v>1305</v>
      </c>
      <c r="H133" s="27">
        <f t="shared" si="2"/>
        <v>1337.625</v>
      </c>
      <c r="I133" s="28">
        <f t="shared" si="3"/>
        <v>0.07</v>
      </c>
      <c r="J133" s="29">
        <f t="shared" si="4"/>
        <v>1438.306452</v>
      </c>
      <c r="K133" s="30">
        <f t="shared" si="5"/>
        <v>1438.306452</v>
      </c>
      <c r="L133" s="30">
        <f t="shared" si="6"/>
        <v>1337.625</v>
      </c>
      <c r="M133" s="31">
        <v>0.07</v>
      </c>
      <c r="N133" s="32" t="str">
        <f>'ALL DATA &amp; IT4PROFIT'!L186</f>
        <v/>
      </c>
      <c r="O133" s="35"/>
      <c r="P133" s="32" t="str">
        <f>'ALL DATA &amp; IT4PROFIT'!H186</f>
        <v/>
      </c>
      <c r="Q133" s="35" t="str">
        <f>'ALL DATA &amp; IT4PROFIT'!K186</f>
        <v/>
      </c>
      <c r="R133" s="35" t="str">
        <f>'ALL DATA &amp; IT4PROFIT'!D186</f>
        <v/>
      </c>
      <c r="S133" s="9"/>
      <c r="T133" s="9"/>
    </row>
    <row r="134" ht="21.0" customHeight="1">
      <c r="A134" s="13"/>
      <c r="B134" s="24" t="str">
        <f>'ALL DATA &amp; IT4PROFIT'!A187</f>
        <v>SMA</v>
      </c>
      <c r="C134" s="24" t="str">
        <f>'ALL DATA &amp; IT4PROFIT'!B187</f>
        <v>SMA Sunny Tripower 6.0</v>
      </c>
      <c r="D134" s="24" t="str">
        <f>'ALL DATA &amp; IT4PROFIT'!C187</f>
        <v>3PH</v>
      </c>
      <c r="E134" s="25">
        <v>1.0</v>
      </c>
      <c r="F134" s="26">
        <f>'ALL DATA &amp; IT4PROFIT'!R187</f>
        <v>1359</v>
      </c>
      <c r="G134" s="27">
        <f t="shared" si="8"/>
        <v>1449</v>
      </c>
      <c r="H134" s="27">
        <f t="shared" si="2"/>
        <v>1485.225</v>
      </c>
      <c r="I134" s="28">
        <f t="shared" si="3"/>
        <v>0.07</v>
      </c>
      <c r="J134" s="29">
        <f t="shared" si="4"/>
        <v>1597.016129</v>
      </c>
      <c r="K134" s="30">
        <f t="shared" si="5"/>
        <v>1597.016129</v>
      </c>
      <c r="L134" s="30">
        <f t="shared" si="6"/>
        <v>1485.225</v>
      </c>
      <c r="M134" s="31">
        <v>0.07</v>
      </c>
      <c r="N134" s="32" t="str">
        <f>'ALL DATA &amp; IT4PROFIT'!L187</f>
        <v/>
      </c>
      <c r="O134" s="35"/>
      <c r="P134" s="32" t="str">
        <f>'ALL DATA &amp; IT4PROFIT'!H187</f>
        <v/>
      </c>
      <c r="Q134" s="35" t="str">
        <f>'ALL DATA &amp; IT4PROFIT'!K187</f>
        <v/>
      </c>
      <c r="R134" s="35" t="str">
        <f>'ALL DATA &amp; IT4PROFIT'!D187</f>
        <v/>
      </c>
      <c r="S134" s="9"/>
      <c r="T134" s="9"/>
    </row>
    <row r="135" ht="21.0" customHeight="1">
      <c r="A135" s="13"/>
      <c r="B135" s="24" t="str">
        <f>'ALL DATA &amp; IT4PROFIT'!A188</f>
        <v>SMA</v>
      </c>
      <c r="C135" s="24" t="str">
        <f>'ALL DATA &amp; IT4PROFIT'!B188</f>
        <v>SMA Sunny Tripower 8.0</v>
      </c>
      <c r="D135" s="24" t="str">
        <f>'ALL DATA &amp; IT4PROFIT'!C188</f>
        <v>3PH</v>
      </c>
      <c r="E135" s="25">
        <v>1.0</v>
      </c>
      <c r="F135" s="26">
        <f>'ALL DATA &amp; IT4PROFIT'!R188</f>
        <v>1630</v>
      </c>
      <c r="G135" s="27">
        <f t="shared" si="8"/>
        <v>1720</v>
      </c>
      <c r="H135" s="27">
        <f t="shared" si="2"/>
        <v>1763</v>
      </c>
      <c r="I135" s="28">
        <f t="shared" si="3"/>
        <v>0.07</v>
      </c>
      <c r="J135" s="29">
        <f t="shared" si="4"/>
        <v>1895.698925</v>
      </c>
      <c r="K135" s="30">
        <f t="shared" si="5"/>
        <v>1895.698925</v>
      </c>
      <c r="L135" s="30">
        <f t="shared" si="6"/>
        <v>1763</v>
      </c>
      <c r="M135" s="31">
        <v>0.07</v>
      </c>
      <c r="N135" s="32" t="str">
        <f>'ALL DATA &amp; IT4PROFIT'!L188</f>
        <v/>
      </c>
      <c r="O135" s="35"/>
      <c r="P135" s="32" t="str">
        <f>'ALL DATA &amp; IT4PROFIT'!H188</f>
        <v/>
      </c>
      <c r="Q135" s="35" t="str">
        <f>'ALL DATA &amp; IT4PROFIT'!K188</f>
        <v/>
      </c>
      <c r="R135" s="35" t="str">
        <f>'ALL DATA &amp; IT4PROFIT'!D188</f>
        <v/>
      </c>
      <c r="S135" s="9"/>
      <c r="T135" s="9"/>
    </row>
    <row r="136" ht="21.0" customHeight="1">
      <c r="A136" s="13"/>
      <c r="B136" s="24" t="str">
        <f>'ALL DATA &amp; IT4PROFIT'!A189</f>
        <v>SMA</v>
      </c>
      <c r="C136" s="24" t="str">
        <f>'ALL DATA &amp; IT4PROFIT'!B189</f>
        <v>SMA Sunny Tripower 10.0</v>
      </c>
      <c r="D136" s="24" t="str">
        <f>'ALL DATA &amp; IT4PROFIT'!C189</f>
        <v>3PH</v>
      </c>
      <c r="E136" s="25">
        <v>1.0</v>
      </c>
      <c r="F136" s="26">
        <f>'ALL DATA &amp; IT4PROFIT'!R189</f>
        <v>1832</v>
      </c>
      <c r="G136" s="27">
        <f t="shared" si="8"/>
        <v>1922</v>
      </c>
      <c r="H136" s="27">
        <f t="shared" si="2"/>
        <v>1970.05</v>
      </c>
      <c r="I136" s="28">
        <f t="shared" si="3"/>
        <v>0.07</v>
      </c>
      <c r="J136" s="29">
        <f t="shared" si="4"/>
        <v>2118.333333</v>
      </c>
      <c r="K136" s="30">
        <f t="shared" si="5"/>
        <v>2118.333333</v>
      </c>
      <c r="L136" s="30">
        <f t="shared" si="6"/>
        <v>1970.05</v>
      </c>
      <c r="M136" s="31">
        <v>0.07</v>
      </c>
      <c r="N136" s="32" t="str">
        <f>'ALL DATA &amp; IT4PROFIT'!L189</f>
        <v/>
      </c>
      <c r="O136" s="35"/>
      <c r="P136" s="32" t="str">
        <f>'ALL DATA &amp; IT4PROFIT'!H189</f>
        <v/>
      </c>
      <c r="Q136" s="35" t="str">
        <f>'ALL DATA &amp; IT4PROFIT'!K189</f>
        <v/>
      </c>
      <c r="R136" s="35" t="str">
        <f>'ALL DATA &amp; IT4PROFIT'!D189</f>
        <v/>
      </c>
      <c r="S136" s="9"/>
      <c r="T136" s="9"/>
    </row>
    <row r="137" ht="21.0" customHeight="1">
      <c r="A137" s="13"/>
      <c r="B137" s="24" t="str">
        <f>'ALL DATA &amp; IT4PROFIT'!A190</f>
        <v>SMA</v>
      </c>
      <c r="C137" s="24" t="str">
        <f>'ALL DATA &amp; IT4PROFIT'!B190</f>
        <v>SMA Sunny Tripower X 12</v>
      </c>
      <c r="D137" s="24" t="str">
        <f>'ALL DATA &amp; IT4PROFIT'!C190</f>
        <v>3PH</v>
      </c>
      <c r="E137" s="25">
        <v>1.0</v>
      </c>
      <c r="F137" s="26">
        <f>'ALL DATA &amp; IT4PROFIT'!R190</f>
        <v>1954</v>
      </c>
      <c r="G137" s="27">
        <f t="shared" si="8"/>
        <v>2044</v>
      </c>
      <c r="H137" s="27">
        <f t="shared" si="2"/>
        <v>2095.1</v>
      </c>
      <c r="I137" s="28">
        <f t="shared" si="3"/>
        <v>0.07</v>
      </c>
      <c r="J137" s="29">
        <f t="shared" si="4"/>
        <v>2252.795699</v>
      </c>
      <c r="K137" s="30">
        <f t="shared" si="5"/>
        <v>2252.795699</v>
      </c>
      <c r="L137" s="30">
        <f t="shared" si="6"/>
        <v>2095.1</v>
      </c>
      <c r="M137" s="31">
        <v>0.07</v>
      </c>
      <c r="N137" s="32" t="str">
        <f>'ALL DATA &amp; IT4PROFIT'!L190</f>
        <v/>
      </c>
      <c r="O137" s="35"/>
      <c r="P137" s="32" t="str">
        <f>'ALL DATA &amp; IT4PROFIT'!H190</f>
        <v/>
      </c>
      <c r="Q137" s="35" t="str">
        <f>'ALL DATA &amp; IT4PROFIT'!K190</f>
        <v/>
      </c>
      <c r="R137" s="35" t="str">
        <f>'ALL DATA &amp; IT4PROFIT'!D190</f>
        <v/>
      </c>
      <c r="S137" s="9"/>
      <c r="T137" s="9"/>
    </row>
    <row r="138" ht="21.0" customHeight="1">
      <c r="A138" s="13"/>
      <c r="B138" s="24" t="str">
        <f>'ALL DATA &amp; IT4PROFIT'!A191</f>
        <v>SMA</v>
      </c>
      <c r="C138" s="24" t="str">
        <f>'ALL DATA &amp; IT4PROFIT'!B191</f>
        <v>SMA Sunny Tripower X 15</v>
      </c>
      <c r="D138" s="24" t="str">
        <f>'ALL DATA &amp; IT4PROFIT'!C191</f>
        <v>3PH</v>
      </c>
      <c r="E138" s="25">
        <v>1.0</v>
      </c>
      <c r="F138" s="26">
        <f>'ALL DATA &amp; IT4PROFIT'!R191</f>
        <v>2088</v>
      </c>
      <c r="G138" s="27">
        <f t="shared" si="8"/>
        <v>2178</v>
      </c>
      <c r="H138" s="27">
        <f t="shared" si="2"/>
        <v>2232.45</v>
      </c>
      <c r="I138" s="28">
        <f t="shared" si="3"/>
        <v>0.07</v>
      </c>
      <c r="J138" s="29">
        <f t="shared" si="4"/>
        <v>2400.483871</v>
      </c>
      <c r="K138" s="30">
        <f t="shared" si="5"/>
        <v>2400.483871</v>
      </c>
      <c r="L138" s="30">
        <f t="shared" si="6"/>
        <v>2232.45</v>
      </c>
      <c r="M138" s="31">
        <v>0.07</v>
      </c>
      <c r="N138" s="32" t="str">
        <f>'ALL DATA &amp; IT4PROFIT'!L191</f>
        <v/>
      </c>
      <c r="O138" s="35"/>
      <c r="P138" s="32" t="str">
        <f>'ALL DATA &amp; IT4PROFIT'!H191</f>
        <v/>
      </c>
      <c r="Q138" s="35" t="str">
        <f>'ALL DATA &amp; IT4PROFIT'!K191</f>
        <v/>
      </c>
      <c r="R138" s="35" t="str">
        <f>'ALL DATA &amp; IT4PROFIT'!D191</f>
        <v/>
      </c>
      <c r="S138" s="9"/>
      <c r="T138" s="9"/>
    </row>
    <row r="139" ht="21.0" customHeight="1">
      <c r="A139" s="13"/>
      <c r="B139" s="24" t="str">
        <f>'ALL DATA &amp; IT4PROFIT'!A192</f>
        <v>SMA</v>
      </c>
      <c r="C139" s="24" t="str">
        <f>'ALL DATA &amp; IT4PROFIT'!B192</f>
        <v>SMA Sunny Tripower X 20</v>
      </c>
      <c r="D139" s="24" t="str">
        <f>'ALL DATA &amp; IT4PROFIT'!C192</f>
        <v>3PH</v>
      </c>
      <c r="E139" s="25">
        <v>1.0</v>
      </c>
      <c r="F139" s="26">
        <f>'ALL DATA &amp; IT4PROFIT'!R192</f>
        <v>2230</v>
      </c>
      <c r="G139" s="27">
        <f t="shared" si="8"/>
        <v>2320</v>
      </c>
      <c r="H139" s="27">
        <f t="shared" si="2"/>
        <v>2378</v>
      </c>
      <c r="I139" s="28">
        <f t="shared" si="3"/>
        <v>0.07</v>
      </c>
      <c r="J139" s="29">
        <f t="shared" si="4"/>
        <v>2556.989247</v>
      </c>
      <c r="K139" s="30">
        <f t="shared" si="5"/>
        <v>2556.989247</v>
      </c>
      <c r="L139" s="30">
        <f t="shared" si="6"/>
        <v>2378</v>
      </c>
      <c r="M139" s="31">
        <v>0.07</v>
      </c>
      <c r="N139" s="32" t="str">
        <f>'ALL DATA &amp; IT4PROFIT'!L192</f>
        <v/>
      </c>
      <c r="O139" s="35"/>
      <c r="P139" s="32" t="str">
        <f>'ALL DATA &amp; IT4PROFIT'!H192</f>
        <v/>
      </c>
      <c r="Q139" s="35" t="str">
        <f>'ALL DATA &amp; IT4PROFIT'!K192</f>
        <v/>
      </c>
      <c r="R139" s="35" t="str">
        <f>'ALL DATA &amp; IT4PROFIT'!D192</f>
        <v/>
      </c>
      <c r="S139" s="9"/>
      <c r="T139" s="9"/>
    </row>
    <row r="140" ht="21.0" customHeight="1">
      <c r="A140" s="13"/>
      <c r="B140" s="24" t="str">
        <f>'ALL DATA &amp; IT4PROFIT'!A193</f>
        <v>SMA</v>
      </c>
      <c r="C140" s="24" t="str">
        <f>'ALL DATA &amp; IT4PROFIT'!B193</f>
        <v>SMA Sunny Tripower X 25</v>
      </c>
      <c r="D140" s="24" t="str">
        <f>'ALL DATA &amp; IT4PROFIT'!C193</f>
        <v>3PH</v>
      </c>
      <c r="E140" s="25">
        <v>1.0</v>
      </c>
      <c r="F140" s="26">
        <f>'ALL DATA &amp; IT4PROFIT'!R193</f>
        <v>2334</v>
      </c>
      <c r="G140" s="27">
        <f t="shared" si="8"/>
        <v>2424</v>
      </c>
      <c r="H140" s="27">
        <f t="shared" si="2"/>
        <v>2484.6</v>
      </c>
      <c r="I140" s="28">
        <f t="shared" si="3"/>
        <v>0.07</v>
      </c>
      <c r="J140" s="29">
        <f t="shared" si="4"/>
        <v>2671.612903</v>
      </c>
      <c r="K140" s="30">
        <f t="shared" si="5"/>
        <v>2671.612903</v>
      </c>
      <c r="L140" s="30">
        <f t="shared" si="6"/>
        <v>2484.6</v>
      </c>
      <c r="M140" s="31">
        <v>0.07</v>
      </c>
      <c r="N140" s="32" t="str">
        <f>'ALL DATA &amp; IT4PROFIT'!L193</f>
        <v/>
      </c>
      <c r="O140" s="35"/>
      <c r="P140" s="32" t="str">
        <f>'ALL DATA &amp; IT4PROFIT'!H193</f>
        <v/>
      </c>
      <c r="Q140" s="35" t="str">
        <f>'ALL DATA &amp; IT4PROFIT'!K193</f>
        <v/>
      </c>
      <c r="R140" s="35" t="str">
        <f>'ALL DATA &amp; IT4PROFIT'!D193</f>
        <v/>
      </c>
      <c r="S140" s="9"/>
      <c r="T140" s="9"/>
    </row>
    <row r="141" ht="21.0" customHeight="1">
      <c r="A141" s="13"/>
      <c r="B141" s="24" t="str">
        <f>'ALL DATA &amp; IT4PROFIT'!A194</f>
        <v>SMA</v>
      </c>
      <c r="C141" s="24" t="str">
        <f>'ALL DATA &amp; IT4PROFIT'!B194</f>
        <v>SMA Sunny Tripower 50-41 CORE 1</v>
      </c>
      <c r="D141" s="24" t="str">
        <f>'ALL DATA &amp; IT4PROFIT'!C194</f>
        <v>3PH</v>
      </c>
      <c r="E141" s="25">
        <v>1.0</v>
      </c>
      <c r="F141" s="26" t="str">
        <f>'ALL DATA &amp; IT4PROFIT'!R194</f>
        <v/>
      </c>
      <c r="G141" s="27">
        <f t="shared" si="8"/>
        <v>90</v>
      </c>
      <c r="H141" s="27">
        <f t="shared" si="2"/>
        <v>92.25</v>
      </c>
      <c r="I141" s="28">
        <f t="shared" si="3"/>
        <v>0.07</v>
      </c>
      <c r="J141" s="29">
        <f t="shared" si="4"/>
        <v>99.19354839</v>
      </c>
      <c r="K141" s="30">
        <f t="shared" si="5"/>
        <v>99.19354839</v>
      </c>
      <c r="L141" s="30">
        <f t="shared" si="6"/>
        <v>92.25</v>
      </c>
      <c r="M141" s="31">
        <v>0.07</v>
      </c>
      <c r="N141" s="32" t="str">
        <f>'ALL DATA &amp; IT4PROFIT'!L194</f>
        <v/>
      </c>
      <c r="O141" s="35"/>
      <c r="P141" s="32" t="str">
        <f>'ALL DATA &amp; IT4PROFIT'!H194</f>
        <v/>
      </c>
      <c r="Q141" s="35" t="str">
        <f>'ALL DATA &amp; IT4PROFIT'!K194</f>
        <v/>
      </c>
      <c r="R141" s="35" t="str">
        <f>'ALL DATA &amp; IT4PROFIT'!D194</f>
        <v/>
      </c>
      <c r="S141" s="9"/>
      <c r="T141" s="9"/>
    </row>
    <row r="142" ht="21.0" customHeight="1">
      <c r="A142" s="13"/>
      <c r="B142" s="24" t="str">
        <f>'ALL DATA &amp; IT4PROFIT'!A195</f>
        <v>SMA</v>
      </c>
      <c r="C142" s="24" t="str">
        <f>'ALL DATA &amp; IT4PROFIT'!B195</f>
        <v>SMA Sunny Tripower CORE 2 (AFCI)</v>
      </c>
      <c r="D142" s="24" t="str">
        <f>'ALL DATA &amp; IT4PROFIT'!C195</f>
        <v>3PH</v>
      </c>
      <c r="E142" s="25">
        <v>1.0</v>
      </c>
      <c r="F142" s="26" t="str">
        <f>'ALL DATA &amp; IT4PROFIT'!R195</f>
        <v/>
      </c>
      <c r="G142" s="27">
        <f t="shared" si="8"/>
        <v>90</v>
      </c>
      <c r="H142" s="27">
        <f t="shared" si="2"/>
        <v>92.25</v>
      </c>
      <c r="I142" s="28">
        <f t="shared" si="3"/>
        <v>0.07</v>
      </c>
      <c r="J142" s="29">
        <f t="shared" si="4"/>
        <v>99.19354839</v>
      </c>
      <c r="K142" s="30">
        <f t="shared" si="5"/>
        <v>99.19354839</v>
      </c>
      <c r="L142" s="30">
        <f t="shared" si="6"/>
        <v>92.25</v>
      </c>
      <c r="M142" s="31">
        <v>0.07</v>
      </c>
      <c r="N142" s="32" t="str">
        <f>'ALL DATA &amp; IT4PROFIT'!L195</f>
        <v/>
      </c>
      <c r="O142" s="35"/>
      <c r="P142" s="32" t="str">
        <f>'ALL DATA &amp; IT4PROFIT'!H195</f>
        <v/>
      </c>
      <c r="Q142" s="35" t="str">
        <f>'ALL DATA &amp; IT4PROFIT'!K195</f>
        <v/>
      </c>
      <c r="R142" s="35" t="str">
        <f>'ALL DATA &amp; IT4PROFIT'!D195</f>
        <v/>
      </c>
      <c r="S142" s="9"/>
      <c r="T142" s="9"/>
    </row>
    <row r="143" ht="21.0" customHeight="1">
      <c r="A143" s="13"/>
      <c r="B143" s="24" t="str">
        <f>'ALL DATA &amp; IT4PROFIT'!A196</f>
        <v>SMA</v>
      </c>
      <c r="C143" s="24" t="str">
        <f>'ALL DATA &amp; IT4PROFIT'!B196</f>
        <v>SMA Sunny Island 4.4M-13</v>
      </c>
      <c r="D143" s="24" t="str">
        <f>'ALL DATA &amp; IT4PROFIT'!C196</f>
        <v>3PH HYBRID</v>
      </c>
      <c r="E143" s="25">
        <v>1.0</v>
      </c>
      <c r="F143" s="26">
        <f>'ALL DATA &amp; IT4PROFIT'!R196</f>
        <v>2046</v>
      </c>
      <c r="G143" s="27">
        <f t="shared" si="8"/>
        <v>2136</v>
      </c>
      <c r="H143" s="27">
        <f t="shared" si="2"/>
        <v>2189.4</v>
      </c>
      <c r="I143" s="28">
        <f t="shared" si="3"/>
        <v>0.07</v>
      </c>
      <c r="J143" s="29">
        <f t="shared" si="4"/>
        <v>2354.193548</v>
      </c>
      <c r="K143" s="30">
        <f t="shared" si="5"/>
        <v>2354.193548</v>
      </c>
      <c r="L143" s="30">
        <f t="shared" si="6"/>
        <v>2189.4</v>
      </c>
      <c r="M143" s="31">
        <v>0.07</v>
      </c>
      <c r="N143" s="32" t="str">
        <f>'ALL DATA &amp; IT4PROFIT'!L196</f>
        <v/>
      </c>
      <c r="O143" s="35"/>
      <c r="P143" s="32" t="str">
        <f>'ALL DATA &amp; IT4PROFIT'!H196</f>
        <v/>
      </c>
      <c r="Q143" s="35" t="str">
        <f>'ALL DATA &amp; IT4PROFIT'!K196</f>
        <v/>
      </c>
      <c r="R143" s="35" t="str">
        <f>'ALL DATA &amp; IT4PROFIT'!D196</f>
        <v/>
      </c>
      <c r="S143" s="9"/>
      <c r="T143" s="9"/>
    </row>
    <row r="144" ht="21.0" customHeight="1">
      <c r="A144" s="13"/>
      <c r="B144" s="24" t="str">
        <f>'ALL DATA &amp; IT4PROFIT'!A197</f>
        <v>SMA</v>
      </c>
      <c r="C144" s="24" t="str">
        <f>'ALL DATA &amp; IT4PROFIT'!B197</f>
        <v>SMA Sunny Island 6.0H-13</v>
      </c>
      <c r="D144" s="24" t="str">
        <f>'ALL DATA &amp; IT4PROFIT'!C197</f>
        <v>3PH HYBRID</v>
      </c>
      <c r="E144" s="25">
        <v>1.0</v>
      </c>
      <c r="F144" s="26">
        <f>'ALL DATA &amp; IT4PROFIT'!R197</f>
        <v>2467</v>
      </c>
      <c r="G144" s="27">
        <f t="shared" si="8"/>
        <v>2557</v>
      </c>
      <c r="H144" s="27">
        <f t="shared" si="2"/>
        <v>2620.925</v>
      </c>
      <c r="I144" s="28">
        <f t="shared" si="3"/>
        <v>0.07</v>
      </c>
      <c r="J144" s="29">
        <f t="shared" si="4"/>
        <v>2818.198925</v>
      </c>
      <c r="K144" s="30">
        <f t="shared" si="5"/>
        <v>2818.198925</v>
      </c>
      <c r="L144" s="30">
        <f t="shared" si="6"/>
        <v>2620.925</v>
      </c>
      <c r="M144" s="31">
        <v>0.07</v>
      </c>
      <c r="N144" s="32" t="str">
        <f>'ALL DATA &amp; IT4PROFIT'!L197</f>
        <v/>
      </c>
      <c r="O144" s="35"/>
      <c r="P144" s="32" t="str">
        <f>'ALL DATA &amp; IT4PROFIT'!H197</f>
        <v/>
      </c>
      <c r="Q144" s="35" t="str">
        <f>'ALL DATA &amp; IT4PROFIT'!K197</f>
        <v/>
      </c>
      <c r="R144" s="35" t="str">
        <f>'ALL DATA &amp; IT4PROFIT'!D197</f>
        <v/>
      </c>
      <c r="S144" s="9"/>
      <c r="T144" s="9"/>
    </row>
    <row r="145" ht="21.0" customHeight="1">
      <c r="A145" s="13"/>
      <c r="B145" s="24" t="str">
        <f>'ALL DATA &amp; IT4PROFIT'!A198</f>
        <v>SMA</v>
      </c>
      <c r="C145" s="24" t="str">
        <f>'ALL DATA &amp; IT4PROFIT'!B198</f>
        <v>SMA Sunny Island 8.0H-13</v>
      </c>
      <c r="D145" s="24" t="str">
        <f>'ALL DATA &amp; IT4PROFIT'!C198</f>
        <v>3PH HYBRID</v>
      </c>
      <c r="E145" s="25">
        <v>1.0</v>
      </c>
      <c r="F145" s="26">
        <f>'ALL DATA &amp; IT4PROFIT'!R198</f>
        <v>2706</v>
      </c>
      <c r="G145" s="27">
        <f t="shared" si="8"/>
        <v>2796</v>
      </c>
      <c r="H145" s="27">
        <f t="shared" si="2"/>
        <v>2865.9</v>
      </c>
      <c r="I145" s="28">
        <f t="shared" si="3"/>
        <v>0.07</v>
      </c>
      <c r="J145" s="29">
        <f t="shared" si="4"/>
        <v>3081.612903</v>
      </c>
      <c r="K145" s="30">
        <f t="shared" si="5"/>
        <v>3081.612903</v>
      </c>
      <c r="L145" s="30">
        <f t="shared" si="6"/>
        <v>2865.9</v>
      </c>
      <c r="M145" s="31">
        <v>0.07</v>
      </c>
      <c r="N145" s="32" t="str">
        <f>'ALL DATA &amp; IT4PROFIT'!L198</f>
        <v/>
      </c>
      <c r="O145" s="35"/>
      <c r="P145" s="32" t="str">
        <f>'ALL DATA &amp; IT4PROFIT'!H198</f>
        <v/>
      </c>
      <c r="Q145" s="35" t="str">
        <f>'ALL DATA &amp; IT4PROFIT'!K198</f>
        <v/>
      </c>
      <c r="R145" s="35" t="str">
        <f>'ALL DATA &amp; IT4PROFIT'!D198</f>
        <v/>
      </c>
      <c r="S145" s="9"/>
      <c r="T145" s="9"/>
    </row>
    <row r="146" ht="21.0" customHeight="1">
      <c r="A146" s="13"/>
      <c r="B146" s="24" t="str">
        <f>'ALL DATA &amp; IT4PROFIT'!A199</f>
        <v>SMA</v>
      </c>
      <c r="C146" s="24" t="str">
        <f>'ALL DATA &amp; IT4PROFIT'!B199</f>
        <v>SMA SI 4.4M-13 3-Phasen Paket</v>
      </c>
      <c r="D146" s="24" t="str">
        <f>'ALL DATA &amp; IT4PROFIT'!C199</f>
        <v>3PH SI</v>
      </c>
      <c r="E146" s="25">
        <v>1.0</v>
      </c>
      <c r="F146" s="26" t="str">
        <f>'ALL DATA &amp; IT4PROFIT'!R199</f>
        <v/>
      </c>
      <c r="G146" s="27">
        <f t="shared" si="8"/>
        <v>90</v>
      </c>
      <c r="H146" s="27">
        <f t="shared" si="2"/>
        <v>92.25</v>
      </c>
      <c r="I146" s="28">
        <f t="shared" si="3"/>
        <v>0.07</v>
      </c>
      <c r="J146" s="29">
        <f t="shared" si="4"/>
        <v>99.19354839</v>
      </c>
      <c r="K146" s="30">
        <f t="shared" si="5"/>
        <v>99.19354839</v>
      </c>
      <c r="L146" s="30">
        <f t="shared" si="6"/>
        <v>92.25</v>
      </c>
      <c r="M146" s="31">
        <v>0.07</v>
      </c>
      <c r="N146" s="32" t="str">
        <f>'ALL DATA &amp; IT4PROFIT'!L199</f>
        <v/>
      </c>
      <c r="O146" s="35"/>
      <c r="P146" s="32" t="str">
        <f>'ALL DATA &amp; IT4PROFIT'!H199</f>
        <v/>
      </c>
      <c r="Q146" s="35" t="str">
        <f>'ALL DATA &amp; IT4PROFIT'!K199</f>
        <v/>
      </c>
      <c r="R146" s="35" t="str">
        <f>'ALL DATA &amp; IT4PROFIT'!D199</f>
        <v/>
      </c>
      <c r="S146" s="9"/>
      <c r="T146" s="9"/>
    </row>
    <row r="147" ht="21.0" customHeight="1">
      <c r="A147" s="13"/>
      <c r="B147" s="24" t="str">
        <f>'ALL DATA &amp; IT4PROFIT'!A200</f>
        <v>SMA</v>
      </c>
      <c r="C147" s="24" t="str">
        <f>'ALL DATA &amp; IT4PROFIT'!B200</f>
        <v>SMA SI 6.0H-13 3-Phasen Paket</v>
      </c>
      <c r="D147" s="24" t="str">
        <f>'ALL DATA &amp; IT4PROFIT'!C200</f>
        <v>3PH SI</v>
      </c>
      <c r="E147" s="25">
        <v>1.0</v>
      </c>
      <c r="F147" s="26" t="str">
        <f>'ALL DATA &amp; IT4PROFIT'!R200</f>
        <v/>
      </c>
      <c r="G147" s="27">
        <f t="shared" si="8"/>
        <v>90</v>
      </c>
      <c r="H147" s="27">
        <f t="shared" si="2"/>
        <v>92.25</v>
      </c>
      <c r="I147" s="28">
        <f t="shared" si="3"/>
        <v>0.07</v>
      </c>
      <c r="J147" s="29">
        <f t="shared" si="4"/>
        <v>99.19354839</v>
      </c>
      <c r="K147" s="30">
        <f t="shared" si="5"/>
        <v>99.19354839</v>
      </c>
      <c r="L147" s="30">
        <f t="shared" si="6"/>
        <v>92.25</v>
      </c>
      <c r="M147" s="31">
        <v>0.07</v>
      </c>
      <c r="N147" s="32" t="str">
        <f>'ALL DATA &amp; IT4PROFIT'!L200</f>
        <v/>
      </c>
      <c r="O147" s="35"/>
      <c r="P147" s="32" t="str">
        <f>'ALL DATA &amp; IT4PROFIT'!H200</f>
        <v/>
      </c>
      <c r="Q147" s="35" t="str">
        <f>'ALL DATA &amp; IT4PROFIT'!K200</f>
        <v/>
      </c>
      <c r="R147" s="35" t="str">
        <f>'ALL DATA &amp; IT4PROFIT'!D200</f>
        <v/>
      </c>
      <c r="S147" s="9"/>
      <c r="T147" s="9"/>
    </row>
    <row r="148" ht="21.0" customHeight="1">
      <c r="A148" s="13"/>
      <c r="B148" s="24" t="str">
        <f>'ALL DATA &amp; IT4PROFIT'!A201</f>
        <v>SMA</v>
      </c>
      <c r="C148" s="24" t="str">
        <f>'ALL DATA &amp; IT4PROFIT'!B201</f>
        <v>SMA SI 8.0H-13 3-Phasen Paket</v>
      </c>
      <c r="D148" s="24" t="str">
        <f>'ALL DATA &amp; IT4PROFIT'!C201</f>
        <v>3PH SI</v>
      </c>
      <c r="E148" s="25">
        <v>1.0</v>
      </c>
      <c r="F148" s="26" t="str">
        <f>'ALL DATA &amp; IT4PROFIT'!R201</f>
        <v/>
      </c>
      <c r="G148" s="27">
        <f t="shared" si="8"/>
        <v>90</v>
      </c>
      <c r="H148" s="27">
        <f t="shared" si="2"/>
        <v>92.25</v>
      </c>
      <c r="I148" s="28">
        <f t="shared" si="3"/>
        <v>0.07</v>
      </c>
      <c r="J148" s="29">
        <f t="shared" si="4"/>
        <v>99.19354839</v>
      </c>
      <c r="K148" s="30">
        <f t="shared" si="5"/>
        <v>99.19354839</v>
      </c>
      <c r="L148" s="30">
        <f t="shared" si="6"/>
        <v>92.25</v>
      </c>
      <c r="M148" s="31">
        <v>0.07</v>
      </c>
      <c r="N148" s="32" t="str">
        <f>'ALL DATA &amp; IT4PROFIT'!L201</f>
        <v/>
      </c>
      <c r="O148" s="35"/>
      <c r="P148" s="32" t="str">
        <f>'ALL DATA &amp; IT4PROFIT'!H201</f>
        <v/>
      </c>
      <c r="Q148" s="35" t="str">
        <f>'ALL DATA &amp; IT4PROFIT'!K201</f>
        <v/>
      </c>
      <c r="R148" s="35" t="str">
        <f>'ALL DATA &amp; IT4PROFIT'!D201</f>
        <v/>
      </c>
      <c r="S148" s="9"/>
      <c r="T148" s="9"/>
    </row>
    <row r="149" ht="21.0" customHeight="1">
      <c r="A149" s="13"/>
      <c r="B149" s="24" t="str">
        <f>'ALL DATA &amp; IT4PROFIT'!A202</f>
        <v>SMA</v>
      </c>
      <c r="C149" s="24" t="str">
        <f>'ALL DATA &amp; IT4PROFIT'!B202</f>
        <v>SMA Sunny Boy Storage 2.5</v>
      </c>
      <c r="D149" s="24" t="str">
        <f>'ALL DATA &amp; IT4PROFIT'!C202</f>
        <v>3PH SUNNY</v>
      </c>
      <c r="E149" s="25">
        <v>1.0</v>
      </c>
      <c r="F149" s="26" t="str">
        <f>'ALL DATA &amp; IT4PROFIT'!R202</f>
        <v/>
      </c>
      <c r="G149" s="27">
        <f t="shared" si="8"/>
        <v>90</v>
      </c>
      <c r="H149" s="27">
        <f t="shared" si="2"/>
        <v>92.25</v>
      </c>
      <c r="I149" s="28">
        <f t="shared" si="3"/>
        <v>0.07</v>
      </c>
      <c r="J149" s="29">
        <f t="shared" si="4"/>
        <v>99.19354839</v>
      </c>
      <c r="K149" s="30">
        <f t="shared" si="5"/>
        <v>99.19354839</v>
      </c>
      <c r="L149" s="30">
        <f t="shared" si="6"/>
        <v>92.25</v>
      </c>
      <c r="M149" s="31">
        <v>0.07</v>
      </c>
      <c r="N149" s="32" t="str">
        <f>'ALL DATA &amp; IT4PROFIT'!L202</f>
        <v/>
      </c>
      <c r="O149" s="35"/>
      <c r="P149" s="32" t="str">
        <f>'ALL DATA &amp; IT4PROFIT'!H202</f>
        <v/>
      </c>
      <c r="Q149" s="35" t="str">
        <f>'ALL DATA &amp; IT4PROFIT'!K202</f>
        <v/>
      </c>
      <c r="R149" s="35" t="str">
        <f>'ALL DATA &amp; IT4PROFIT'!D202</f>
        <v/>
      </c>
      <c r="S149" s="9"/>
      <c r="T149" s="9"/>
    </row>
    <row r="150" ht="21.0" customHeight="1">
      <c r="A150" s="13"/>
      <c r="B150" s="24" t="str">
        <f>'ALL DATA &amp; IT4PROFIT'!A203</f>
        <v>SMA</v>
      </c>
      <c r="C150" s="24" t="str">
        <f>'ALL DATA &amp; IT4PROFIT'!B203</f>
        <v>SMA Sunny Boy Storage 3.7</v>
      </c>
      <c r="D150" s="24" t="str">
        <f>'ALL DATA &amp; IT4PROFIT'!C203</f>
        <v>3PH SUNNY</v>
      </c>
      <c r="E150" s="25">
        <v>1.0</v>
      </c>
      <c r="F150" s="26" t="str">
        <f>'ALL DATA &amp; IT4PROFIT'!R203</f>
        <v/>
      </c>
      <c r="G150" s="27">
        <f t="shared" si="8"/>
        <v>90</v>
      </c>
      <c r="H150" s="27">
        <f t="shared" si="2"/>
        <v>92.25</v>
      </c>
      <c r="I150" s="28">
        <f t="shared" si="3"/>
        <v>0.07</v>
      </c>
      <c r="J150" s="29">
        <f t="shared" si="4"/>
        <v>99.19354839</v>
      </c>
      <c r="K150" s="30">
        <f t="shared" si="5"/>
        <v>99.19354839</v>
      </c>
      <c r="L150" s="30">
        <f t="shared" si="6"/>
        <v>92.25</v>
      </c>
      <c r="M150" s="31">
        <v>0.07</v>
      </c>
      <c r="N150" s="32" t="str">
        <f>'ALL DATA &amp; IT4PROFIT'!L203</f>
        <v/>
      </c>
      <c r="O150" s="35"/>
      <c r="P150" s="32" t="str">
        <f>'ALL DATA &amp; IT4PROFIT'!H203</f>
        <v/>
      </c>
      <c r="Q150" s="35" t="str">
        <f>'ALL DATA &amp; IT4PROFIT'!K203</f>
        <v/>
      </c>
      <c r="R150" s="35" t="str">
        <f>'ALL DATA &amp; IT4PROFIT'!D203</f>
        <v/>
      </c>
      <c r="S150" s="9"/>
      <c r="T150" s="9"/>
    </row>
    <row r="151" ht="21.0" customHeight="1">
      <c r="A151" s="13"/>
      <c r="B151" s="24" t="str">
        <f>'ALL DATA &amp; IT4PROFIT'!A204</f>
        <v>SMA</v>
      </c>
      <c r="C151" s="24" t="str">
        <f>'ALL DATA &amp; IT4PROFIT'!B204</f>
        <v>SMA Sunny Boy Storage 5.0</v>
      </c>
      <c r="D151" s="24" t="str">
        <f>'ALL DATA &amp; IT4PROFIT'!C204</f>
        <v>3PH SUNNY</v>
      </c>
      <c r="E151" s="25">
        <v>1.0</v>
      </c>
      <c r="F151" s="26">
        <f>'ALL DATA &amp; IT4PROFIT'!R204</f>
        <v>1751</v>
      </c>
      <c r="G151" s="27">
        <f t="shared" si="8"/>
        <v>1841</v>
      </c>
      <c r="H151" s="27">
        <f t="shared" si="2"/>
        <v>1887.025</v>
      </c>
      <c r="I151" s="28">
        <f t="shared" si="3"/>
        <v>0.07</v>
      </c>
      <c r="J151" s="29">
        <f t="shared" si="4"/>
        <v>2029.05914</v>
      </c>
      <c r="K151" s="30">
        <f t="shared" si="5"/>
        <v>2029.05914</v>
      </c>
      <c r="L151" s="30">
        <f t="shared" si="6"/>
        <v>1887.025</v>
      </c>
      <c r="M151" s="31">
        <v>0.07</v>
      </c>
      <c r="N151" s="32" t="str">
        <f>'ALL DATA &amp; IT4PROFIT'!L204</f>
        <v/>
      </c>
      <c r="O151" s="35"/>
      <c r="P151" s="32" t="str">
        <f>'ALL DATA &amp; IT4PROFIT'!H204</f>
        <v/>
      </c>
      <c r="Q151" s="35" t="str">
        <f>'ALL DATA &amp; IT4PROFIT'!K204</f>
        <v/>
      </c>
      <c r="R151" s="35" t="str">
        <f>'ALL DATA &amp; IT4PROFIT'!D204</f>
        <v/>
      </c>
      <c r="S151" s="9"/>
      <c r="T151" s="9"/>
    </row>
    <row r="152" ht="21.0" customHeight="1">
      <c r="A152" s="13"/>
      <c r="B152" s="24" t="str">
        <f>'ALL DATA &amp; IT4PROFIT'!A205</f>
        <v>SMA</v>
      </c>
      <c r="C152" s="24" t="str">
        <f>'ALL DATA &amp; IT4PROFIT'!B205</f>
        <v>SMA Sunny Boy Storage 6.0</v>
      </c>
      <c r="D152" s="24" t="str">
        <f>'ALL DATA &amp; IT4PROFIT'!C205</f>
        <v>3PH SUNNY</v>
      </c>
      <c r="E152" s="25">
        <v>1.0</v>
      </c>
      <c r="F152" s="26">
        <f>'ALL DATA &amp; IT4PROFIT'!R205</f>
        <v>1956</v>
      </c>
      <c r="G152" s="27">
        <f t="shared" si="8"/>
        <v>2046</v>
      </c>
      <c r="H152" s="27">
        <f t="shared" si="2"/>
        <v>2097.15</v>
      </c>
      <c r="I152" s="28">
        <f t="shared" si="3"/>
        <v>0.07</v>
      </c>
      <c r="J152" s="29">
        <f t="shared" si="4"/>
        <v>2255</v>
      </c>
      <c r="K152" s="30">
        <f t="shared" si="5"/>
        <v>2255</v>
      </c>
      <c r="L152" s="30">
        <f t="shared" si="6"/>
        <v>2097.15</v>
      </c>
      <c r="M152" s="31">
        <v>0.07</v>
      </c>
      <c r="N152" s="32" t="str">
        <f>'ALL DATA &amp; IT4PROFIT'!L205</f>
        <v/>
      </c>
      <c r="O152" s="35"/>
      <c r="P152" s="32" t="str">
        <f>'ALL DATA &amp; IT4PROFIT'!H205</f>
        <v/>
      </c>
      <c r="Q152" s="35" t="str">
        <f>'ALL DATA &amp; IT4PROFIT'!K205</f>
        <v/>
      </c>
      <c r="R152" s="35" t="str">
        <f>'ALL DATA &amp; IT4PROFIT'!D205</f>
        <v/>
      </c>
      <c r="S152" s="9"/>
      <c r="T152" s="9"/>
    </row>
    <row r="153" ht="21.0" customHeight="1">
      <c r="A153" s="13"/>
      <c r="B153" s="24" t="str">
        <f>'ALL DATA &amp; IT4PROFIT'!A206</f>
        <v>SMA</v>
      </c>
      <c r="C153" s="24" t="str">
        <f>'ALL DATA &amp; IT4PROFIT'!B206</f>
        <v>SMA Sunny Boy 2.0</v>
      </c>
      <c r="D153" s="24" t="str">
        <f>'ALL DATA &amp; IT4PROFIT'!C206</f>
        <v>3PH SUNNY</v>
      </c>
      <c r="E153" s="25">
        <v>1.0</v>
      </c>
      <c r="F153" s="26" t="str">
        <f>'ALL DATA &amp; IT4PROFIT'!R206</f>
        <v/>
      </c>
      <c r="G153" s="27">
        <f t="shared" si="8"/>
        <v>90</v>
      </c>
      <c r="H153" s="27">
        <f t="shared" si="2"/>
        <v>92.25</v>
      </c>
      <c r="I153" s="28">
        <f t="shared" si="3"/>
        <v>0.07</v>
      </c>
      <c r="J153" s="29">
        <f t="shared" si="4"/>
        <v>99.19354839</v>
      </c>
      <c r="K153" s="30">
        <f t="shared" si="5"/>
        <v>99.19354839</v>
      </c>
      <c r="L153" s="30">
        <f t="shared" si="6"/>
        <v>92.25</v>
      </c>
      <c r="M153" s="31">
        <v>0.07</v>
      </c>
      <c r="N153" s="32" t="str">
        <f>'ALL DATA &amp; IT4PROFIT'!L206</f>
        <v/>
      </c>
      <c r="O153" s="35"/>
      <c r="P153" s="32" t="str">
        <f>'ALL DATA &amp; IT4PROFIT'!H206</f>
        <v/>
      </c>
      <c r="Q153" s="35" t="str">
        <f>'ALL DATA &amp; IT4PROFIT'!K206</f>
        <v/>
      </c>
      <c r="R153" s="35" t="str">
        <f>'ALL DATA &amp; IT4PROFIT'!D206</f>
        <v/>
      </c>
      <c r="S153" s="9"/>
      <c r="T153" s="9"/>
    </row>
    <row r="154" ht="21.0" customHeight="1">
      <c r="A154" s="13"/>
      <c r="B154" s="24" t="str">
        <f>'ALL DATA &amp; IT4PROFIT'!A207</f>
        <v>SMA</v>
      </c>
      <c r="C154" s="24" t="str">
        <f>'ALL DATA &amp; IT4PROFIT'!B207</f>
        <v>SMA Sunny Boy 6.0-1AV-41</v>
      </c>
      <c r="D154" s="24" t="str">
        <f>'ALL DATA &amp; IT4PROFIT'!C207</f>
        <v>3PH SUNNY</v>
      </c>
      <c r="E154" s="25">
        <v>1.0</v>
      </c>
      <c r="F154" s="26" t="str">
        <f>'ALL DATA &amp; IT4PROFIT'!R207</f>
        <v/>
      </c>
      <c r="G154" s="27">
        <f t="shared" si="8"/>
        <v>90</v>
      </c>
      <c r="H154" s="27">
        <f t="shared" si="2"/>
        <v>92.25</v>
      </c>
      <c r="I154" s="28">
        <f t="shared" si="3"/>
        <v>0.07</v>
      </c>
      <c r="J154" s="29">
        <f t="shared" si="4"/>
        <v>99.19354839</v>
      </c>
      <c r="K154" s="30">
        <f t="shared" si="5"/>
        <v>99.19354839</v>
      </c>
      <c r="L154" s="30">
        <f t="shared" si="6"/>
        <v>92.25</v>
      </c>
      <c r="M154" s="31">
        <v>0.07</v>
      </c>
      <c r="N154" s="32" t="str">
        <f>'ALL DATA &amp; IT4PROFIT'!L207</f>
        <v/>
      </c>
      <c r="O154" s="35"/>
      <c r="P154" s="32" t="str">
        <f>'ALL DATA &amp; IT4PROFIT'!H207</f>
        <v/>
      </c>
      <c r="Q154" s="35" t="str">
        <f>'ALL DATA &amp; IT4PROFIT'!K207</f>
        <v/>
      </c>
      <c r="R154" s="35" t="str">
        <f>'ALL DATA &amp; IT4PROFIT'!D207</f>
        <v/>
      </c>
      <c r="S154" s="9"/>
      <c r="T154" s="9"/>
    </row>
    <row r="155" ht="21.0" customHeight="1">
      <c r="A155" s="13"/>
      <c r="B155" s="24" t="str">
        <f>'ALL DATA &amp; IT4PROFIT'!A208</f>
        <v>SMA</v>
      </c>
      <c r="C155" s="24" t="str">
        <f>'ALL DATA &amp; IT4PROFIT'!B208</f>
        <v>SMA Sunny Boy Smart Energy 3,6 kW</v>
      </c>
      <c r="D155" s="24" t="str">
        <f>'ALL DATA &amp; IT4PROFIT'!C208</f>
        <v>3PH SUNNY</v>
      </c>
      <c r="E155" s="25">
        <v>1.0</v>
      </c>
      <c r="F155" s="26" t="str">
        <f>'ALL DATA &amp; IT4PROFIT'!R208</f>
        <v/>
      </c>
      <c r="G155" s="27">
        <f t="shared" si="8"/>
        <v>90</v>
      </c>
      <c r="H155" s="27">
        <f t="shared" si="2"/>
        <v>92.25</v>
      </c>
      <c r="I155" s="28">
        <f t="shared" si="3"/>
        <v>0.07</v>
      </c>
      <c r="J155" s="29">
        <f t="shared" si="4"/>
        <v>99.19354839</v>
      </c>
      <c r="K155" s="30">
        <f t="shared" si="5"/>
        <v>99.19354839</v>
      </c>
      <c r="L155" s="30">
        <f t="shared" si="6"/>
        <v>92.25</v>
      </c>
      <c r="M155" s="31">
        <v>0.07</v>
      </c>
      <c r="N155" s="32" t="str">
        <f>'ALL DATA &amp; IT4PROFIT'!L208</f>
        <v/>
      </c>
      <c r="O155" s="35"/>
      <c r="P155" s="32" t="str">
        <f>'ALL DATA &amp; IT4PROFIT'!H208</f>
        <v/>
      </c>
      <c r="Q155" s="35" t="str">
        <f>'ALL DATA &amp; IT4PROFIT'!K208</f>
        <v/>
      </c>
      <c r="R155" s="35" t="str">
        <f>'ALL DATA &amp; IT4PROFIT'!D208</f>
        <v/>
      </c>
      <c r="S155" s="9"/>
      <c r="T155" s="9"/>
    </row>
    <row r="156" ht="21.0" customHeight="1">
      <c r="A156" s="13"/>
      <c r="B156" s="24" t="str">
        <f>'ALL DATA &amp; IT4PROFIT'!A209</f>
        <v>SMA</v>
      </c>
      <c r="C156" s="24" t="str">
        <f>'ALL DATA &amp; IT4PROFIT'!B209</f>
        <v>SMA Sunny Boy Smart Energy 4 kW</v>
      </c>
      <c r="D156" s="24" t="str">
        <f>'ALL DATA &amp; IT4PROFIT'!C209</f>
        <v>3PH SUNNY</v>
      </c>
      <c r="E156" s="25">
        <v>1.0</v>
      </c>
      <c r="F156" s="26" t="str">
        <f>'ALL DATA &amp; IT4PROFIT'!R209</f>
        <v/>
      </c>
      <c r="G156" s="27">
        <f t="shared" si="8"/>
        <v>90</v>
      </c>
      <c r="H156" s="27">
        <f t="shared" si="2"/>
        <v>92.25</v>
      </c>
      <c r="I156" s="28">
        <f t="shared" si="3"/>
        <v>0.07</v>
      </c>
      <c r="J156" s="29">
        <f t="shared" si="4"/>
        <v>99.19354839</v>
      </c>
      <c r="K156" s="30">
        <f t="shared" si="5"/>
        <v>99.19354839</v>
      </c>
      <c r="L156" s="30">
        <f t="shared" si="6"/>
        <v>92.25</v>
      </c>
      <c r="M156" s="31">
        <v>0.07</v>
      </c>
      <c r="N156" s="32" t="str">
        <f>'ALL DATA &amp; IT4PROFIT'!L209</f>
        <v/>
      </c>
      <c r="O156" s="35"/>
      <c r="P156" s="32" t="str">
        <f>'ALL DATA &amp; IT4PROFIT'!H209</f>
        <v/>
      </c>
      <c r="Q156" s="35" t="str">
        <f>'ALL DATA &amp; IT4PROFIT'!K209</f>
        <v/>
      </c>
      <c r="R156" s="35" t="str">
        <f>'ALL DATA &amp; IT4PROFIT'!D209</f>
        <v/>
      </c>
      <c r="S156" s="9"/>
      <c r="T156" s="9"/>
    </row>
    <row r="157" ht="21.0" customHeight="1">
      <c r="A157" s="13"/>
      <c r="B157" s="24" t="str">
        <f>'ALL DATA &amp; IT4PROFIT'!A210</f>
        <v>SMA</v>
      </c>
      <c r="C157" s="24" t="str">
        <f>'ALL DATA &amp; IT4PROFIT'!B210</f>
        <v>SMA Sunny Boy Smart Energy 5 kW</v>
      </c>
      <c r="D157" s="24" t="str">
        <f>'ALL DATA &amp; IT4PROFIT'!C210</f>
        <v>3PH SUNNY</v>
      </c>
      <c r="E157" s="25">
        <v>1.0</v>
      </c>
      <c r="F157" s="26" t="str">
        <f>'ALL DATA &amp; IT4PROFIT'!R210</f>
        <v/>
      </c>
      <c r="G157" s="27">
        <f t="shared" si="8"/>
        <v>90</v>
      </c>
      <c r="H157" s="27">
        <f t="shared" si="2"/>
        <v>92.25</v>
      </c>
      <c r="I157" s="28">
        <f t="shared" si="3"/>
        <v>0.07</v>
      </c>
      <c r="J157" s="29">
        <f t="shared" si="4"/>
        <v>99.19354839</v>
      </c>
      <c r="K157" s="30">
        <f t="shared" si="5"/>
        <v>99.19354839</v>
      </c>
      <c r="L157" s="30">
        <f t="shared" si="6"/>
        <v>92.25</v>
      </c>
      <c r="M157" s="31">
        <v>0.07</v>
      </c>
      <c r="N157" s="32" t="str">
        <f>'ALL DATA &amp; IT4PROFIT'!L210</f>
        <v/>
      </c>
      <c r="O157" s="35"/>
      <c r="P157" s="32" t="str">
        <f>'ALL DATA &amp; IT4PROFIT'!H210</f>
        <v/>
      </c>
      <c r="Q157" s="35" t="str">
        <f>'ALL DATA &amp; IT4PROFIT'!K210</f>
        <v/>
      </c>
      <c r="R157" s="35" t="str">
        <f>'ALL DATA &amp; IT4PROFIT'!D210</f>
        <v/>
      </c>
      <c r="S157" s="9"/>
      <c r="T157" s="9"/>
    </row>
    <row r="158" ht="21.0" customHeight="1">
      <c r="A158" s="13"/>
      <c r="B158" s="24" t="str">
        <f>'ALL DATA &amp; IT4PROFIT'!A211</f>
        <v>SMA</v>
      </c>
      <c r="C158" s="24" t="str">
        <f>'ALL DATA &amp; IT4PROFIT'!B211</f>
        <v>SMA Sunny Boy Smart Energy 6 kW</v>
      </c>
      <c r="D158" s="24" t="str">
        <f>'ALL DATA &amp; IT4PROFIT'!C211</f>
        <v>3PH SUNNY</v>
      </c>
      <c r="E158" s="25">
        <v>1.0</v>
      </c>
      <c r="F158" s="26" t="str">
        <f>'ALL DATA &amp; IT4PROFIT'!R211</f>
        <v/>
      </c>
      <c r="G158" s="27">
        <f t="shared" si="8"/>
        <v>90</v>
      </c>
      <c r="H158" s="27">
        <f t="shared" si="2"/>
        <v>92.25</v>
      </c>
      <c r="I158" s="28">
        <f t="shared" si="3"/>
        <v>0.07</v>
      </c>
      <c r="J158" s="29">
        <f t="shared" si="4"/>
        <v>99.19354839</v>
      </c>
      <c r="K158" s="30">
        <f t="shared" si="5"/>
        <v>99.19354839</v>
      </c>
      <c r="L158" s="30">
        <f t="shared" si="6"/>
        <v>92.25</v>
      </c>
      <c r="M158" s="31">
        <v>0.07</v>
      </c>
      <c r="N158" s="32" t="str">
        <f>'ALL DATA &amp; IT4PROFIT'!L211</f>
        <v/>
      </c>
      <c r="O158" s="35"/>
      <c r="P158" s="32" t="str">
        <f>'ALL DATA &amp; IT4PROFIT'!H211</f>
        <v/>
      </c>
      <c r="Q158" s="35" t="str">
        <f>'ALL DATA &amp; IT4PROFIT'!K211</f>
        <v/>
      </c>
      <c r="R158" s="35" t="str">
        <f>'ALL DATA &amp; IT4PROFIT'!D211</f>
        <v/>
      </c>
      <c r="S158" s="9"/>
      <c r="T158" s="9"/>
    </row>
    <row r="159" ht="21.0" customHeight="1">
      <c r="A159" s="13"/>
      <c r="B159" s="24" t="str">
        <f>'ALL DATA &amp; IT4PROFIT'!A212</f>
        <v>SMA</v>
      </c>
      <c r="C159" s="24" t="str">
        <f>'ALL DATA &amp; IT4PROFIT'!B212</f>
        <v>SMA Sunny Highpower PEAK3 SHP 150-21</v>
      </c>
      <c r="D159" s="24" t="str">
        <f>'ALL DATA &amp; IT4PROFIT'!C212</f>
        <v>3PH SUNNY</v>
      </c>
      <c r="E159" s="25">
        <v>1.0</v>
      </c>
      <c r="F159" s="26" t="str">
        <f>'ALL DATA &amp; IT4PROFIT'!R212</f>
        <v/>
      </c>
      <c r="G159" s="27">
        <f t="shared" si="8"/>
        <v>90</v>
      </c>
      <c r="H159" s="27">
        <f t="shared" si="2"/>
        <v>92.25</v>
      </c>
      <c r="I159" s="28">
        <f t="shared" si="3"/>
        <v>0.07</v>
      </c>
      <c r="J159" s="29">
        <f t="shared" si="4"/>
        <v>99.19354839</v>
      </c>
      <c r="K159" s="30">
        <f t="shared" si="5"/>
        <v>99.19354839</v>
      </c>
      <c r="L159" s="30">
        <f t="shared" si="6"/>
        <v>92.25</v>
      </c>
      <c r="M159" s="31">
        <v>0.07</v>
      </c>
      <c r="N159" s="32" t="str">
        <f>'ALL DATA &amp; IT4PROFIT'!L212</f>
        <v/>
      </c>
      <c r="O159" s="35"/>
      <c r="P159" s="32" t="str">
        <f>'ALL DATA &amp; IT4PROFIT'!H212</f>
        <v/>
      </c>
      <c r="Q159" s="35" t="str">
        <f>'ALL DATA &amp; IT4PROFIT'!K212</f>
        <v/>
      </c>
      <c r="R159" s="35" t="str">
        <f>'ALL DATA &amp; IT4PROFIT'!D212</f>
        <v/>
      </c>
      <c r="S159" s="9"/>
      <c r="T159" s="9"/>
    </row>
    <row r="160" ht="21.0" customHeight="1">
      <c r="A160" s="13"/>
      <c r="B160" s="24" t="str">
        <f>'ALL DATA &amp; IT4PROFIT'!A213</f>
        <v>SMA</v>
      </c>
      <c r="C160" s="24" t="str">
        <f>'ALL DATA &amp; IT4PROFIT'!B213</f>
        <v>SMA Sunny Highpower PEAK3 SHP 172-21</v>
      </c>
      <c r="D160" s="24" t="str">
        <f>'ALL DATA &amp; IT4PROFIT'!C213</f>
        <v>3PH SUNNY</v>
      </c>
      <c r="E160" s="25">
        <v>1.0</v>
      </c>
      <c r="F160" s="26" t="str">
        <f>'ALL DATA &amp; IT4PROFIT'!R213</f>
        <v/>
      </c>
      <c r="G160" s="27">
        <f t="shared" si="8"/>
        <v>90</v>
      </c>
      <c r="H160" s="27">
        <f t="shared" si="2"/>
        <v>92.25</v>
      </c>
      <c r="I160" s="28">
        <f t="shared" si="3"/>
        <v>0.07</v>
      </c>
      <c r="J160" s="29">
        <f t="shared" si="4"/>
        <v>99.19354839</v>
      </c>
      <c r="K160" s="30">
        <f t="shared" si="5"/>
        <v>99.19354839</v>
      </c>
      <c r="L160" s="30">
        <f t="shared" si="6"/>
        <v>92.25</v>
      </c>
      <c r="M160" s="31">
        <v>0.07</v>
      </c>
      <c r="N160" s="32" t="str">
        <f>'ALL DATA &amp; IT4PROFIT'!L213</f>
        <v/>
      </c>
      <c r="O160" s="35"/>
      <c r="P160" s="32" t="str">
        <f>'ALL DATA &amp; IT4PROFIT'!H213</f>
        <v/>
      </c>
      <c r="Q160" s="35" t="str">
        <f>'ALL DATA &amp; IT4PROFIT'!K213</f>
        <v/>
      </c>
      <c r="R160" s="35" t="str">
        <f>'ALL DATA &amp; IT4PROFIT'!D213</f>
        <v/>
      </c>
      <c r="S160" s="9"/>
      <c r="T160" s="9"/>
    </row>
    <row r="161" ht="21.0" customHeight="1">
      <c r="A161" s="13"/>
      <c r="B161" s="24" t="str">
        <f>'ALL DATA &amp; IT4PROFIT'!A214</f>
        <v>SMA</v>
      </c>
      <c r="C161" s="24" t="str">
        <f>'ALL DATA &amp; IT4PROFIT'!B214</f>
        <v>SMA Sunny Highpower PEAK3 SHP 180-21</v>
      </c>
      <c r="D161" s="24" t="str">
        <f>'ALL DATA &amp; IT4PROFIT'!C214</f>
        <v>3PH SUNNY</v>
      </c>
      <c r="E161" s="25">
        <v>1.0</v>
      </c>
      <c r="F161" s="26" t="str">
        <f>'ALL DATA &amp; IT4PROFIT'!R214</f>
        <v/>
      </c>
      <c r="G161" s="27">
        <f t="shared" si="8"/>
        <v>90</v>
      </c>
      <c r="H161" s="27">
        <f t="shared" si="2"/>
        <v>92.25</v>
      </c>
      <c r="I161" s="28">
        <f t="shared" si="3"/>
        <v>0.07</v>
      </c>
      <c r="J161" s="29">
        <f t="shared" si="4"/>
        <v>99.19354839</v>
      </c>
      <c r="K161" s="30">
        <f t="shared" si="5"/>
        <v>99.19354839</v>
      </c>
      <c r="L161" s="30">
        <f t="shared" si="6"/>
        <v>92.25</v>
      </c>
      <c r="M161" s="31">
        <v>0.07</v>
      </c>
      <c r="N161" s="32" t="str">
        <f>'ALL DATA &amp; IT4PROFIT'!L214</f>
        <v/>
      </c>
      <c r="O161" s="35"/>
      <c r="P161" s="32" t="str">
        <f>'ALL DATA &amp; IT4PROFIT'!H214</f>
        <v/>
      </c>
      <c r="Q161" s="35" t="str">
        <f>'ALL DATA &amp; IT4PROFIT'!K214</f>
        <v/>
      </c>
      <c r="R161" s="35" t="str">
        <f>'ALL DATA &amp; IT4PROFIT'!D214</f>
        <v/>
      </c>
      <c r="S161" s="9"/>
      <c r="T161" s="9"/>
    </row>
    <row r="162" ht="21.0" customHeight="1">
      <c r="A162" s="13"/>
      <c r="B162" s="24" t="str">
        <f>'ALL DATA &amp; IT4PROFIT'!A215</f>
        <v/>
      </c>
      <c r="C162" s="24" t="str">
        <f>'ALL DATA &amp; IT4PROFIT'!B215</f>
        <v/>
      </c>
      <c r="D162" s="24" t="str">
        <f>'ALL DATA &amp; IT4PROFIT'!C215</f>
        <v/>
      </c>
      <c r="E162" s="25">
        <v>1.0</v>
      </c>
      <c r="F162" s="26" t="str">
        <f>'ALL DATA &amp; IT4PROFIT'!R215</f>
        <v/>
      </c>
      <c r="G162" s="27">
        <f t="shared" si="8"/>
        <v>90</v>
      </c>
      <c r="H162" s="27">
        <f t="shared" si="2"/>
        <v>92.25</v>
      </c>
      <c r="I162" s="28">
        <f t="shared" si="3"/>
        <v>0.07</v>
      </c>
      <c r="J162" s="29">
        <f t="shared" si="4"/>
        <v>99.19354839</v>
      </c>
      <c r="K162" s="30">
        <f t="shared" si="5"/>
        <v>99.19354839</v>
      </c>
      <c r="L162" s="30">
        <f t="shared" si="6"/>
        <v>92.25</v>
      </c>
      <c r="M162" s="31">
        <v>0.07</v>
      </c>
      <c r="N162" s="32" t="str">
        <f>'ALL DATA &amp; IT4PROFIT'!L215</f>
        <v/>
      </c>
      <c r="O162" s="9"/>
      <c r="P162" s="9"/>
      <c r="Q162" s="9"/>
      <c r="R162" s="9"/>
      <c r="S162" s="9"/>
      <c r="T162" s="9"/>
    </row>
    <row r="163" ht="21.0" customHeight="1">
      <c r="A163" s="13"/>
      <c r="B163" s="24" t="str">
        <f>'ALL DATA &amp; IT4PROFIT'!A216</f>
        <v/>
      </c>
      <c r="C163" s="24" t="str">
        <f>'ALL DATA &amp; IT4PROFIT'!B216</f>
        <v/>
      </c>
      <c r="D163" s="24" t="str">
        <f>'ALL DATA &amp; IT4PROFIT'!C216</f>
        <v/>
      </c>
      <c r="E163" s="25">
        <v>1.0</v>
      </c>
      <c r="F163" s="26" t="str">
        <f>'ALL DATA &amp; IT4PROFIT'!R216</f>
        <v/>
      </c>
      <c r="G163" s="27">
        <f t="shared" si="8"/>
        <v>90</v>
      </c>
      <c r="H163" s="27">
        <f t="shared" si="2"/>
        <v>92.25</v>
      </c>
      <c r="I163" s="28">
        <f t="shared" si="3"/>
        <v>0.07</v>
      </c>
      <c r="J163" s="29">
        <f t="shared" si="4"/>
        <v>99.19354839</v>
      </c>
      <c r="K163" s="30">
        <f t="shared" si="5"/>
        <v>99.19354839</v>
      </c>
      <c r="L163" s="30">
        <f t="shared" si="6"/>
        <v>92.25</v>
      </c>
      <c r="M163" s="31">
        <v>0.07</v>
      </c>
      <c r="N163" s="32" t="str">
        <f>'ALL DATA &amp; IT4PROFIT'!L216</f>
        <v/>
      </c>
      <c r="O163" s="9"/>
      <c r="P163" s="9"/>
      <c r="Q163" s="9"/>
      <c r="R163" s="9"/>
      <c r="S163" s="9"/>
      <c r="T163" s="9"/>
    </row>
    <row r="164" ht="21.0" customHeight="1">
      <c r="A164" s="13"/>
      <c r="B164" s="24" t="str">
        <f>'ALL DATA &amp; IT4PROFIT'!A217</f>
        <v/>
      </c>
      <c r="C164" s="24" t="str">
        <f>'ALL DATA &amp; IT4PROFIT'!B217</f>
        <v/>
      </c>
      <c r="D164" s="24" t="str">
        <f>'ALL DATA &amp; IT4PROFIT'!C217</f>
        <v/>
      </c>
      <c r="E164" s="25">
        <v>1.0</v>
      </c>
      <c r="F164" s="26" t="str">
        <f>'ALL DATA &amp; IT4PROFIT'!R217</f>
        <v/>
      </c>
      <c r="G164" s="27">
        <f t="shared" si="8"/>
        <v>90</v>
      </c>
      <c r="H164" s="27">
        <f t="shared" si="2"/>
        <v>92.25</v>
      </c>
      <c r="I164" s="28">
        <f t="shared" si="3"/>
        <v>0.07</v>
      </c>
      <c r="J164" s="29">
        <f t="shared" si="4"/>
        <v>99.19354839</v>
      </c>
      <c r="K164" s="30">
        <f t="shared" si="5"/>
        <v>99.19354839</v>
      </c>
      <c r="L164" s="30">
        <f t="shared" si="6"/>
        <v>92.25</v>
      </c>
      <c r="M164" s="31">
        <v>0.07</v>
      </c>
      <c r="N164" s="32" t="str">
        <f>'ALL DATA &amp; IT4PROFIT'!L217</f>
        <v/>
      </c>
      <c r="O164" s="9"/>
      <c r="P164" s="9"/>
      <c r="Q164" s="9"/>
      <c r="R164" s="9"/>
      <c r="S164" s="9"/>
      <c r="T164" s="9"/>
    </row>
    <row r="165" ht="21.0" customHeight="1">
      <c r="A165" s="13"/>
      <c r="B165" s="24"/>
      <c r="C165" s="24"/>
      <c r="D165" s="24"/>
      <c r="E165" s="25">
        <v>1.0</v>
      </c>
      <c r="F165" s="26"/>
      <c r="G165" s="27">
        <f t="shared" si="8"/>
        <v>90</v>
      </c>
      <c r="H165" s="27">
        <f t="shared" si="2"/>
        <v>92.25</v>
      </c>
      <c r="I165" s="28">
        <f t="shared" si="3"/>
        <v>0.07</v>
      </c>
      <c r="J165" s="29">
        <f t="shared" si="4"/>
        <v>99.19354839</v>
      </c>
      <c r="K165" s="30">
        <f t="shared" si="5"/>
        <v>99.19354839</v>
      </c>
      <c r="L165" s="30">
        <f t="shared" si="6"/>
        <v>92.25</v>
      </c>
      <c r="M165" s="31">
        <v>0.07</v>
      </c>
      <c r="N165" s="32" t="str">
        <f>'ALL DATA &amp; IT4PROFIT'!L218</f>
        <v/>
      </c>
      <c r="O165" s="9"/>
      <c r="P165" s="9"/>
      <c r="Q165" s="9"/>
      <c r="R165" s="9"/>
      <c r="S165" s="9"/>
      <c r="T165" s="9"/>
    </row>
    <row r="166" ht="21.0" customHeight="1">
      <c r="A166" s="13"/>
      <c r="B166" s="24"/>
      <c r="C166" s="24"/>
      <c r="D166" s="24"/>
      <c r="E166" s="25">
        <v>1.0</v>
      </c>
      <c r="F166" s="26"/>
      <c r="G166" s="27">
        <f t="shared" si="8"/>
        <v>90</v>
      </c>
      <c r="H166" s="27">
        <f t="shared" si="2"/>
        <v>92.25</v>
      </c>
      <c r="I166" s="28">
        <f t="shared" si="3"/>
        <v>0.07</v>
      </c>
      <c r="J166" s="29">
        <f t="shared" si="4"/>
        <v>99.19354839</v>
      </c>
      <c r="K166" s="30">
        <f t="shared" si="5"/>
        <v>99.19354839</v>
      </c>
      <c r="L166" s="30">
        <f t="shared" si="6"/>
        <v>92.25</v>
      </c>
      <c r="M166" s="31">
        <v>0.07</v>
      </c>
      <c r="N166" s="32" t="str">
        <f>'ALL DATA &amp; IT4PROFIT'!L219</f>
        <v/>
      </c>
      <c r="O166" s="9"/>
      <c r="P166" s="9"/>
      <c r="Q166" s="9"/>
      <c r="R166" s="9"/>
      <c r="S166" s="9"/>
      <c r="T166" s="9"/>
    </row>
    <row r="167" ht="21.0" customHeight="1">
      <c r="A167" s="13"/>
      <c r="B167" s="24"/>
      <c r="C167" s="24"/>
      <c r="D167" s="24"/>
      <c r="E167" s="25">
        <v>1.0</v>
      </c>
      <c r="F167" s="26"/>
      <c r="G167" s="27">
        <f t="shared" si="8"/>
        <v>90</v>
      </c>
      <c r="H167" s="27">
        <f t="shared" si="2"/>
        <v>92.25</v>
      </c>
      <c r="I167" s="28">
        <f t="shared" si="3"/>
        <v>0.07</v>
      </c>
      <c r="J167" s="29">
        <f t="shared" si="4"/>
        <v>99.19354839</v>
      </c>
      <c r="K167" s="30">
        <f t="shared" si="5"/>
        <v>99.19354839</v>
      </c>
      <c r="L167" s="30">
        <f t="shared" si="6"/>
        <v>92.25</v>
      </c>
      <c r="M167" s="31">
        <v>0.07</v>
      </c>
      <c r="N167" s="32" t="str">
        <f>'ALL DATA &amp; IT4PROFIT'!L220</f>
        <v/>
      </c>
      <c r="O167" s="9"/>
      <c r="P167" s="9"/>
      <c r="Q167" s="9"/>
      <c r="R167" s="9"/>
      <c r="S167" s="9"/>
      <c r="T167" s="9"/>
    </row>
    <row r="168" ht="21.0" customHeight="1">
      <c r="A168" s="13"/>
      <c r="B168" s="24"/>
      <c r="C168" s="24"/>
      <c r="D168" s="24"/>
      <c r="E168" s="25">
        <v>1.0</v>
      </c>
      <c r="F168" s="26"/>
      <c r="G168" s="27">
        <f t="shared" si="8"/>
        <v>90</v>
      </c>
      <c r="H168" s="27">
        <f t="shared" si="2"/>
        <v>92.25</v>
      </c>
      <c r="I168" s="28">
        <f t="shared" si="3"/>
        <v>0.07</v>
      </c>
      <c r="J168" s="29">
        <f t="shared" si="4"/>
        <v>99.19354839</v>
      </c>
      <c r="K168" s="30">
        <f t="shared" si="5"/>
        <v>99.19354839</v>
      </c>
      <c r="L168" s="30">
        <f t="shared" si="6"/>
        <v>92.25</v>
      </c>
      <c r="M168" s="31">
        <v>0.07</v>
      </c>
      <c r="N168" s="32" t="str">
        <f>'ALL DATA &amp; IT4PROFIT'!L221</f>
        <v/>
      </c>
      <c r="O168" s="9"/>
      <c r="P168" s="9"/>
      <c r="Q168" s="9"/>
      <c r="R168" s="9"/>
      <c r="S168" s="9"/>
      <c r="T168" s="9"/>
    </row>
    <row r="169" ht="21.0" customHeight="1">
      <c r="A169" s="13"/>
      <c r="B169" s="24"/>
      <c r="C169" s="24"/>
      <c r="D169" s="24"/>
      <c r="E169" s="25">
        <v>1.0</v>
      </c>
      <c r="F169" s="26"/>
      <c r="G169" s="27">
        <f t="shared" si="8"/>
        <v>90</v>
      </c>
      <c r="H169" s="27">
        <f t="shared" si="2"/>
        <v>92.25</v>
      </c>
      <c r="I169" s="28">
        <f t="shared" si="3"/>
        <v>0.07</v>
      </c>
      <c r="J169" s="29">
        <f t="shared" si="4"/>
        <v>99.19354839</v>
      </c>
      <c r="K169" s="30">
        <f t="shared" si="5"/>
        <v>99.19354839</v>
      </c>
      <c r="L169" s="30">
        <f t="shared" si="6"/>
        <v>92.25</v>
      </c>
      <c r="M169" s="31">
        <v>0.07</v>
      </c>
      <c r="N169" s="32" t="str">
        <f>'ALL DATA &amp; IT4PROFIT'!L222</f>
        <v/>
      </c>
      <c r="O169" s="9"/>
      <c r="P169" s="9"/>
      <c r="Q169" s="9"/>
      <c r="R169" s="9"/>
      <c r="S169" s="9"/>
      <c r="T169" s="9"/>
    </row>
    <row r="170" ht="21.0" customHeight="1">
      <c r="A170" s="13"/>
      <c r="B170" s="24"/>
      <c r="C170" s="24"/>
      <c r="D170" s="24"/>
      <c r="E170" s="25">
        <v>1.0</v>
      </c>
      <c r="F170" s="26"/>
      <c r="G170" s="27">
        <f t="shared" si="8"/>
        <v>90</v>
      </c>
      <c r="H170" s="27">
        <f t="shared" si="2"/>
        <v>92.25</v>
      </c>
      <c r="I170" s="28">
        <f t="shared" si="3"/>
        <v>0.07</v>
      </c>
      <c r="J170" s="29">
        <f t="shared" si="4"/>
        <v>99.19354839</v>
      </c>
      <c r="K170" s="30">
        <f t="shared" si="5"/>
        <v>99.19354839</v>
      </c>
      <c r="L170" s="30">
        <f t="shared" si="6"/>
        <v>92.25</v>
      </c>
      <c r="M170" s="31">
        <v>0.07</v>
      </c>
      <c r="N170" s="32" t="str">
        <f>'ALL DATA &amp; IT4PROFIT'!L223</f>
        <v/>
      </c>
      <c r="O170" s="9"/>
      <c r="P170" s="9"/>
      <c r="Q170" s="9"/>
      <c r="R170" s="9"/>
      <c r="S170" s="9"/>
      <c r="T170" s="9"/>
    </row>
    <row r="171" ht="21.0" customHeight="1">
      <c r="A171" s="13"/>
      <c r="B171" s="24"/>
      <c r="C171" s="24"/>
      <c r="D171" s="24"/>
      <c r="E171" s="25">
        <v>1.0</v>
      </c>
      <c r="F171" s="26"/>
      <c r="G171" s="27">
        <f t="shared" si="8"/>
        <v>90</v>
      </c>
      <c r="H171" s="27">
        <f t="shared" si="2"/>
        <v>92.25</v>
      </c>
      <c r="I171" s="28">
        <f t="shared" si="3"/>
        <v>0.07</v>
      </c>
      <c r="J171" s="29">
        <f t="shared" si="4"/>
        <v>99.19354839</v>
      </c>
      <c r="K171" s="30">
        <f t="shared" si="5"/>
        <v>99.19354839</v>
      </c>
      <c r="L171" s="30">
        <f t="shared" si="6"/>
        <v>92.25</v>
      </c>
      <c r="M171" s="31">
        <v>0.07</v>
      </c>
      <c r="N171" s="32" t="str">
        <f>'ALL DATA &amp; IT4PROFIT'!L224</f>
        <v/>
      </c>
      <c r="O171" s="9"/>
      <c r="P171" s="9"/>
      <c r="Q171" s="9"/>
      <c r="R171" s="9"/>
      <c r="S171" s="9"/>
      <c r="T171" s="9"/>
    </row>
    <row r="172" ht="21.0" customHeight="1">
      <c r="A172" s="13"/>
      <c r="B172" s="24"/>
      <c r="C172" s="24"/>
      <c r="D172" s="24"/>
      <c r="E172" s="25">
        <v>1.0</v>
      </c>
      <c r="F172" s="26"/>
      <c r="G172" s="27">
        <f t="shared" si="8"/>
        <v>90</v>
      </c>
      <c r="H172" s="27">
        <f t="shared" si="2"/>
        <v>92.25</v>
      </c>
      <c r="I172" s="28">
        <f t="shared" si="3"/>
        <v>0.07</v>
      </c>
      <c r="J172" s="29">
        <f t="shared" si="4"/>
        <v>99.19354839</v>
      </c>
      <c r="K172" s="30">
        <f t="shared" si="5"/>
        <v>99.19354839</v>
      </c>
      <c r="L172" s="30">
        <f t="shared" si="6"/>
        <v>92.25</v>
      </c>
      <c r="M172" s="31">
        <v>0.07</v>
      </c>
      <c r="N172" s="32" t="str">
        <f>'ALL DATA &amp; IT4PROFIT'!L225</f>
        <v/>
      </c>
      <c r="O172" s="9"/>
      <c r="P172" s="9"/>
      <c r="Q172" s="9"/>
      <c r="R172" s="9"/>
      <c r="S172" s="9"/>
      <c r="T172" s="9"/>
    </row>
    <row r="173" ht="21.0" customHeight="1">
      <c r="A173" s="13"/>
      <c r="B173" s="24"/>
      <c r="C173" s="24"/>
      <c r="D173" s="24"/>
      <c r="E173" s="25">
        <v>1.0</v>
      </c>
      <c r="F173" s="26"/>
      <c r="G173" s="27">
        <f t="shared" si="8"/>
        <v>90</v>
      </c>
      <c r="H173" s="27">
        <f t="shared" si="2"/>
        <v>92.25</v>
      </c>
      <c r="I173" s="28">
        <f t="shared" si="3"/>
        <v>0.07</v>
      </c>
      <c r="J173" s="29">
        <f t="shared" si="4"/>
        <v>99.19354839</v>
      </c>
      <c r="K173" s="30">
        <f t="shared" si="5"/>
        <v>99.19354839</v>
      </c>
      <c r="L173" s="30">
        <f t="shared" si="6"/>
        <v>92.25</v>
      </c>
      <c r="M173" s="31">
        <v>0.07</v>
      </c>
      <c r="N173" s="32" t="str">
        <f>'ALL DATA &amp; IT4PROFIT'!L226</f>
        <v/>
      </c>
      <c r="O173" s="9"/>
      <c r="P173" s="9"/>
      <c r="Q173" s="9"/>
      <c r="R173" s="9"/>
      <c r="S173" s="9"/>
      <c r="T173" s="9"/>
    </row>
    <row r="174" ht="21.0" customHeight="1">
      <c r="A174" s="13"/>
      <c r="B174" s="24"/>
      <c r="C174" s="24"/>
      <c r="D174" s="24"/>
      <c r="E174" s="25">
        <v>1.0</v>
      </c>
      <c r="F174" s="26"/>
      <c r="G174" s="27">
        <f t="shared" si="8"/>
        <v>90</v>
      </c>
      <c r="H174" s="27">
        <f t="shared" si="2"/>
        <v>92.25</v>
      </c>
      <c r="I174" s="28">
        <f t="shared" si="3"/>
        <v>0.07</v>
      </c>
      <c r="J174" s="29">
        <f t="shared" si="4"/>
        <v>99.19354839</v>
      </c>
      <c r="K174" s="30">
        <f t="shared" si="5"/>
        <v>99.19354839</v>
      </c>
      <c r="L174" s="30">
        <f t="shared" si="6"/>
        <v>92.25</v>
      </c>
      <c r="M174" s="31">
        <v>0.07</v>
      </c>
      <c r="N174" s="32" t="str">
        <f>'ALL DATA &amp; IT4PROFIT'!L227</f>
        <v/>
      </c>
      <c r="O174" s="9"/>
      <c r="P174" s="9"/>
      <c r="Q174" s="9"/>
      <c r="R174" s="9"/>
      <c r="S174" s="9"/>
      <c r="T174" s="9"/>
    </row>
    <row r="175" ht="21.0" customHeight="1">
      <c r="A175" s="13"/>
      <c r="B175" s="24"/>
      <c r="C175" s="24"/>
      <c r="D175" s="24"/>
      <c r="E175" s="25">
        <v>1.0</v>
      </c>
      <c r="F175" s="26"/>
      <c r="G175" s="27">
        <f t="shared" si="8"/>
        <v>90</v>
      </c>
      <c r="H175" s="27">
        <f t="shared" si="2"/>
        <v>92.25</v>
      </c>
      <c r="I175" s="28">
        <f t="shared" si="3"/>
        <v>0.07</v>
      </c>
      <c r="J175" s="29">
        <f t="shared" si="4"/>
        <v>99.19354839</v>
      </c>
      <c r="K175" s="30">
        <f t="shared" si="5"/>
        <v>99.19354839</v>
      </c>
      <c r="L175" s="30">
        <f t="shared" si="6"/>
        <v>92.25</v>
      </c>
      <c r="M175" s="31">
        <v>0.07</v>
      </c>
      <c r="N175" s="32" t="str">
        <f>'ALL DATA &amp; IT4PROFIT'!L228</f>
        <v/>
      </c>
      <c r="O175" s="9"/>
      <c r="P175" s="9"/>
      <c r="Q175" s="9"/>
      <c r="R175" s="9"/>
      <c r="S175" s="9"/>
      <c r="T175" s="9"/>
    </row>
    <row r="176" ht="18.0" customHeight="1">
      <c r="A176" s="9"/>
      <c r="B176" s="37"/>
      <c r="C176" s="37"/>
      <c r="D176" s="37"/>
      <c r="E176" s="38"/>
      <c r="F176" s="38"/>
      <c r="G176" s="38"/>
      <c r="H176" s="27">
        <f t="shared" si="2"/>
        <v>0</v>
      </c>
      <c r="I176" s="39"/>
      <c r="J176" s="40" t="s">
        <v>26</v>
      </c>
      <c r="K176" s="41" t="s">
        <v>27</v>
      </c>
      <c r="L176" s="42" t="s">
        <v>27</v>
      </c>
      <c r="M176" s="43"/>
      <c r="N176" s="32" t="str">
        <f>'ALL DATA &amp; IT4PROFIT'!L229</f>
        <v/>
      </c>
      <c r="O176" s="9"/>
      <c r="P176" s="9"/>
      <c r="Q176" s="9"/>
      <c r="R176" s="9"/>
      <c r="S176" s="9"/>
      <c r="T176" s="9"/>
    </row>
    <row r="177" ht="21.75" customHeight="1">
      <c r="A177" s="9"/>
      <c r="B177" s="37"/>
      <c r="C177" s="37"/>
      <c r="D177" s="37"/>
      <c r="E177" s="44"/>
      <c r="F177" s="38"/>
      <c r="G177" s="45"/>
      <c r="H177" s="27">
        <f t="shared" si="2"/>
        <v>0</v>
      </c>
      <c r="I177" s="39"/>
      <c r="J177" s="2">
        <v>1.08</v>
      </c>
      <c r="K177" s="41" t="s">
        <v>28</v>
      </c>
      <c r="L177" s="42" t="s">
        <v>29</v>
      </c>
      <c r="M177" s="43"/>
      <c r="N177" s="32" t="str">
        <f>'ALL DATA &amp; IT4PROFIT'!L230</f>
        <v/>
      </c>
      <c r="O177" s="9"/>
      <c r="P177" s="9"/>
      <c r="Q177" s="9"/>
      <c r="R177" s="9"/>
      <c r="S177" s="9"/>
      <c r="T177" s="9"/>
    </row>
    <row r="178" ht="21.0" customHeight="1">
      <c r="A178" s="9"/>
      <c r="B178" s="46"/>
      <c r="C178" s="46"/>
      <c r="D178" s="46"/>
      <c r="E178" s="44"/>
      <c r="F178" s="44"/>
      <c r="G178" s="45"/>
      <c r="H178" s="45"/>
      <c r="I178" s="47"/>
      <c r="J178" s="45"/>
      <c r="K178" s="48">
        <f t="shared" ref="K178:L178" si="10">SUM(K4:K175)</f>
        <v>142053.196</v>
      </c>
      <c r="L178" s="49">
        <f t="shared" si="10"/>
        <v>132109.4723</v>
      </c>
      <c r="M178" s="43"/>
      <c r="N178" s="32" t="str">
        <f>'ALL DATA &amp; IT4PROFIT'!L231</f>
        <v/>
      </c>
      <c r="O178" s="9"/>
      <c r="P178" s="9"/>
      <c r="Q178" s="9"/>
      <c r="R178" s="9"/>
      <c r="S178" s="9"/>
      <c r="T178" s="9"/>
    </row>
    <row r="179" ht="3.0" customHeight="1">
      <c r="A179" s="9"/>
      <c r="B179" s="46"/>
      <c r="C179" s="46"/>
      <c r="D179" s="46"/>
      <c r="E179" s="44"/>
      <c r="F179" s="44"/>
      <c r="G179" s="45"/>
      <c r="H179" s="9"/>
      <c r="I179" s="47"/>
      <c r="J179" s="45"/>
      <c r="K179" s="41"/>
      <c r="L179" s="50"/>
      <c r="M179" s="43"/>
      <c r="N179" s="45" t="str">
        <f>'ALL DATA &amp; IT4PROFIT'!L232</f>
        <v/>
      </c>
      <c r="O179" s="45"/>
      <c r="P179" s="45"/>
      <c r="Q179" s="45"/>
      <c r="R179" s="45"/>
      <c r="S179" s="45"/>
      <c r="T179" s="9"/>
    </row>
    <row r="180" ht="21.0" customHeight="1">
      <c r="A180" s="9"/>
      <c r="B180" s="46"/>
      <c r="C180" s="46"/>
      <c r="D180" s="46"/>
      <c r="E180" s="44"/>
      <c r="F180" s="44"/>
      <c r="G180" s="45"/>
      <c r="H180" s="45"/>
      <c r="I180" s="47"/>
      <c r="J180" s="45"/>
      <c r="K180" s="51" t="s">
        <v>30</v>
      </c>
      <c r="L180" s="52">
        <f>(K178-L178)/K178</f>
        <v>0.07</v>
      </c>
      <c r="M180" s="43"/>
      <c r="N180" s="32" t="str">
        <f>'ALL DATA &amp; IT4PROFIT'!L233</f>
        <v/>
      </c>
      <c r="O180" s="9"/>
      <c r="P180" s="9"/>
      <c r="Q180" s="9"/>
      <c r="R180" s="9"/>
      <c r="S180" s="9"/>
      <c r="T180" s="9"/>
    </row>
    <row r="181" ht="3.0" customHeight="1">
      <c r="A181" s="9"/>
      <c r="B181" s="46"/>
      <c r="C181" s="46"/>
      <c r="D181" s="46"/>
      <c r="E181" s="44"/>
      <c r="F181" s="44"/>
      <c r="G181" s="45"/>
      <c r="H181" s="45"/>
      <c r="I181" s="47"/>
      <c r="J181" s="45"/>
      <c r="K181" s="41"/>
      <c r="L181" s="50"/>
      <c r="M181" s="43"/>
      <c r="N181" s="45" t="str">
        <f>'ALL DATA &amp; IT4PROFIT'!L234</f>
        <v/>
      </c>
      <c r="O181" s="45"/>
      <c r="P181" s="45"/>
      <c r="Q181" s="45"/>
      <c r="R181" s="45"/>
      <c r="S181" s="45"/>
      <c r="T181" s="9"/>
    </row>
    <row r="182" ht="21.0" customHeight="1">
      <c r="A182" s="9"/>
      <c r="B182" s="46"/>
      <c r="C182" s="46"/>
      <c r="D182" s="46"/>
      <c r="E182" s="44"/>
      <c r="F182" s="44"/>
      <c r="G182" s="46"/>
      <c r="H182" s="46"/>
      <c r="I182" s="47"/>
      <c r="J182" s="46"/>
      <c r="K182" s="51" t="s">
        <v>31</v>
      </c>
      <c r="L182" s="53">
        <f>K178-L178</f>
        <v>9943.723718</v>
      </c>
      <c r="M182" s="43"/>
      <c r="N182" s="32" t="str">
        <f>'ALL DATA &amp; IT4PROFIT'!L235</f>
        <v/>
      </c>
      <c r="O182" s="9"/>
      <c r="P182" s="9"/>
      <c r="Q182" s="9"/>
      <c r="R182" s="9"/>
      <c r="S182" s="9"/>
      <c r="T182" s="9"/>
    </row>
    <row r="183" ht="21.0" customHeight="1">
      <c r="A183" s="9"/>
      <c r="B183" s="9"/>
      <c r="C183" s="9"/>
      <c r="D183" s="9"/>
      <c r="E183" s="10"/>
      <c r="F183" s="10"/>
      <c r="G183" s="9"/>
      <c r="H183" s="9"/>
      <c r="I183" s="11"/>
      <c r="J183" s="9"/>
      <c r="K183" s="9"/>
      <c r="L183" s="9"/>
      <c r="M183" s="43"/>
      <c r="N183" s="32" t="str">
        <f>'ALL DATA &amp; IT4PROFIT'!L236</f>
        <v/>
      </c>
      <c r="O183" s="9"/>
      <c r="P183" s="9"/>
      <c r="Q183" s="9"/>
      <c r="R183" s="9"/>
      <c r="S183" s="9"/>
      <c r="T183" s="9"/>
    </row>
    <row r="184" ht="21.0" customHeight="1">
      <c r="A184" s="9"/>
      <c r="B184" s="9"/>
      <c r="C184" s="9"/>
      <c r="D184" s="9"/>
      <c r="E184" s="10"/>
      <c r="F184" s="10"/>
      <c r="G184" s="9"/>
      <c r="H184" s="9"/>
      <c r="I184" s="11"/>
      <c r="J184" s="9"/>
      <c r="K184" s="9"/>
      <c r="L184" s="9"/>
      <c r="M184" s="43"/>
      <c r="N184" s="32" t="str">
        <f>'ALL DATA &amp; IT4PROFIT'!L237</f>
        <v/>
      </c>
      <c r="O184" s="9"/>
      <c r="P184" s="9"/>
      <c r="Q184" s="9"/>
      <c r="R184" s="9"/>
      <c r="S184" s="9"/>
      <c r="T184" s="9"/>
    </row>
    <row r="185" ht="21.0" customHeight="1">
      <c r="A185" s="9"/>
      <c r="B185" s="9"/>
      <c r="C185" s="9"/>
      <c r="D185" s="9"/>
      <c r="E185" s="10"/>
      <c r="F185" s="10"/>
      <c r="G185" s="9"/>
      <c r="H185" s="9"/>
      <c r="I185" s="11"/>
      <c r="J185" s="9"/>
      <c r="K185" s="9"/>
      <c r="L185" s="9"/>
      <c r="M185" s="43"/>
      <c r="N185" s="32" t="str">
        <f>'ALL DATA &amp; IT4PROFIT'!L238</f>
        <v/>
      </c>
      <c r="O185" s="9"/>
      <c r="P185" s="9"/>
      <c r="Q185" s="9"/>
      <c r="R185" s="9"/>
      <c r="S185" s="9"/>
      <c r="T185" s="9"/>
    </row>
    <row r="186" ht="21.0" customHeight="1">
      <c r="A186" s="9"/>
      <c r="B186" s="9"/>
      <c r="C186" s="9"/>
      <c r="D186" s="9"/>
      <c r="E186" s="10"/>
      <c r="F186" s="10"/>
      <c r="G186" s="9"/>
      <c r="H186" s="9"/>
      <c r="I186" s="11"/>
      <c r="J186" s="9"/>
      <c r="K186" s="9"/>
      <c r="L186" s="9"/>
      <c r="M186" s="43"/>
      <c r="N186" s="32" t="str">
        <f>'ALL DATA &amp; IT4PROFIT'!L239</f>
        <v/>
      </c>
      <c r="O186" s="9"/>
      <c r="P186" s="9"/>
      <c r="Q186" s="9"/>
      <c r="R186" s="9"/>
      <c r="S186" s="9"/>
      <c r="T186" s="9"/>
    </row>
    <row r="187" ht="21.0" customHeight="1">
      <c r="A187" s="9"/>
      <c r="B187" s="9"/>
      <c r="C187" s="9"/>
      <c r="D187" s="9"/>
      <c r="E187" s="10"/>
      <c r="F187" s="10"/>
      <c r="G187" s="9"/>
      <c r="H187" s="9"/>
      <c r="I187" s="11"/>
      <c r="J187" s="9"/>
      <c r="K187" s="9"/>
      <c r="L187" s="9"/>
      <c r="M187" s="43"/>
      <c r="N187" s="32" t="str">
        <f>'ALL DATA &amp; IT4PROFIT'!L240</f>
        <v/>
      </c>
      <c r="O187" s="9"/>
      <c r="P187" s="9"/>
      <c r="Q187" s="9"/>
      <c r="R187" s="9"/>
      <c r="S187" s="9"/>
      <c r="T187" s="9"/>
    </row>
    <row r="188" ht="21.0" customHeight="1">
      <c r="A188" s="9"/>
      <c r="B188" s="9"/>
      <c r="C188" s="65" t="s">
        <v>42</v>
      </c>
      <c r="D188" s="66"/>
      <c r="E188" s="67"/>
      <c r="F188" s="68" t="s">
        <v>43</v>
      </c>
      <c r="G188" s="69"/>
      <c r="H188" s="9"/>
      <c r="I188" s="11"/>
      <c r="J188" s="9"/>
      <c r="K188" s="9"/>
      <c r="L188" s="9"/>
      <c r="M188" s="43"/>
      <c r="N188" s="32" t="str">
        <f>'ALL DATA &amp; IT4PROFIT'!L241</f>
        <v/>
      </c>
      <c r="O188" s="9"/>
      <c r="P188" s="9"/>
      <c r="Q188" s="9"/>
      <c r="R188" s="9"/>
      <c r="S188" s="9"/>
      <c r="T188" s="9"/>
    </row>
    <row r="189" ht="21.0" customHeight="1">
      <c r="A189" s="9"/>
      <c r="B189" s="9"/>
      <c r="C189" s="70" t="s">
        <v>44</v>
      </c>
      <c r="D189" s="70"/>
      <c r="E189" s="71">
        <v>0.025</v>
      </c>
      <c r="F189" s="72" t="s">
        <v>45</v>
      </c>
      <c r="G189" s="73">
        <v>500.0</v>
      </c>
      <c r="H189" s="9"/>
      <c r="I189" s="11"/>
      <c r="J189" s="9"/>
      <c r="K189" s="9"/>
      <c r="L189" s="9"/>
      <c r="M189" s="43"/>
      <c r="N189" s="32" t="str">
        <f>'ALL DATA &amp; IT4PROFIT'!L242</f>
        <v/>
      </c>
      <c r="O189" s="9"/>
      <c r="P189" s="9"/>
      <c r="Q189" s="9"/>
      <c r="R189" s="9"/>
      <c r="S189" s="9"/>
      <c r="T189" s="9"/>
    </row>
    <row r="190" ht="21.0" customHeight="1">
      <c r="A190" s="9"/>
      <c r="B190" s="9"/>
      <c r="C190" s="70" t="s">
        <v>46</v>
      </c>
      <c r="D190" s="70"/>
      <c r="E190" s="71">
        <v>0.025</v>
      </c>
      <c r="F190" s="72" t="s">
        <v>47</v>
      </c>
      <c r="G190" s="73">
        <v>90.0</v>
      </c>
      <c r="H190" s="9"/>
      <c r="I190" s="11"/>
      <c r="J190" s="9"/>
      <c r="K190" s="9"/>
      <c r="L190" s="9"/>
      <c r="M190" s="43"/>
      <c r="N190" s="32" t="str">
        <f>'ALL DATA &amp; IT4PROFIT'!L243</f>
        <v/>
      </c>
      <c r="O190" s="9"/>
      <c r="P190" s="9"/>
      <c r="Q190" s="9"/>
      <c r="R190" s="9"/>
      <c r="S190" s="9"/>
      <c r="T190" s="9"/>
    </row>
    <row r="191" ht="21.0" customHeight="1">
      <c r="A191" s="9"/>
      <c r="B191" s="9"/>
      <c r="C191" s="70" t="s">
        <v>48</v>
      </c>
      <c r="D191" s="70"/>
      <c r="E191" s="71"/>
      <c r="F191" s="72" t="s">
        <v>49</v>
      </c>
      <c r="G191" s="73">
        <v>5.0</v>
      </c>
      <c r="H191" s="9"/>
      <c r="I191" s="11"/>
      <c r="J191" s="9"/>
      <c r="K191" s="9"/>
      <c r="L191" s="9"/>
      <c r="M191" s="43"/>
      <c r="N191" s="32" t="str">
        <f>'ALL DATA &amp; IT4PROFIT'!L244</f>
        <v/>
      </c>
      <c r="O191" s="9"/>
      <c r="P191" s="9"/>
      <c r="Q191" s="9"/>
      <c r="R191" s="9"/>
      <c r="S191" s="9"/>
      <c r="T191" s="9"/>
    </row>
    <row r="192" ht="21.0" customHeight="1">
      <c r="A192" s="9"/>
      <c r="B192" s="9"/>
      <c r="C192" s="70" t="s">
        <v>50</v>
      </c>
      <c r="D192" s="70"/>
      <c r="E192" s="71"/>
      <c r="F192" s="72"/>
      <c r="G192" s="73"/>
      <c r="H192" s="9"/>
      <c r="I192" s="11"/>
      <c r="J192" s="9"/>
      <c r="K192" s="9"/>
      <c r="L192" s="9"/>
      <c r="M192" s="43"/>
      <c r="N192" s="32" t="str">
        <f>'ALL DATA &amp; IT4PROFIT'!L245</f>
        <v/>
      </c>
      <c r="O192" s="9"/>
      <c r="P192" s="9"/>
      <c r="Q192" s="9"/>
      <c r="R192" s="9"/>
      <c r="S192" s="9"/>
      <c r="T192" s="9"/>
    </row>
    <row r="193" ht="21.0" customHeight="1">
      <c r="A193" s="9"/>
      <c r="B193" s="9"/>
      <c r="C193" s="70"/>
      <c r="D193" s="70"/>
      <c r="E193" s="71">
        <v>0.03</v>
      </c>
      <c r="F193" s="72"/>
      <c r="G193" s="73"/>
      <c r="H193" s="12"/>
      <c r="I193" s="11"/>
      <c r="J193" s="9"/>
      <c r="K193" s="9"/>
      <c r="L193" s="9"/>
      <c r="M193" s="12"/>
      <c r="N193" s="32" t="str">
        <f>'ALL DATA &amp; IT4PROFIT'!L246</f>
        <v/>
      </c>
      <c r="O193" s="9"/>
      <c r="P193" s="9"/>
      <c r="Q193" s="9"/>
      <c r="R193" s="9"/>
      <c r="S193" s="9"/>
      <c r="T193" s="9"/>
    </row>
    <row r="194" ht="21.0" customHeight="1">
      <c r="A194" s="9"/>
      <c r="B194" s="9"/>
      <c r="C194" s="70"/>
      <c r="D194" s="70"/>
      <c r="E194" s="71">
        <v>0.03</v>
      </c>
      <c r="F194" s="72"/>
      <c r="G194" s="73"/>
      <c r="H194" s="12"/>
      <c r="I194" s="11"/>
      <c r="J194" s="9"/>
      <c r="K194" s="9"/>
      <c r="L194" s="9"/>
      <c r="M194" s="12"/>
      <c r="N194" s="32" t="str">
        <f>'ALL DATA &amp; IT4PROFIT'!L247</f>
        <v/>
      </c>
      <c r="O194" s="9"/>
      <c r="P194" s="9"/>
      <c r="Q194" s="9"/>
      <c r="R194" s="9"/>
      <c r="S194" s="9"/>
      <c r="T194" s="9"/>
    </row>
    <row r="195" ht="21.0" customHeight="1">
      <c r="A195" s="9"/>
      <c r="B195" s="9"/>
      <c r="C195" s="70"/>
      <c r="D195" s="70"/>
      <c r="E195" s="71">
        <v>0.025</v>
      </c>
      <c r="F195" s="72"/>
      <c r="G195" s="73"/>
      <c r="H195" s="12"/>
      <c r="I195" s="11"/>
      <c r="J195" s="9"/>
      <c r="K195" s="9"/>
      <c r="L195" s="9"/>
      <c r="M195" s="12"/>
      <c r="N195" s="32" t="str">
        <f>'ALL DATA &amp; IT4PROFIT'!L248</f>
        <v/>
      </c>
      <c r="O195" s="9"/>
      <c r="P195" s="9"/>
      <c r="Q195" s="9"/>
      <c r="R195" s="9"/>
      <c r="S195" s="9"/>
      <c r="T195" s="9"/>
    </row>
    <row r="196" ht="21.0" customHeight="1">
      <c r="A196" s="9"/>
      <c r="B196" s="9"/>
      <c r="C196" s="70"/>
      <c r="D196" s="70"/>
      <c r="E196" s="71">
        <v>0.025</v>
      </c>
      <c r="F196" s="72"/>
      <c r="G196" s="73"/>
      <c r="H196" s="12"/>
      <c r="I196" s="11"/>
      <c r="J196" s="9"/>
      <c r="K196" s="9"/>
      <c r="L196" s="9"/>
      <c r="M196" s="12"/>
      <c r="N196" s="32" t="str">
        <f>'ALL DATA &amp; IT4PROFIT'!L249</f>
        <v/>
      </c>
      <c r="O196" s="9"/>
      <c r="P196" s="9"/>
      <c r="Q196" s="9"/>
      <c r="R196" s="9"/>
      <c r="S196" s="9"/>
      <c r="T196" s="9"/>
    </row>
    <row r="197" ht="21.0" customHeight="1">
      <c r="A197" s="9"/>
      <c r="B197" s="9"/>
      <c r="C197" s="70"/>
      <c r="D197" s="70"/>
      <c r="E197" s="71">
        <v>0.025</v>
      </c>
      <c r="F197" s="72"/>
      <c r="G197" s="73"/>
      <c r="H197" s="12"/>
      <c r="I197" s="11"/>
      <c r="J197" s="9"/>
      <c r="K197" s="9"/>
      <c r="L197" s="9"/>
      <c r="M197" s="12"/>
      <c r="N197" s="32" t="str">
        <f>'ALL DATA &amp; IT4PROFIT'!L250</f>
        <v/>
      </c>
      <c r="O197" s="9"/>
      <c r="P197" s="9"/>
      <c r="Q197" s="9"/>
      <c r="R197" s="9"/>
      <c r="S197" s="9"/>
      <c r="T197" s="9"/>
    </row>
    <row r="198" ht="21.0" customHeight="1">
      <c r="A198" s="9"/>
      <c r="B198" s="9"/>
      <c r="C198" s="70"/>
      <c r="D198" s="70"/>
      <c r="E198" s="71">
        <v>0.04</v>
      </c>
      <c r="F198" s="72"/>
      <c r="G198" s="73"/>
      <c r="H198" s="12"/>
      <c r="I198" s="11"/>
      <c r="J198" s="9"/>
      <c r="K198" s="9"/>
      <c r="L198" s="9"/>
      <c r="M198" s="12"/>
      <c r="N198" s="32" t="str">
        <f>'ALL DATA &amp; IT4PROFIT'!L251</f>
        <v/>
      </c>
      <c r="O198" s="9"/>
      <c r="P198" s="9"/>
      <c r="Q198" s="9"/>
      <c r="R198" s="9"/>
      <c r="S198" s="9"/>
      <c r="T198" s="9"/>
    </row>
    <row r="199" ht="21.0" customHeight="1">
      <c r="A199" s="9"/>
      <c r="B199" s="9"/>
      <c r="C199" s="70"/>
      <c r="D199" s="70"/>
      <c r="E199" s="71">
        <v>0.06</v>
      </c>
      <c r="F199" s="72"/>
      <c r="G199" s="73"/>
      <c r="H199" s="12"/>
      <c r="I199" s="11"/>
      <c r="J199" s="9"/>
      <c r="K199" s="9"/>
      <c r="L199" s="9"/>
      <c r="M199" s="12"/>
      <c r="N199" s="32" t="str">
        <f>'ALL DATA &amp; IT4PROFIT'!L252</f>
        <v/>
      </c>
      <c r="O199" s="9"/>
      <c r="P199" s="9"/>
      <c r="Q199" s="9"/>
      <c r="R199" s="9"/>
      <c r="S199" s="9"/>
      <c r="T199" s="9"/>
    </row>
    <row r="200" ht="21.0" customHeight="1">
      <c r="A200" s="9"/>
      <c r="B200" s="9"/>
      <c r="C200" s="70"/>
      <c r="D200" s="70"/>
      <c r="E200" s="71">
        <v>0.025</v>
      </c>
      <c r="F200" s="72"/>
      <c r="G200" s="73"/>
      <c r="H200" s="12"/>
      <c r="I200" s="11"/>
      <c r="J200" s="9"/>
      <c r="K200" s="9"/>
      <c r="L200" s="9"/>
      <c r="M200" s="12"/>
      <c r="N200" s="32" t="str">
        <f>'ALL DATA &amp; IT4PROFIT'!L253</f>
        <v/>
      </c>
      <c r="O200" s="9"/>
      <c r="P200" s="9"/>
      <c r="Q200" s="9"/>
      <c r="R200" s="9"/>
      <c r="S200" s="9"/>
      <c r="T200" s="9"/>
    </row>
    <row r="201" ht="21.0" customHeight="1">
      <c r="A201" s="9"/>
      <c r="B201" s="9"/>
      <c r="C201" s="70"/>
      <c r="D201" s="70"/>
      <c r="E201" s="71">
        <v>0.06</v>
      </c>
      <c r="F201" s="72"/>
      <c r="G201" s="73"/>
      <c r="H201" s="12"/>
      <c r="I201" s="11"/>
      <c r="J201" s="9"/>
      <c r="K201" s="9"/>
      <c r="L201" s="9"/>
      <c r="M201" s="12"/>
      <c r="N201" s="32">
        <f>'ALL DATA &amp; IT4PROFIT'!L254</f>
        <v>0.17</v>
      </c>
      <c r="O201" s="9"/>
      <c r="P201" s="9"/>
      <c r="Q201" s="9"/>
      <c r="R201" s="9"/>
      <c r="S201" s="9"/>
      <c r="T201" s="9"/>
    </row>
    <row r="202" ht="21.0" customHeight="1">
      <c r="A202" s="9"/>
      <c r="B202" s="9"/>
      <c r="C202" s="70"/>
      <c r="D202" s="70"/>
      <c r="E202" s="71">
        <v>0.025</v>
      </c>
      <c r="F202" s="72"/>
      <c r="G202" s="73"/>
      <c r="H202" s="12"/>
      <c r="I202" s="11"/>
      <c r="J202" s="9"/>
      <c r="K202" s="9"/>
      <c r="L202" s="9"/>
      <c r="M202" s="12"/>
      <c r="N202" s="32">
        <f>'ALL DATA &amp; IT4PROFIT'!L255</f>
        <v>0.18</v>
      </c>
      <c r="O202" s="9"/>
      <c r="P202" s="9"/>
      <c r="Q202" s="9"/>
      <c r="R202" s="9"/>
      <c r="S202" s="9"/>
      <c r="T202" s="9"/>
    </row>
    <row r="203" ht="21.0" customHeight="1">
      <c r="A203" s="9"/>
      <c r="B203" s="9"/>
      <c r="C203" s="70"/>
      <c r="D203" s="70"/>
      <c r="E203" s="71">
        <v>0.025</v>
      </c>
      <c r="F203" s="72"/>
      <c r="G203" s="73"/>
      <c r="H203" s="12"/>
      <c r="I203" s="11"/>
      <c r="J203" s="9"/>
      <c r="K203" s="9"/>
      <c r="L203" s="9"/>
      <c r="M203" s="12"/>
      <c r="N203" s="32">
        <f>'ALL DATA &amp; IT4PROFIT'!L256</f>
        <v>0.27</v>
      </c>
      <c r="O203" s="9"/>
      <c r="P203" s="9"/>
      <c r="Q203" s="9"/>
      <c r="R203" s="9"/>
      <c r="S203" s="9"/>
      <c r="T203" s="9"/>
    </row>
    <row r="204" ht="21.0" customHeight="1">
      <c r="A204" s="9"/>
      <c r="B204" s="9"/>
      <c r="C204" s="70"/>
      <c r="D204" s="70"/>
      <c r="E204" s="71">
        <v>0.025</v>
      </c>
      <c r="F204" s="72"/>
      <c r="G204" s="73"/>
      <c r="H204" s="12"/>
      <c r="I204" s="11"/>
      <c r="J204" s="9"/>
      <c r="K204" s="9"/>
      <c r="L204" s="9"/>
      <c r="M204" s="12"/>
      <c r="N204" s="32">
        <f>'ALL DATA &amp; IT4PROFIT'!L257</f>
        <v>0.2</v>
      </c>
      <c r="O204" s="9"/>
      <c r="P204" s="9"/>
      <c r="Q204" s="9"/>
      <c r="R204" s="9"/>
      <c r="S204" s="9"/>
      <c r="T204" s="9"/>
    </row>
    <row r="205" ht="21.0" customHeight="1">
      <c r="A205" s="9"/>
      <c r="B205" s="9"/>
      <c r="C205" s="70"/>
      <c r="D205" s="70"/>
      <c r="E205" s="71">
        <v>0.025</v>
      </c>
      <c r="F205" s="72"/>
      <c r="G205" s="73"/>
      <c r="H205" s="12"/>
      <c r="I205" s="11"/>
      <c r="J205" s="9"/>
      <c r="K205" s="9"/>
      <c r="L205" s="9"/>
      <c r="M205" s="12"/>
      <c r="N205" s="32" t="str">
        <f>'ALL DATA &amp; IT4PROFIT'!L258</f>
        <v/>
      </c>
      <c r="O205" s="9"/>
      <c r="P205" s="9"/>
      <c r="Q205" s="9"/>
      <c r="R205" s="9"/>
      <c r="S205" s="9"/>
      <c r="T205" s="9"/>
    </row>
    <row r="206" ht="21.0" customHeight="1">
      <c r="A206" s="9"/>
      <c r="B206" s="9"/>
      <c r="C206" s="70"/>
      <c r="D206" s="70"/>
      <c r="E206" s="71">
        <v>0.025</v>
      </c>
      <c r="F206" s="72"/>
      <c r="G206" s="73"/>
      <c r="H206" s="12"/>
      <c r="I206" s="11"/>
      <c r="J206" s="9"/>
      <c r="K206" s="9"/>
      <c r="L206" s="9"/>
      <c r="M206" s="12"/>
      <c r="N206" s="32" t="str">
        <f>'ALL DATA &amp; IT4PROFIT'!L259</f>
        <v/>
      </c>
      <c r="O206" s="9"/>
      <c r="P206" s="9"/>
      <c r="Q206" s="9"/>
      <c r="R206" s="9"/>
      <c r="S206" s="9"/>
      <c r="T206" s="9"/>
    </row>
    <row r="207" ht="21.0" customHeight="1">
      <c r="A207" s="9"/>
      <c r="B207" s="9"/>
      <c r="C207" s="70"/>
      <c r="D207" s="70"/>
      <c r="E207" s="71">
        <v>0.025</v>
      </c>
      <c r="F207" s="72"/>
      <c r="G207" s="73"/>
      <c r="H207" s="12"/>
      <c r="I207" s="11"/>
      <c r="J207" s="9"/>
      <c r="K207" s="9"/>
      <c r="L207" s="9"/>
      <c r="M207" s="12"/>
      <c r="N207" s="32" t="str">
        <f>'ALL DATA &amp; IT4PROFIT'!L260</f>
        <v/>
      </c>
      <c r="O207" s="9"/>
      <c r="P207" s="9"/>
      <c r="Q207" s="9"/>
      <c r="R207" s="9"/>
      <c r="S207" s="9"/>
      <c r="T207" s="9"/>
    </row>
    <row r="208" ht="21.0" customHeight="1">
      <c r="A208" s="9"/>
      <c r="B208" s="9"/>
      <c r="C208" s="74"/>
      <c r="D208" s="74"/>
      <c r="E208" s="71">
        <v>0.025</v>
      </c>
      <c r="F208" s="72"/>
      <c r="G208" s="73"/>
      <c r="H208" s="12"/>
      <c r="I208" s="11"/>
      <c r="J208" s="9"/>
      <c r="K208" s="9"/>
      <c r="L208" s="9"/>
      <c r="M208" s="12"/>
      <c r="N208" s="32" t="str">
        <f>'ALL DATA &amp; IT4PROFIT'!L261</f>
        <v/>
      </c>
      <c r="O208" s="9"/>
      <c r="P208" s="9"/>
      <c r="Q208" s="9"/>
      <c r="R208" s="9"/>
      <c r="S208" s="9"/>
      <c r="T208" s="9"/>
    </row>
    <row r="209" ht="21.0" customHeight="1">
      <c r="A209" s="9"/>
      <c r="B209" s="9"/>
      <c r="C209" s="74"/>
      <c r="D209" s="74"/>
      <c r="E209" s="71">
        <v>0.025</v>
      </c>
      <c r="F209" s="72"/>
      <c r="G209" s="73"/>
      <c r="H209" s="9"/>
      <c r="I209" s="11"/>
      <c r="J209" s="9"/>
      <c r="K209" s="9"/>
      <c r="L209" s="9"/>
      <c r="M209" s="9"/>
      <c r="N209" s="32" t="str">
        <f>'ALL DATA &amp; IT4PROFIT'!L262</f>
        <v/>
      </c>
      <c r="O209" s="9"/>
      <c r="P209" s="9"/>
      <c r="Q209" s="9"/>
      <c r="R209" s="9"/>
      <c r="S209" s="9"/>
      <c r="T209" s="9"/>
    </row>
    <row r="210" ht="21.0" customHeight="1">
      <c r="A210" s="9"/>
      <c r="B210" s="9"/>
      <c r="C210" s="74"/>
      <c r="D210" s="74"/>
      <c r="E210" s="71">
        <v>0.025</v>
      </c>
      <c r="F210" s="72"/>
      <c r="G210" s="73"/>
      <c r="H210" s="9"/>
      <c r="I210" s="11"/>
      <c r="J210" s="9"/>
      <c r="K210" s="9"/>
      <c r="L210" s="9"/>
      <c r="M210" s="9"/>
      <c r="N210" s="32" t="str">
        <f>'ALL DATA &amp; IT4PROFIT'!L263</f>
        <v/>
      </c>
      <c r="O210" s="9"/>
      <c r="P210" s="9"/>
      <c r="Q210" s="9"/>
      <c r="R210" s="9"/>
      <c r="S210" s="9"/>
      <c r="T210" s="9"/>
    </row>
    <row r="211" ht="21.0" customHeight="1">
      <c r="A211" s="9"/>
      <c r="B211" s="9"/>
      <c r="C211" s="74"/>
      <c r="D211" s="74"/>
      <c r="E211" s="71">
        <v>0.025</v>
      </c>
      <c r="F211" s="72"/>
      <c r="G211" s="73"/>
      <c r="H211" s="9"/>
      <c r="I211" s="11"/>
      <c r="J211" s="9"/>
      <c r="K211" s="9"/>
      <c r="L211" s="9"/>
      <c r="M211" s="9"/>
      <c r="N211" s="32" t="str">
        <f>'ALL DATA &amp; IT4PROFIT'!L264</f>
        <v/>
      </c>
      <c r="O211" s="9"/>
      <c r="P211" s="9"/>
      <c r="Q211" s="9"/>
      <c r="R211" s="9"/>
      <c r="S211" s="9"/>
      <c r="T211" s="9"/>
    </row>
    <row r="212" ht="21.0" customHeight="1">
      <c r="A212" s="9"/>
      <c r="B212" s="9"/>
      <c r="C212" s="74"/>
      <c r="D212" s="74"/>
      <c r="E212" s="71">
        <v>0.025</v>
      </c>
      <c r="F212" s="75"/>
      <c r="G212" s="9"/>
      <c r="H212" s="9"/>
      <c r="I212" s="11"/>
      <c r="J212" s="9"/>
      <c r="K212" s="9"/>
      <c r="L212" s="9"/>
      <c r="M212" s="9"/>
      <c r="N212" s="32" t="str">
        <f>'ALL DATA &amp; IT4PROFIT'!L265</f>
        <v/>
      </c>
      <c r="O212" s="9"/>
      <c r="P212" s="9"/>
      <c r="Q212" s="9"/>
      <c r="R212" s="9"/>
      <c r="S212" s="9"/>
      <c r="T212" s="9"/>
    </row>
    <row r="213" ht="21.0" customHeight="1">
      <c r="A213" s="9"/>
      <c r="B213" s="9"/>
      <c r="C213" s="74"/>
      <c r="D213" s="74"/>
      <c r="E213" s="71">
        <v>0.025</v>
      </c>
      <c r="F213" s="75"/>
      <c r="G213" s="9"/>
      <c r="H213" s="9"/>
      <c r="I213" s="11"/>
      <c r="J213" s="9"/>
      <c r="K213" s="9"/>
      <c r="L213" s="9"/>
      <c r="M213" s="9"/>
      <c r="N213" s="32" t="str">
        <f>'ALL DATA &amp; IT4PROFIT'!L266</f>
        <v/>
      </c>
      <c r="O213" s="9"/>
      <c r="P213" s="9"/>
      <c r="Q213" s="9"/>
      <c r="R213" s="9"/>
      <c r="S213" s="9"/>
      <c r="T213" s="9"/>
    </row>
    <row r="214" ht="21.0" customHeight="1">
      <c r="A214" s="9"/>
      <c r="B214" s="9"/>
      <c r="C214" s="74"/>
      <c r="D214" s="74"/>
      <c r="E214" s="71">
        <v>0.025</v>
      </c>
      <c r="F214" s="75"/>
      <c r="G214" s="12"/>
      <c r="H214" s="9"/>
      <c r="I214" s="76"/>
      <c r="J214" s="9"/>
      <c r="K214" s="9"/>
      <c r="L214" s="9"/>
      <c r="M214" s="9"/>
      <c r="N214" s="32" t="str">
        <f>'ALL DATA &amp; IT4PROFIT'!L267</f>
        <v/>
      </c>
      <c r="O214" s="9"/>
      <c r="P214" s="9"/>
      <c r="Q214" s="9"/>
      <c r="R214" s="9"/>
      <c r="S214" s="9"/>
      <c r="T214" s="9"/>
    </row>
    <row r="215" ht="21.0" customHeight="1">
      <c r="A215" s="9"/>
      <c r="B215" s="9"/>
      <c r="C215" s="74"/>
      <c r="D215" s="74"/>
      <c r="E215" s="71">
        <v>0.025</v>
      </c>
      <c r="F215" s="75"/>
      <c r="G215" s="9"/>
      <c r="H215" s="9"/>
      <c r="I215" s="11"/>
      <c r="J215" s="9"/>
      <c r="K215" s="9"/>
      <c r="L215" s="9"/>
      <c r="M215" s="9"/>
      <c r="N215" s="32" t="str">
        <f>'ALL DATA &amp; IT4PROFIT'!L268</f>
        <v/>
      </c>
      <c r="O215" s="9"/>
      <c r="P215" s="9"/>
      <c r="Q215" s="9"/>
      <c r="R215" s="9"/>
      <c r="S215" s="9"/>
      <c r="T215" s="9"/>
    </row>
    <row r="216" ht="21.0" customHeight="1">
      <c r="A216" s="9"/>
      <c r="B216" s="9"/>
      <c r="C216" s="74"/>
      <c r="D216" s="74"/>
      <c r="E216" s="71">
        <v>0.025</v>
      </c>
      <c r="F216" s="75"/>
      <c r="G216" s="12"/>
      <c r="H216" s="9"/>
      <c r="I216" s="76"/>
      <c r="J216" s="9"/>
      <c r="K216" s="9"/>
      <c r="L216" s="9"/>
      <c r="M216" s="9"/>
      <c r="N216" s="32" t="str">
        <f>'ALL DATA &amp; IT4PROFIT'!L269</f>
        <v/>
      </c>
      <c r="O216" s="9"/>
      <c r="P216" s="9"/>
      <c r="Q216" s="9"/>
      <c r="R216" s="9"/>
      <c r="S216" s="9"/>
      <c r="T216" s="9"/>
    </row>
    <row r="217" ht="21.0" customHeight="1">
      <c r="A217" s="9"/>
      <c r="B217" s="9"/>
      <c r="C217" s="74"/>
      <c r="D217" s="74"/>
      <c r="E217" s="71">
        <v>0.025</v>
      </c>
      <c r="F217" s="75"/>
      <c r="G217" s="9"/>
      <c r="H217" s="9"/>
      <c r="I217" s="11"/>
      <c r="J217" s="9"/>
      <c r="K217" s="9"/>
      <c r="L217" s="9"/>
      <c r="M217" s="9"/>
      <c r="N217" s="32" t="str">
        <f>'ALL DATA &amp; IT4PROFIT'!L270</f>
        <v/>
      </c>
      <c r="O217" s="9"/>
      <c r="P217" s="9"/>
      <c r="Q217" s="9"/>
      <c r="R217" s="9"/>
      <c r="S217" s="9"/>
      <c r="T217" s="9"/>
    </row>
    <row r="218" ht="21.0" customHeight="1">
      <c r="A218" s="9"/>
      <c r="B218" s="9"/>
      <c r="C218" s="74"/>
      <c r="D218" s="74"/>
      <c r="E218" s="71">
        <v>0.025</v>
      </c>
      <c r="F218" s="75"/>
      <c r="G218" s="9"/>
      <c r="H218" s="9"/>
      <c r="I218" s="11"/>
      <c r="J218" s="9"/>
      <c r="K218" s="9"/>
      <c r="L218" s="9"/>
      <c r="M218" s="9"/>
      <c r="N218" s="32" t="str">
        <f>'ALL DATA &amp; IT4PROFIT'!L271</f>
        <v/>
      </c>
      <c r="O218" s="9"/>
      <c r="P218" s="9"/>
      <c r="Q218" s="9"/>
      <c r="R218" s="9"/>
      <c r="S218" s="9"/>
      <c r="T218" s="9"/>
    </row>
    <row r="219" ht="21.0" customHeight="1">
      <c r="A219" s="9"/>
      <c r="B219" s="9"/>
      <c r="C219" s="74"/>
      <c r="D219" s="74"/>
      <c r="E219" s="71">
        <v>0.025</v>
      </c>
      <c r="F219" s="75"/>
      <c r="G219" s="9"/>
      <c r="H219" s="9"/>
      <c r="I219" s="11"/>
      <c r="J219" s="9"/>
      <c r="K219" s="9"/>
      <c r="L219" s="9"/>
      <c r="M219" s="9"/>
      <c r="N219" s="32" t="str">
        <f>'ALL DATA &amp; IT4PROFIT'!L272</f>
        <v/>
      </c>
      <c r="O219" s="9"/>
      <c r="P219" s="9"/>
      <c r="Q219" s="9"/>
      <c r="R219" s="9"/>
      <c r="S219" s="9"/>
      <c r="T219" s="9"/>
    </row>
    <row r="220" ht="21.0" customHeight="1">
      <c r="A220" s="9"/>
      <c r="B220" s="9"/>
      <c r="C220" s="74"/>
      <c r="D220" s="74"/>
      <c r="E220" s="71">
        <v>0.025</v>
      </c>
      <c r="F220" s="75"/>
      <c r="G220" s="9"/>
      <c r="H220" s="9"/>
      <c r="I220" s="11"/>
      <c r="J220" s="9"/>
      <c r="K220" s="9"/>
      <c r="L220" s="9"/>
      <c r="M220" s="9"/>
      <c r="N220" s="32" t="str">
        <f>'ALL DATA &amp; IT4PROFIT'!L273</f>
        <v/>
      </c>
      <c r="O220" s="9"/>
      <c r="P220" s="9"/>
      <c r="Q220" s="9"/>
      <c r="R220" s="9"/>
      <c r="S220" s="9"/>
      <c r="T220" s="9"/>
    </row>
    <row r="221" ht="21.0" customHeight="1">
      <c r="A221" s="9"/>
      <c r="B221" s="9"/>
      <c r="C221" s="74"/>
      <c r="D221" s="74"/>
      <c r="E221" s="71">
        <v>0.025</v>
      </c>
      <c r="F221" s="75"/>
      <c r="G221" s="9"/>
      <c r="H221" s="9"/>
      <c r="I221" s="11"/>
      <c r="J221" s="9"/>
      <c r="K221" s="9"/>
      <c r="L221" s="9"/>
      <c r="M221" s="9"/>
      <c r="N221" s="32" t="str">
        <f>'ALL DATA &amp; IT4PROFIT'!L274</f>
        <v/>
      </c>
      <c r="O221" s="9"/>
      <c r="P221" s="9"/>
      <c r="Q221" s="9"/>
      <c r="R221" s="9"/>
      <c r="S221" s="9"/>
      <c r="T221" s="9"/>
    </row>
    <row r="222" ht="21.0" customHeight="1">
      <c r="A222" s="9"/>
      <c r="B222" s="9"/>
      <c r="C222" s="74"/>
      <c r="D222" s="74"/>
      <c r="E222" s="71">
        <v>0.025</v>
      </c>
      <c r="F222" s="75"/>
      <c r="G222" s="12"/>
      <c r="H222" s="9"/>
      <c r="I222" s="76"/>
      <c r="J222" s="9"/>
      <c r="K222" s="9"/>
      <c r="L222" s="9"/>
      <c r="M222" s="9"/>
      <c r="N222" s="32" t="str">
        <f>'ALL DATA &amp; IT4PROFIT'!L275</f>
        <v/>
      </c>
      <c r="O222" s="9"/>
      <c r="P222" s="9"/>
      <c r="Q222" s="9"/>
      <c r="R222" s="9"/>
      <c r="S222" s="9"/>
      <c r="T222" s="9"/>
    </row>
    <row r="223" ht="21.0" customHeight="1">
      <c r="A223" s="9"/>
      <c r="B223" s="9"/>
      <c r="C223" s="74"/>
      <c r="D223" s="74"/>
      <c r="E223" s="71">
        <v>0.025</v>
      </c>
      <c r="F223" s="75"/>
      <c r="G223" s="9"/>
      <c r="H223" s="9"/>
      <c r="I223" s="11"/>
      <c r="J223" s="9"/>
      <c r="K223" s="9"/>
      <c r="L223" s="9"/>
      <c r="M223" s="9"/>
      <c r="N223" s="32" t="str">
        <f>'ALL DATA &amp; IT4PROFIT'!L276</f>
        <v/>
      </c>
      <c r="O223" s="9"/>
      <c r="P223" s="9"/>
      <c r="Q223" s="9"/>
      <c r="R223" s="9"/>
      <c r="S223" s="9"/>
      <c r="T223" s="9"/>
    </row>
    <row r="224" ht="21.0" customHeight="1">
      <c r="A224" s="9"/>
      <c r="B224" s="9"/>
      <c r="C224" s="74"/>
      <c r="D224" s="74"/>
      <c r="E224" s="71">
        <v>0.025</v>
      </c>
      <c r="F224" s="75"/>
      <c r="G224" s="9"/>
      <c r="H224" s="9"/>
      <c r="I224" s="11"/>
      <c r="J224" s="9"/>
      <c r="K224" s="9"/>
      <c r="L224" s="9"/>
      <c r="M224" s="9"/>
      <c r="N224" s="32" t="str">
        <f>'ALL DATA &amp; IT4PROFIT'!L277</f>
        <v/>
      </c>
      <c r="O224" s="9"/>
      <c r="P224" s="9"/>
      <c r="Q224" s="9"/>
      <c r="R224" s="9"/>
      <c r="S224" s="9"/>
      <c r="T224" s="9"/>
    </row>
    <row r="225" ht="21.0" customHeight="1">
      <c r="A225" s="9"/>
      <c r="B225" s="9"/>
      <c r="C225" s="74"/>
      <c r="D225" s="74"/>
      <c r="E225" s="71">
        <v>0.025</v>
      </c>
      <c r="F225" s="75"/>
      <c r="G225" s="9"/>
      <c r="H225" s="9"/>
      <c r="I225" s="11"/>
      <c r="J225" s="9"/>
      <c r="K225" s="9"/>
      <c r="L225" s="9"/>
      <c r="M225" s="9"/>
      <c r="N225" s="32" t="str">
        <f>'ALL DATA &amp; IT4PROFIT'!L278</f>
        <v/>
      </c>
      <c r="O225" s="9"/>
      <c r="P225" s="9"/>
      <c r="Q225" s="9"/>
      <c r="R225" s="9"/>
      <c r="S225" s="9"/>
      <c r="T225" s="9"/>
    </row>
    <row r="226" ht="21.0" customHeight="1">
      <c r="A226" s="9"/>
      <c r="B226" s="9"/>
      <c r="C226" s="74"/>
      <c r="D226" s="74"/>
      <c r="E226" s="71">
        <v>0.06</v>
      </c>
      <c r="F226" s="75"/>
      <c r="G226" s="9"/>
      <c r="H226" s="9"/>
      <c r="I226" s="11"/>
      <c r="J226" s="9"/>
      <c r="K226" s="9"/>
      <c r="L226" s="9"/>
      <c r="M226" s="9"/>
      <c r="N226" s="32" t="str">
        <f>'ALL DATA &amp; IT4PROFIT'!L279</f>
        <v/>
      </c>
      <c r="O226" s="9"/>
      <c r="P226" s="9"/>
      <c r="Q226" s="9"/>
      <c r="R226" s="9"/>
      <c r="S226" s="9"/>
      <c r="T226" s="9"/>
    </row>
    <row r="227" ht="21.0" customHeight="1">
      <c r="A227" s="9"/>
      <c r="B227" s="9"/>
      <c r="C227" s="74"/>
      <c r="D227" s="74"/>
      <c r="E227" s="71">
        <v>0.025</v>
      </c>
      <c r="F227" s="75"/>
      <c r="G227" s="9"/>
      <c r="H227" s="9"/>
      <c r="I227" s="11"/>
      <c r="J227" s="9"/>
      <c r="K227" s="9"/>
      <c r="L227" s="9"/>
      <c r="M227" s="9"/>
      <c r="N227" s="32" t="str">
        <f>'ALL DATA &amp; IT4PROFIT'!L280</f>
        <v/>
      </c>
      <c r="O227" s="9"/>
      <c r="P227" s="9"/>
      <c r="Q227" s="9"/>
      <c r="R227" s="9"/>
      <c r="S227" s="9"/>
      <c r="T227" s="9"/>
    </row>
    <row r="228" ht="21.0" customHeight="1">
      <c r="A228" s="9"/>
      <c r="B228" s="9"/>
      <c r="C228" s="74"/>
      <c r="D228" s="74"/>
      <c r="E228" s="71">
        <v>0.025</v>
      </c>
      <c r="F228" s="75"/>
      <c r="G228" s="9"/>
      <c r="H228" s="9"/>
      <c r="I228" s="11"/>
      <c r="J228" s="9"/>
      <c r="K228" s="9"/>
      <c r="L228" s="9"/>
      <c r="M228" s="9"/>
      <c r="N228" s="32" t="str">
        <f>'ALL DATA &amp; IT4PROFIT'!L281</f>
        <v/>
      </c>
      <c r="O228" s="9"/>
      <c r="P228" s="9"/>
      <c r="Q228" s="9"/>
      <c r="R228" s="9"/>
      <c r="S228" s="9"/>
      <c r="T228" s="9"/>
    </row>
    <row r="229" ht="21.0" customHeight="1">
      <c r="A229" s="9"/>
      <c r="B229" s="9"/>
      <c r="C229" s="74"/>
      <c r="D229" s="74"/>
      <c r="E229" s="71">
        <v>0.025</v>
      </c>
      <c r="F229" s="75"/>
      <c r="G229" s="9"/>
      <c r="H229" s="9"/>
      <c r="I229" s="11"/>
      <c r="J229" s="9"/>
      <c r="K229" s="9"/>
      <c r="L229" s="9"/>
      <c r="M229" s="9"/>
      <c r="N229" s="32" t="str">
        <f>'ALL DATA &amp; IT4PROFIT'!L282</f>
        <v/>
      </c>
      <c r="O229" s="9"/>
      <c r="P229" s="9"/>
      <c r="Q229" s="9"/>
      <c r="R229" s="9"/>
      <c r="S229" s="9"/>
      <c r="T229" s="9"/>
    </row>
    <row r="230" ht="21.0" customHeight="1">
      <c r="A230" s="9"/>
      <c r="B230" s="9"/>
      <c r="C230" s="74"/>
      <c r="D230" s="74"/>
      <c r="E230" s="71">
        <v>0.025</v>
      </c>
      <c r="F230" s="75"/>
      <c r="G230" s="9"/>
      <c r="H230" s="9"/>
      <c r="I230" s="11"/>
      <c r="J230" s="9"/>
      <c r="K230" s="9"/>
      <c r="L230" s="9"/>
      <c r="M230" s="9"/>
      <c r="N230" s="32" t="str">
        <f>'ALL DATA &amp; IT4PROFIT'!L283</f>
        <v/>
      </c>
      <c r="O230" s="9"/>
      <c r="P230" s="9"/>
      <c r="Q230" s="9"/>
      <c r="R230" s="9"/>
      <c r="S230" s="9"/>
      <c r="T230" s="9"/>
    </row>
    <row r="231" ht="21.0" customHeight="1">
      <c r="A231" s="9"/>
      <c r="B231" s="9"/>
      <c r="C231" s="74"/>
      <c r="D231" s="74"/>
      <c r="E231" s="71">
        <v>0.025</v>
      </c>
      <c r="F231" s="75"/>
      <c r="G231" s="9"/>
      <c r="H231" s="9"/>
      <c r="I231" s="11"/>
      <c r="J231" s="9"/>
      <c r="K231" s="9"/>
      <c r="L231" s="9"/>
      <c r="M231" s="9"/>
      <c r="N231" s="32" t="str">
        <f>'ALL DATA &amp; IT4PROFIT'!L284</f>
        <v/>
      </c>
      <c r="O231" s="9"/>
      <c r="P231" s="9"/>
      <c r="Q231" s="9"/>
      <c r="R231" s="9"/>
      <c r="S231" s="9"/>
      <c r="T231" s="9"/>
    </row>
    <row r="232" ht="21.0" customHeight="1">
      <c r="A232" s="9"/>
      <c r="B232" s="9"/>
      <c r="C232" s="74"/>
      <c r="D232" s="74"/>
      <c r="E232" s="71">
        <v>0.025</v>
      </c>
      <c r="F232" s="75"/>
      <c r="G232" s="9"/>
      <c r="H232" s="9"/>
      <c r="I232" s="11"/>
      <c r="J232" s="9"/>
      <c r="K232" s="9"/>
      <c r="L232" s="9"/>
      <c r="M232" s="9"/>
      <c r="N232" s="32" t="str">
        <f>'ALL DATA &amp; IT4PROFIT'!L285</f>
        <v/>
      </c>
      <c r="O232" s="9"/>
      <c r="P232" s="9"/>
      <c r="Q232" s="9"/>
      <c r="R232" s="9"/>
      <c r="S232" s="9"/>
      <c r="T232" s="9"/>
    </row>
    <row r="233" ht="21.0" customHeight="1">
      <c r="A233" s="9"/>
      <c r="B233" s="9"/>
      <c r="C233" s="74"/>
      <c r="D233" s="74"/>
      <c r="E233" s="71">
        <v>0.025</v>
      </c>
      <c r="F233" s="75"/>
      <c r="G233" s="9"/>
      <c r="H233" s="9"/>
      <c r="I233" s="11"/>
      <c r="J233" s="9"/>
      <c r="K233" s="9"/>
      <c r="L233" s="9"/>
      <c r="M233" s="9"/>
      <c r="N233" s="32" t="str">
        <f>'ALL DATA &amp; IT4PROFIT'!L286</f>
        <v/>
      </c>
      <c r="O233" s="9"/>
      <c r="P233" s="9"/>
      <c r="Q233" s="9"/>
      <c r="R233" s="9"/>
      <c r="S233" s="9"/>
      <c r="T233" s="9"/>
    </row>
    <row r="234" ht="21.0" customHeight="1">
      <c r="A234" s="9"/>
      <c r="B234" s="9"/>
      <c r="C234" s="74"/>
      <c r="D234" s="74"/>
      <c r="E234" s="71">
        <v>0.025</v>
      </c>
      <c r="F234" s="75"/>
      <c r="G234" s="9"/>
      <c r="H234" s="9"/>
      <c r="I234" s="11"/>
      <c r="J234" s="9"/>
      <c r="K234" s="9"/>
      <c r="L234" s="9"/>
      <c r="M234" s="9"/>
      <c r="N234" s="32" t="str">
        <f>'ALL DATA &amp; IT4PROFIT'!L287</f>
        <v/>
      </c>
      <c r="O234" s="9"/>
      <c r="P234" s="9"/>
      <c r="Q234" s="9"/>
      <c r="R234" s="9"/>
      <c r="S234" s="9"/>
      <c r="T234" s="9"/>
    </row>
    <row r="235" ht="21.0" customHeight="1">
      <c r="A235" s="9"/>
      <c r="B235" s="9"/>
      <c r="C235" s="74"/>
      <c r="D235" s="74"/>
      <c r="E235" s="71">
        <v>0.025</v>
      </c>
      <c r="F235" s="75"/>
      <c r="G235" s="9"/>
      <c r="H235" s="9"/>
      <c r="I235" s="11"/>
      <c r="J235" s="9"/>
      <c r="K235" s="9"/>
      <c r="L235" s="9"/>
      <c r="M235" s="9"/>
      <c r="N235" s="32" t="str">
        <f>'ALL DATA &amp; IT4PROFIT'!L288</f>
        <v/>
      </c>
      <c r="O235" s="9"/>
      <c r="P235" s="9"/>
      <c r="Q235" s="9"/>
      <c r="R235" s="9"/>
      <c r="S235" s="9"/>
      <c r="T235" s="9"/>
    </row>
    <row r="236" ht="21.0" customHeight="1">
      <c r="A236" s="9"/>
      <c r="B236" s="9"/>
      <c r="C236" s="74"/>
      <c r="D236" s="74"/>
      <c r="E236" s="71">
        <v>0.025</v>
      </c>
      <c r="F236" s="75"/>
      <c r="G236" s="9"/>
      <c r="H236" s="9"/>
      <c r="I236" s="11"/>
      <c r="J236" s="9"/>
      <c r="K236" s="9"/>
      <c r="L236" s="9"/>
      <c r="M236" s="9"/>
      <c r="N236" s="32" t="str">
        <f>'ALL DATA &amp; IT4PROFIT'!L291</f>
        <v/>
      </c>
      <c r="O236" s="9"/>
      <c r="P236" s="9"/>
      <c r="Q236" s="9"/>
      <c r="R236" s="9"/>
      <c r="S236" s="9"/>
      <c r="T236" s="9"/>
    </row>
    <row r="237" ht="21.0" customHeight="1">
      <c r="A237" s="9"/>
      <c r="B237" s="9"/>
      <c r="C237" s="74"/>
      <c r="D237" s="74"/>
      <c r="E237" s="71">
        <v>0.025</v>
      </c>
      <c r="F237" s="75"/>
      <c r="G237" s="9"/>
      <c r="H237" s="9"/>
      <c r="I237" s="11"/>
      <c r="J237" s="9"/>
      <c r="K237" s="9"/>
      <c r="L237" s="9"/>
      <c r="M237" s="9"/>
      <c r="N237" s="32" t="str">
        <f>'ALL DATA &amp; IT4PROFIT'!L292</f>
        <v/>
      </c>
      <c r="O237" s="9"/>
      <c r="P237" s="9"/>
      <c r="Q237" s="9"/>
      <c r="R237" s="9"/>
      <c r="S237" s="9"/>
      <c r="T237" s="9"/>
    </row>
    <row r="238" ht="21.0" customHeight="1">
      <c r="A238" s="9"/>
      <c r="B238" s="9"/>
      <c r="C238" s="74"/>
      <c r="D238" s="74"/>
      <c r="E238" s="71">
        <v>0.025</v>
      </c>
      <c r="F238" s="75"/>
      <c r="G238" s="9"/>
      <c r="H238" s="9"/>
      <c r="I238" s="11"/>
      <c r="J238" s="9"/>
      <c r="K238" s="9"/>
      <c r="L238" s="9"/>
      <c r="M238" s="9"/>
      <c r="N238" s="32" t="str">
        <f>'ALL DATA &amp; IT4PROFIT'!L293</f>
        <v/>
      </c>
      <c r="O238" s="9"/>
      <c r="P238" s="9"/>
      <c r="Q238" s="9"/>
      <c r="R238" s="9"/>
      <c r="S238" s="9"/>
      <c r="T238" s="9"/>
    </row>
    <row r="239" ht="21.0" customHeight="1">
      <c r="A239" s="9"/>
      <c r="B239" s="9"/>
      <c r="C239" s="74"/>
      <c r="D239" s="74"/>
      <c r="E239" s="71">
        <v>0.025</v>
      </c>
      <c r="F239" s="75"/>
      <c r="G239" s="9"/>
      <c r="H239" s="9"/>
      <c r="I239" s="11"/>
      <c r="J239" s="9"/>
      <c r="K239" s="9"/>
      <c r="L239" s="9"/>
      <c r="M239" s="9"/>
      <c r="N239" s="32" t="str">
        <f>'ALL DATA &amp; IT4PROFIT'!L294</f>
        <v/>
      </c>
      <c r="O239" s="9"/>
      <c r="P239" s="9"/>
      <c r="Q239" s="9"/>
      <c r="R239" s="9"/>
      <c r="S239" s="9"/>
      <c r="T239" s="9"/>
    </row>
    <row r="240" ht="21.0" customHeight="1">
      <c r="A240" s="9"/>
      <c r="B240" s="9"/>
      <c r="C240" s="74"/>
      <c r="D240" s="74"/>
      <c r="E240" s="71">
        <v>0.025</v>
      </c>
      <c r="F240" s="75"/>
      <c r="G240" s="9"/>
      <c r="H240" s="9"/>
      <c r="I240" s="11"/>
      <c r="J240" s="9"/>
      <c r="K240" s="9"/>
      <c r="L240" s="9"/>
      <c r="M240" s="9"/>
      <c r="N240" s="32" t="str">
        <f>'ALL DATA &amp; IT4PROFIT'!L295</f>
        <v/>
      </c>
      <c r="O240" s="9"/>
      <c r="P240" s="9"/>
      <c r="Q240" s="9"/>
      <c r="R240" s="9"/>
      <c r="S240" s="9"/>
      <c r="T240" s="9"/>
    </row>
    <row r="241" ht="21.0" customHeight="1">
      <c r="A241" s="9"/>
      <c r="B241" s="9"/>
      <c r="C241" s="74"/>
      <c r="D241" s="74"/>
      <c r="E241" s="71">
        <v>0.025</v>
      </c>
      <c r="F241" s="75"/>
      <c r="G241" s="9"/>
      <c r="H241" s="9"/>
      <c r="I241" s="11"/>
      <c r="J241" s="9"/>
      <c r="K241" s="9"/>
      <c r="L241" s="9"/>
      <c r="M241" s="9"/>
      <c r="N241" s="32" t="str">
        <f>'ALL DATA &amp; IT4PROFIT'!L296</f>
        <v/>
      </c>
      <c r="O241" s="9"/>
      <c r="P241" s="9"/>
      <c r="Q241" s="9"/>
      <c r="R241" s="9"/>
      <c r="S241" s="9"/>
      <c r="T241" s="9"/>
    </row>
    <row r="242" ht="21.0" customHeight="1">
      <c r="A242" s="9"/>
      <c r="B242" s="9"/>
      <c r="C242" s="9"/>
      <c r="D242" s="9"/>
      <c r="E242" s="10"/>
      <c r="F242" s="10"/>
      <c r="G242" s="9"/>
      <c r="H242" s="9"/>
      <c r="I242" s="11"/>
      <c r="J242" s="9"/>
      <c r="K242" s="9"/>
      <c r="L242" s="9"/>
      <c r="M242" s="43"/>
      <c r="N242" s="32" t="str">
        <f>'ALL DATA &amp; IT4PROFIT'!L297</f>
        <v/>
      </c>
      <c r="O242" s="9"/>
      <c r="P242" s="9"/>
      <c r="Q242" s="9"/>
      <c r="R242" s="9"/>
      <c r="S242" s="9"/>
      <c r="T242" s="9"/>
    </row>
    <row r="243" ht="21.0" customHeight="1">
      <c r="A243" s="9"/>
      <c r="B243" s="9"/>
      <c r="C243" s="9"/>
      <c r="D243" s="9"/>
      <c r="E243" s="10"/>
      <c r="F243" s="10"/>
      <c r="G243" s="9"/>
      <c r="H243" s="9"/>
      <c r="I243" s="11"/>
      <c r="J243" s="9"/>
      <c r="K243" s="9"/>
      <c r="L243" s="9"/>
      <c r="M243" s="43"/>
      <c r="N243" s="32" t="str">
        <f>'ALL DATA &amp; IT4PROFIT'!L298</f>
        <v/>
      </c>
      <c r="O243" s="9"/>
      <c r="P243" s="9"/>
      <c r="Q243" s="9"/>
      <c r="R243" s="9"/>
      <c r="S243" s="9"/>
      <c r="T243" s="9"/>
    </row>
    <row r="244" ht="21.0" customHeight="1">
      <c r="A244" s="9"/>
      <c r="B244" s="9"/>
      <c r="C244" s="9"/>
      <c r="D244" s="9"/>
      <c r="E244" s="10"/>
      <c r="F244" s="10"/>
      <c r="G244" s="9"/>
      <c r="H244" s="9"/>
      <c r="I244" s="11"/>
      <c r="J244" s="9"/>
      <c r="K244" s="9"/>
      <c r="L244" s="9"/>
      <c r="M244" s="43"/>
      <c r="N244" s="32" t="str">
        <f>'ALL DATA &amp; IT4PROFIT'!L299</f>
        <v/>
      </c>
      <c r="O244" s="9"/>
      <c r="P244" s="9"/>
      <c r="Q244" s="9"/>
      <c r="R244" s="9"/>
      <c r="S244" s="9"/>
      <c r="T244" s="9"/>
    </row>
    <row r="245" ht="21.0" customHeight="1">
      <c r="A245" s="9"/>
      <c r="B245" s="9"/>
      <c r="C245" s="9"/>
      <c r="D245" s="9"/>
      <c r="E245" s="10"/>
      <c r="F245" s="10"/>
      <c r="G245" s="9"/>
      <c r="H245" s="9"/>
      <c r="I245" s="11"/>
      <c r="J245" s="9"/>
      <c r="K245" s="9"/>
      <c r="L245" s="9"/>
      <c r="M245" s="43"/>
      <c r="N245" s="32" t="str">
        <f>'ALL DATA &amp; IT4PROFIT'!L300</f>
        <v/>
      </c>
      <c r="O245" s="9"/>
      <c r="P245" s="9"/>
      <c r="Q245" s="9"/>
      <c r="R245" s="9"/>
      <c r="S245" s="9"/>
      <c r="T245" s="9"/>
    </row>
    <row r="246" ht="21.0" customHeight="1">
      <c r="A246" s="9"/>
      <c r="B246" s="9"/>
      <c r="C246" s="9"/>
      <c r="D246" s="9"/>
      <c r="E246" s="10"/>
      <c r="F246" s="10"/>
      <c r="G246" s="9"/>
      <c r="H246" s="9"/>
      <c r="I246" s="11"/>
      <c r="J246" s="9"/>
      <c r="K246" s="9"/>
      <c r="L246" s="9"/>
      <c r="M246" s="43"/>
      <c r="N246" s="32" t="str">
        <f>'ALL DATA &amp; IT4PROFIT'!L301</f>
        <v/>
      </c>
      <c r="O246" s="9"/>
      <c r="P246" s="9"/>
      <c r="Q246" s="9"/>
      <c r="R246" s="9"/>
      <c r="S246" s="9"/>
      <c r="T246" s="9"/>
    </row>
    <row r="247" ht="21.0" customHeight="1">
      <c r="A247" s="9"/>
      <c r="B247" s="9"/>
      <c r="C247" s="9"/>
      <c r="D247" s="9"/>
      <c r="E247" s="10"/>
      <c r="F247" s="10"/>
      <c r="G247" s="9"/>
      <c r="H247" s="9"/>
      <c r="I247" s="11"/>
      <c r="J247" s="9"/>
      <c r="K247" s="9"/>
      <c r="L247" s="9"/>
      <c r="M247" s="43"/>
      <c r="N247" s="32" t="str">
        <f>'ALL DATA &amp; IT4PROFIT'!L302</f>
        <v/>
      </c>
      <c r="O247" s="9"/>
      <c r="P247" s="9"/>
      <c r="Q247" s="9"/>
      <c r="R247" s="9"/>
      <c r="S247" s="9"/>
      <c r="T247" s="9"/>
    </row>
    <row r="248" ht="21.0" customHeight="1">
      <c r="A248" s="9"/>
      <c r="B248" s="9"/>
      <c r="C248" s="9"/>
      <c r="D248" s="9"/>
      <c r="E248" s="10"/>
      <c r="F248" s="10"/>
      <c r="G248" s="9"/>
      <c r="H248" s="9"/>
      <c r="I248" s="11"/>
      <c r="J248" s="9"/>
      <c r="K248" s="9"/>
      <c r="L248" s="9"/>
      <c r="M248" s="43"/>
      <c r="N248" s="32" t="str">
        <f>'ALL DATA &amp; IT4PROFIT'!L303</f>
        <v/>
      </c>
      <c r="O248" s="9"/>
      <c r="P248" s="9"/>
      <c r="Q248" s="9"/>
      <c r="R248" s="9"/>
      <c r="S248" s="9"/>
      <c r="T248" s="9"/>
    </row>
    <row r="249" ht="21.0" customHeight="1">
      <c r="A249" s="9"/>
      <c r="B249" s="9"/>
      <c r="C249" s="9"/>
      <c r="D249" s="9"/>
      <c r="E249" s="10"/>
      <c r="F249" s="10"/>
      <c r="G249" s="9"/>
      <c r="H249" s="9"/>
      <c r="I249" s="11"/>
      <c r="J249" s="9"/>
      <c r="K249" s="9"/>
      <c r="L249" s="9"/>
      <c r="M249" s="43"/>
      <c r="N249" s="32" t="str">
        <f>'ALL DATA &amp; IT4PROFIT'!L304</f>
        <v/>
      </c>
      <c r="O249" s="9"/>
      <c r="P249" s="9"/>
      <c r="Q249" s="9"/>
      <c r="R249" s="9"/>
      <c r="S249" s="9"/>
      <c r="T249" s="9"/>
    </row>
    <row r="250" ht="21.0" customHeight="1">
      <c r="A250" s="9"/>
      <c r="B250" s="9"/>
      <c r="C250" s="9"/>
      <c r="D250" s="9"/>
      <c r="E250" s="10"/>
      <c r="F250" s="10"/>
      <c r="G250" s="9"/>
      <c r="H250" s="9"/>
      <c r="I250" s="11"/>
      <c r="J250" s="9"/>
      <c r="K250" s="9"/>
      <c r="L250" s="9"/>
      <c r="M250" s="43"/>
      <c r="N250" s="32" t="str">
        <f>'ALL DATA &amp; IT4PROFIT'!L305</f>
        <v/>
      </c>
      <c r="O250" s="9"/>
      <c r="P250" s="9"/>
      <c r="Q250" s="9"/>
      <c r="R250" s="9"/>
      <c r="S250" s="9"/>
      <c r="T250" s="9"/>
    </row>
    <row r="251" ht="21.0" customHeight="1">
      <c r="A251" s="9"/>
      <c r="B251" s="9"/>
      <c r="C251" s="9"/>
      <c r="D251" s="9"/>
      <c r="E251" s="10"/>
      <c r="F251" s="10"/>
      <c r="G251" s="9"/>
      <c r="H251" s="9"/>
      <c r="I251" s="11"/>
      <c r="J251" s="9"/>
      <c r="K251" s="9"/>
      <c r="L251" s="9"/>
      <c r="M251" s="43"/>
      <c r="N251" s="32" t="str">
        <f>'ALL DATA &amp; IT4PROFIT'!L306</f>
        <v/>
      </c>
      <c r="O251" s="9"/>
      <c r="P251" s="9"/>
      <c r="Q251" s="9"/>
      <c r="R251" s="9"/>
      <c r="S251" s="9"/>
      <c r="T251" s="9"/>
    </row>
    <row r="252" ht="21.0" customHeight="1">
      <c r="A252" s="9"/>
      <c r="B252" s="9"/>
      <c r="C252" s="9"/>
      <c r="D252" s="9"/>
      <c r="E252" s="10"/>
      <c r="F252" s="10"/>
      <c r="G252" s="9"/>
      <c r="H252" s="9"/>
      <c r="I252" s="11"/>
      <c r="J252" s="9"/>
      <c r="K252" s="9"/>
      <c r="L252" s="9"/>
      <c r="M252" s="43"/>
      <c r="N252" s="32" t="str">
        <f>'ALL DATA &amp; IT4PROFIT'!L307</f>
        <v/>
      </c>
      <c r="O252" s="9"/>
      <c r="P252" s="9"/>
      <c r="Q252" s="9"/>
      <c r="R252" s="9"/>
      <c r="S252" s="9"/>
      <c r="T252" s="9"/>
    </row>
    <row r="253" ht="21.0" customHeight="1">
      <c r="A253" s="9"/>
      <c r="B253" s="9"/>
      <c r="C253" s="9"/>
      <c r="D253" s="9"/>
      <c r="E253" s="10"/>
      <c r="F253" s="10"/>
      <c r="G253" s="9"/>
      <c r="H253" s="9"/>
      <c r="I253" s="11"/>
      <c r="J253" s="9"/>
      <c r="K253" s="9"/>
      <c r="L253" s="9"/>
      <c r="M253" s="43"/>
      <c r="N253" s="32" t="str">
        <f>'ALL DATA &amp; IT4PROFIT'!L308</f>
        <v/>
      </c>
      <c r="O253" s="9"/>
      <c r="P253" s="9"/>
      <c r="Q253" s="9"/>
      <c r="R253" s="9"/>
      <c r="S253" s="9"/>
      <c r="T253" s="9"/>
    </row>
    <row r="254" ht="21.0" customHeight="1">
      <c r="A254" s="9"/>
      <c r="B254" s="9"/>
      <c r="C254" s="9"/>
      <c r="D254" s="9"/>
      <c r="E254" s="10"/>
      <c r="F254" s="10"/>
      <c r="G254" s="9"/>
      <c r="H254" s="9"/>
      <c r="I254" s="11"/>
      <c r="J254" s="9"/>
      <c r="K254" s="9"/>
      <c r="L254" s="9"/>
      <c r="M254" s="43"/>
      <c r="N254" s="32" t="str">
        <f>'ALL DATA &amp; IT4PROFIT'!L309</f>
        <v/>
      </c>
      <c r="O254" s="9"/>
      <c r="P254" s="9"/>
      <c r="Q254" s="9"/>
      <c r="R254" s="9"/>
      <c r="S254" s="9"/>
      <c r="T254" s="9"/>
    </row>
    <row r="255" ht="21.0" customHeight="1">
      <c r="A255" s="9"/>
      <c r="B255" s="9"/>
      <c r="C255" s="9"/>
      <c r="D255" s="9"/>
      <c r="E255" s="10"/>
      <c r="F255" s="10"/>
      <c r="G255" s="9"/>
      <c r="H255" s="9"/>
      <c r="I255" s="11"/>
      <c r="J255" s="9"/>
      <c r="K255" s="9"/>
      <c r="L255" s="9"/>
      <c r="M255" s="43"/>
      <c r="N255" s="32" t="str">
        <f>'ALL DATA &amp; IT4PROFIT'!L310</f>
        <v/>
      </c>
      <c r="O255" s="9"/>
      <c r="P255" s="9"/>
      <c r="Q255" s="9"/>
      <c r="R255" s="9"/>
      <c r="S255" s="9"/>
      <c r="T255" s="9"/>
    </row>
    <row r="256" ht="21.0" customHeight="1">
      <c r="A256" s="9"/>
      <c r="B256" s="9"/>
      <c r="C256" s="9"/>
      <c r="D256" s="9"/>
      <c r="E256" s="10"/>
      <c r="F256" s="10"/>
      <c r="G256" s="9"/>
      <c r="H256" s="9"/>
      <c r="I256" s="11"/>
      <c r="J256" s="9"/>
      <c r="K256" s="9"/>
      <c r="L256" s="9"/>
      <c r="M256" s="43"/>
      <c r="N256" s="32" t="str">
        <f>'ALL DATA &amp; IT4PROFIT'!L311</f>
        <v/>
      </c>
      <c r="O256" s="9"/>
      <c r="P256" s="9"/>
      <c r="Q256" s="9"/>
      <c r="R256" s="9"/>
      <c r="S256" s="9"/>
      <c r="T256" s="9"/>
    </row>
    <row r="257" ht="21.0" customHeight="1">
      <c r="A257" s="9"/>
      <c r="B257" s="9"/>
      <c r="C257" s="9"/>
      <c r="D257" s="9"/>
      <c r="E257" s="10"/>
      <c r="F257" s="10"/>
      <c r="G257" s="9"/>
      <c r="H257" s="9"/>
      <c r="I257" s="11"/>
      <c r="J257" s="9"/>
      <c r="K257" s="9"/>
      <c r="L257" s="9"/>
      <c r="M257" s="43"/>
      <c r="N257" s="32" t="str">
        <f>'ALL DATA &amp; IT4PROFIT'!L312</f>
        <v/>
      </c>
      <c r="O257" s="9"/>
      <c r="P257" s="9"/>
      <c r="Q257" s="9"/>
      <c r="R257" s="9"/>
      <c r="S257" s="9"/>
      <c r="T257" s="9"/>
    </row>
    <row r="258" ht="21.0" customHeight="1">
      <c r="A258" s="9"/>
      <c r="B258" s="9"/>
      <c r="C258" s="9"/>
      <c r="D258" s="9"/>
      <c r="E258" s="10"/>
      <c r="F258" s="10"/>
      <c r="G258" s="9"/>
      <c r="H258" s="9"/>
      <c r="I258" s="11"/>
      <c r="J258" s="9"/>
      <c r="K258" s="9"/>
      <c r="L258" s="9"/>
      <c r="M258" s="43"/>
      <c r="N258" s="32" t="str">
        <f>'ALL DATA &amp; IT4PROFIT'!L313</f>
        <v/>
      </c>
      <c r="O258" s="9"/>
      <c r="P258" s="9"/>
      <c r="Q258" s="9"/>
      <c r="R258" s="9"/>
      <c r="S258" s="9"/>
      <c r="T258" s="9"/>
    </row>
    <row r="259" ht="21.0" customHeight="1">
      <c r="A259" s="9"/>
      <c r="B259" s="9"/>
      <c r="C259" s="9"/>
      <c r="D259" s="9"/>
      <c r="E259" s="10"/>
      <c r="F259" s="10"/>
      <c r="G259" s="9"/>
      <c r="H259" s="9"/>
      <c r="I259" s="11"/>
      <c r="J259" s="9"/>
      <c r="K259" s="9"/>
      <c r="L259" s="9"/>
      <c r="M259" s="43"/>
      <c r="N259" s="32" t="str">
        <f>'ALL DATA &amp; IT4PROFIT'!L314</f>
        <v/>
      </c>
      <c r="O259" s="9"/>
      <c r="P259" s="9"/>
      <c r="Q259" s="9"/>
      <c r="R259" s="9"/>
      <c r="S259" s="9"/>
      <c r="T259" s="9"/>
    </row>
    <row r="260" ht="21.0" customHeight="1">
      <c r="A260" s="9"/>
      <c r="B260" s="9"/>
      <c r="C260" s="9"/>
      <c r="D260" s="9"/>
      <c r="E260" s="10"/>
      <c r="F260" s="10"/>
      <c r="G260" s="9"/>
      <c r="H260" s="9"/>
      <c r="I260" s="11"/>
      <c r="J260" s="9"/>
      <c r="K260" s="9"/>
      <c r="L260" s="9"/>
      <c r="M260" s="43"/>
      <c r="N260" s="32" t="str">
        <f>'ALL DATA &amp; IT4PROFIT'!L315</f>
        <v/>
      </c>
      <c r="O260" s="9"/>
      <c r="P260" s="9"/>
      <c r="Q260" s="9"/>
      <c r="R260" s="9"/>
      <c r="S260" s="9"/>
      <c r="T260" s="9"/>
    </row>
    <row r="261" ht="21.0" customHeight="1">
      <c r="A261" s="9"/>
      <c r="B261" s="9"/>
      <c r="C261" s="9"/>
      <c r="D261" s="9"/>
      <c r="E261" s="10"/>
      <c r="F261" s="10"/>
      <c r="G261" s="9"/>
      <c r="H261" s="9"/>
      <c r="I261" s="11"/>
      <c r="J261" s="9"/>
      <c r="K261" s="9"/>
      <c r="L261" s="9"/>
      <c r="M261" s="43"/>
      <c r="N261" s="32" t="str">
        <f>'ALL DATA &amp; IT4PROFIT'!L316</f>
        <v/>
      </c>
      <c r="O261" s="9"/>
      <c r="P261" s="9"/>
      <c r="Q261" s="9"/>
      <c r="R261" s="9"/>
      <c r="S261" s="9"/>
      <c r="T261" s="9"/>
    </row>
    <row r="262" ht="21.0" customHeight="1">
      <c r="A262" s="9"/>
      <c r="B262" s="9"/>
      <c r="C262" s="9"/>
      <c r="D262" s="9"/>
      <c r="E262" s="10"/>
      <c r="F262" s="10"/>
      <c r="G262" s="9"/>
      <c r="H262" s="9"/>
      <c r="I262" s="11"/>
      <c r="J262" s="9"/>
      <c r="K262" s="9"/>
      <c r="L262" s="9"/>
      <c r="M262" s="43"/>
      <c r="N262" s="32" t="str">
        <f>'ALL DATA &amp; IT4PROFIT'!L317</f>
        <v/>
      </c>
      <c r="O262" s="9"/>
      <c r="P262" s="9"/>
      <c r="Q262" s="9"/>
      <c r="R262" s="9"/>
      <c r="S262" s="9"/>
      <c r="T262" s="9"/>
    </row>
    <row r="263" ht="21.0" customHeight="1">
      <c r="A263" s="9"/>
      <c r="B263" s="9"/>
      <c r="C263" s="9"/>
      <c r="D263" s="9"/>
      <c r="E263" s="10"/>
      <c r="F263" s="10"/>
      <c r="G263" s="9"/>
      <c r="H263" s="9"/>
      <c r="I263" s="11"/>
      <c r="J263" s="9"/>
      <c r="K263" s="9"/>
      <c r="L263" s="9"/>
      <c r="M263" s="43"/>
      <c r="N263" s="32" t="str">
        <f>'ALL DATA &amp; IT4PROFIT'!L318</f>
        <v/>
      </c>
      <c r="O263" s="9"/>
      <c r="P263" s="9"/>
      <c r="Q263" s="9"/>
      <c r="R263" s="9"/>
      <c r="S263" s="9"/>
      <c r="T263" s="9"/>
    </row>
    <row r="264" ht="21.0" customHeight="1">
      <c r="A264" s="9"/>
      <c r="B264" s="9"/>
      <c r="C264" s="9"/>
      <c r="D264" s="9"/>
      <c r="E264" s="10"/>
      <c r="F264" s="10"/>
      <c r="G264" s="9"/>
      <c r="H264" s="9"/>
      <c r="I264" s="11"/>
      <c r="J264" s="9"/>
      <c r="K264" s="9"/>
      <c r="L264" s="9"/>
      <c r="M264" s="43"/>
      <c r="N264" s="32" t="str">
        <f>'ALL DATA &amp; IT4PROFIT'!L319</f>
        <v/>
      </c>
      <c r="O264" s="9"/>
      <c r="P264" s="9"/>
      <c r="Q264" s="9"/>
      <c r="R264" s="9"/>
      <c r="S264" s="9"/>
      <c r="T264" s="9"/>
    </row>
    <row r="265" ht="21.0" customHeight="1">
      <c r="A265" s="9"/>
      <c r="B265" s="9"/>
      <c r="C265" s="9"/>
      <c r="D265" s="9"/>
      <c r="E265" s="10"/>
      <c r="F265" s="10"/>
      <c r="G265" s="9"/>
      <c r="H265" s="9"/>
      <c r="I265" s="11"/>
      <c r="J265" s="9"/>
      <c r="K265" s="9"/>
      <c r="L265" s="9"/>
      <c r="M265" s="43"/>
      <c r="N265" s="32" t="str">
        <f>'ALL DATA &amp; IT4PROFIT'!L320</f>
        <v/>
      </c>
      <c r="O265" s="9"/>
      <c r="P265" s="9"/>
      <c r="Q265" s="9"/>
      <c r="R265" s="9"/>
      <c r="S265" s="9"/>
      <c r="T265" s="9"/>
    </row>
    <row r="266" ht="21.0" customHeight="1">
      <c r="A266" s="9"/>
      <c r="B266" s="9"/>
      <c r="C266" s="9"/>
      <c r="D266" s="9"/>
      <c r="E266" s="10"/>
      <c r="F266" s="10"/>
      <c r="G266" s="9"/>
      <c r="H266" s="9"/>
      <c r="I266" s="11"/>
      <c r="J266" s="9"/>
      <c r="K266" s="9"/>
      <c r="L266" s="9"/>
      <c r="M266" s="43"/>
      <c r="N266" s="32" t="str">
        <f>'ALL DATA &amp; IT4PROFIT'!L321</f>
        <v/>
      </c>
      <c r="O266" s="9"/>
      <c r="P266" s="9"/>
      <c r="Q266" s="9"/>
      <c r="R266" s="9"/>
      <c r="S266" s="9"/>
      <c r="T266" s="9"/>
    </row>
    <row r="267" ht="21.0" customHeight="1">
      <c r="A267" s="9"/>
      <c r="B267" s="9"/>
      <c r="C267" s="9"/>
      <c r="D267" s="9"/>
      <c r="E267" s="10"/>
      <c r="F267" s="10"/>
      <c r="G267" s="9"/>
      <c r="H267" s="9"/>
      <c r="I267" s="11"/>
      <c r="J267" s="9"/>
      <c r="K267" s="9"/>
      <c r="L267" s="9"/>
      <c r="M267" s="43"/>
      <c r="N267" s="32" t="str">
        <f>'ALL DATA &amp; IT4PROFIT'!L322</f>
        <v/>
      </c>
      <c r="O267" s="9"/>
      <c r="P267" s="9"/>
      <c r="Q267" s="9"/>
      <c r="R267" s="9"/>
      <c r="S267" s="9"/>
      <c r="T267" s="9"/>
    </row>
    <row r="268" ht="21.0" customHeight="1">
      <c r="A268" s="9"/>
      <c r="B268" s="9"/>
      <c r="C268" s="9"/>
      <c r="D268" s="9"/>
      <c r="E268" s="10"/>
      <c r="F268" s="10"/>
      <c r="G268" s="9"/>
      <c r="H268" s="9"/>
      <c r="I268" s="11"/>
      <c r="J268" s="9"/>
      <c r="K268" s="9"/>
      <c r="L268" s="9"/>
      <c r="M268" s="43"/>
      <c r="N268" s="32" t="str">
        <f>'ALL DATA &amp; IT4PROFIT'!L323</f>
        <v/>
      </c>
      <c r="O268" s="9"/>
      <c r="P268" s="9"/>
      <c r="Q268" s="9"/>
      <c r="R268" s="9"/>
      <c r="S268" s="9"/>
      <c r="T268" s="9"/>
    </row>
    <row r="269" ht="21.0" customHeight="1">
      <c r="A269" s="9"/>
      <c r="B269" s="9"/>
      <c r="C269" s="9"/>
      <c r="D269" s="9"/>
      <c r="E269" s="10"/>
      <c r="F269" s="10"/>
      <c r="G269" s="9"/>
      <c r="H269" s="9"/>
      <c r="I269" s="11"/>
      <c r="J269" s="9"/>
      <c r="K269" s="9"/>
      <c r="L269" s="9"/>
      <c r="M269" s="43"/>
      <c r="N269" s="32" t="str">
        <f>'ALL DATA &amp; IT4PROFIT'!L324</f>
        <v/>
      </c>
      <c r="O269" s="9"/>
      <c r="P269" s="9"/>
      <c r="Q269" s="9"/>
      <c r="R269" s="9"/>
      <c r="S269" s="9"/>
      <c r="T269" s="9"/>
    </row>
    <row r="270" ht="21.0" customHeight="1">
      <c r="A270" s="9"/>
      <c r="B270" s="9"/>
      <c r="C270" s="9"/>
      <c r="D270" s="9"/>
      <c r="E270" s="10"/>
      <c r="F270" s="10"/>
      <c r="G270" s="9"/>
      <c r="H270" s="9"/>
      <c r="I270" s="11"/>
      <c r="J270" s="9"/>
      <c r="K270" s="9"/>
      <c r="L270" s="9"/>
      <c r="M270" s="43"/>
      <c r="N270" s="32" t="str">
        <f>'ALL DATA &amp; IT4PROFIT'!L325</f>
        <v/>
      </c>
      <c r="O270" s="9"/>
      <c r="P270" s="9"/>
      <c r="Q270" s="9"/>
      <c r="R270" s="9"/>
      <c r="S270" s="9"/>
      <c r="T270" s="9"/>
    </row>
    <row r="271" ht="21.0" customHeight="1">
      <c r="A271" s="9"/>
      <c r="B271" s="9"/>
      <c r="C271" s="9"/>
      <c r="D271" s="9"/>
      <c r="E271" s="10"/>
      <c r="F271" s="10"/>
      <c r="G271" s="9"/>
      <c r="H271" s="9"/>
      <c r="I271" s="11"/>
      <c r="J271" s="9"/>
      <c r="K271" s="9"/>
      <c r="L271" s="9"/>
      <c r="M271" s="43"/>
      <c r="N271" s="32" t="str">
        <f>'ALL DATA &amp; IT4PROFIT'!L326</f>
        <v/>
      </c>
      <c r="O271" s="9"/>
      <c r="P271" s="9"/>
      <c r="Q271" s="9"/>
      <c r="R271" s="9"/>
      <c r="S271" s="9"/>
      <c r="T271" s="9"/>
    </row>
    <row r="272" ht="21.0" customHeight="1">
      <c r="A272" s="9"/>
      <c r="B272" s="9"/>
      <c r="C272" s="9"/>
      <c r="D272" s="9"/>
      <c r="E272" s="10"/>
      <c r="F272" s="10"/>
      <c r="G272" s="9"/>
      <c r="H272" s="9"/>
      <c r="I272" s="11"/>
      <c r="J272" s="9"/>
      <c r="K272" s="9"/>
      <c r="L272" s="9"/>
      <c r="M272" s="43"/>
      <c r="N272" s="32" t="str">
        <f>'ALL DATA &amp; IT4PROFIT'!L327</f>
        <v/>
      </c>
      <c r="O272" s="9"/>
      <c r="P272" s="9"/>
      <c r="Q272" s="9"/>
      <c r="R272" s="9"/>
      <c r="S272" s="9"/>
      <c r="T272" s="9"/>
    </row>
    <row r="273" ht="21.0" customHeight="1">
      <c r="A273" s="9"/>
      <c r="B273" s="9"/>
      <c r="C273" s="9"/>
      <c r="D273" s="9"/>
      <c r="E273" s="10"/>
      <c r="F273" s="10"/>
      <c r="G273" s="9"/>
      <c r="H273" s="9"/>
      <c r="I273" s="11"/>
      <c r="J273" s="9"/>
      <c r="K273" s="9"/>
      <c r="L273" s="9"/>
      <c r="M273" s="43"/>
      <c r="N273" s="32" t="str">
        <f>'ALL DATA &amp; IT4PROFIT'!L328</f>
        <v/>
      </c>
      <c r="O273" s="9"/>
      <c r="P273" s="9"/>
      <c r="Q273" s="9"/>
      <c r="R273" s="9"/>
      <c r="S273" s="9"/>
      <c r="T273" s="9"/>
    </row>
    <row r="274" ht="21.0" customHeight="1">
      <c r="A274" s="9"/>
      <c r="B274" s="9"/>
      <c r="C274" s="9"/>
      <c r="D274" s="9"/>
      <c r="E274" s="10"/>
      <c r="F274" s="10"/>
      <c r="G274" s="9"/>
      <c r="H274" s="9"/>
      <c r="I274" s="11"/>
      <c r="J274" s="9"/>
      <c r="K274" s="9"/>
      <c r="L274" s="9"/>
      <c r="M274" s="43"/>
      <c r="N274" s="32" t="str">
        <f>'ALL DATA &amp; IT4PROFIT'!L329</f>
        <v/>
      </c>
      <c r="O274" s="9"/>
      <c r="P274" s="9"/>
      <c r="Q274" s="9"/>
      <c r="R274" s="9"/>
      <c r="S274" s="9"/>
      <c r="T274" s="9"/>
    </row>
    <row r="275" ht="21.0" customHeight="1">
      <c r="A275" s="9"/>
      <c r="B275" s="9"/>
      <c r="C275" s="9"/>
      <c r="D275" s="9"/>
      <c r="E275" s="10"/>
      <c r="F275" s="10"/>
      <c r="G275" s="9"/>
      <c r="H275" s="9"/>
      <c r="I275" s="11"/>
      <c r="J275" s="9"/>
      <c r="K275" s="9"/>
      <c r="L275" s="9"/>
      <c r="M275" s="43"/>
      <c r="N275" s="32" t="str">
        <f>'ALL DATA &amp; IT4PROFIT'!L330</f>
        <v/>
      </c>
      <c r="O275" s="9"/>
      <c r="P275" s="9"/>
      <c r="Q275" s="9"/>
      <c r="R275" s="9"/>
      <c r="S275" s="9"/>
      <c r="T275" s="9"/>
    </row>
    <row r="276" ht="21.0" customHeight="1">
      <c r="A276" s="9"/>
      <c r="B276" s="9"/>
      <c r="C276" s="9"/>
      <c r="D276" s="9"/>
      <c r="E276" s="10"/>
      <c r="F276" s="10"/>
      <c r="G276" s="9"/>
      <c r="H276" s="9"/>
      <c r="I276" s="11"/>
      <c r="J276" s="9"/>
      <c r="K276" s="9"/>
      <c r="L276" s="9"/>
      <c r="M276" s="43"/>
      <c r="N276" s="32" t="str">
        <f>'ALL DATA &amp; IT4PROFIT'!L331</f>
        <v/>
      </c>
      <c r="O276" s="9"/>
      <c r="P276" s="9"/>
      <c r="Q276" s="9"/>
      <c r="R276" s="9"/>
      <c r="S276" s="9"/>
      <c r="T276" s="9"/>
    </row>
    <row r="277" ht="21.0" customHeight="1">
      <c r="A277" s="9"/>
      <c r="B277" s="9"/>
      <c r="C277" s="9"/>
      <c r="D277" s="9"/>
      <c r="E277" s="10"/>
      <c r="F277" s="10"/>
      <c r="G277" s="9"/>
      <c r="H277" s="9"/>
      <c r="I277" s="11"/>
      <c r="J277" s="9"/>
      <c r="K277" s="9"/>
      <c r="L277" s="9"/>
      <c r="M277" s="43"/>
      <c r="N277" s="32" t="str">
        <f>'ALL DATA &amp; IT4PROFIT'!L332</f>
        <v/>
      </c>
      <c r="O277" s="9"/>
      <c r="P277" s="9"/>
      <c r="Q277" s="9"/>
      <c r="R277" s="9"/>
      <c r="S277" s="9"/>
      <c r="T277" s="9"/>
    </row>
    <row r="278" ht="21.0" customHeight="1">
      <c r="A278" s="9"/>
      <c r="B278" s="9"/>
      <c r="C278" s="9"/>
      <c r="D278" s="9"/>
      <c r="E278" s="10"/>
      <c r="F278" s="10"/>
      <c r="G278" s="9"/>
      <c r="H278" s="9"/>
      <c r="I278" s="11"/>
      <c r="J278" s="9"/>
      <c r="K278" s="9"/>
      <c r="L278" s="9"/>
      <c r="M278" s="43"/>
      <c r="N278" s="32" t="str">
        <f>'ALL DATA &amp; IT4PROFIT'!L333</f>
        <v/>
      </c>
      <c r="O278" s="9"/>
      <c r="P278" s="9"/>
      <c r="Q278" s="9"/>
      <c r="R278" s="9"/>
      <c r="S278" s="9"/>
      <c r="T278" s="9"/>
    </row>
    <row r="279" ht="21.0" customHeight="1">
      <c r="A279" s="9"/>
      <c r="B279" s="9"/>
      <c r="C279" s="9"/>
      <c r="D279" s="9"/>
      <c r="E279" s="10"/>
      <c r="F279" s="10"/>
      <c r="G279" s="9"/>
      <c r="H279" s="9"/>
      <c r="I279" s="11"/>
      <c r="J279" s="9"/>
      <c r="K279" s="9"/>
      <c r="L279" s="9"/>
      <c r="M279" s="43"/>
      <c r="N279" s="32" t="str">
        <f>'ALL DATA &amp; IT4PROFIT'!L334</f>
        <v/>
      </c>
      <c r="O279" s="9"/>
      <c r="P279" s="9"/>
      <c r="Q279" s="9"/>
      <c r="R279" s="9"/>
      <c r="S279" s="9"/>
      <c r="T279" s="9"/>
    </row>
    <row r="280" ht="21.0" customHeight="1">
      <c r="A280" s="9"/>
      <c r="B280" s="9"/>
      <c r="C280" s="9"/>
      <c r="D280" s="9"/>
      <c r="E280" s="10"/>
      <c r="F280" s="10"/>
      <c r="G280" s="9"/>
      <c r="H280" s="9"/>
      <c r="I280" s="11"/>
      <c r="J280" s="9"/>
      <c r="K280" s="9"/>
      <c r="L280" s="9"/>
      <c r="M280" s="43"/>
      <c r="N280" s="32" t="str">
        <f>'ALL DATA &amp; IT4PROFIT'!L335</f>
        <v/>
      </c>
      <c r="O280" s="9"/>
      <c r="P280" s="9"/>
      <c r="Q280" s="9"/>
      <c r="R280" s="9"/>
      <c r="S280" s="9"/>
      <c r="T280" s="9"/>
    </row>
    <row r="281" ht="21.0" customHeight="1">
      <c r="A281" s="9"/>
      <c r="B281" s="9"/>
      <c r="C281" s="9"/>
      <c r="D281" s="9"/>
      <c r="E281" s="10"/>
      <c r="F281" s="10"/>
      <c r="G281" s="9"/>
      <c r="H281" s="9"/>
      <c r="I281" s="11"/>
      <c r="J281" s="9"/>
      <c r="K281" s="9"/>
      <c r="L281" s="9"/>
      <c r="M281" s="43"/>
      <c r="N281" s="32" t="str">
        <f>'ALL DATA &amp; IT4PROFIT'!L336</f>
        <v/>
      </c>
      <c r="O281" s="9"/>
      <c r="P281" s="9"/>
      <c r="Q281" s="9"/>
      <c r="R281" s="9"/>
      <c r="S281" s="9"/>
      <c r="T281" s="9"/>
    </row>
    <row r="282" ht="21.0" customHeight="1">
      <c r="A282" s="9"/>
      <c r="B282" s="9"/>
      <c r="C282" s="9"/>
      <c r="D282" s="9"/>
      <c r="E282" s="10"/>
      <c r="F282" s="10"/>
      <c r="G282" s="9"/>
      <c r="H282" s="9"/>
      <c r="I282" s="11"/>
      <c r="J282" s="9"/>
      <c r="K282" s="9"/>
      <c r="L282" s="9"/>
      <c r="M282" s="43"/>
      <c r="N282" s="32" t="str">
        <f>'ALL DATA &amp; IT4PROFIT'!L337</f>
        <v/>
      </c>
      <c r="O282" s="9"/>
      <c r="P282" s="9"/>
      <c r="Q282" s="9"/>
      <c r="R282" s="9"/>
      <c r="S282" s="9"/>
      <c r="T282" s="9"/>
    </row>
    <row r="283" ht="21.0" customHeight="1">
      <c r="A283" s="9"/>
      <c r="B283" s="9"/>
      <c r="C283" s="9"/>
      <c r="D283" s="9"/>
      <c r="E283" s="10"/>
      <c r="F283" s="10"/>
      <c r="G283" s="9"/>
      <c r="H283" s="9"/>
      <c r="I283" s="11"/>
      <c r="J283" s="9"/>
      <c r="K283" s="9"/>
      <c r="L283" s="9"/>
      <c r="M283" s="43"/>
      <c r="N283" s="32" t="str">
        <f>'ALL DATA &amp; IT4PROFIT'!L338</f>
        <v/>
      </c>
      <c r="O283" s="9"/>
      <c r="P283" s="9"/>
      <c r="Q283" s="9"/>
      <c r="R283" s="9"/>
      <c r="S283" s="9"/>
      <c r="T283" s="9"/>
    </row>
    <row r="284" ht="21.0" customHeight="1">
      <c r="A284" s="9"/>
      <c r="B284" s="9"/>
      <c r="C284" s="9"/>
      <c r="D284" s="9"/>
      <c r="E284" s="10"/>
      <c r="F284" s="10"/>
      <c r="G284" s="9"/>
      <c r="H284" s="9"/>
      <c r="I284" s="11"/>
      <c r="J284" s="9"/>
      <c r="K284" s="9"/>
      <c r="L284" s="9"/>
      <c r="M284" s="43"/>
      <c r="N284" s="32" t="str">
        <f>'ALL DATA &amp; IT4PROFIT'!L339</f>
        <v/>
      </c>
      <c r="O284" s="9"/>
      <c r="P284" s="9"/>
      <c r="Q284" s="9"/>
      <c r="R284" s="9"/>
      <c r="S284" s="9"/>
      <c r="T284" s="9"/>
    </row>
    <row r="285" ht="21.0" customHeight="1">
      <c r="A285" s="9"/>
      <c r="B285" s="9"/>
      <c r="C285" s="9"/>
      <c r="D285" s="9"/>
      <c r="E285" s="10"/>
      <c r="F285" s="10"/>
      <c r="G285" s="9"/>
      <c r="H285" s="9"/>
      <c r="I285" s="11"/>
      <c r="J285" s="9"/>
      <c r="K285" s="9"/>
      <c r="L285" s="9"/>
      <c r="M285" s="43"/>
      <c r="N285" s="32" t="str">
        <f>'ALL DATA &amp; IT4PROFIT'!L340</f>
        <v/>
      </c>
      <c r="O285" s="9"/>
      <c r="P285" s="9"/>
      <c r="Q285" s="9"/>
      <c r="R285" s="9"/>
      <c r="S285" s="9"/>
      <c r="T285" s="9"/>
    </row>
    <row r="286" ht="21.0" customHeight="1">
      <c r="A286" s="9"/>
      <c r="B286" s="9"/>
      <c r="C286" s="9"/>
      <c r="D286" s="9"/>
      <c r="E286" s="10"/>
      <c r="F286" s="10"/>
      <c r="G286" s="9"/>
      <c r="H286" s="9"/>
      <c r="I286" s="11"/>
      <c r="J286" s="9"/>
      <c r="K286" s="9"/>
      <c r="L286" s="9"/>
      <c r="M286" s="43"/>
      <c r="N286" s="32" t="str">
        <f>'ALL DATA &amp; IT4PROFIT'!L341</f>
        <v/>
      </c>
      <c r="O286" s="9"/>
      <c r="P286" s="9"/>
      <c r="Q286" s="9"/>
      <c r="R286" s="9"/>
      <c r="S286" s="9"/>
      <c r="T286" s="9"/>
    </row>
    <row r="287" ht="21.0" customHeight="1">
      <c r="A287" s="9"/>
      <c r="B287" s="9"/>
      <c r="C287" s="9"/>
      <c r="D287" s="9"/>
      <c r="E287" s="10"/>
      <c r="F287" s="10"/>
      <c r="G287" s="9"/>
      <c r="H287" s="9"/>
      <c r="I287" s="11"/>
      <c r="J287" s="9"/>
      <c r="K287" s="9"/>
      <c r="L287" s="9"/>
      <c r="M287" s="43"/>
      <c r="N287" s="32" t="str">
        <f>'ALL DATA &amp; IT4PROFIT'!L342</f>
        <v/>
      </c>
      <c r="O287" s="9"/>
      <c r="P287" s="9"/>
      <c r="Q287" s="9"/>
      <c r="R287" s="9"/>
      <c r="S287" s="9"/>
      <c r="T287" s="9"/>
    </row>
    <row r="288" ht="21.0" customHeight="1">
      <c r="A288" s="9"/>
      <c r="B288" s="9"/>
      <c r="C288" s="9"/>
      <c r="D288" s="9"/>
      <c r="E288" s="10"/>
      <c r="F288" s="10"/>
      <c r="G288" s="9"/>
      <c r="H288" s="9"/>
      <c r="I288" s="11"/>
      <c r="J288" s="9"/>
      <c r="K288" s="9"/>
      <c r="L288" s="9"/>
      <c r="M288" s="43"/>
      <c r="N288" s="32" t="str">
        <f>'ALL DATA &amp; IT4PROFIT'!L343</f>
        <v/>
      </c>
      <c r="O288" s="9"/>
      <c r="P288" s="9"/>
      <c r="Q288" s="9"/>
      <c r="R288" s="9"/>
      <c r="S288" s="9"/>
      <c r="T288" s="9"/>
    </row>
    <row r="289" ht="21.0" customHeight="1">
      <c r="A289" s="9"/>
      <c r="B289" s="9"/>
      <c r="C289" s="9"/>
      <c r="D289" s="9"/>
      <c r="E289" s="10"/>
      <c r="F289" s="10"/>
      <c r="G289" s="9"/>
      <c r="H289" s="9"/>
      <c r="I289" s="11"/>
      <c r="J289" s="9"/>
      <c r="K289" s="9"/>
      <c r="L289" s="9"/>
      <c r="M289" s="43"/>
      <c r="N289" s="32" t="str">
        <f>'ALL DATA &amp; IT4PROFIT'!L344</f>
        <v/>
      </c>
      <c r="O289" s="9"/>
      <c r="P289" s="9"/>
      <c r="Q289" s="9"/>
      <c r="R289" s="9"/>
      <c r="S289" s="9"/>
      <c r="T289" s="9"/>
    </row>
    <row r="290" ht="21.0" customHeight="1">
      <c r="A290" s="9"/>
      <c r="B290" s="9"/>
      <c r="C290" s="9"/>
      <c r="D290" s="9"/>
      <c r="E290" s="10"/>
      <c r="F290" s="10"/>
      <c r="G290" s="9"/>
      <c r="H290" s="9"/>
      <c r="I290" s="11"/>
      <c r="J290" s="9"/>
      <c r="K290" s="9"/>
      <c r="L290" s="9"/>
      <c r="M290" s="43"/>
      <c r="N290" s="32" t="str">
        <f>'ALL DATA &amp; IT4PROFIT'!L345</f>
        <v/>
      </c>
      <c r="O290" s="9"/>
      <c r="P290" s="9"/>
      <c r="Q290" s="9"/>
      <c r="R290" s="9"/>
      <c r="S290" s="9"/>
      <c r="T290" s="9"/>
    </row>
    <row r="291" ht="21.0" customHeight="1">
      <c r="A291" s="9"/>
      <c r="B291" s="9"/>
      <c r="C291" s="9"/>
      <c r="D291" s="9"/>
      <c r="E291" s="10"/>
      <c r="F291" s="10"/>
      <c r="G291" s="9"/>
      <c r="H291" s="9"/>
      <c r="I291" s="11"/>
      <c r="J291" s="9"/>
      <c r="K291" s="9"/>
      <c r="L291" s="9"/>
      <c r="M291" s="43"/>
      <c r="N291" s="32" t="str">
        <f>'ALL DATA &amp; IT4PROFIT'!L346</f>
        <v/>
      </c>
      <c r="O291" s="9"/>
      <c r="P291" s="9"/>
      <c r="Q291" s="9"/>
      <c r="R291" s="9"/>
      <c r="S291" s="9"/>
      <c r="T291" s="9"/>
    </row>
    <row r="292" ht="21.0" customHeight="1">
      <c r="A292" s="9"/>
      <c r="B292" s="9"/>
      <c r="C292" s="9"/>
      <c r="D292" s="9"/>
      <c r="E292" s="10"/>
      <c r="F292" s="10"/>
      <c r="G292" s="9"/>
      <c r="H292" s="9"/>
      <c r="I292" s="11"/>
      <c r="J292" s="9"/>
      <c r="K292" s="9"/>
      <c r="L292" s="9"/>
      <c r="M292" s="43"/>
      <c r="N292" s="32" t="str">
        <f>'ALL DATA &amp; IT4PROFIT'!L347</f>
        <v/>
      </c>
      <c r="O292" s="9"/>
      <c r="P292" s="9"/>
      <c r="Q292" s="9"/>
      <c r="R292" s="9"/>
      <c r="S292" s="9"/>
      <c r="T292" s="9"/>
    </row>
    <row r="293" ht="21.0" customHeight="1">
      <c r="A293" s="9"/>
      <c r="B293" s="9"/>
      <c r="C293" s="9"/>
      <c r="D293" s="9"/>
      <c r="E293" s="10"/>
      <c r="F293" s="10"/>
      <c r="G293" s="9"/>
      <c r="H293" s="9"/>
      <c r="I293" s="11"/>
      <c r="J293" s="9"/>
      <c r="K293" s="9"/>
      <c r="L293" s="9"/>
      <c r="M293" s="43"/>
      <c r="N293" s="32" t="str">
        <f>'ALL DATA &amp; IT4PROFIT'!L348</f>
        <v/>
      </c>
      <c r="O293" s="9"/>
      <c r="P293" s="9"/>
      <c r="Q293" s="9"/>
      <c r="R293" s="9"/>
      <c r="S293" s="9"/>
      <c r="T293" s="9"/>
    </row>
    <row r="294" ht="21.0" customHeight="1">
      <c r="A294" s="9"/>
      <c r="B294" s="9"/>
      <c r="C294" s="9"/>
      <c r="D294" s="9"/>
      <c r="E294" s="10"/>
      <c r="F294" s="10"/>
      <c r="G294" s="9"/>
      <c r="H294" s="9"/>
      <c r="I294" s="11"/>
      <c r="J294" s="9"/>
      <c r="K294" s="9"/>
      <c r="L294" s="9"/>
      <c r="M294" s="43"/>
      <c r="N294" s="32" t="str">
        <f>'ALL DATA &amp; IT4PROFIT'!L349</f>
        <v/>
      </c>
      <c r="O294" s="9"/>
      <c r="P294" s="9"/>
      <c r="Q294" s="9"/>
      <c r="R294" s="9"/>
      <c r="S294" s="9"/>
      <c r="T294" s="9"/>
    </row>
    <row r="295" ht="21.0" customHeight="1">
      <c r="A295" s="9"/>
      <c r="B295" s="9"/>
      <c r="C295" s="9"/>
      <c r="D295" s="9"/>
      <c r="E295" s="10"/>
      <c r="F295" s="10"/>
      <c r="G295" s="9"/>
      <c r="H295" s="9"/>
      <c r="I295" s="11"/>
      <c r="J295" s="9"/>
      <c r="K295" s="9"/>
      <c r="L295" s="9"/>
      <c r="M295" s="43"/>
      <c r="N295" s="32" t="str">
        <f>'ALL DATA &amp; IT4PROFIT'!L350</f>
        <v/>
      </c>
      <c r="O295" s="9"/>
      <c r="P295" s="9"/>
      <c r="Q295" s="9"/>
      <c r="R295" s="9"/>
      <c r="S295" s="9"/>
      <c r="T295" s="9"/>
    </row>
    <row r="296" ht="21.0" customHeight="1">
      <c r="A296" s="9"/>
      <c r="B296" s="9"/>
      <c r="C296" s="9"/>
      <c r="D296" s="9"/>
      <c r="E296" s="10"/>
      <c r="F296" s="10"/>
      <c r="G296" s="9"/>
      <c r="H296" s="9"/>
      <c r="I296" s="11"/>
      <c r="J296" s="9"/>
      <c r="K296" s="9"/>
      <c r="L296" s="9"/>
      <c r="M296" s="43"/>
      <c r="N296" s="32" t="str">
        <f>'ALL DATA &amp; IT4PROFIT'!L351</f>
        <v/>
      </c>
      <c r="O296" s="9"/>
      <c r="P296" s="9"/>
      <c r="Q296" s="9"/>
      <c r="R296" s="9"/>
      <c r="S296" s="9"/>
      <c r="T296" s="9"/>
    </row>
    <row r="297" ht="21.0" customHeight="1">
      <c r="A297" s="9"/>
      <c r="B297" s="9"/>
      <c r="C297" s="9"/>
      <c r="D297" s="9"/>
      <c r="E297" s="10"/>
      <c r="F297" s="10"/>
      <c r="G297" s="9"/>
      <c r="H297" s="9"/>
      <c r="I297" s="11"/>
      <c r="J297" s="9"/>
      <c r="K297" s="9"/>
      <c r="L297" s="9"/>
      <c r="M297" s="43"/>
      <c r="N297" s="32" t="str">
        <f>'ALL DATA &amp; IT4PROFIT'!L352</f>
        <v/>
      </c>
      <c r="O297" s="9"/>
      <c r="P297" s="9"/>
      <c r="Q297" s="9"/>
      <c r="R297" s="9"/>
      <c r="S297" s="9"/>
      <c r="T297" s="9"/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188:E188"/>
  </mergeCells>
  <conditionalFormatting sqref="M4:M175">
    <cfRule type="cellIs" dxfId="1" priority="1" operator="lessThan">
      <formula>0.06</formula>
    </cfRule>
  </conditionalFormatting>
  <printOptions/>
  <pageMargins bottom="0.75" footer="0.0" header="0.0" left="0.7" right="0.7" top="0.75"/>
  <pageSetup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8.9"/>
    <col customWidth="1" min="2" max="2" width="19.0"/>
    <col customWidth="1" min="3" max="4" width="9.4"/>
    <col customWidth="1" min="5" max="5" width="7.0"/>
    <col customWidth="1" min="6" max="7" width="8.4"/>
    <col customWidth="1" min="8" max="8" width="11.4"/>
    <col customWidth="1" min="9" max="9" width="10.4"/>
    <col customWidth="1" min="10" max="12" width="10.5"/>
    <col customWidth="1" min="13" max="13" width="8.0"/>
    <col customWidth="1" min="14" max="14" width="10.5"/>
    <col customWidth="1" min="15" max="15" width="9.6"/>
    <col customWidth="1" min="16" max="16" width="10.6"/>
    <col customWidth="1" min="17" max="17" width="13.9"/>
    <col customWidth="1" min="18" max="24" width="8.0"/>
    <col customWidth="1" min="25" max="26" width="12.6"/>
  </cols>
  <sheetData>
    <row r="1" ht="14.25" customHeight="1">
      <c r="A1" s="80"/>
      <c r="B1" s="80"/>
      <c r="C1" s="80"/>
      <c r="D1" s="80"/>
      <c r="E1" s="80"/>
      <c r="F1" s="80"/>
      <c r="G1" s="81"/>
      <c r="H1" s="82" t="s">
        <v>76</v>
      </c>
      <c r="I1" s="83">
        <v>2650.0</v>
      </c>
      <c r="J1" s="84" t="s">
        <v>77</v>
      </c>
      <c r="K1" s="85">
        <v>0.025</v>
      </c>
      <c r="L1" s="86"/>
      <c r="M1" s="80"/>
      <c r="N1" s="87"/>
      <c r="O1" s="88"/>
      <c r="P1" s="62"/>
      <c r="Q1" s="62"/>
      <c r="R1" s="62"/>
      <c r="S1" s="62"/>
      <c r="T1" s="62"/>
      <c r="U1" s="62"/>
      <c r="V1" s="62"/>
      <c r="W1" s="62"/>
      <c r="X1" s="62"/>
    </row>
    <row r="2" ht="14.25" customHeight="1">
      <c r="A2" s="89" t="s">
        <v>78</v>
      </c>
      <c r="B2" s="90"/>
      <c r="C2" s="90"/>
      <c r="D2" s="90"/>
      <c r="E2" s="91"/>
      <c r="F2" s="80"/>
      <c r="G2" s="81"/>
      <c r="H2" s="80"/>
      <c r="I2" s="80"/>
      <c r="J2" s="92" t="s">
        <v>79</v>
      </c>
      <c r="K2" s="93"/>
      <c r="L2" s="94"/>
      <c r="M2" s="95"/>
      <c r="N2" s="96" t="s">
        <v>6</v>
      </c>
      <c r="O2" s="97"/>
      <c r="P2" s="98"/>
      <c r="Q2" s="99"/>
      <c r="S2" s="62"/>
      <c r="T2" s="62"/>
      <c r="U2" s="62"/>
      <c r="V2" s="62"/>
      <c r="W2" s="62"/>
      <c r="X2" s="62"/>
    </row>
    <row r="3" ht="14.25" customHeight="1">
      <c r="A3" s="100" t="s">
        <v>7</v>
      </c>
      <c r="B3" s="101" t="s">
        <v>80</v>
      </c>
      <c r="C3" s="101" t="s">
        <v>9</v>
      </c>
      <c r="D3" s="102" t="s">
        <v>81</v>
      </c>
      <c r="E3" s="103" t="s">
        <v>82</v>
      </c>
      <c r="F3" s="104" t="s">
        <v>83</v>
      </c>
      <c r="G3" s="105"/>
      <c r="H3" s="106" t="s">
        <v>84</v>
      </c>
      <c r="I3" s="104" t="s">
        <v>85</v>
      </c>
      <c r="J3" s="104" t="s">
        <v>86</v>
      </c>
      <c r="K3" s="104" t="s">
        <v>87</v>
      </c>
      <c r="L3" s="107" t="s">
        <v>88</v>
      </c>
      <c r="M3" s="108" t="s">
        <v>89</v>
      </c>
      <c r="N3" s="109" t="s">
        <v>90</v>
      </c>
      <c r="O3" s="110" t="s">
        <v>91</v>
      </c>
      <c r="P3" s="62"/>
      <c r="Q3" s="111" t="s">
        <v>92</v>
      </c>
      <c r="R3" s="62"/>
      <c r="S3" s="62"/>
      <c r="T3" s="62"/>
      <c r="U3" s="62"/>
      <c r="V3" s="62"/>
      <c r="W3" s="62"/>
      <c r="X3" s="62"/>
    </row>
    <row r="4" ht="14.25" customHeight="1">
      <c r="A4" s="112"/>
      <c r="B4" s="80"/>
      <c r="C4" s="80"/>
      <c r="D4" s="80"/>
      <c r="E4" s="113"/>
      <c r="F4" s="80"/>
      <c r="G4" s="81"/>
      <c r="H4" s="80"/>
      <c r="I4" s="80"/>
      <c r="J4" s="80"/>
      <c r="K4" s="80"/>
      <c r="L4" s="114"/>
      <c r="M4" s="115"/>
      <c r="N4" s="80"/>
      <c r="O4" s="80"/>
      <c r="P4" s="62"/>
      <c r="Q4" s="62"/>
      <c r="R4" s="62"/>
      <c r="S4" s="62"/>
      <c r="T4" s="62"/>
      <c r="U4" s="62"/>
      <c r="V4" s="62"/>
      <c r="W4" s="62"/>
      <c r="X4" s="62"/>
    </row>
    <row r="5" ht="14.25" customHeight="1">
      <c r="A5" s="112" t="s">
        <v>93</v>
      </c>
      <c r="B5" s="80" t="s">
        <v>94</v>
      </c>
      <c r="C5" s="80" t="s">
        <v>34</v>
      </c>
      <c r="D5" s="80"/>
      <c r="E5" s="116">
        <v>60.0</v>
      </c>
      <c r="F5" s="80">
        <v>400.0</v>
      </c>
      <c r="G5" s="81">
        <f t="shared" ref="G5:G18" si="1">E5/F5</f>
        <v>0.15</v>
      </c>
      <c r="H5" s="80">
        <v>780.0</v>
      </c>
      <c r="I5" s="59">
        <f t="shared" ref="I5:I18" si="2">$I$1/H5</f>
        <v>3.397435897</v>
      </c>
      <c r="J5" s="59">
        <f t="shared" ref="J5:J18" si="3">E5+I5</f>
        <v>63.3974359</v>
      </c>
      <c r="K5" s="59">
        <f t="shared" ref="K5:K18" si="4">(J5*$K$1)+J5</f>
        <v>64.98237179</v>
      </c>
      <c r="L5" s="114">
        <v>0.125</v>
      </c>
      <c r="M5" s="60">
        <f t="shared" ref="M5:M18" si="5">(N5-K5)/N5</f>
        <v>0.125</v>
      </c>
      <c r="N5" s="61">
        <f t="shared" ref="N5:N18" si="6">K5/(1-L5)</f>
        <v>74.26556777</v>
      </c>
      <c r="O5" s="59">
        <f t="shared" ref="O5:O18" si="7">N5/F5</f>
        <v>0.1856639194</v>
      </c>
      <c r="P5" s="62"/>
      <c r="Q5" s="63">
        <f t="shared" ref="Q5:Q18" si="8">(N5-K5)*H5</f>
        <v>7240.892857</v>
      </c>
      <c r="R5" s="63"/>
      <c r="S5" s="63"/>
      <c r="T5" s="62"/>
      <c r="U5" s="62"/>
      <c r="V5" s="62"/>
      <c r="W5" s="62"/>
      <c r="X5" s="62"/>
    </row>
    <row r="6" ht="14.25" customHeight="1">
      <c r="A6" s="112" t="s">
        <v>93</v>
      </c>
      <c r="B6" s="80" t="s">
        <v>95</v>
      </c>
      <c r="C6" s="80" t="s">
        <v>34</v>
      </c>
      <c r="D6" s="80"/>
      <c r="E6" s="116">
        <v>75.0</v>
      </c>
      <c r="F6" s="80">
        <v>420.0</v>
      </c>
      <c r="G6" s="81">
        <f t="shared" si="1"/>
        <v>0.1785714286</v>
      </c>
      <c r="H6" s="80">
        <v>936.0</v>
      </c>
      <c r="I6" s="59">
        <f t="shared" si="2"/>
        <v>2.831196581</v>
      </c>
      <c r="J6" s="59">
        <f t="shared" si="3"/>
        <v>77.83119658</v>
      </c>
      <c r="K6" s="59">
        <f t="shared" si="4"/>
        <v>79.7769765</v>
      </c>
      <c r="L6" s="114">
        <v>0.125</v>
      </c>
      <c r="M6" s="60">
        <f t="shared" si="5"/>
        <v>0.125</v>
      </c>
      <c r="N6" s="61">
        <f t="shared" si="6"/>
        <v>91.17368742</v>
      </c>
      <c r="O6" s="59">
        <f t="shared" si="7"/>
        <v>0.2170802082</v>
      </c>
      <c r="P6" s="62"/>
      <c r="Q6" s="63">
        <f t="shared" si="8"/>
        <v>10667.32143</v>
      </c>
      <c r="R6" s="62"/>
      <c r="S6" s="62"/>
      <c r="T6" s="62"/>
      <c r="U6" s="62"/>
      <c r="V6" s="62"/>
      <c r="W6" s="62"/>
      <c r="X6" s="62"/>
    </row>
    <row r="7" ht="14.25" customHeight="1">
      <c r="A7" s="112" t="s">
        <v>93</v>
      </c>
      <c r="B7" s="80" t="s">
        <v>96</v>
      </c>
      <c r="C7" s="80" t="s">
        <v>97</v>
      </c>
      <c r="D7" s="80"/>
      <c r="E7" s="116">
        <v>86.0</v>
      </c>
      <c r="F7" s="80">
        <v>430.0</v>
      </c>
      <c r="G7" s="81">
        <f t="shared" si="1"/>
        <v>0.2</v>
      </c>
      <c r="H7" s="80">
        <v>864.0</v>
      </c>
      <c r="I7" s="59">
        <f t="shared" si="2"/>
        <v>3.06712963</v>
      </c>
      <c r="J7" s="59">
        <f t="shared" si="3"/>
        <v>89.06712963</v>
      </c>
      <c r="K7" s="59">
        <f t="shared" si="4"/>
        <v>91.29380787</v>
      </c>
      <c r="L7" s="114">
        <v>0.125</v>
      </c>
      <c r="M7" s="60">
        <f t="shared" si="5"/>
        <v>0.125</v>
      </c>
      <c r="N7" s="61">
        <f t="shared" si="6"/>
        <v>104.3357804</v>
      </c>
      <c r="O7" s="59">
        <f t="shared" si="7"/>
        <v>0.2426413498</v>
      </c>
      <c r="P7" s="62"/>
      <c r="Q7" s="63">
        <f t="shared" si="8"/>
        <v>11268.26429</v>
      </c>
      <c r="R7" s="62"/>
      <c r="S7" s="62"/>
      <c r="T7" s="62"/>
      <c r="U7" s="62"/>
      <c r="V7" s="62"/>
      <c r="W7" s="62"/>
      <c r="X7" s="62"/>
    </row>
    <row r="8" ht="14.25" customHeight="1">
      <c r="A8" s="117" t="s">
        <v>93</v>
      </c>
      <c r="B8" s="118" t="s">
        <v>98</v>
      </c>
      <c r="C8" s="118" t="s">
        <v>34</v>
      </c>
      <c r="D8" s="118"/>
      <c r="E8" s="56">
        <v>86.4</v>
      </c>
      <c r="F8" s="80">
        <v>540.0</v>
      </c>
      <c r="G8" s="81">
        <f t="shared" si="1"/>
        <v>0.16</v>
      </c>
      <c r="H8" s="80">
        <v>620.0</v>
      </c>
      <c r="I8" s="59">
        <f t="shared" si="2"/>
        <v>4.274193548</v>
      </c>
      <c r="J8" s="59">
        <f t="shared" si="3"/>
        <v>90.67419355</v>
      </c>
      <c r="K8" s="59">
        <f t="shared" si="4"/>
        <v>92.94104839</v>
      </c>
      <c r="L8" s="114">
        <v>0.125</v>
      </c>
      <c r="M8" s="60">
        <f t="shared" si="5"/>
        <v>0.125</v>
      </c>
      <c r="N8" s="61">
        <f t="shared" si="6"/>
        <v>106.218341</v>
      </c>
      <c r="O8" s="59">
        <f t="shared" si="7"/>
        <v>0.1967006315</v>
      </c>
      <c r="P8" s="62"/>
      <c r="Q8" s="63">
        <f t="shared" si="8"/>
        <v>8231.921429</v>
      </c>
      <c r="R8" s="62"/>
      <c r="S8" s="62"/>
      <c r="T8" s="62"/>
      <c r="U8" s="62"/>
      <c r="V8" s="62"/>
      <c r="W8" s="62"/>
      <c r="X8" s="62"/>
    </row>
    <row r="9" ht="14.25" customHeight="1">
      <c r="A9" s="112" t="s">
        <v>99</v>
      </c>
      <c r="B9" s="80" t="s">
        <v>100</v>
      </c>
      <c r="C9" s="80" t="s">
        <v>34</v>
      </c>
      <c r="D9" s="80"/>
      <c r="E9" s="119">
        <v>61.5</v>
      </c>
      <c r="F9" s="80">
        <v>410.0</v>
      </c>
      <c r="G9" s="81">
        <f t="shared" si="1"/>
        <v>0.15</v>
      </c>
      <c r="H9" s="80">
        <v>936.0</v>
      </c>
      <c r="I9" s="59">
        <f t="shared" si="2"/>
        <v>2.831196581</v>
      </c>
      <c r="J9" s="59">
        <f t="shared" si="3"/>
        <v>64.33119658</v>
      </c>
      <c r="K9" s="59">
        <f t="shared" si="4"/>
        <v>65.9394765</v>
      </c>
      <c r="L9" s="114">
        <v>0.125</v>
      </c>
      <c r="M9" s="60">
        <f t="shared" si="5"/>
        <v>0.125</v>
      </c>
      <c r="N9" s="61">
        <f t="shared" si="6"/>
        <v>75.35940171</v>
      </c>
      <c r="O9" s="59">
        <f t="shared" si="7"/>
        <v>0.1838034188</v>
      </c>
      <c r="P9" s="62"/>
      <c r="Q9" s="63">
        <f t="shared" si="8"/>
        <v>8817.05</v>
      </c>
      <c r="R9" s="62"/>
      <c r="S9" s="62"/>
      <c r="T9" s="62"/>
      <c r="U9" s="62"/>
      <c r="V9" s="62"/>
      <c r="W9" s="62"/>
      <c r="X9" s="62"/>
    </row>
    <row r="10" ht="14.25" customHeight="1">
      <c r="A10" s="112" t="s">
        <v>99</v>
      </c>
      <c r="B10" s="80" t="s">
        <v>101</v>
      </c>
      <c r="C10" s="80" t="s">
        <v>97</v>
      </c>
      <c r="D10" s="80"/>
      <c r="E10" s="116">
        <v>87.0</v>
      </c>
      <c r="F10" s="80">
        <v>435.0</v>
      </c>
      <c r="G10" s="81">
        <f t="shared" si="1"/>
        <v>0.2</v>
      </c>
      <c r="H10" s="80">
        <v>936.0</v>
      </c>
      <c r="I10" s="59">
        <f t="shared" si="2"/>
        <v>2.831196581</v>
      </c>
      <c r="J10" s="59">
        <f t="shared" si="3"/>
        <v>89.83119658</v>
      </c>
      <c r="K10" s="59">
        <f t="shared" si="4"/>
        <v>92.0769765</v>
      </c>
      <c r="L10" s="114">
        <v>0.125</v>
      </c>
      <c r="M10" s="60">
        <f t="shared" si="5"/>
        <v>0.125</v>
      </c>
      <c r="N10" s="61">
        <f t="shared" si="6"/>
        <v>105.2308303</v>
      </c>
      <c r="O10" s="59">
        <f t="shared" si="7"/>
        <v>0.2419099547</v>
      </c>
      <c r="P10" s="62"/>
      <c r="Q10" s="63">
        <f t="shared" si="8"/>
        <v>12312.00714</v>
      </c>
      <c r="R10" s="62"/>
      <c r="S10" s="62"/>
      <c r="T10" s="62"/>
      <c r="U10" s="62"/>
      <c r="V10" s="62"/>
      <c r="W10" s="62"/>
      <c r="X10" s="62"/>
    </row>
    <row r="11" ht="14.25" customHeight="1">
      <c r="A11" s="112" t="s">
        <v>99</v>
      </c>
      <c r="B11" s="80" t="s">
        <v>102</v>
      </c>
      <c r="C11" s="80" t="s">
        <v>97</v>
      </c>
      <c r="D11" s="80"/>
      <c r="E11" s="116">
        <v>96.8</v>
      </c>
      <c r="F11" s="80">
        <v>440.0</v>
      </c>
      <c r="G11" s="81">
        <f t="shared" si="1"/>
        <v>0.22</v>
      </c>
      <c r="H11" s="80">
        <v>936.0</v>
      </c>
      <c r="I11" s="59">
        <f t="shared" si="2"/>
        <v>2.831196581</v>
      </c>
      <c r="J11" s="59">
        <f t="shared" si="3"/>
        <v>99.63119658</v>
      </c>
      <c r="K11" s="59">
        <f t="shared" si="4"/>
        <v>102.1219765</v>
      </c>
      <c r="L11" s="114">
        <v>0.125</v>
      </c>
      <c r="M11" s="60">
        <f t="shared" si="5"/>
        <v>0.125</v>
      </c>
      <c r="N11" s="61">
        <f t="shared" si="6"/>
        <v>116.7108303</v>
      </c>
      <c r="O11" s="59">
        <f t="shared" si="7"/>
        <v>0.265251887</v>
      </c>
      <c r="P11" s="62"/>
      <c r="Q11" s="63">
        <f t="shared" si="8"/>
        <v>13655.16714</v>
      </c>
      <c r="R11" s="62"/>
      <c r="S11" s="62"/>
      <c r="T11" s="62"/>
      <c r="U11" s="62"/>
      <c r="V11" s="62"/>
      <c r="W11" s="62"/>
      <c r="X11" s="62"/>
    </row>
    <row r="12" ht="14.25" customHeight="1">
      <c r="A12" s="117" t="s">
        <v>99</v>
      </c>
      <c r="B12" s="118" t="s">
        <v>103</v>
      </c>
      <c r="C12" s="118" t="s">
        <v>34</v>
      </c>
      <c r="D12" s="118"/>
      <c r="E12" s="56">
        <v>91.5</v>
      </c>
      <c r="F12" s="80">
        <v>555.0</v>
      </c>
      <c r="G12" s="81">
        <f t="shared" si="1"/>
        <v>0.1648648649</v>
      </c>
      <c r="H12" s="80">
        <v>720.0</v>
      </c>
      <c r="I12" s="59">
        <f t="shared" si="2"/>
        <v>3.680555556</v>
      </c>
      <c r="J12" s="59">
        <f t="shared" si="3"/>
        <v>95.18055556</v>
      </c>
      <c r="K12" s="59">
        <f t="shared" si="4"/>
        <v>97.56006944</v>
      </c>
      <c r="L12" s="114">
        <v>0.125</v>
      </c>
      <c r="M12" s="60">
        <f t="shared" si="5"/>
        <v>0.125</v>
      </c>
      <c r="N12" s="61">
        <f t="shared" si="6"/>
        <v>111.4972222</v>
      </c>
      <c r="O12" s="59">
        <f t="shared" si="7"/>
        <v>0.2008958959</v>
      </c>
      <c r="P12" s="62"/>
      <c r="Q12" s="63">
        <f t="shared" si="8"/>
        <v>10034.75</v>
      </c>
      <c r="R12" s="62"/>
      <c r="S12" s="62"/>
      <c r="T12" s="62"/>
      <c r="U12" s="62"/>
      <c r="V12" s="62"/>
      <c r="W12" s="62"/>
      <c r="X12" s="62"/>
    </row>
    <row r="13" ht="14.25" customHeight="1">
      <c r="A13" s="112" t="s">
        <v>104</v>
      </c>
      <c r="B13" s="80" t="s">
        <v>105</v>
      </c>
      <c r="C13" s="80" t="s">
        <v>34</v>
      </c>
      <c r="D13" s="80"/>
      <c r="E13" s="116">
        <v>65.6</v>
      </c>
      <c r="F13" s="80">
        <v>410.0</v>
      </c>
      <c r="G13" s="81">
        <f t="shared" si="1"/>
        <v>0.16</v>
      </c>
      <c r="H13" s="80">
        <v>936.0</v>
      </c>
      <c r="I13" s="59">
        <f t="shared" si="2"/>
        <v>2.831196581</v>
      </c>
      <c r="J13" s="59">
        <f t="shared" si="3"/>
        <v>68.43119658</v>
      </c>
      <c r="K13" s="59">
        <f t="shared" si="4"/>
        <v>70.1419765</v>
      </c>
      <c r="L13" s="114">
        <v>0.125</v>
      </c>
      <c r="M13" s="60">
        <f t="shared" si="5"/>
        <v>0.125</v>
      </c>
      <c r="N13" s="61">
        <f t="shared" si="6"/>
        <v>80.16225885</v>
      </c>
      <c r="O13" s="59">
        <f t="shared" si="7"/>
        <v>0.1955177045</v>
      </c>
      <c r="P13" s="62"/>
      <c r="Q13" s="63">
        <f t="shared" si="8"/>
        <v>9378.984286</v>
      </c>
      <c r="R13" s="62"/>
      <c r="S13" s="62"/>
      <c r="T13" s="62"/>
      <c r="U13" s="62"/>
      <c r="V13" s="62"/>
      <c r="W13" s="62"/>
      <c r="X13" s="62"/>
    </row>
    <row r="14" ht="14.25" customHeight="1">
      <c r="A14" s="112" t="s">
        <v>104</v>
      </c>
      <c r="B14" s="80" t="s">
        <v>106</v>
      </c>
      <c r="C14" s="80" t="s">
        <v>34</v>
      </c>
      <c r="D14" s="80"/>
      <c r="E14" s="116">
        <v>71.4</v>
      </c>
      <c r="F14" s="80">
        <v>420.0</v>
      </c>
      <c r="G14" s="81">
        <f t="shared" si="1"/>
        <v>0.17</v>
      </c>
      <c r="H14" s="80">
        <v>936.0</v>
      </c>
      <c r="I14" s="59">
        <f t="shared" si="2"/>
        <v>2.831196581</v>
      </c>
      <c r="J14" s="59">
        <f t="shared" si="3"/>
        <v>74.23119658</v>
      </c>
      <c r="K14" s="59">
        <f t="shared" si="4"/>
        <v>76.0869765</v>
      </c>
      <c r="L14" s="114">
        <v>0.125</v>
      </c>
      <c r="M14" s="60">
        <f t="shared" si="5"/>
        <v>0.125</v>
      </c>
      <c r="N14" s="61">
        <f t="shared" si="6"/>
        <v>86.95654457</v>
      </c>
      <c r="O14" s="59">
        <f t="shared" si="7"/>
        <v>0.2070393918</v>
      </c>
      <c r="P14" s="62"/>
      <c r="Q14" s="63">
        <f t="shared" si="8"/>
        <v>10173.91571</v>
      </c>
      <c r="R14" s="62"/>
      <c r="S14" s="62"/>
      <c r="T14" s="62"/>
      <c r="U14" s="62"/>
      <c r="V14" s="62"/>
      <c r="W14" s="62"/>
      <c r="X14" s="62"/>
    </row>
    <row r="15" ht="14.25" customHeight="1">
      <c r="A15" s="117" t="s">
        <v>104</v>
      </c>
      <c r="B15" s="118" t="s">
        <v>107</v>
      </c>
      <c r="C15" s="118" t="s">
        <v>34</v>
      </c>
      <c r="D15" s="118"/>
      <c r="E15" s="56">
        <v>84.0</v>
      </c>
      <c r="F15" s="80">
        <v>430.0</v>
      </c>
      <c r="G15" s="81">
        <f t="shared" si="1"/>
        <v>0.1953488372</v>
      </c>
      <c r="H15" s="80">
        <v>936.0</v>
      </c>
      <c r="I15" s="59">
        <f t="shared" si="2"/>
        <v>2.831196581</v>
      </c>
      <c r="J15" s="59">
        <f t="shared" si="3"/>
        <v>86.83119658</v>
      </c>
      <c r="K15" s="59">
        <f t="shared" si="4"/>
        <v>89.0019765</v>
      </c>
      <c r="L15" s="114">
        <v>0.125</v>
      </c>
      <c r="M15" s="60">
        <f t="shared" si="5"/>
        <v>0.125</v>
      </c>
      <c r="N15" s="61">
        <f t="shared" si="6"/>
        <v>101.7165446</v>
      </c>
      <c r="O15" s="59">
        <f t="shared" si="7"/>
        <v>0.2365501036</v>
      </c>
      <c r="P15" s="62"/>
      <c r="Q15" s="63">
        <f t="shared" si="8"/>
        <v>11900.83571</v>
      </c>
      <c r="R15" s="62"/>
      <c r="S15" s="62"/>
      <c r="T15" s="62"/>
      <c r="U15" s="62"/>
      <c r="V15" s="62"/>
      <c r="W15" s="62"/>
      <c r="X15" s="62"/>
    </row>
    <row r="16" ht="14.25" customHeight="1">
      <c r="A16" s="54" t="s">
        <v>32</v>
      </c>
      <c r="B16" s="55">
        <v>440.0</v>
      </c>
      <c r="C16" s="55" t="s">
        <v>34</v>
      </c>
      <c r="D16" s="55" t="s">
        <v>35</v>
      </c>
      <c r="E16" s="56">
        <v>58.96</v>
      </c>
      <c r="F16" s="57">
        <v>440.0</v>
      </c>
      <c r="G16" s="120">
        <f t="shared" si="1"/>
        <v>0.134</v>
      </c>
      <c r="H16" s="57">
        <v>936.0</v>
      </c>
      <c r="I16" s="58">
        <f t="shared" si="2"/>
        <v>2.831196581</v>
      </c>
      <c r="J16" s="58">
        <f t="shared" si="3"/>
        <v>61.79119658</v>
      </c>
      <c r="K16" s="58">
        <f t="shared" si="4"/>
        <v>63.3359765</v>
      </c>
      <c r="L16" s="114">
        <v>0.15</v>
      </c>
      <c r="M16" s="60">
        <f t="shared" si="5"/>
        <v>0.15</v>
      </c>
      <c r="N16" s="61">
        <f t="shared" si="6"/>
        <v>74.51291352</v>
      </c>
      <c r="O16" s="58">
        <f t="shared" si="7"/>
        <v>0.1693475307</v>
      </c>
      <c r="P16" s="63">
        <f>N16*H16</f>
        <v>69744.08706</v>
      </c>
      <c r="Q16" s="63">
        <f t="shared" si="8"/>
        <v>10461.61306</v>
      </c>
      <c r="R16" s="62"/>
      <c r="S16" s="62"/>
      <c r="T16" s="62"/>
      <c r="U16" s="62"/>
      <c r="V16" s="62"/>
      <c r="W16" s="62"/>
      <c r="X16" s="62"/>
    </row>
    <row r="17" ht="14.25" customHeight="1">
      <c r="A17" s="54" t="s">
        <v>38</v>
      </c>
      <c r="B17" s="55">
        <v>585.0</v>
      </c>
      <c r="C17" s="55" t="s">
        <v>34</v>
      </c>
      <c r="D17" s="55" t="s">
        <v>35</v>
      </c>
      <c r="E17" s="56">
        <v>86.58</v>
      </c>
      <c r="F17" s="57">
        <v>585.0</v>
      </c>
      <c r="G17" s="120">
        <f t="shared" si="1"/>
        <v>0.148</v>
      </c>
      <c r="H17" s="57">
        <v>620.0</v>
      </c>
      <c r="I17" s="58">
        <f t="shared" si="2"/>
        <v>4.274193548</v>
      </c>
      <c r="J17" s="58">
        <f t="shared" si="3"/>
        <v>90.85419355</v>
      </c>
      <c r="K17" s="58">
        <f t="shared" si="4"/>
        <v>93.12554839</v>
      </c>
      <c r="L17" s="114">
        <v>0.125</v>
      </c>
      <c r="M17" s="60">
        <f t="shared" si="5"/>
        <v>0.125</v>
      </c>
      <c r="N17" s="61">
        <f t="shared" si="6"/>
        <v>106.4291982</v>
      </c>
      <c r="O17" s="58">
        <f t="shared" si="7"/>
        <v>0.1819302533</v>
      </c>
      <c r="P17" s="62"/>
      <c r="Q17" s="63">
        <f t="shared" si="8"/>
        <v>8248.262857</v>
      </c>
      <c r="R17" s="62"/>
      <c r="S17" s="62"/>
      <c r="T17" s="62"/>
      <c r="U17" s="62"/>
      <c r="V17" s="62"/>
      <c r="W17" s="62"/>
      <c r="X17" s="62"/>
    </row>
    <row r="18" ht="14.25" customHeight="1">
      <c r="A18" s="121" t="s">
        <v>108</v>
      </c>
      <c r="B18" s="122">
        <v>585.0</v>
      </c>
      <c r="C18" s="122" t="s">
        <v>34</v>
      </c>
      <c r="D18" s="123" t="s">
        <v>109</v>
      </c>
      <c r="E18" s="124">
        <v>74.295</v>
      </c>
      <c r="F18" s="125">
        <v>585.0</v>
      </c>
      <c r="G18" s="126">
        <f t="shared" si="1"/>
        <v>0.127</v>
      </c>
      <c r="H18" s="125">
        <v>720.0</v>
      </c>
      <c r="I18" s="127">
        <f t="shared" si="2"/>
        <v>3.680555556</v>
      </c>
      <c r="J18" s="126">
        <f t="shared" si="3"/>
        <v>77.97555556</v>
      </c>
      <c r="K18" s="127">
        <f t="shared" si="4"/>
        <v>79.92494444</v>
      </c>
      <c r="L18" s="114">
        <v>0.0575</v>
      </c>
      <c r="M18" s="60">
        <f t="shared" si="5"/>
        <v>0.0575</v>
      </c>
      <c r="N18" s="127">
        <f t="shared" si="6"/>
        <v>84.80100206</v>
      </c>
      <c r="O18" s="128">
        <f t="shared" si="7"/>
        <v>0.1449589779</v>
      </c>
      <c r="P18" s="62"/>
      <c r="Q18" s="63">
        <f t="shared" si="8"/>
        <v>3510.761485</v>
      </c>
      <c r="R18" s="62"/>
      <c r="S18" s="62"/>
      <c r="T18" s="62"/>
      <c r="U18" s="62"/>
      <c r="V18" s="62"/>
      <c r="W18" s="62"/>
      <c r="X18" s="62"/>
    </row>
    <row r="19" ht="14.25" customHeight="1">
      <c r="A19" s="80"/>
      <c r="B19" s="80"/>
      <c r="C19" s="80"/>
      <c r="D19" s="80"/>
      <c r="E19" s="80"/>
      <c r="F19" s="80"/>
      <c r="G19" s="81"/>
      <c r="H19" s="80"/>
      <c r="I19" s="80"/>
      <c r="J19" s="80"/>
      <c r="K19" s="80"/>
      <c r="L19" s="114"/>
      <c r="M19" s="80"/>
      <c r="N19" s="80"/>
      <c r="O19" s="80"/>
      <c r="P19" s="62"/>
      <c r="Q19" s="62"/>
      <c r="R19" s="62"/>
      <c r="S19" s="62"/>
      <c r="T19" s="62"/>
      <c r="U19" s="62"/>
      <c r="V19" s="62"/>
      <c r="W19" s="62"/>
      <c r="X19" s="62"/>
    </row>
    <row r="20" ht="14.25" customHeight="1">
      <c r="A20" s="129" t="s">
        <v>110</v>
      </c>
      <c r="B20" s="80"/>
      <c r="C20" s="80"/>
      <c r="D20" s="80"/>
      <c r="E20" s="80"/>
      <c r="F20" s="80"/>
      <c r="G20" s="81"/>
      <c r="H20" s="80"/>
      <c r="I20" s="80"/>
      <c r="J20" s="80"/>
      <c r="K20" s="80"/>
      <c r="L20" s="114"/>
      <c r="M20" s="80"/>
      <c r="N20" s="80"/>
      <c r="O20" s="80"/>
      <c r="P20" s="62"/>
      <c r="Q20" s="62"/>
      <c r="R20" s="62"/>
      <c r="S20" s="62"/>
      <c r="T20" s="62"/>
      <c r="U20" s="62"/>
      <c r="V20" s="62"/>
      <c r="W20" s="62"/>
      <c r="X20" s="62"/>
    </row>
    <row r="21" ht="14.25" customHeight="1">
      <c r="A21" s="80"/>
      <c r="B21" s="80"/>
      <c r="C21" s="80"/>
      <c r="D21" s="80"/>
      <c r="E21" s="80"/>
      <c r="F21" s="80"/>
      <c r="G21" s="81"/>
      <c r="H21" s="80"/>
      <c r="I21" s="80"/>
      <c r="J21" s="80"/>
      <c r="K21" s="80"/>
      <c r="L21" s="114"/>
      <c r="M21" s="80"/>
      <c r="N21" s="80"/>
      <c r="O21" s="80"/>
      <c r="P21" s="62"/>
      <c r="Q21" s="62"/>
      <c r="R21" s="62"/>
      <c r="S21" s="62"/>
      <c r="T21" s="62"/>
      <c r="U21" s="62"/>
      <c r="V21" s="62"/>
      <c r="W21" s="62"/>
      <c r="X21" s="62"/>
    </row>
    <row r="22" ht="14.25" customHeight="1">
      <c r="A22" s="80" t="s">
        <v>111</v>
      </c>
      <c r="B22" s="80"/>
      <c r="C22" s="80"/>
      <c r="D22" s="80"/>
      <c r="E22" s="80"/>
      <c r="F22" s="80"/>
      <c r="G22" s="81"/>
      <c r="H22" s="82" t="s">
        <v>112</v>
      </c>
      <c r="I22" s="83">
        <v>200.0</v>
      </c>
      <c r="J22" s="84" t="s">
        <v>77</v>
      </c>
      <c r="K22" s="85">
        <v>0.025</v>
      </c>
      <c r="L22" s="86"/>
      <c r="M22" s="80"/>
      <c r="N22" s="87"/>
      <c r="O22" s="88"/>
      <c r="P22" s="62"/>
      <c r="Q22" s="62" t="s">
        <v>3</v>
      </c>
      <c r="R22" s="62"/>
      <c r="S22" s="62"/>
      <c r="T22" s="62"/>
      <c r="U22" s="62"/>
      <c r="V22" s="62"/>
      <c r="W22" s="62"/>
      <c r="X22" s="62"/>
    </row>
    <row r="23" ht="14.25" customHeight="1">
      <c r="A23" s="89" t="s">
        <v>113</v>
      </c>
      <c r="B23" s="90"/>
      <c r="C23" s="90"/>
      <c r="D23" s="90"/>
      <c r="E23" s="91"/>
      <c r="F23" s="80"/>
      <c r="G23" s="81"/>
      <c r="H23" s="80"/>
      <c r="I23" s="80"/>
      <c r="J23" s="92" t="s">
        <v>79</v>
      </c>
      <c r="K23" s="93"/>
      <c r="L23" s="94"/>
      <c r="M23" s="95"/>
      <c r="N23" s="96" t="s">
        <v>6</v>
      </c>
      <c r="O23" s="97"/>
      <c r="P23" s="98"/>
      <c r="Q23" s="99"/>
      <c r="S23" s="62"/>
      <c r="T23" s="62"/>
      <c r="U23" s="62"/>
      <c r="V23" s="62"/>
      <c r="W23" s="62"/>
      <c r="X23" s="62"/>
    </row>
    <row r="24" ht="14.25" customHeight="1">
      <c r="A24" s="100" t="s">
        <v>7</v>
      </c>
      <c r="B24" s="101" t="s">
        <v>80</v>
      </c>
      <c r="C24" s="101" t="s">
        <v>9</v>
      </c>
      <c r="D24" s="102" t="s">
        <v>81</v>
      </c>
      <c r="E24" s="103" t="s">
        <v>82</v>
      </c>
      <c r="F24" s="104" t="s">
        <v>83</v>
      </c>
      <c r="G24" s="105"/>
      <c r="H24" s="106" t="s">
        <v>114</v>
      </c>
      <c r="I24" s="104" t="s">
        <v>85</v>
      </c>
      <c r="J24" s="104" t="s">
        <v>86</v>
      </c>
      <c r="K24" s="104" t="s">
        <v>87</v>
      </c>
      <c r="L24" s="107" t="s">
        <v>115</v>
      </c>
      <c r="M24" s="108" t="s">
        <v>89</v>
      </c>
      <c r="N24" s="109" t="s">
        <v>90</v>
      </c>
      <c r="O24" s="110" t="s">
        <v>91</v>
      </c>
      <c r="P24" s="62"/>
      <c r="Q24" s="111" t="s">
        <v>116</v>
      </c>
      <c r="R24" s="62"/>
      <c r="S24" s="62"/>
      <c r="T24" s="62"/>
      <c r="U24" s="62"/>
      <c r="V24" s="62"/>
      <c r="W24" s="62"/>
      <c r="X24" s="62"/>
    </row>
    <row r="25" ht="14.25" customHeight="1">
      <c r="A25" s="112"/>
      <c r="B25" s="80"/>
      <c r="C25" s="80"/>
      <c r="D25" s="80"/>
      <c r="E25" s="113"/>
      <c r="F25" s="80"/>
      <c r="G25" s="81"/>
      <c r="H25" s="80"/>
      <c r="I25" s="80"/>
      <c r="J25" s="80"/>
      <c r="K25" s="80"/>
      <c r="L25" s="114"/>
      <c r="M25" s="115"/>
      <c r="N25" s="80"/>
      <c r="O25" s="80"/>
      <c r="P25" s="62"/>
      <c r="Q25" s="62"/>
      <c r="R25" s="62"/>
      <c r="S25" s="62"/>
      <c r="T25" s="62"/>
      <c r="U25" s="62"/>
      <c r="V25" s="62"/>
      <c r="W25" s="62"/>
      <c r="X25" s="62"/>
    </row>
    <row r="26" ht="14.25" customHeight="1">
      <c r="A26" s="112" t="s">
        <v>93</v>
      </c>
      <c r="B26" s="80" t="s">
        <v>94</v>
      </c>
      <c r="C26" s="80" t="s">
        <v>34</v>
      </c>
      <c r="D26" s="80"/>
      <c r="E26" s="116">
        <v>60.0</v>
      </c>
      <c r="F26" s="80">
        <v>400.0</v>
      </c>
      <c r="G26" s="81">
        <f t="shared" ref="G26:G46" si="9">E26/F26</f>
        <v>0.15</v>
      </c>
      <c r="H26" s="80"/>
      <c r="I26" s="59" t="str">
        <f t="shared" ref="I26:I48" si="10">$I$22/H26</f>
        <v>#DIV/0!</v>
      </c>
      <c r="J26" s="59" t="str">
        <f t="shared" ref="J26:J49" si="11">E26+I26</f>
        <v>#DIV/0!</v>
      </c>
      <c r="K26" s="59" t="str">
        <f t="shared" ref="K26:K49" si="12">(J26*$K$22)+J26</f>
        <v>#DIV/0!</v>
      </c>
      <c r="L26" s="114">
        <v>0.125</v>
      </c>
      <c r="M26" s="60" t="str">
        <f t="shared" ref="M26:M49" si="13">(N26-K26)/N26</f>
        <v>#DIV/0!</v>
      </c>
      <c r="N26" s="130" t="str">
        <f t="shared" ref="N26:N49" si="14">K26/(1-L26)</f>
        <v>#DIV/0!</v>
      </c>
      <c r="O26" s="59" t="str">
        <f t="shared" ref="O26:O49" si="15">N26/F26</f>
        <v>#DIV/0!</v>
      </c>
      <c r="P26" s="62"/>
      <c r="Q26" s="63" t="str">
        <f t="shared" ref="Q26:Q49" si="16">(N26-K26)*H26</f>
        <v>#DIV/0!</v>
      </c>
      <c r="R26" s="63"/>
      <c r="S26" s="63"/>
      <c r="T26" s="62"/>
      <c r="U26" s="62"/>
      <c r="V26" s="62"/>
      <c r="W26" s="62"/>
      <c r="X26" s="62"/>
    </row>
    <row r="27" ht="14.25" customHeight="1">
      <c r="A27" s="112" t="s">
        <v>93</v>
      </c>
      <c r="B27" s="80" t="s">
        <v>95</v>
      </c>
      <c r="C27" s="80" t="s">
        <v>34</v>
      </c>
      <c r="D27" s="80"/>
      <c r="E27" s="116">
        <v>75.0</v>
      </c>
      <c r="F27" s="80">
        <v>420.0</v>
      </c>
      <c r="G27" s="81">
        <f t="shared" si="9"/>
        <v>0.1785714286</v>
      </c>
      <c r="H27" s="80"/>
      <c r="I27" s="59" t="str">
        <f t="shared" si="10"/>
        <v>#DIV/0!</v>
      </c>
      <c r="J27" s="59" t="str">
        <f t="shared" si="11"/>
        <v>#DIV/0!</v>
      </c>
      <c r="K27" s="59" t="str">
        <f t="shared" si="12"/>
        <v>#DIV/0!</v>
      </c>
      <c r="L27" s="114"/>
      <c r="M27" s="60" t="str">
        <f t="shared" si="13"/>
        <v>#DIV/0!</v>
      </c>
      <c r="N27" s="130" t="str">
        <f t="shared" si="14"/>
        <v>#DIV/0!</v>
      </c>
      <c r="O27" s="59" t="str">
        <f t="shared" si="15"/>
        <v>#DIV/0!</v>
      </c>
      <c r="P27" s="62"/>
      <c r="Q27" s="63" t="str">
        <f t="shared" si="16"/>
        <v>#DIV/0!</v>
      </c>
      <c r="R27" s="62"/>
      <c r="S27" s="62"/>
      <c r="T27" s="62"/>
      <c r="U27" s="62"/>
      <c r="V27" s="62"/>
      <c r="W27" s="62"/>
      <c r="X27" s="62"/>
    </row>
    <row r="28" ht="14.25" customHeight="1">
      <c r="A28" s="112" t="s">
        <v>93</v>
      </c>
      <c r="B28" s="80" t="s">
        <v>96</v>
      </c>
      <c r="C28" s="80" t="s">
        <v>97</v>
      </c>
      <c r="D28" s="80"/>
      <c r="E28" s="116">
        <v>86.0</v>
      </c>
      <c r="F28" s="80">
        <v>430.0</v>
      </c>
      <c r="G28" s="81">
        <f t="shared" si="9"/>
        <v>0.2</v>
      </c>
      <c r="H28" s="80"/>
      <c r="I28" s="59" t="str">
        <f t="shared" si="10"/>
        <v>#DIV/0!</v>
      </c>
      <c r="J28" s="59" t="str">
        <f t="shared" si="11"/>
        <v>#DIV/0!</v>
      </c>
      <c r="K28" s="59" t="str">
        <f t="shared" si="12"/>
        <v>#DIV/0!</v>
      </c>
      <c r="L28" s="114"/>
      <c r="M28" s="60" t="str">
        <f t="shared" si="13"/>
        <v>#DIV/0!</v>
      </c>
      <c r="N28" s="130" t="str">
        <f t="shared" si="14"/>
        <v>#DIV/0!</v>
      </c>
      <c r="O28" s="59" t="str">
        <f t="shared" si="15"/>
        <v>#DIV/0!</v>
      </c>
      <c r="P28" s="62"/>
      <c r="Q28" s="63" t="str">
        <f t="shared" si="16"/>
        <v>#DIV/0!</v>
      </c>
      <c r="R28" s="62"/>
      <c r="S28" s="62"/>
      <c r="T28" s="62"/>
      <c r="U28" s="62"/>
      <c r="V28" s="62"/>
      <c r="W28" s="62"/>
      <c r="X28" s="62"/>
    </row>
    <row r="29" ht="14.25" customHeight="1">
      <c r="A29" s="117" t="s">
        <v>93</v>
      </c>
      <c r="B29" s="118" t="s">
        <v>98</v>
      </c>
      <c r="C29" s="118" t="s">
        <v>34</v>
      </c>
      <c r="D29" s="118"/>
      <c r="E29" s="56">
        <v>86.4</v>
      </c>
      <c r="F29" s="80">
        <v>540.0</v>
      </c>
      <c r="G29" s="81">
        <f t="shared" si="9"/>
        <v>0.16</v>
      </c>
      <c r="H29" s="80"/>
      <c r="I29" s="59" t="str">
        <f t="shared" si="10"/>
        <v>#DIV/0!</v>
      </c>
      <c r="J29" s="59" t="str">
        <f t="shared" si="11"/>
        <v>#DIV/0!</v>
      </c>
      <c r="K29" s="59" t="str">
        <f t="shared" si="12"/>
        <v>#DIV/0!</v>
      </c>
      <c r="L29" s="114"/>
      <c r="M29" s="60" t="str">
        <f t="shared" si="13"/>
        <v>#DIV/0!</v>
      </c>
      <c r="N29" s="130" t="str">
        <f t="shared" si="14"/>
        <v>#DIV/0!</v>
      </c>
      <c r="O29" s="59" t="str">
        <f t="shared" si="15"/>
        <v>#DIV/0!</v>
      </c>
      <c r="P29" s="62"/>
      <c r="Q29" s="63" t="str">
        <f t="shared" si="16"/>
        <v>#DIV/0!</v>
      </c>
      <c r="R29" s="62"/>
      <c r="S29" s="62"/>
      <c r="T29" s="62"/>
      <c r="U29" s="62"/>
      <c r="V29" s="62"/>
      <c r="W29" s="62"/>
      <c r="X29" s="62"/>
    </row>
    <row r="30" ht="14.25" customHeight="1">
      <c r="A30" s="112" t="s">
        <v>99</v>
      </c>
      <c r="B30" s="80" t="s">
        <v>100</v>
      </c>
      <c r="C30" s="80" t="s">
        <v>34</v>
      </c>
      <c r="D30" s="80"/>
      <c r="E30" s="119">
        <v>61.5</v>
      </c>
      <c r="F30" s="80">
        <v>410.0</v>
      </c>
      <c r="G30" s="81">
        <f t="shared" si="9"/>
        <v>0.15</v>
      </c>
      <c r="H30" s="80">
        <v>36.0</v>
      </c>
      <c r="I30" s="59">
        <f t="shared" si="10"/>
        <v>5.555555556</v>
      </c>
      <c r="J30" s="59">
        <f t="shared" si="11"/>
        <v>67.05555556</v>
      </c>
      <c r="K30" s="59">
        <f t="shared" si="12"/>
        <v>68.73194444</v>
      </c>
      <c r="L30" s="114"/>
      <c r="M30" s="60">
        <f t="shared" si="13"/>
        <v>0</v>
      </c>
      <c r="N30" s="130">
        <f t="shared" si="14"/>
        <v>68.73194444</v>
      </c>
      <c r="O30" s="59">
        <f t="shared" si="15"/>
        <v>0.1676388889</v>
      </c>
      <c r="P30" s="62"/>
      <c r="Q30" s="63">
        <f t="shared" si="16"/>
        <v>0</v>
      </c>
      <c r="R30" s="62"/>
      <c r="S30" s="62"/>
      <c r="T30" s="62"/>
      <c r="U30" s="62"/>
      <c r="V30" s="62"/>
      <c r="W30" s="62"/>
      <c r="X30" s="62"/>
    </row>
    <row r="31" ht="14.25" customHeight="1">
      <c r="A31" s="112" t="s">
        <v>99</v>
      </c>
      <c r="B31" s="80" t="s">
        <v>100</v>
      </c>
      <c r="C31" s="80" t="s">
        <v>34</v>
      </c>
      <c r="D31" s="80" t="s">
        <v>117</v>
      </c>
      <c r="E31" s="119">
        <v>60.0</v>
      </c>
      <c r="F31" s="80">
        <v>415.0</v>
      </c>
      <c r="G31" s="81">
        <f t="shared" si="9"/>
        <v>0.1445783133</v>
      </c>
      <c r="H31" s="80">
        <v>36.0</v>
      </c>
      <c r="I31" s="59">
        <f t="shared" si="10"/>
        <v>5.555555556</v>
      </c>
      <c r="J31" s="59">
        <f t="shared" si="11"/>
        <v>65.55555556</v>
      </c>
      <c r="K31" s="59">
        <f t="shared" si="12"/>
        <v>67.19444444</v>
      </c>
      <c r="L31" s="114"/>
      <c r="M31" s="60">
        <f t="shared" si="13"/>
        <v>0</v>
      </c>
      <c r="N31" s="130">
        <f t="shared" si="14"/>
        <v>67.19444444</v>
      </c>
      <c r="O31" s="59">
        <f t="shared" si="15"/>
        <v>0.161914324</v>
      </c>
      <c r="P31" s="62"/>
      <c r="Q31" s="63">
        <f t="shared" si="16"/>
        <v>0</v>
      </c>
      <c r="R31" s="62"/>
      <c r="S31" s="62"/>
      <c r="T31" s="62"/>
      <c r="U31" s="62"/>
      <c r="V31" s="62"/>
      <c r="W31" s="62"/>
      <c r="X31" s="62"/>
    </row>
    <row r="32" ht="14.25" customHeight="1">
      <c r="A32" s="112" t="s">
        <v>99</v>
      </c>
      <c r="B32" s="80" t="s">
        <v>101</v>
      </c>
      <c r="C32" s="80" t="s">
        <v>97</v>
      </c>
      <c r="D32" s="80"/>
      <c r="E32" s="116">
        <v>87.0</v>
      </c>
      <c r="F32" s="80">
        <v>435.0</v>
      </c>
      <c r="G32" s="81">
        <f t="shared" si="9"/>
        <v>0.2</v>
      </c>
      <c r="H32" s="80"/>
      <c r="I32" s="59" t="str">
        <f t="shared" si="10"/>
        <v>#DIV/0!</v>
      </c>
      <c r="J32" s="59" t="str">
        <f t="shared" si="11"/>
        <v>#DIV/0!</v>
      </c>
      <c r="K32" s="59" t="str">
        <f t="shared" si="12"/>
        <v>#DIV/0!</v>
      </c>
      <c r="L32" s="114"/>
      <c r="M32" s="60" t="str">
        <f t="shared" si="13"/>
        <v>#DIV/0!</v>
      </c>
      <c r="N32" s="130" t="str">
        <f t="shared" si="14"/>
        <v>#DIV/0!</v>
      </c>
      <c r="O32" s="59" t="str">
        <f t="shared" si="15"/>
        <v>#DIV/0!</v>
      </c>
      <c r="P32" s="62"/>
      <c r="Q32" s="63" t="str">
        <f t="shared" si="16"/>
        <v>#DIV/0!</v>
      </c>
      <c r="R32" s="62"/>
      <c r="S32" s="62"/>
      <c r="T32" s="62"/>
      <c r="U32" s="62"/>
      <c r="V32" s="62"/>
      <c r="W32" s="62"/>
      <c r="X32" s="62"/>
    </row>
    <row r="33" ht="14.25" customHeight="1">
      <c r="A33" s="112" t="s">
        <v>99</v>
      </c>
      <c r="B33" s="80" t="s">
        <v>102</v>
      </c>
      <c r="C33" s="80" t="s">
        <v>97</v>
      </c>
      <c r="D33" s="80"/>
      <c r="E33" s="116">
        <v>96.8</v>
      </c>
      <c r="F33" s="80">
        <v>440.0</v>
      </c>
      <c r="G33" s="81">
        <f t="shared" si="9"/>
        <v>0.22</v>
      </c>
      <c r="H33" s="80"/>
      <c r="I33" s="59" t="str">
        <f t="shared" si="10"/>
        <v>#DIV/0!</v>
      </c>
      <c r="J33" s="59" t="str">
        <f t="shared" si="11"/>
        <v>#DIV/0!</v>
      </c>
      <c r="K33" s="59" t="str">
        <f t="shared" si="12"/>
        <v>#DIV/0!</v>
      </c>
      <c r="L33" s="114"/>
      <c r="M33" s="60" t="str">
        <f t="shared" si="13"/>
        <v>#DIV/0!</v>
      </c>
      <c r="N33" s="130" t="str">
        <f t="shared" si="14"/>
        <v>#DIV/0!</v>
      </c>
      <c r="O33" s="59" t="str">
        <f t="shared" si="15"/>
        <v>#DIV/0!</v>
      </c>
      <c r="P33" s="62"/>
      <c r="Q33" s="63" t="str">
        <f t="shared" si="16"/>
        <v>#DIV/0!</v>
      </c>
      <c r="R33" s="62"/>
      <c r="S33" s="62"/>
      <c r="T33" s="62"/>
      <c r="U33" s="62"/>
      <c r="V33" s="62"/>
      <c r="W33" s="62"/>
      <c r="X33" s="62"/>
    </row>
    <row r="34" ht="14.25" customHeight="1">
      <c r="A34" s="117" t="s">
        <v>99</v>
      </c>
      <c r="B34" s="118" t="s">
        <v>103</v>
      </c>
      <c r="C34" s="118" t="s">
        <v>34</v>
      </c>
      <c r="D34" s="118"/>
      <c r="E34" s="56">
        <v>91.5</v>
      </c>
      <c r="F34" s="80">
        <v>555.0</v>
      </c>
      <c r="G34" s="81">
        <f t="shared" si="9"/>
        <v>0.1648648649</v>
      </c>
      <c r="H34" s="80"/>
      <c r="I34" s="59" t="str">
        <f t="shared" si="10"/>
        <v>#DIV/0!</v>
      </c>
      <c r="J34" s="59" t="str">
        <f t="shared" si="11"/>
        <v>#DIV/0!</v>
      </c>
      <c r="K34" s="59" t="str">
        <f t="shared" si="12"/>
        <v>#DIV/0!</v>
      </c>
      <c r="L34" s="114"/>
      <c r="M34" s="60" t="str">
        <f t="shared" si="13"/>
        <v>#DIV/0!</v>
      </c>
      <c r="N34" s="130" t="str">
        <f t="shared" si="14"/>
        <v>#DIV/0!</v>
      </c>
      <c r="O34" s="59" t="str">
        <f t="shared" si="15"/>
        <v>#DIV/0!</v>
      </c>
      <c r="P34" s="62"/>
      <c r="Q34" s="63" t="str">
        <f t="shared" si="16"/>
        <v>#DIV/0!</v>
      </c>
      <c r="R34" s="62"/>
      <c r="S34" s="62"/>
      <c r="T34" s="62"/>
      <c r="U34" s="62"/>
      <c r="V34" s="62"/>
      <c r="W34" s="62"/>
      <c r="X34" s="62"/>
    </row>
    <row r="35" ht="14.25" customHeight="1">
      <c r="A35" s="112" t="s">
        <v>104</v>
      </c>
      <c r="B35" s="80" t="s">
        <v>105</v>
      </c>
      <c r="C35" s="80" t="s">
        <v>34</v>
      </c>
      <c r="D35" s="80"/>
      <c r="E35" s="116">
        <v>65.6</v>
      </c>
      <c r="F35" s="80">
        <v>410.0</v>
      </c>
      <c r="G35" s="81">
        <f t="shared" si="9"/>
        <v>0.16</v>
      </c>
      <c r="H35" s="80"/>
      <c r="I35" s="59" t="str">
        <f t="shared" si="10"/>
        <v>#DIV/0!</v>
      </c>
      <c r="J35" s="59" t="str">
        <f t="shared" si="11"/>
        <v>#DIV/0!</v>
      </c>
      <c r="K35" s="59" t="str">
        <f t="shared" si="12"/>
        <v>#DIV/0!</v>
      </c>
      <c r="L35" s="114"/>
      <c r="M35" s="60" t="str">
        <f t="shared" si="13"/>
        <v>#DIV/0!</v>
      </c>
      <c r="N35" s="130" t="str">
        <f t="shared" si="14"/>
        <v>#DIV/0!</v>
      </c>
      <c r="O35" s="59" t="str">
        <f t="shared" si="15"/>
        <v>#DIV/0!</v>
      </c>
      <c r="P35" s="62"/>
      <c r="Q35" s="63" t="str">
        <f t="shared" si="16"/>
        <v>#DIV/0!</v>
      </c>
      <c r="R35" s="62"/>
      <c r="S35" s="62"/>
      <c r="T35" s="62"/>
      <c r="U35" s="62"/>
      <c r="V35" s="62"/>
      <c r="W35" s="62"/>
      <c r="X35" s="62"/>
    </row>
    <row r="36" ht="14.25" customHeight="1">
      <c r="A36" s="112" t="s">
        <v>104</v>
      </c>
      <c r="B36" s="80" t="s">
        <v>118</v>
      </c>
      <c r="C36" s="80" t="s">
        <v>34</v>
      </c>
      <c r="D36" s="80" t="s">
        <v>119</v>
      </c>
      <c r="E36" s="116">
        <v>69.0</v>
      </c>
      <c r="F36" s="80">
        <v>415.0</v>
      </c>
      <c r="G36" s="81">
        <f t="shared" si="9"/>
        <v>0.1662650602</v>
      </c>
      <c r="H36" s="80">
        <v>36.0</v>
      </c>
      <c r="I36" s="59">
        <f t="shared" si="10"/>
        <v>5.555555556</v>
      </c>
      <c r="J36" s="59">
        <f t="shared" si="11"/>
        <v>74.55555556</v>
      </c>
      <c r="K36" s="59">
        <f t="shared" si="12"/>
        <v>76.41944444</v>
      </c>
      <c r="L36" s="114"/>
      <c r="M36" s="60">
        <f t="shared" si="13"/>
        <v>0</v>
      </c>
      <c r="N36" s="130">
        <f t="shared" si="14"/>
        <v>76.41944444</v>
      </c>
      <c r="O36" s="59">
        <f t="shared" si="15"/>
        <v>0.1841432396</v>
      </c>
      <c r="P36" s="62"/>
      <c r="Q36" s="63">
        <f t="shared" si="16"/>
        <v>0</v>
      </c>
      <c r="R36" s="62"/>
      <c r="S36" s="62"/>
      <c r="T36" s="62"/>
      <c r="U36" s="62"/>
      <c r="V36" s="62"/>
      <c r="W36" s="62"/>
      <c r="X36" s="62"/>
    </row>
    <row r="37" ht="14.25" customHeight="1">
      <c r="A37" s="112" t="s">
        <v>104</v>
      </c>
      <c r="B37" s="80" t="s">
        <v>106</v>
      </c>
      <c r="C37" s="80" t="s">
        <v>34</v>
      </c>
      <c r="D37" s="80"/>
      <c r="E37" s="116">
        <v>71.4</v>
      </c>
      <c r="F37" s="80">
        <v>420.0</v>
      </c>
      <c r="G37" s="81">
        <f t="shared" si="9"/>
        <v>0.17</v>
      </c>
      <c r="H37" s="80"/>
      <c r="I37" s="59" t="str">
        <f t="shared" si="10"/>
        <v>#DIV/0!</v>
      </c>
      <c r="J37" s="59" t="str">
        <f t="shared" si="11"/>
        <v>#DIV/0!</v>
      </c>
      <c r="K37" s="59" t="str">
        <f t="shared" si="12"/>
        <v>#DIV/0!</v>
      </c>
      <c r="L37" s="114"/>
      <c r="M37" s="60" t="str">
        <f t="shared" si="13"/>
        <v>#DIV/0!</v>
      </c>
      <c r="N37" s="130" t="str">
        <f t="shared" si="14"/>
        <v>#DIV/0!</v>
      </c>
      <c r="O37" s="59" t="str">
        <f t="shared" si="15"/>
        <v>#DIV/0!</v>
      </c>
      <c r="P37" s="62"/>
      <c r="Q37" s="63" t="str">
        <f t="shared" si="16"/>
        <v>#DIV/0!</v>
      </c>
      <c r="R37" s="62"/>
      <c r="S37" s="62"/>
      <c r="T37" s="62"/>
      <c r="U37" s="62"/>
      <c r="V37" s="62"/>
      <c r="W37" s="62"/>
      <c r="X37" s="62"/>
    </row>
    <row r="38" ht="14.25" customHeight="1">
      <c r="A38" s="117" t="s">
        <v>104</v>
      </c>
      <c r="B38" s="118" t="s">
        <v>107</v>
      </c>
      <c r="C38" s="118" t="s">
        <v>34</v>
      </c>
      <c r="D38" s="118"/>
      <c r="E38" s="56">
        <v>84.0</v>
      </c>
      <c r="F38" s="80">
        <v>430.0</v>
      </c>
      <c r="G38" s="81">
        <f t="shared" si="9"/>
        <v>0.1953488372</v>
      </c>
      <c r="H38" s="80">
        <v>36.0</v>
      </c>
      <c r="I38" s="59">
        <f t="shared" si="10"/>
        <v>5.555555556</v>
      </c>
      <c r="J38" s="59">
        <f t="shared" si="11"/>
        <v>89.55555556</v>
      </c>
      <c r="K38" s="59">
        <f t="shared" si="12"/>
        <v>91.79444444</v>
      </c>
      <c r="L38" s="114"/>
      <c r="M38" s="60">
        <f t="shared" si="13"/>
        <v>0</v>
      </c>
      <c r="N38" s="130">
        <f t="shared" si="14"/>
        <v>91.79444444</v>
      </c>
      <c r="O38" s="59">
        <f t="shared" si="15"/>
        <v>0.2134754522</v>
      </c>
      <c r="P38" s="62"/>
      <c r="Q38" s="63">
        <f t="shared" si="16"/>
        <v>0</v>
      </c>
      <c r="R38" s="62"/>
      <c r="S38" s="62"/>
      <c r="T38" s="62"/>
      <c r="U38" s="62"/>
      <c r="V38" s="62"/>
      <c r="W38" s="62"/>
      <c r="X38" s="62"/>
    </row>
    <row r="39" ht="14.25" customHeight="1">
      <c r="A39" s="54" t="s">
        <v>32</v>
      </c>
      <c r="B39" s="55" t="s">
        <v>120</v>
      </c>
      <c r="C39" s="55" t="s">
        <v>34</v>
      </c>
      <c r="D39" s="55" t="s">
        <v>35</v>
      </c>
      <c r="E39" s="56">
        <f>0.144*435</f>
        <v>62.64</v>
      </c>
      <c r="F39" s="57">
        <v>435.0</v>
      </c>
      <c r="G39" s="120">
        <f t="shared" si="9"/>
        <v>0.144</v>
      </c>
      <c r="H39" s="57">
        <v>36.0</v>
      </c>
      <c r="I39" s="59">
        <f t="shared" si="10"/>
        <v>5.555555556</v>
      </c>
      <c r="J39" s="58">
        <f t="shared" si="11"/>
        <v>68.19555556</v>
      </c>
      <c r="K39" s="59">
        <f t="shared" si="12"/>
        <v>69.90044444</v>
      </c>
      <c r="L39" s="114">
        <v>0.07</v>
      </c>
      <c r="M39" s="60">
        <f t="shared" si="13"/>
        <v>0.07</v>
      </c>
      <c r="N39" s="130">
        <f t="shared" si="14"/>
        <v>75.16176822</v>
      </c>
      <c r="O39" s="120">
        <f t="shared" si="15"/>
        <v>0.1727856741</v>
      </c>
      <c r="P39" s="62"/>
      <c r="Q39" s="63">
        <f t="shared" si="16"/>
        <v>189.4076559</v>
      </c>
      <c r="R39" s="62"/>
      <c r="S39" s="62"/>
      <c r="T39" s="64" t="s">
        <v>36</v>
      </c>
      <c r="U39" s="62" t="s">
        <v>37</v>
      </c>
      <c r="V39" s="62"/>
      <c r="W39" s="62"/>
      <c r="X39" s="62"/>
    </row>
    <row r="40" ht="14.25" customHeight="1">
      <c r="A40" s="54" t="s">
        <v>32</v>
      </c>
      <c r="B40" s="55" t="s">
        <v>33</v>
      </c>
      <c r="C40" s="55" t="s">
        <v>34</v>
      </c>
      <c r="D40" s="55" t="s">
        <v>35</v>
      </c>
      <c r="E40" s="56">
        <v>63.36</v>
      </c>
      <c r="F40" s="57">
        <v>440.0</v>
      </c>
      <c r="G40" s="120">
        <f t="shared" si="9"/>
        <v>0.144</v>
      </c>
      <c r="H40" s="57">
        <v>36.0</v>
      </c>
      <c r="I40" s="59">
        <f t="shared" si="10"/>
        <v>5.555555556</v>
      </c>
      <c r="J40" s="58">
        <f t="shared" si="11"/>
        <v>68.91555556</v>
      </c>
      <c r="K40" s="59">
        <f t="shared" si="12"/>
        <v>70.63844444</v>
      </c>
      <c r="L40" s="114">
        <v>0.1</v>
      </c>
      <c r="M40" s="60">
        <f t="shared" si="13"/>
        <v>0.1</v>
      </c>
      <c r="N40" s="130">
        <f t="shared" si="14"/>
        <v>78.48716049</v>
      </c>
      <c r="O40" s="58">
        <f t="shared" si="15"/>
        <v>0.1783799102</v>
      </c>
      <c r="P40" s="62"/>
      <c r="Q40" s="63">
        <f t="shared" si="16"/>
        <v>282.5537778</v>
      </c>
      <c r="R40" s="62"/>
      <c r="S40" s="62"/>
      <c r="T40" s="64" t="s">
        <v>36</v>
      </c>
      <c r="U40" s="62" t="s">
        <v>37</v>
      </c>
      <c r="V40" s="62"/>
      <c r="W40" s="62"/>
      <c r="X40" s="62"/>
    </row>
    <row r="41" ht="14.25" customHeight="1">
      <c r="A41" s="54" t="s">
        <v>38</v>
      </c>
      <c r="B41" s="55" t="s">
        <v>39</v>
      </c>
      <c r="C41" s="55" t="s">
        <v>34</v>
      </c>
      <c r="D41" s="55" t="s">
        <v>35</v>
      </c>
      <c r="E41" s="56">
        <v>86.58</v>
      </c>
      <c r="F41" s="57">
        <v>585.0</v>
      </c>
      <c r="G41" s="120">
        <f t="shared" si="9"/>
        <v>0.148</v>
      </c>
      <c r="H41" s="57">
        <v>31.0</v>
      </c>
      <c r="I41" s="59">
        <f t="shared" si="10"/>
        <v>6.451612903</v>
      </c>
      <c r="J41" s="58">
        <f t="shared" si="11"/>
        <v>93.0316129</v>
      </c>
      <c r="K41" s="59">
        <f t="shared" si="12"/>
        <v>95.35740323</v>
      </c>
      <c r="L41" s="114">
        <v>0.1</v>
      </c>
      <c r="M41" s="60">
        <f t="shared" si="13"/>
        <v>0.1</v>
      </c>
      <c r="N41" s="130">
        <f t="shared" si="14"/>
        <v>105.9526703</v>
      </c>
      <c r="O41" s="58">
        <f t="shared" si="15"/>
        <v>0.1811156756</v>
      </c>
      <c r="P41" s="62"/>
      <c r="Q41" s="63">
        <f t="shared" si="16"/>
        <v>328.4532778</v>
      </c>
      <c r="R41" s="62"/>
      <c r="S41" s="62"/>
      <c r="T41" s="64" t="s">
        <v>40</v>
      </c>
      <c r="U41" s="62" t="s">
        <v>41</v>
      </c>
      <c r="V41" s="62"/>
      <c r="W41" s="62"/>
      <c r="X41" s="62"/>
    </row>
    <row r="42" ht="14.25" customHeight="1">
      <c r="A42" s="54" t="s">
        <v>32</v>
      </c>
      <c r="B42" s="55" t="s">
        <v>33</v>
      </c>
      <c r="C42" s="55" t="s">
        <v>34</v>
      </c>
      <c r="D42" s="55" t="s">
        <v>35</v>
      </c>
      <c r="E42" s="56">
        <v>63.36</v>
      </c>
      <c r="F42" s="57">
        <v>440.0</v>
      </c>
      <c r="G42" s="120">
        <f t="shared" si="9"/>
        <v>0.144</v>
      </c>
      <c r="H42" s="57">
        <v>36.0</v>
      </c>
      <c r="I42" s="59">
        <f t="shared" si="10"/>
        <v>5.555555556</v>
      </c>
      <c r="J42" s="58">
        <f t="shared" si="11"/>
        <v>68.91555556</v>
      </c>
      <c r="K42" s="59">
        <f t="shared" si="12"/>
        <v>70.63844444</v>
      </c>
      <c r="L42" s="114">
        <v>0.1</v>
      </c>
      <c r="M42" s="60">
        <f t="shared" si="13"/>
        <v>0.1</v>
      </c>
      <c r="N42" s="130">
        <f t="shared" si="14"/>
        <v>78.48716049</v>
      </c>
      <c r="O42" s="58">
        <f t="shared" si="15"/>
        <v>0.1783799102</v>
      </c>
      <c r="P42" s="62"/>
      <c r="Q42" s="63">
        <f t="shared" si="16"/>
        <v>282.5537778</v>
      </c>
      <c r="R42" s="62"/>
      <c r="S42" s="62"/>
      <c r="T42" s="64" t="s">
        <v>36</v>
      </c>
      <c r="U42" s="62" t="s">
        <v>37</v>
      </c>
      <c r="V42" s="62"/>
      <c r="W42" s="62"/>
      <c r="X42" s="62"/>
    </row>
    <row r="43" ht="14.25" customHeight="1">
      <c r="A43" s="54" t="s">
        <v>121</v>
      </c>
      <c r="B43" s="55" t="s">
        <v>122</v>
      </c>
      <c r="C43" s="55" t="s">
        <v>34</v>
      </c>
      <c r="D43" s="55" t="s">
        <v>35</v>
      </c>
      <c r="E43" s="56">
        <f>405*0.155</f>
        <v>62.775</v>
      </c>
      <c r="F43" s="57">
        <v>405.0</v>
      </c>
      <c r="G43" s="120">
        <f t="shared" si="9"/>
        <v>0.155</v>
      </c>
      <c r="H43" s="57">
        <v>36.0</v>
      </c>
      <c r="I43" s="59">
        <f t="shared" si="10"/>
        <v>5.555555556</v>
      </c>
      <c r="J43" s="58">
        <f t="shared" si="11"/>
        <v>68.33055556</v>
      </c>
      <c r="K43" s="59">
        <f t="shared" si="12"/>
        <v>70.03881944</v>
      </c>
      <c r="L43" s="114">
        <v>0.1</v>
      </c>
      <c r="M43" s="60">
        <f t="shared" si="13"/>
        <v>0.1</v>
      </c>
      <c r="N43" s="130">
        <f t="shared" si="14"/>
        <v>77.82091049</v>
      </c>
      <c r="O43" s="58">
        <f t="shared" si="15"/>
        <v>0.1921503963</v>
      </c>
      <c r="P43" s="62"/>
      <c r="Q43" s="63">
        <f t="shared" si="16"/>
        <v>280.1552778</v>
      </c>
      <c r="R43" s="62"/>
      <c r="S43" s="62"/>
      <c r="T43" s="131"/>
      <c r="U43" s="62" t="s">
        <v>37</v>
      </c>
      <c r="V43" s="62"/>
      <c r="W43" s="62"/>
      <c r="X43" s="62"/>
    </row>
    <row r="44" ht="14.25" customHeight="1">
      <c r="A44" s="112" t="s">
        <v>123</v>
      </c>
      <c r="B44" s="99" t="s">
        <v>124</v>
      </c>
      <c r="C44" s="80" t="s">
        <v>97</v>
      </c>
      <c r="D44" s="80" t="s">
        <v>125</v>
      </c>
      <c r="E44" s="116">
        <v>89.12</v>
      </c>
      <c r="F44" s="80">
        <v>575.0</v>
      </c>
      <c r="G44" s="81">
        <f t="shared" si="9"/>
        <v>0.1549913043</v>
      </c>
      <c r="H44" s="80">
        <v>31.0</v>
      </c>
      <c r="I44" s="59">
        <f t="shared" si="10"/>
        <v>6.451612903</v>
      </c>
      <c r="J44" s="59">
        <f t="shared" si="11"/>
        <v>95.5716129</v>
      </c>
      <c r="K44" s="59">
        <f t="shared" si="12"/>
        <v>97.96090323</v>
      </c>
      <c r="L44" s="114">
        <v>0.15</v>
      </c>
      <c r="M44" s="60">
        <f t="shared" si="13"/>
        <v>0.15</v>
      </c>
      <c r="N44" s="130">
        <f t="shared" si="14"/>
        <v>115.2481214</v>
      </c>
      <c r="O44" s="81">
        <f t="shared" si="15"/>
        <v>0.2004315156</v>
      </c>
      <c r="P44" s="62"/>
      <c r="Q44" s="63">
        <f t="shared" si="16"/>
        <v>535.9037647</v>
      </c>
      <c r="R44" s="62"/>
      <c r="S44" s="62"/>
      <c r="T44" s="64" t="s">
        <v>126</v>
      </c>
      <c r="U44" s="62" t="s">
        <v>127</v>
      </c>
      <c r="V44" s="62" t="s">
        <v>128</v>
      </c>
      <c r="W44" s="62"/>
      <c r="X44" s="62"/>
    </row>
    <row r="45" ht="14.25" customHeight="1">
      <c r="A45" s="112" t="s">
        <v>123</v>
      </c>
      <c r="B45" s="99" t="s">
        <v>129</v>
      </c>
      <c r="C45" s="80" t="s">
        <v>34</v>
      </c>
      <c r="D45" s="80" t="s">
        <v>125</v>
      </c>
      <c r="E45" s="116">
        <f>2399.4/36</f>
        <v>66.65</v>
      </c>
      <c r="F45" s="80">
        <v>430.0</v>
      </c>
      <c r="G45" s="81">
        <f t="shared" si="9"/>
        <v>0.155</v>
      </c>
      <c r="H45" s="80">
        <v>36.0</v>
      </c>
      <c r="I45" s="59">
        <f t="shared" si="10"/>
        <v>5.555555556</v>
      </c>
      <c r="J45" s="59">
        <f t="shared" si="11"/>
        <v>72.20555556</v>
      </c>
      <c r="K45" s="59">
        <f t="shared" si="12"/>
        <v>74.01069444</v>
      </c>
      <c r="L45" s="114">
        <v>0.13</v>
      </c>
      <c r="M45" s="60">
        <f t="shared" si="13"/>
        <v>0.13</v>
      </c>
      <c r="N45" s="61">
        <f t="shared" si="14"/>
        <v>85.06976373</v>
      </c>
      <c r="O45" s="81">
        <f t="shared" si="15"/>
        <v>0.1978366598</v>
      </c>
      <c r="P45" s="62"/>
      <c r="Q45" s="63">
        <f t="shared" si="16"/>
        <v>398.1264943</v>
      </c>
      <c r="R45" s="62"/>
      <c r="S45" s="62"/>
      <c r="T45" s="64" t="s">
        <v>126</v>
      </c>
      <c r="U45" s="62" t="s">
        <v>127</v>
      </c>
      <c r="V45" s="62" t="s">
        <v>128</v>
      </c>
      <c r="W45" s="62"/>
      <c r="X45" s="62"/>
    </row>
    <row r="46" ht="14.25" customHeight="1">
      <c r="A46" s="112" t="s">
        <v>123</v>
      </c>
      <c r="B46" s="99" t="s">
        <v>130</v>
      </c>
      <c r="C46" s="80" t="s">
        <v>34</v>
      </c>
      <c r="D46" s="80" t="s">
        <v>125</v>
      </c>
      <c r="E46" s="116">
        <f>2455.2/36</f>
        <v>68.2</v>
      </c>
      <c r="F46" s="80">
        <v>440.0</v>
      </c>
      <c r="G46" s="81">
        <f t="shared" si="9"/>
        <v>0.155</v>
      </c>
      <c r="H46" s="80">
        <v>36.0</v>
      </c>
      <c r="I46" s="59">
        <f t="shared" si="10"/>
        <v>5.555555556</v>
      </c>
      <c r="J46" s="59">
        <f t="shared" si="11"/>
        <v>73.75555556</v>
      </c>
      <c r="K46" s="59">
        <f t="shared" si="12"/>
        <v>75.59944444</v>
      </c>
      <c r="L46" s="114">
        <v>0.1409</v>
      </c>
      <c r="M46" s="60">
        <f t="shared" si="13"/>
        <v>0.1409</v>
      </c>
      <c r="N46" s="61">
        <f t="shared" si="14"/>
        <v>87.99842212</v>
      </c>
      <c r="O46" s="81">
        <f t="shared" si="15"/>
        <v>0.1999964139</v>
      </c>
      <c r="P46" s="62"/>
      <c r="Q46" s="63">
        <f t="shared" si="16"/>
        <v>446.3631964</v>
      </c>
      <c r="R46" s="62"/>
      <c r="S46" s="62"/>
      <c r="T46" s="64" t="s">
        <v>126</v>
      </c>
      <c r="U46" s="62" t="s">
        <v>127</v>
      </c>
      <c r="V46" s="62" t="s">
        <v>128</v>
      </c>
      <c r="W46" s="62"/>
      <c r="X46" s="62"/>
    </row>
    <row r="47" ht="14.25" customHeight="1">
      <c r="A47" s="43" t="s">
        <v>131</v>
      </c>
      <c r="B47" s="43" t="s">
        <v>132</v>
      </c>
      <c r="C47" s="43" t="s">
        <v>133</v>
      </c>
      <c r="D47" s="132" t="s">
        <v>134</v>
      </c>
      <c r="E47" s="133">
        <v>58.725</v>
      </c>
      <c r="F47" s="43">
        <v>405.0</v>
      </c>
      <c r="G47" s="134">
        <v>0.145</v>
      </c>
      <c r="H47" s="80">
        <v>36.0</v>
      </c>
      <c r="I47" s="135">
        <f t="shared" si="10"/>
        <v>5.555555556</v>
      </c>
      <c r="J47" s="59">
        <f t="shared" si="11"/>
        <v>64.28055556</v>
      </c>
      <c r="K47" s="59">
        <f t="shared" si="12"/>
        <v>65.88756944</v>
      </c>
      <c r="L47" s="114">
        <v>0.1421</v>
      </c>
      <c r="M47" s="60">
        <f t="shared" si="13"/>
        <v>0.1421</v>
      </c>
      <c r="N47" s="61">
        <f t="shared" si="14"/>
        <v>76.80099014</v>
      </c>
      <c r="O47" s="81">
        <f t="shared" si="15"/>
        <v>0.1896320744</v>
      </c>
      <c r="P47" s="136"/>
      <c r="Q47" s="63">
        <f t="shared" si="16"/>
        <v>392.8831452</v>
      </c>
      <c r="R47" s="132"/>
      <c r="S47" s="136"/>
      <c r="T47" s="136"/>
      <c r="U47" s="136"/>
      <c r="V47" s="136"/>
      <c r="W47" s="136"/>
      <c r="X47" s="43"/>
    </row>
    <row r="48" ht="14.25" customHeight="1">
      <c r="A48" s="112" t="s">
        <v>123</v>
      </c>
      <c r="B48" s="99" t="s">
        <v>135</v>
      </c>
      <c r="C48" s="80" t="s">
        <v>97</v>
      </c>
      <c r="D48" s="80" t="s">
        <v>125</v>
      </c>
      <c r="E48" s="116">
        <v>94.55</v>
      </c>
      <c r="F48" s="80">
        <v>575.0</v>
      </c>
      <c r="G48" s="81">
        <f t="shared" ref="G48:G49" si="17">E48/F48</f>
        <v>0.1644347826</v>
      </c>
      <c r="H48" s="80">
        <v>31.0</v>
      </c>
      <c r="I48" s="59">
        <f t="shared" si="10"/>
        <v>6.451612903</v>
      </c>
      <c r="J48" s="59">
        <f t="shared" si="11"/>
        <v>101.0016129</v>
      </c>
      <c r="K48" s="59">
        <f t="shared" si="12"/>
        <v>103.5266532</v>
      </c>
      <c r="L48" s="114">
        <v>0.144</v>
      </c>
      <c r="M48" s="60">
        <f t="shared" si="13"/>
        <v>0.144</v>
      </c>
      <c r="N48" s="130">
        <f t="shared" si="14"/>
        <v>120.9423519</v>
      </c>
      <c r="O48" s="81">
        <f t="shared" si="15"/>
        <v>0.210334525</v>
      </c>
      <c r="P48" s="62"/>
      <c r="Q48" s="63">
        <f t="shared" si="16"/>
        <v>539.8866589</v>
      </c>
      <c r="R48" s="62"/>
      <c r="S48" s="62"/>
      <c r="T48" s="64" t="s">
        <v>126</v>
      </c>
      <c r="U48" s="62" t="s">
        <v>127</v>
      </c>
      <c r="V48" s="62" t="s">
        <v>128</v>
      </c>
      <c r="W48" s="62"/>
      <c r="X48" s="62"/>
    </row>
    <row r="49" ht="14.25" customHeight="1">
      <c r="A49" s="54" t="s">
        <v>32</v>
      </c>
      <c r="B49" s="55" t="s">
        <v>136</v>
      </c>
      <c r="C49" s="55" t="s">
        <v>34</v>
      </c>
      <c r="D49" s="55" t="s">
        <v>35</v>
      </c>
      <c r="E49" s="56">
        <v>64.08</v>
      </c>
      <c r="F49" s="57">
        <v>445.0</v>
      </c>
      <c r="G49" s="120">
        <f t="shared" si="17"/>
        <v>0.144</v>
      </c>
      <c r="H49" s="57">
        <v>36.0</v>
      </c>
      <c r="I49" s="137">
        <f>180/H49</f>
        <v>5</v>
      </c>
      <c r="J49" s="59">
        <f t="shared" si="11"/>
        <v>69.08</v>
      </c>
      <c r="K49" s="59">
        <f t="shared" si="12"/>
        <v>70.807</v>
      </c>
      <c r="L49" s="114">
        <v>0.115</v>
      </c>
      <c r="M49" s="60">
        <f t="shared" si="13"/>
        <v>0.115</v>
      </c>
      <c r="N49" s="130">
        <f t="shared" si="14"/>
        <v>80.0079096</v>
      </c>
      <c r="O49" s="120">
        <f t="shared" si="15"/>
        <v>0.1797930553</v>
      </c>
      <c r="P49" s="62"/>
      <c r="Q49" s="63">
        <f t="shared" si="16"/>
        <v>331.2327458</v>
      </c>
      <c r="R49" s="62"/>
      <c r="S49" s="62"/>
      <c r="T49" s="64" t="s">
        <v>36</v>
      </c>
      <c r="U49" s="62" t="s">
        <v>37</v>
      </c>
      <c r="V49" s="62"/>
      <c r="W49" s="62"/>
      <c r="X49" s="62"/>
    </row>
    <row r="50" ht="14.25" customHeight="1">
      <c r="A50" s="80"/>
      <c r="B50" s="80"/>
      <c r="C50" s="80"/>
      <c r="D50" s="80"/>
      <c r="E50" s="80"/>
      <c r="F50" s="80"/>
      <c r="G50" s="81"/>
      <c r="H50" s="80"/>
      <c r="I50" s="80"/>
      <c r="J50" s="80"/>
      <c r="K50" s="80"/>
      <c r="L50" s="114"/>
      <c r="M50" s="80"/>
      <c r="N50" s="80"/>
      <c r="O50" s="80"/>
      <c r="P50" s="62"/>
      <c r="Q50" s="62"/>
      <c r="R50" s="62"/>
      <c r="S50" s="62"/>
      <c r="T50" s="62"/>
      <c r="U50" s="62"/>
      <c r="V50" s="62"/>
      <c r="W50" s="62"/>
      <c r="X50" s="62"/>
    </row>
    <row r="51" ht="14.25" customHeight="1">
      <c r="A51" s="80"/>
      <c r="B51" s="80"/>
      <c r="C51" s="80"/>
      <c r="D51" s="80"/>
      <c r="E51" s="80"/>
      <c r="F51" s="80"/>
      <c r="G51" s="81"/>
      <c r="H51" s="80"/>
      <c r="I51" s="80"/>
      <c r="J51" s="80"/>
      <c r="K51" s="80"/>
      <c r="L51" s="114"/>
      <c r="M51" s="80"/>
      <c r="N51" s="80"/>
      <c r="O51" s="80"/>
      <c r="P51" s="62"/>
      <c r="Q51" s="62"/>
      <c r="R51" s="62"/>
      <c r="S51" s="62"/>
      <c r="T51" s="62"/>
      <c r="U51" s="62"/>
      <c r="V51" s="62"/>
      <c r="W51" s="62"/>
      <c r="X51" s="62"/>
    </row>
    <row r="52" ht="14.25" customHeight="1">
      <c r="A52" s="93" t="s">
        <v>137</v>
      </c>
      <c r="B52" s="80"/>
      <c r="C52" s="80"/>
      <c r="D52" s="80"/>
      <c r="E52" s="80"/>
      <c r="F52" s="80"/>
      <c r="G52" s="81"/>
      <c r="H52" s="80"/>
      <c r="I52" s="80"/>
      <c r="J52" s="80"/>
      <c r="K52" s="80"/>
      <c r="L52" s="114"/>
      <c r="M52" s="80"/>
      <c r="N52" s="80"/>
      <c r="O52" s="80"/>
      <c r="P52" s="62"/>
      <c r="Q52" s="62"/>
      <c r="R52" s="62"/>
      <c r="S52" s="62"/>
      <c r="T52" s="62"/>
      <c r="U52" s="62"/>
      <c r="V52" s="62"/>
      <c r="W52" s="62"/>
      <c r="X52" s="62"/>
    </row>
    <row r="53" ht="14.25" customHeight="1">
      <c r="A53" s="99" t="s">
        <v>138</v>
      </c>
      <c r="B53" s="80"/>
      <c r="C53" s="80"/>
      <c r="D53" s="80"/>
      <c r="E53" s="80"/>
      <c r="F53" s="80"/>
      <c r="G53" s="81"/>
      <c r="H53" s="80"/>
      <c r="I53" s="80"/>
      <c r="J53" s="80"/>
      <c r="K53" s="80"/>
      <c r="L53" s="114"/>
      <c r="M53" s="80"/>
      <c r="N53" s="80"/>
      <c r="O53" s="80"/>
      <c r="P53" s="62"/>
      <c r="Q53" s="62"/>
      <c r="R53" s="62"/>
      <c r="S53" s="62"/>
      <c r="T53" s="62"/>
      <c r="U53" s="62"/>
      <c r="V53" s="62"/>
      <c r="W53" s="62"/>
      <c r="X53" s="62"/>
    </row>
    <row r="54" ht="14.25" customHeight="1">
      <c r="A54" s="62" t="s">
        <v>139</v>
      </c>
      <c r="B54" s="80"/>
      <c r="C54" s="80"/>
      <c r="D54" s="80"/>
      <c r="E54" s="80"/>
      <c r="F54" s="80"/>
      <c r="G54" s="81"/>
      <c r="H54" s="80"/>
      <c r="I54" s="80"/>
      <c r="J54" s="80"/>
      <c r="K54" s="80"/>
      <c r="L54" s="114"/>
      <c r="M54" s="80"/>
      <c r="N54" s="80"/>
      <c r="O54" s="80"/>
      <c r="P54" s="62"/>
      <c r="Q54" s="62"/>
      <c r="R54" s="62"/>
      <c r="S54" s="62"/>
      <c r="T54" s="62"/>
      <c r="U54" s="62"/>
      <c r="V54" s="62"/>
      <c r="W54" s="62"/>
      <c r="X54" s="62"/>
    </row>
    <row r="55" ht="14.25" customHeight="1">
      <c r="A55" s="62" t="s">
        <v>140</v>
      </c>
      <c r="B55" s="80"/>
      <c r="C55" s="80"/>
      <c r="D55" s="80"/>
      <c r="E55" s="80"/>
      <c r="F55" s="80"/>
      <c r="G55" s="81"/>
      <c r="H55" s="80"/>
      <c r="I55" s="80"/>
      <c r="J55" s="80"/>
      <c r="K55" s="80"/>
      <c r="L55" s="114"/>
      <c r="M55" s="80"/>
      <c r="N55" s="80"/>
      <c r="O55" s="80"/>
      <c r="P55" s="62"/>
      <c r="Q55" s="62"/>
      <c r="R55" s="62"/>
      <c r="S55" s="62"/>
      <c r="T55" s="62"/>
      <c r="U55" s="62"/>
      <c r="V55" s="62"/>
      <c r="W55" s="62"/>
      <c r="X55" s="62"/>
    </row>
    <row r="56" ht="14.25" customHeight="1">
      <c r="A56" s="62" t="s">
        <v>141</v>
      </c>
      <c r="B56" s="80"/>
      <c r="C56" s="80"/>
      <c r="D56" s="80"/>
      <c r="E56" s="80"/>
      <c r="F56" s="80"/>
      <c r="G56" s="81"/>
      <c r="H56" s="80"/>
      <c r="I56" s="80"/>
      <c r="J56" s="80"/>
      <c r="K56" s="80"/>
      <c r="L56" s="114"/>
      <c r="M56" s="80"/>
      <c r="N56" s="80"/>
      <c r="O56" s="80"/>
      <c r="P56" s="62"/>
      <c r="Q56" s="62"/>
      <c r="R56" s="62"/>
      <c r="S56" s="62"/>
      <c r="T56" s="62"/>
      <c r="U56" s="62"/>
      <c r="V56" s="62"/>
      <c r="W56" s="62"/>
      <c r="X56" s="62"/>
    </row>
    <row r="57" ht="14.25" customHeight="1">
      <c r="A57" s="62"/>
      <c r="B57" s="80"/>
      <c r="C57" s="80"/>
      <c r="D57" s="80"/>
      <c r="E57" s="80"/>
      <c r="F57" s="80"/>
      <c r="G57" s="81"/>
      <c r="H57" s="80"/>
      <c r="I57" s="80"/>
      <c r="J57" s="80"/>
      <c r="K57" s="80"/>
      <c r="L57" s="114"/>
      <c r="M57" s="80"/>
      <c r="N57" s="80"/>
      <c r="O57" s="80"/>
      <c r="P57" s="62"/>
      <c r="Q57" s="62"/>
      <c r="R57" s="62"/>
      <c r="S57" s="62"/>
      <c r="T57" s="62"/>
      <c r="U57" s="62"/>
      <c r="V57" s="62"/>
      <c r="W57" s="62"/>
      <c r="X57" s="62"/>
    </row>
    <row r="58" ht="14.25" customHeight="1">
      <c r="A58" s="62" t="s">
        <v>142</v>
      </c>
      <c r="B58" s="80"/>
      <c r="C58" s="80"/>
      <c r="D58" s="80"/>
      <c r="E58" s="80"/>
      <c r="F58" s="80"/>
      <c r="G58" s="81"/>
      <c r="H58" s="80"/>
      <c r="I58" s="80"/>
      <c r="J58" s="80"/>
      <c r="K58" s="80"/>
      <c r="L58" s="114"/>
      <c r="M58" s="80"/>
      <c r="N58" s="80"/>
      <c r="O58" s="80"/>
      <c r="P58" s="62"/>
      <c r="Q58" s="62"/>
      <c r="R58" s="62"/>
      <c r="S58" s="62"/>
      <c r="T58" s="62"/>
      <c r="U58" s="62"/>
      <c r="V58" s="62"/>
      <c r="W58" s="62"/>
      <c r="X58" s="62"/>
    </row>
    <row r="59" ht="14.25" customHeight="1">
      <c r="A59" s="62" t="s">
        <v>143</v>
      </c>
      <c r="B59" s="80"/>
      <c r="C59" s="80"/>
      <c r="D59" s="80"/>
      <c r="E59" s="80"/>
      <c r="F59" s="80"/>
      <c r="G59" s="81"/>
      <c r="H59" s="80"/>
      <c r="I59" s="80"/>
      <c r="J59" s="80"/>
      <c r="K59" s="80"/>
      <c r="L59" s="114"/>
      <c r="M59" s="80"/>
      <c r="N59" s="80"/>
      <c r="O59" s="80"/>
      <c r="P59" s="62"/>
      <c r="Q59" s="62"/>
      <c r="R59" s="62"/>
      <c r="S59" s="62"/>
      <c r="T59" s="62"/>
      <c r="U59" s="62"/>
      <c r="V59" s="62"/>
      <c r="W59" s="62"/>
      <c r="X59" s="62"/>
    </row>
    <row r="60" ht="14.25" customHeight="1">
      <c r="A60" s="62" t="s">
        <v>144</v>
      </c>
      <c r="B60" s="80"/>
      <c r="C60" s="80"/>
      <c r="D60" s="80"/>
      <c r="E60" s="80"/>
      <c r="F60" s="80"/>
      <c r="G60" s="81"/>
      <c r="H60" s="80"/>
      <c r="I60" s="80"/>
      <c r="J60" s="80"/>
      <c r="K60" s="80"/>
      <c r="L60" s="114"/>
      <c r="M60" s="80"/>
      <c r="N60" s="80"/>
      <c r="O60" s="80"/>
      <c r="P60" s="62"/>
      <c r="Q60" s="62"/>
      <c r="R60" s="62"/>
      <c r="S60" s="62"/>
      <c r="T60" s="62"/>
      <c r="U60" s="62"/>
      <c r="V60" s="62"/>
      <c r="W60" s="62"/>
      <c r="X60" s="62"/>
    </row>
    <row r="61" ht="14.25" customHeight="1">
      <c r="A61" s="62" t="s">
        <v>145</v>
      </c>
      <c r="B61" s="80"/>
      <c r="C61" s="80"/>
      <c r="D61" s="80"/>
      <c r="E61" s="80"/>
      <c r="F61" s="80"/>
      <c r="G61" s="81"/>
      <c r="H61" s="80"/>
      <c r="I61" s="80"/>
      <c r="J61" s="80"/>
      <c r="K61" s="80"/>
      <c r="L61" s="114"/>
      <c r="M61" s="80"/>
      <c r="N61" s="80"/>
      <c r="O61" s="80"/>
      <c r="P61" s="62"/>
      <c r="Q61" s="62"/>
      <c r="R61" s="62"/>
      <c r="S61" s="62"/>
      <c r="T61" s="62"/>
      <c r="U61" s="62"/>
      <c r="V61" s="62"/>
      <c r="W61" s="62"/>
      <c r="X61" s="62"/>
    </row>
    <row r="62" ht="14.25" customHeight="1">
      <c r="A62" s="80"/>
      <c r="B62" s="80"/>
      <c r="C62" s="80"/>
      <c r="D62" s="80"/>
      <c r="E62" s="80"/>
      <c r="F62" s="80"/>
      <c r="G62" s="81"/>
      <c r="H62" s="80"/>
      <c r="I62" s="80"/>
      <c r="J62" s="80"/>
      <c r="K62" s="80"/>
      <c r="L62" s="114"/>
      <c r="M62" s="80"/>
      <c r="N62" s="80"/>
      <c r="O62" s="80"/>
      <c r="P62" s="62"/>
      <c r="Q62" s="62"/>
      <c r="R62" s="62"/>
      <c r="S62" s="62"/>
      <c r="T62" s="62"/>
      <c r="U62" s="62"/>
      <c r="V62" s="62"/>
      <c r="W62" s="62"/>
      <c r="X62" s="62"/>
    </row>
    <row r="63" ht="14.25" customHeight="1">
      <c r="A63" s="138" t="s">
        <v>146</v>
      </c>
      <c r="B63" s="80"/>
      <c r="C63" s="80"/>
      <c r="D63" s="80"/>
      <c r="E63" s="80"/>
      <c r="F63" s="80"/>
      <c r="G63" s="81"/>
      <c r="H63" s="80"/>
      <c r="I63" s="80"/>
      <c r="J63" s="80"/>
      <c r="K63" s="80"/>
      <c r="L63" s="114"/>
      <c r="M63" s="80"/>
      <c r="N63" s="80"/>
      <c r="O63" s="80"/>
      <c r="P63" s="62"/>
      <c r="Q63" s="62"/>
      <c r="R63" s="62"/>
      <c r="S63" s="62"/>
      <c r="T63" s="62"/>
      <c r="U63" s="62"/>
      <c r="V63" s="62"/>
      <c r="W63" s="62"/>
      <c r="X63" s="62"/>
    </row>
    <row r="64" ht="14.25" customHeight="1">
      <c r="A64" s="139" t="s">
        <v>147</v>
      </c>
      <c r="B64" s="80"/>
      <c r="C64" s="80"/>
      <c r="D64" s="80"/>
      <c r="E64" s="80"/>
      <c r="F64" s="80"/>
      <c r="G64" s="81"/>
      <c r="H64" s="80"/>
      <c r="I64" s="80"/>
      <c r="J64" s="80"/>
      <c r="K64" s="80"/>
      <c r="L64" s="114"/>
      <c r="M64" s="80"/>
      <c r="N64" s="80"/>
      <c r="O64" s="80"/>
      <c r="P64" s="62"/>
      <c r="Q64" s="62"/>
      <c r="R64" s="62"/>
      <c r="S64" s="62"/>
      <c r="T64" s="62"/>
      <c r="U64" s="62"/>
      <c r="V64" s="62"/>
      <c r="W64" s="62"/>
      <c r="X64" s="62"/>
    </row>
    <row r="65" ht="14.25" customHeight="1">
      <c r="A65" s="139" t="s">
        <v>148</v>
      </c>
      <c r="B65" s="80"/>
      <c r="C65" s="80"/>
      <c r="D65" s="80"/>
      <c r="E65" s="80"/>
      <c r="F65" s="80"/>
      <c r="G65" s="81"/>
      <c r="H65" s="80"/>
      <c r="I65" s="80"/>
      <c r="J65" s="80"/>
      <c r="K65" s="80"/>
      <c r="L65" s="114"/>
      <c r="M65" s="80"/>
      <c r="N65" s="80"/>
      <c r="O65" s="80"/>
      <c r="P65" s="62"/>
      <c r="Q65" s="62"/>
      <c r="R65" s="62"/>
      <c r="S65" s="62"/>
      <c r="T65" s="62"/>
      <c r="U65" s="62"/>
      <c r="V65" s="62"/>
      <c r="W65" s="62"/>
      <c r="X65" s="62"/>
    </row>
    <row r="66" ht="14.25" customHeight="1">
      <c r="A66" s="139" t="s">
        <v>149</v>
      </c>
      <c r="B66" s="80"/>
      <c r="C66" s="80"/>
      <c r="D66" s="80"/>
      <c r="E66" s="80"/>
      <c r="F66" s="80"/>
      <c r="G66" s="81"/>
      <c r="H66" s="80"/>
      <c r="I66" s="80"/>
      <c r="J66" s="80"/>
      <c r="K66" s="80"/>
      <c r="L66" s="114"/>
      <c r="M66" s="80"/>
      <c r="N66" s="80"/>
      <c r="O66" s="80"/>
      <c r="P66" s="62"/>
      <c r="Q66" s="62"/>
      <c r="R66" s="62"/>
      <c r="S66" s="62"/>
      <c r="T66" s="62"/>
      <c r="U66" s="62"/>
      <c r="V66" s="62"/>
      <c r="W66" s="62"/>
      <c r="X66" s="62"/>
    </row>
    <row r="67" ht="14.25" customHeight="1">
      <c r="A67" s="139" t="s">
        <v>150</v>
      </c>
      <c r="B67" s="80"/>
      <c r="C67" s="80"/>
      <c r="D67" s="80"/>
      <c r="E67" s="80"/>
      <c r="F67" s="80"/>
      <c r="G67" s="81"/>
      <c r="H67" s="80"/>
      <c r="I67" s="80"/>
      <c r="J67" s="80"/>
      <c r="K67" s="80"/>
      <c r="L67" s="114"/>
      <c r="M67" s="80"/>
      <c r="N67" s="80"/>
      <c r="O67" s="80"/>
      <c r="P67" s="62"/>
      <c r="Q67" s="62"/>
      <c r="R67" s="62"/>
      <c r="S67" s="62"/>
      <c r="T67" s="62"/>
      <c r="U67" s="62"/>
      <c r="V67" s="62"/>
      <c r="W67" s="62"/>
      <c r="X67" s="62"/>
    </row>
    <row r="68" ht="14.25" customHeight="1">
      <c r="A68" s="80"/>
      <c r="B68" s="80"/>
      <c r="C68" s="80"/>
      <c r="D68" s="80"/>
      <c r="E68" s="80"/>
      <c r="F68" s="80"/>
      <c r="G68" s="81"/>
      <c r="H68" s="80"/>
      <c r="I68" s="80"/>
      <c r="J68" s="80"/>
      <c r="K68" s="80"/>
      <c r="L68" s="114"/>
      <c r="M68" s="80"/>
      <c r="N68" s="80"/>
      <c r="O68" s="80"/>
      <c r="P68" s="62"/>
      <c r="Q68" s="62"/>
      <c r="R68" s="62"/>
      <c r="S68" s="62"/>
      <c r="T68" s="62"/>
      <c r="U68" s="62"/>
      <c r="V68" s="62"/>
      <c r="W68" s="62"/>
      <c r="X68" s="62"/>
    </row>
    <row r="69" ht="14.25" customHeight="1">
      <c r="A69" s="80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114"/>
      <c r="M69" s="80"/>
      <c r="N69" s="80"/>
      <c r="O69" s="80"/>
      <c r="P69" s="62"/>
      <c r="Q69" s="62"/>
      <c r="R69" s="62"/>
      <c r="S69" s="62"/>
      <c r="T69" s="62"/>
      <c r="U69" s="62"/>
      <c r="V69" s="62"/>
      <c r="W69" s="62"/>
      <c r="X69" s="62"/>
    </row>
    <row r="70" ht="14.25" customHeight="1">
      <c r="A70" s="80"/>
      <c r="B70" s="80"/>
      <c r="C70" s="80"/>
      <c r="D70" s="80"/>
      <c r="E70" s="80"/>
      <c r="F70" s="80"/>
      <c r="G70" s="81"/>
      <c r="H70" s="80"/>
      <c r="I70" s="80"/>
      <c r="J70" s="80"/>
      <c r="K70" s="80"/>
      <c r="L70" s="114"/>
      <c r="M70" s="80"/>
      <c r="N70" s="80"/>
      <c r="O70" s="80"/>
      <c r="P70" s="62"/>
      <c r="Q70" s="62"/>
      <c r="R70" s="62"/>
      <c r="S70" s="62"/>
      <c r="T70" s="62"/>
      <c r="U70" s="62"/>
      <c r="V70" s="62"/>
      <c r="W70" s="62"/>
      <c r="X70" s="62"/>
    </row>
    <row r="71" ht="14.25" customHeight="1">
      <c r="A71" s="80"/>
      <c r="B71" s="80"/>
      <c r="C71" s="80"/>
      <c r="D71" s="80"/>
      <c r="E71" s="80"/>
      <c r="F71" s="80"/>
      <c r="G71" s="81"/>
      <c r="H71" s="80"/>
      <c r="I71" s="80"/>
      <c r="J71" s="80"/>
      <c r="K71" s="80"/>
      <c r="L71" s="114"/>
      <c r="M71" s="80"/>
      <c r="N71" s="80"/>
      <c r="O71" s="80"/>
      <c r="P71" s="62"/>
      <c r="Q71" s="62"/>
      <c r="R71" s="62"/>
      <c r="S71" s="62"/>
      <c r="T71" s="62"/>
      <c r="U71" s="62"/>
      <c r="V71" s="62"/>
      <c r="W71" s="62"/>
      <c r="X71" s="62"/>
    </row>
    <row r="72" ht="14.25" customHeight="1">
      <c r="A72" s="80"/>
      <c r="B72" s="80"/>
      <c r="C72" s="80"/>
      <c r="D72" s="80"/>
      <c r="E72" s="80"/>
      <c r="F72" s="80"/>
      <c r="G72" s="81"/>
      <c r="H72" s="80"/>
      <c r="I72" s="80"/>
      <c r="J72" s="80"/>
      <c r="K72" s="80"/>
      <c r="L72" s="114"/>
      <c r="M72" s="80"/>
      <c r="N72" s="80"/>
      <c r="O72" s="80"/>
      <c r="P72" s="62"/>
      <c r="Q72" s="62"/>
      <c r="R72" s="62"/>
      <c r="S72" s="62"/>
      <c r="T72" s="62"/>
      <c r="U72" s="62"/>
      <c r="V72" s="62"/>
      <c r="W72" s="62"/>
      <c r="X72" s="62"/>
    </row>
    <row r="73" ht="14.25" customHeight="1">
      <c r="A73" s="80"/>
      <c r="B73" s="80"/>
      <c r="C73" s="80"/>
      <c r="D73" s="80"/>
      <c r="E73" s="80"/>
      <c r="F73" s="80"/>
      <c r="G73" s="81"/>
      <c r="H73" s="80"/>
      <c r="I73" s="80"/>
      <c r="J73" s="80"/>
      <c r="K73" s="80"/>
      <c r="L73" s="114"/>
      <c r="M73" s="80"/>
      <c r="N73" s="80"/>
      <c r="O73" s="80"/>
      <c r="P73" s="62"/>
      <c r="Q73" s="62"/>
      <c r="R73" s="62"/>
      <c r="S73" s="62"/>
      <c r="T73" s="62"/>
      <c r="U73" s="62"/>
      <c r="V73" s="62"/>
      <c r="W73" s="62"/>
      <c r="X73" s="62"/>
    </row>
    <row r="74" ht="14.25" customHeight="1">
      <c r="A74" s="80"/>
      <c r="B74" s="80"/>
      <c r="C74" s="80"/>
      <c r="D74" s="80"/>
      <c r="E74" s="80"/>
      <c r="F74" s="80"/>
      <c r="G74" s="81"/>
      <c r="H74" s="80"/>
      <c r="I74" s="80"/>
      <c r="J74" s="80"/>
      <c r="K74" s="80"/>
      <c r="L74" s="114"/>
      <c r="M74" s="80"/>
      <c r="N74" s="80"/>
      <c r="O74" s="80"/>
      <c r="P74" s="62"/>
      <c r="Q74" s="62"/>
      <c r="R74" s="62"/>
      <c r="S74" s="62"/>
      <c r="T74" s="62"/>
      <c r="U74" s="62"/>
      <c r="V74" s="62"/>
      <c r="W74" s="62"/>
      <c r="X74" s="62"/>
    </row>
    <row r="75" ht="14.25" customHeight="1">
      <c r="A75" s="80"/>
      <c r="B75" s="80"/>
      <c r="C75" s="80"/>
      <c r="D75" s="80"/>
      <c r="E75" s="80"/>
      <c r="F75" s="80"/>
      <c r="G75" s="81"/>
      <c r="H75" s="80"/>
      <c r="I75" s="80"/>
      <c r="J75" s="80"/>
      <c r="K75" s="80"/>
      <c r="L75" s="114"/>
      <c r="M75" s="80"/>
      <c r="N75" s="80"/>
      <c r="O75" s="80"/>
      <c r="P75" s="62"/>
      <c r="Q75" s="62"/>
      <c r="R75" s="62"/>
      <c r="S75" s="62"/>
      <c r="T75" s="62"/>
      <c r="U75" s="62"/>
      <c r="V75" s="62"/>
      <c r="W75" s="62"/>
      <c r="X75" s="62"/>
    </row>
    <row r="76" ht="14.25" customHeight="1">
      <c r="A76" s="80"/>
      <c r="B76" s="80"/>
      <c r="C76" s="80"/>
      <c r="D76" s="80"/>
      <c r="E76" s="80"/>
      <c r="F76" s="80"/>
      <c r="G76" s="81"/>
      <c r="H76" s="80"/>
      <c r="I76" s="80"/>
      <c r="J76" s="80"/>
      <c r="K76" s="80"/>
      <c r="L76" s="114"/>
      <c r="M76" s="80"/>
      <c r="N76" s="80"/>
      <c r="O76" s="80"/>
      <c r="P76" s="62"/>
      <c r="Q76" s="62"/>
      <c r="R76" s="62"/>
      <c r="S76" s="62"/>
      <c r="T76" s="62"/>
      <c r="U76" s="62"/>
      <c r="V76" s="62"/>
      <c r="W76" s="62"/>
      <c r="X76" s="62"/>
    </row>
    <row r="77" ht="14.25" customHeight="1">
      <c r="A77" s="80"/>
      <c r="B77" s="80"/>
      <c r="C77" s="80"/>
      <c r="D77" s="80"/>
      <c r="E77" s="80"/>
      <c r="F77" s="80"/>
      <c r="G77" s="81"/>
      <c r="H77" s="80"/>
      <c r="I77" s="80"/>
      <c r="J77" s="80"/>
      <c r="K77" s="80"/>
      <c r="L77" s="114"/>
      <c r="M77" s="80"/>
      <c r="N77" s="80"/>
      <c r="O77" s="80"/>
      <c r="P77" s="62"/>
      <c r="Q77" s="62"/>
      <c r="R77" s="62"/>
      <c r="S77" s="62"/>
      <c r="T77" s="62"/>
      <c r="U77" s="62"/>
      <c r="V77" s="62"/>
      <c r="W77" s="62"/>
      <c r="X77" s="62"/>
    </row>
    <row r="78" ht="14.25" customHeight="1">
      <c r="A78" s="80"/>
      <c r="B78" s="80"/>
      <c r="C78" s="80"/>
      <c r="D78" s="80"/>
      <c r="E78" s="80"/>
      <c r="F78" s="80"/>
      <c r="G78" s="81"/>
      <c r="H78" s="80"/>
      <c r="I78" s="80"/>
      <c r="J78" s="80"/>
      <c r="K78" s="80"/>
      <c r="L78" s="114"/>
      <c r="M78" s="80"/>
      <c r="N78" s="80"/>
      <c r="O78" s="80"/>
      <c r="P78" s="62"/>
      <c r="Q78" s="62"/>
      <c r="R78" s="62"/>
      <c r="S78" s="62"/>
      <c r="T78" s="62"/>
      <c r="U78" s="62"/>
      <c r="V78" s="62"/>
      <c r="W78" s="62"/>
      <c r="X78" s="62"/>
    </row>
    <row r="79" ht="14.25" customHeight="1">
      <c r="A79" s="80"/>
      <c r="B79" s="80"/>
      <c r="C79" s="80"/>
      <c r="D79" s="80"/>
      <c r="E79" s="80"/>
      <c r="F79" s="80"/>
      <c r="G79" s="81"/>
      <c r="H79" s="80"/>
      <c r="I79" s="80"/>
      <c r="J79" s="80"/>
      <c r="K79" s="80"/>
      <c r="L79" s="114"/>
      <c r="M79" s="80"/>
      <c r="N79" s="80"/>
      <c r="O79" s="80"/>
      <c r="P79" s="62"/>
      <c r="Q79" s="62"/>
      <c r="R79" s="62"/>
      <c r="S79" s="62"/>
      <c r="T79" s="62"/>
      <c r="U79" s="62"/>
      <c r="V79" s="62"/>
      <c r="W79" s="62"/>
      <c r="X79" s="62"/>
    </row>
    <row r="80" ht="14.25" customHeight="1">
      <c r="A80" s="80"/>
      <c r="B80" s="80"/>
      <c r="C80" s="80"/>
      <c r="D80" s="80"/>
      <c r="E80" s="80"/>
      <c r="F80" s="80"/>
      <c r="G80" s="81"/>
      <c r="H80" s="80"/>
      <c r="I80" s="80"/>
      <c r="J80" s="80"/>
      <c r="K80" s="80"/>
      <c r="L80" s="114"/>
      <c r="M80" s="80"/>
      <c r="N80" s="80"/>
      <c r="O80" s="80"/>
      <c r="P80" s="62"/>
      <c r="Q80" s="62"/>
      <c r="R80" s="62"/>
      <c r="S80" s="62"/>
      <c r="T80" s="62"/>
      <c r="U80" s="62"/>
      <c r="V80" s="62"/>
      <c r="W80" s="62"/>
      <c r="X80" s="62"/>
    </row>
    <row r="81" ht="14.25" customHeight="1">
      <c r="A81" s="80"/>
      <c r="B81" s="80"/>
      <c r="C81" s="80"/>
      <c r="D81" s="80"/>
      <c r="E81" s="80"/>
      <c r="F81" s="80"/>
      <c r="G81" s="81"/>
      <c r="H81" s="80"/>
      <c r="I81" s="80"/>
      <c r="J81" s="80"/>
      <c r="K81" s="80"/>
      <c r="L81" s="114"/>
      <c r="M81" s="80"/>
      <c r="N81" s="80"/>
      <c r="O81" s="80"/>
      <c r="P81" s="62"/>
      <c r="Q81" s="62"/>
      <c r="R81" s="62"/>
      <c r="S81" s="62"/>
      <c r="T81" s="62"/>
      <c r="U81" s="62"/>
      <c r="V81" s="62"/>
      <c r="W81" s="62"/>
      <c r="X81" s="62"/>
    </row>
    <row r="82" ht="14.25" customHeight="1">
      <c r="A82" s="80"/>
      <c r="B82" s="80"/>
      <c r="C82" s="80"/>
      <c r="D82" s="80"/>
      <c r="E82" s="80"/>
      <c r="F82" s="80"/>
      <c r="G82" s="81"/>
      <c r="H82" s="80"/>
      <c r="I82" s="80"/>
      <c r="J82" s="80"/>
      <c r="K82" s="80"/>
      <c r="L82" s="114"/>
      <c r="M82" s="80"/>
      <c r="N82" s="80"/>
      <c r="O82" s="80"/>
      <c r="P82" s="62"/>
      <c r="Q82" s="62"/>
      <c r="R82" s="62"/>
      <c r="S82" s="62"/>
      <c r="T82" s="62"/>
      <c r="U82" s="62"/>
      <c r="V82" s="62"/>
      <c r="W82" s="62"/>
      <c r="X82" s="62"/>
    </row>
    <row r="83" ht="14.25" customHeight="1">
      <c r="A83" s="80"/>
      <c r="B83" s="80"/>
      <c r="C83" s="80"/>
      <c r="D83" s="80"/>
      <c r="E83" s="80"/>
      <c r="F83" s="80"/>
      <c r="G83" s="81"/>
      <c r="H83" s="80"/>
      <c r="I83" s="80"/>
      <c r="J83" s="80"/>
      <c r="K83" s="80"/>
      <c r="L83" s="114"/>
      <c r="M83" s="80"/>
      <c r="N83" s="80"/>
      <c r="O83" s="80"/>
      <c r="P83" s="62"/>
      <c r="Q83" s="62"/>
      <c r="R83" s="62"/>
      <c r="S83" s="62"/>
      <c r="T83" s="62"/>
      <c r="U83" s="62"/>
      <c r="V83" s="62"/>
      <c r="W83" s="62"/>
      <c r="X83" s="62"/>
    </row>
    <row r="84" ht="14.25" customHeight="1">
      <c r="A84" s="80"/>
      <c r="B84" s="80"/>
      <c r="C84" s="80"/>
      <c r="D84" s="80"/>
      <c r="E84" s="80"/>
      <c r="F84" s="80"/>
      <c r="G84" s="81"/>
      <c r="H84" s="80"/>
      <c r="I84" s="80"/>
      <c r="J84" s="80"/>
      <c r="K84" s="80"/>
      <c r="L84" s="114"/>
      <c r="M84" s="80"/>
      <c r="N84" s="80"/>
      <c r="O84" s="80"/>
      <c r="P84" s="62"/>
      <c r="Q84" s="62"/>
      <c r="R84" s="62"/>
      <c r="S84" s="62"/>
      <c r="T84" s="62"/>
      <c r="U84" s="62"/>
      <c r="V84" s="62"/>
      <c r="W84" s="62"/>
      <c r="X84" s="62"/>
    </row>
    <row r="85" ht="14.25" customHeight="1">
      <c r="A85" s="80"/>
      <c r="B85" s="80"/>
      <c r="C85" s="80"/>
      <c r="D85" s="80"/>
      <c r="E85" s="80"/>
      <c r="F85" s="80"/>
      <c r="G85" s="81"/>
      <c r="H85" s="80"/>
      <c r="I85" s="80"/>
      <c r="J85" s="80"/>
      <c r="K85" s="80"/>
      <c r="L85" s="114"/>
      <c r="M85" s="80"/>
      <c r="N85" s="80"/>
      <c r="O85" s="80"/>
      <c r="P85" s="62"/>
      <c r="Q85" s="62"/>
      <c r="R85" s="62"/>
      <c r="S85" s="62"/>
      <c r="T85" s="62"/>
      <c r="U85" s="62"/>
      <c r="V85" s="62"/>
      <c r="W85" s="62"/>
      <c r="X85" s="62"/>
    </row>
    <row r="86" ht="14.25" customHeight="1">
      <c r="A86" s="80"/>
      <c r="B86" s="80"/>
      <c r="C86" s="80"/>
      <c r="D86" s="80"/>
      <c r="E86" s="80"/>
      <c r="F86" s="80"/>
      <c r="G86" s="81"/>
      <c r="H86" s="80"/>
      <c r="I86" s="80"/>
      <c r="J86" s="80"/>
      <c r="K86" s="80"/>
      <c r="L86" s="114"/>
      <c r="M86" s="80"/>
      <c r="N86" s="80"/>
      <c r="O86" s="80"/>
      <c r="P86" s="62"/>
      <c r="Q86" s="62"/>
      <c r="R86" s="62"/>
      <c r="S86" s="62"/>
      <c r="T86" s="62"/>
      <c r="U86" s="62"/>
      <c r="V86" s="62"/>
      <c r="W86" s="62"/>
      <c r="X86" s="62"/>
    </row>
    <row r="87" ht="14.25" customHeight="1">
      <c r="A87" s="80"/>
      <c r="B87" s="80"/>
      <c r="C87" s="80"/>
      <c r="D87" s="80"/>
      <c r="E87" s="80"/>
      <c r="F87" s="80"/>
      <c r="G87" s="81"/>
      <c r="H87" s="80"/>
      <c r="I87" s="80"/>
      <c r="J87" s="80"/>
      <c r="K87" s="80"/>
      <c r="L87" s="114"/>
      <c r="M87" s="80"/>
      <c r="N87" s="80"/>
      <c r="O87" s="80"/>
      <c r="P87" s="62"/>
      <c r="Q87" s="62"/>
      <c r="R87" s="62"/>
      <c r="S87" s="62"/>
      <c r="T87" s="62"/>
      <c r="U87" s="62"/>
      <c r="V87" s="62"/>
      <c r="W87" s="62"/>
      <c r="X87" s="62"/>
    </row>
    <row r="88" ht="14.25" customHeight="1">
      <c r="A88" s="80"/>
      <c r="B88" s="80"/>
      <c r="C88" s="80"/>
      <c r="D88" s="80"/>
      <c r="E88" s="80"/>
      <c r="F88" s="80"/>
      <c r="G88" s="81"/>
      <c r="H88" s="80"/>
      <c r="I88" s="80"/>
      <c r="J88" s="80"/>
      <c r="K88" s="80"/>
      <c r="L88" s="114"/>
      <c r="M88" s="80"/>
      <c r="N88" s="80"/>
      <c r="O88" s="80"/>
      <c r="P88" s="62"/>
      <c r="Q88" s="62"/>
      <c r="R88" s="62"/>
      <c r="S88" s="62"/>
      <c r="T88" s="62"/>
      <c r="U88" s="62"/>
      <c r="V88" s="62"/>
      <c r="W88" s="62"/>
      <c r="X88" s="62"/>
    </row>
    <row r="89" ht="14.25" customHeight="1">
      <c r="A89" s="80"/>
      <c r="B89" s="80"/>
      <c r="C89" s="80"/>
      <c r="D89" s="80"/>
      <c r="E89" s="80"/>
      <c r="F89" s="80"/>
      <c r="G89" s="81"/>
      <c r="H89" s="80"/>
      <c r="I89" s="80"/>
      <c r="J89" s="80"/>
      <c r="K89" s="80"/>
      <c r="L89" s="114"/>
      <c r="M89" s="80"/>
      <c r="N89" s="80"/>
      <c r="O89" s="80"/>
      <c r="P89" s="62"/>
      <c r="Q89" s="62"/>
      <c r="R89" s="62"/>
      <c r="S89" s="62"/>
      <c r="T89" s="62"/>
      <c r="U89" s="62"/>
      <c r="V89" s="62"/>
      <c r="W89" s="62"/>
      <c r="X89" s="62"/>
    </row>
    <row r="90" ht="14.25" customHeight="1">
      <c r="A90" s="80"/>
      <c r="B90" s="80"/>
      <c r="C90" s="80"/>
      <c r="D90" s="80"/>
      <c r="E90" s="80"/>
      <c r="F90" s="80"/>
      <c r="G90" s="81"/>
      <c r="H90" s="80"/>
      <c r="I90" s="80"/>
      <c r="J90" s="80"/>
      <c r="K90" s="80"/>
      <c r="L90" s="114"/>
      <c r="M90" s="80"/>
      <c r="N90" s="80"/>
      <c r="O90" s="80"/>
      <c r="P90" s="62"/>
      <c r="Q90" s="62"/>
      <c r="R90" s="62"/>
      <c r="S90" s="62"/>
      <c r="T90" s="62"/>
      <c r="U90" s="62"/>
      <c r="V90" s="62"/>
      <c r="W90" s="62"/>
      <c r="X90" s="62"/>
    </row>
    <row r="91" ht="14.25" customHeight="1">
      <c r="A91" s="80"/>
      <c r="B91" s="80"/>
      <c r="C91" s="80"/>
      <c r="D91" s="80"/>
      <c r="E91" s="80"/>
      <c r="F91" s="80"/>
      <c r="G91" s="81"/>
      <c r="H91" s="80"/>
      <c r="I91" s="80"/>
      <c r="J91" s="80"/>
      <c r="K91" s="80"/>
      <c r="L91" s="114"/>
      <c r="M91" s="80"/>
      <c r="N91" s="80"/>
      <c r="O91" s="80"/>
      <c r="P91" s="62"/>
      <c r="Q91" s="62"/>
      <c r="R91" s="62"/>
      <c r="S91" s="62"/>
      <c r="T91" s="62"/>
      <c r="U91" s="62"/>
      <c r="V91" s="62"/>
      <c r="W91" s="62"/>
      <c r="X91" s="62"/>
    </row>
    <row r="92" ht="14.25" customHeight="1">
      <c r="A92" s="80"/>
      <c r="B92" s="80"/>
      <c r="C92" s="80"/>
      <c r="D92" s="80"/>
      <c r="E92" s="80"/>
      <c r="F92" s="80"/>
      <c r="G92" s="81"/>
      <c r="H92" s="80"/>
      <c r="I92" s="80"/>
      <c r="J92" s="80"/>
      <c r="K92" s="80"/>
      <c r="L92" s="114"/>
      <c r="M92" s="80"/>
      <c r="N92" s="80"/>
      <c r="O92" s="80"/>
      <c r="P92" s="62"/>
      <c r="Q92" s="62"/>
      <c r="R92" s="62"/>
      <c r="S92" s="62"/>
      <c r="T92" s="62"/>
      <c r="U92" s="62"/>
      <c r="V92" s="62"/>
      <c r="W92" s="62"/>
      <c r="X92" s="62"/>
    </row>
    <row r="93" ht="14.25" customHeight="1">
      <c r="A93" s="80"/>
      <c r="B93" s="80"/>
      <c r="C93" s="80"/>
      <c r="D93" s="80"/>
      <c r="E93" s="80"/>
      <c r="F93" s="80"/>
      <c r="G93" s="81"/>
      <c r="H93" s="80"/>
      <c r="I93" s="80"/>
      <c r="J93" s="80"/>
      <c r="K93" s="80"/>
      <c r="L93" s="114"/>
      <c r="M93" s="80"/>
      <c r="N93" s="80"/>
      <c r="O93" s="80"/>
      <c r="P93" s="62"/>
      <c r="Q93" s="62"/>
      <c r="R93" s="62"/>
      <c r="S93" s="62"/>
      <c r="T93" s="62"/>
      <c r="U93" s="62"/>
      <c r="V93" s="62"/>
      <c r="W93" s="62"/>
      <c r="X93" s="62"/>
    </row>
    <row r="94" ht="14.25" customHeight="1">
      <c r="A94" s="80"/>
      <c r="B94" s="80"/>
      <c r="C94" s="80"/>
      <c r="D94" s="80"/>
      <c r="E94" s="80"/>
      <c r="F94" s="80"/>
      <c r="G94" s="81"/>
      <c r="H94" s="80"/>
      <c r="I94" s="80"/>
      <c r="J94" s="80"/>
      <c r="K94" s="80"/>
      <c r="L94" s="114"/>
      <c r="M94" s="80"/>
      <c r="N94" s="80"/>
      <c r="O94" s="80"/>
      <c r="P94" s="62"/>
      <c r="Q94" s="62"/>
      <c r="R94" s="62"/>
      <c r="S94" s="62"/>
      <c r="T94" s="62"/>
      <c r="U94" s="62"/>
      <c r="V94" s="62"/>
      <c r="W94" s="62"/>
      <c r="X94" s="62"/>
    </row>
    <row r="95" ht="14.25" customHeight="1">
      <c r="A95" s="80"/>
      <c r="B95" s="80"/>
      <c r="C95" s="80"/>
      <c r="D95" s="80"/>
      <c r="E95" s="80"/>
      <c r="F95" s="80"/>
      <c r="G95" s="81"/>
      <c r="H95" s="80"/>
      <c r="I95" s="80"/>
      <c r="J95" s="80"/>
      <c r="K95" s="80"/>
      <c r="L95" s="114"/>
      <c r="M95" s="80"/>
      <c r="N95" s="80"/>
      <c r="O95" s="80"/>
      <c r="P95" s="62"/>
      <c r="Q95" s="62"/>
      <c r="R95" s="62"/>
      <c r="S95" s="62"/>
      <c r="T95" s="62"/>
      <c r="U95" s="62"/>
      <c r="V95" s="62"/>
      <c r="W95" s="62"/>
      <c r="X95" s="62"/>
    </row>
    <row r="96" ht="14.25" customHeight="1">
      <c r="A96" s="80"/>
      <c r="B96" s="80"/>
      <c r="C96" s="80"/>
      <c r="D96" s="80"/>
      <c r="E96" s="80"/>
      <c r="F96" s="80"/>
      <c r="G96" s="81"/>
      <c r="H96" s="80"/>
      <c r="I96" s="80"/>
      <c r="J96" s="80"/>
      <c r="K96" s="80"/>
      <c r="L96" s="114"/>
      <c r="M96" s="80"/>
      <c r="N96" s="80"/>
      <c r="O96" s="80"/>
      <c r="P96" s="62"/>
      <c r="Q96" s="62"/>
      <c r="R96" s="62"/>
      <c r="S96" s="62"/>
      <c r="T96" s="62"/>
      <c r="U96" s="62"/>
      <c r="V96" s="62"/>
      <c r="W96" s="62"/>
      <c r="X96" s="62"/>
    </row>
    <row r="97" ht="14.25" customHeight="1">
      <c r="A97" s="80"/>
      <c r="B97" s="80"/>
      <c r="C97" s="80"/>
      <c r="D97" s="80"/>
      <c r="E97" s="80"/>
      <c r="F97" s="80"/>
      <c r="G97" s="81"/>
      <c r="H97" s="80"/>
      <c r="I97" s="80"/>
      <c r="J97" s="80"/>
      <c r="K97" s="80"/>
      <c r="L97" s="114"/>
      <c r="M97" s="80"/>
      <c r="N97" s="80"/>
      <c r="O97" s="80"/>
      <c r="P97" s="62"/>
      <c r="Q97" s="62"/>
      <c r="R97" s="62"/>
      <c r="S97" s="62"/>
      <c r="T97" s="62"/>
      <c r="U97" s="62"/>
      <c r="V97" s="62"/>
      <c r="W97" s="62"/>
      <c r="X97" s="62"/>
    </row>
    <row r="98" ht="14.25" customHeight="1">
      <c r="A98" s="80"/>
      <c r="B98" s="80"/>
      <c r="C98" s="80"/>
      <c r="D98" s="80"/>
      <c r="E98" s="80"/>
      <c r="F98" s="80"/>
      <c r="G98" s="81"/>
      <c r="H98" s="80"/>
      <c r="I98" s="80"/>
      <c r="J98" s="80"/>
      <c r="K98" s="80"/>
      <c r="L98" s="114"/>
      <c r="M98" s="80"/>
      <c r="N98" s="80"/>
      <c r="O98" s="80"/>
      <c r="P98" s="62"/>
      <c r="Q98" s="62"/>
      <c r="R98" s="62"/>
      <c r="S98" s="62"/>
      <c r="T98" s="62"/>
      <c r="U98" s="62"/>
      <c r="V98" s="62"/>
      <c r="W98" s="62"/>
      <c r="X98" s="62"/>
    </row>
    <row r="99" ht="14.25" customHeight="1">
      <c r="A99" s="80"/>
      <c r="B99" s="80"/>
      <c r="C99" s="80"/>
      <c r="D99" s="80"/>
      <c r="E99" s="80"/>
      <c r="F99" s="80"/>
      <c r="G99" s="81"/>
      <c r="H99" s="80"/>
      <c r="I99" s="80"/>
      <c r="J99" s="80"/>
      <c r="K99" s="80"/>
      <c r="L99" s="114"/>
      <c r="M99" s="80"/>
      <c r="N99" s="80"/>
      <c r="O99" s="80"/>
      <c r="P99" s="62"/>
      <c r="Q99" s="62"/>
      <c r="R99" s="62"/>
      <c r="S99" s="62"/>
      <c r="T99" s="62"/>
      <c r="U99" s="62"/>
      <c r="V99" s="62"/>
      <c r="W99" s="62"/>
      <c r="X99" s="62"/>
    </row>
    <row r="100" ht="14.25" customHeight="1">
      <c r="A100" s="80"/>
      <c r="B100" s="80"/>
      <c r="C100" s="80"/>
      <c r="D100" s="80"/>
      <c r="E100" s="80"/>
      <c r="F100" s="80"/>
      <c r="G100" s="81"/>
      <c r="H100" s="80"/>
      <c r="I100" s="80"/>
      <c r="J100" s="80"/>
      <c r="K100" s="80"/>
      <c r="L100" s="114"/>
      <c r="M100" s="80"/>
      <c r="N100" s="80"/>
      <c r="O100" s="80"/>
      <c r="P100" s="62"/>
      <c r="Q100" s="62"/>
      <c r="R100" s="62"/>
      <c r="S100" s="62"/>
      <c r="T100" s="62"/>
      <c r="U100" s="62"/>
      <c r="V100" s="62"/>
      <c r="W100" s="62"/>
      <c r="X100" s="6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E2"/>
    <mergeCell ref="N2:O2"/>
    <mergeCell ref="Q2:R2"/>
    <mergeCell ref="A23:E23"/>
    <mergeCell ref="N23:O23"/>
    <mergeCell ref="Q23:R23"/>
  </mergeCells>
  <hyperlinks>
    <hyperlink r:id="rId2" ref="T39"/>
    <hyperlink r:id="rId3" ref="T40"/>
    <hyperlink r:id="rId4" ref="T41"/>
    <hyperlink r:id="rId5" ref="T42"/>
    <hyperlink r:id="rId6" ref="T44"/>
    <hyperlink r:id="rId7" ref="T45"/>
    <hyperlink r:id="rId8" ref="T46"/>
    <hyperlink r:id="rId9" ref="T48"/>
    <hyperlink r:id="rId10" ref="T49"/>
  </hyperlinks>
  <printOptions/>
  <pageMargins bottom="0.75" footer="0.0" header="0.0" left="0.7" right="0.7" top="0.75"/>
  <pageSetup paperSize="9" orientation="portrait"/>
  <drawing r:id="rId11"/>
  <legacyDrawing r:id="rId1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6.0"/>
    <col customWidth="1" min="2" max="2" width="33.1"/>
    <col customWidth="1" min="3" max="3" width="8.6"/>
    <col customWidth="1" min="4" max="4" width="9.6"/>
    <col customWidth="1" min="5" max="7" width="8.6"/>
    <col customWidth="1" min="8" max="26" width="12.6"/>
  </cols>
  <sheetData>
    <row r="1">
      <c r="A1" s="140" t="s">
        <v>151</v>
      </c>
      <c r="B1" s="141"/>
      <c r="C1" s="141"/>
    </row>
    <row r="2">
      <c r="A2" s="99" t="s">
        <v>152</v>
      </c>
      <c r="B2" s="99" t="s">
        <v>153</v>
      </c>
      <c r="C2" s="142">
        <v>2300.0</v>
      </c>
      <c r="F2" s="62" t="s">
        <v>154</v>
      </c>
    </row>
    <row r="3">
      <c r="A3" s="99" t="s">
        <v>155</v>
      </c>
      <c r="B3" s="99" t="s">
        <v>153</v>
      </c>
      <c r="C3" s="142">
        <v>2515.0</v>
      </c>
      <c r="F3" s="62" t="s">
        <v>156</v>
      </c>
    </row>
    <row r="4">
      <c r="A4" s="99"/>
      <c r="B4" s="99" t="s">
        <v>157</v>
      </c>
      <c r="C4" s="142">
        <v>200.0</v>
      </c>
      <c r="F4" s="62" t="s">
        <v>158</v>
      </c>
    </row>
    <row r="5">
      <c r="A5" s="99"/>
      <c r="B5" s="99" t="s">
        <v>159</v>
      </c>
      <c r="C5" s="142">
        <v>150.0</v>
      </c>
      <c r="F5" s="62" t="s">
        <v>160</v>
      </c>
    </row>
    <row r="6">
      <c r="A6" s="143"/>
      <c r="B6" s="99" t="s">
        <v>161</v>
      </c>
      <c r="C6" s="144">
        <v>25.0</v>
      </c>
    </row>
    <row r="7">
      <c r="A7" s="145" t="s">
        <v>162</v>
      </c>
      <c r="B7" s="141"/>
      <c r="C7" s="141"/>
    </row>
    <row r="8">
      <c r="A8" s="143" t="s">
        <v>163</v>
      </c>
      <c r="B8" s="143" t="s">
        <v>164</v>
      </c>
      <c r="C8" s="144">
        <v>1820.0</v>
      </c>
      <c r="D8" s="146" t="s">
        <v>165</v>
      </c>
    </row>
    <row r="9">
      <c r="A9" s="143" t="s">
        <v>163</v>
      </c>
      <c r="B9" s="143" t="s">
        <v>166</v>
      </c>
      <c r="C9" s="144">
        <v>2140.0</v>
      </c>
      <c r="G9" s="147" t="s">
        <v>167</v>
      </c>
    </row>
    <row r="10">
      <c r="A10" s="143" t="s">
        <v>163</v>
      </c>
      <c r="B10" s="143" t="s">
        <v>168</v>
      </c>
      <c r="C10" s="144">
        <v>1900.0</v>
      </c>
      <c r="G10" s="147" t="s">
        <v>169</v>
      </c>
    </row>
    <row r="11">
      <c r="A11" s="143" t="s">
        <v>170</v>
      </c>
      <c r="B11" s="143" t="s">
        <v>171</v>
      </c>
      <c r="C11" s="144">
        <v>3640.0</v>
      </c>
      <c r="G11" s="147" t="s">
        <v>172</v>
      </c>
    </row>
    <row r="12">
      <c r="A12" s="143" t="s">
        <v>173</v>
      </c>
      <c r="B12" s="143" t="s">
        <v>174</v>
      </c>
      <c r="C12" s="144">
        <v>2610.0</v>
      </c>
    </row>
    <row r="13">
      <c r="A13" s="143" t="s">
        <v>175</v>
      </c>
      <c r="B13" s="143" t="s">
        <v>176</v>
      </c>
      <c r="C13" s="144">
        <v>3100.0</v>
      </c>
    </row>
    <row r="14">
      <c r="A14" s="143" t="s">
        <v>155</v>
      </c>
      <c r="B14" s="143" t="s">
        <v>177</v>
      </c>
      <c r="C14" s="144">
        <v>290.0</v>
      </c>
    </row>
    <row r="15">
      <c r="A15" s="143" t="s">
        <v>178</v>
      </c>
      <c r="B15" s="143" t="s">
        <v>177</v>
      </c>
      <c r="C15" s="144">
        <v>300.0</v>
      </c>
    </row>
    <row r="16">
      <c r="A16" s="143" t="s">
        <v>178</v>
      </c>
      <c r="B16" s="143" t="s">
        <v>179</v>
      </c>
      <c r="C16" s="144">
        <v>145.0</v>
      </c>
    </row>
    <row r="17">
      <c r="A17" s="143" t="s">
        <v>155</v>
      </c>
      <c r="B17" s="143" t="s">
        <v>179</v>
      </c>
      <c r="C17" s="144">
        <v>135.0</v>
      </c>
    </row>
    <row r="18">
      <c r="A18" s="148" t="s">
        <v>180</v>
      </c>
      <c r="B18" s="141"/>
      <c r="C18" s="141"/>
    </row>
    <row r="19">
      <c r="A19" s="143" t="s">
        <v>181</v>
      </c>
      <c r="B19" s="143" t="s">
        <v>182</v>
      </c>
      <c r="C19" s="144">
        <v>110.0</v>
      </c>
    </row>
    <row r="20" ht="16.5" customHeight="1">
      <c r="A20" s="149" t="s">
        <v>119</v>
      </c>
      <c r="B20" s="141"/>
      <c r="C20" s="141"/>
      <c r="D20" s="150" t="s">
        <v>183</v>
      </c>
    </row>
    <row r="21" ht="15.75" customHeight="1">
      <c r="A21" s="143" t="s">
        <v>184</v>
      </c>
      <c r="B21" s="143" t="s">
        <v>185</v>
      </c>
      <c r="C21" s="144">
        <v>79.0</v>
      </c>
      <c r="D21" s="151" t="s">
        <v>186</v>
      </c>
    </row>
    <row r="22" ht="15.75" customHeight="1">
      <c r="A22" s="143" t="s">
        <v>187</v>
      </c>
      <c r="B22" s="143" t="s">
        <v>185</v>
      </c>
      <c r="C22" s="144">
        <v>76.0</v>
      </c>
    </row>
    <row r="23" ht="15.75" customHeight="1">
      <c r="A23" s="143" t="s">
        <v>184</v>
      </c>
      <c r="B23" s="143" t="s">
        <v>188</v>
      </c>
      <c r="C23" s="144">
        <v>280.0</v>
      </c>
      <c r="F23" s="146" t="s">
        <v>189</v>
      </c>
    </row>
    <row r="24" ht="15.75" customHeight="1">
      <c r="A24" s="143" t="s">
        <v>187</v>
      </c>
      <c r="B24" s="143" t="s">
        <v>190</v>
      </c>
      <c r="C24" s="144">
        <v>250.0</v>
      </c>
    </row>
    <row r="25" ht="15.75" customHeight="1">
      <c r="A25" s="143" t="s">
        <v>184</v>
      </c>
      <c r="B25" s="143" t="s">
        <v>191</v>
      </c>
      <c r="C25" s="144">
        <v>440.0</v>
      </c>
      <c r="D25" s="147" t="s">
        <v>192</v>
      </c>
    </row>
    <row r="26" ht="15.75" customHeight="1">
      <c r="A26" s="143" t="s">
        <v>187</v>
      </c>
      <c r="B26" s="143" t="s">
        <v>191</v>
      </c>
      <c r="C26" s="144">
        <v>508.0</v>
      </c>
      <c r="D26" s="147" t="s">
        <v>193</v>
      </c>
    </row>
    <row r="27" ht="15.75" customHeight="1">
      <c r="A27" s="152" t="s">
        <v>194</v>
      </c>
      <c r="B27" s="141"/>
      <c r="C27" s="141"/>
    </row>
    <row r="28" ht="15.75" customHeight="1">
      <c r="A28" s="143" t="s">
        <v>195</v>
      </c>
      <c r="B28" s="143" t="s">
        <v>196</v>
      </c>
      <c r="C28" s="144">
        <v>300.0</v>
      </c>
    </row>
    <row r="29" ht="15.75" customHeight="1">
      <c r="A29" s="143" t="s">
        <v>195</v>
      </c>
      <c r="B29" s="143" t="s">
        <v>191</v>
      </c>
      <c r="C29" s="144">
        <v>520.0</v>
      </c>
    </row>
    <row r="30" ht="15.75" customHeight="1">
      <c r="A30" s="143" t="s">
        <v>195</v>
      </c>
      <c r="B30" s="143" t="s">
        <v>197</v>
      </c>
      <c r="C30" s="144">
        <v>3155.0</v>
      </c>
    </row>
    <row r="31" ht="15.75" customHeight="1">
      <c r="A31" s="143"/>
      <c r="B31" s="143"/>
      <c r="C31" s="144"/>
    </row>
    <row r="32" ht="15.75" customHeight="1">
      <c r="A32" s="143"/>
      <c r="B32" s="143"/>
      <c r="C32" s="144"/>
    </row>
    <row r="33" ht="15.75" customHeight="1">
      <c r="A33" s="143"/>
      <c r="B33" s="143"/>
      <c r="C33" s="144"/>
    </row>
    <row r="34" ht="15.75" customHeight="1">
      <c r="A34" s="143"/>
      <c r="B34" s="143"/>
      <c r="C34" s="144"/>
    </row>
    <row r="35" ht="15.75" customHeight="1">
      <c r="A35" s="143"/>
      <c r="B35" s="143"/>
      <c r="C35" s="144"/>
    </row>
    <row r="36" ht="15.75" customHeight="1">
      <c r="A36" s="143"/>
      <c r="B36" s="143"/>
      <c r="C36" s="144"/>
    </row>
    <row r="37" ht="15.75" customHeight="1">
      <c r="A37" s="143"/>
      <c r="B37" s="143"/>
      <c r="C37" s="144"/>
    </row>
    <row r="38" ht="15.75" customHeight="1">
      <c r="A38" s="143"/>
      <c r="B38" s="143"/>
      <c r="C38" s="144"/>
    </row>
    <row r="39" ht="15.75" customHeight="1">
      <c r="A39" s="143"/>
      <c r="B39" s="143"/>
      <c r="C39" s="144"/>
    </row>
    <row r="40" ht="15.75" customHeight="1">
      <c r="A40" s="143"/>
      <c r="B40" s="143"/>
      <c r="C40" s="144"/>
    </row>
    <row r="41" ht="15.75" customHeight="1">
      <c r="A41" s="143"/>
      <c r="B41" s="143"/>
      <c r="C41" s="144"/>
    </row>
    <row r="42" ht="15.75" customHeight="1">
      <c r="A42" s="143"/>
      <c r="B42" s="143"/>
      <c r="C42" s="144"/>
    </row>
    <row r="43" ht="15.75" customHeight="1">
      <c r="A43" s="143"/>
      <c r="B43" s="143"/>
      <c r="C43" s="144"/>
    </row>
    <row r="44" ht="15.75" customHeight="1">
      <c r="A44" s="143"/>
      <c r="B44" s="143"/>
      <c r="C44" s="144"/>
    </row>
    <row r="45" ht="15.75" customHeight="1">
      <c r="A45" s="143"/>
      <c r="B45" s="143"/>
      <c r="C45" s="144"/>
    </row>
    <row r="46" ht="15.75" customHeight="1">
      <c r="A46" s="143"/>
      <c r="B46" s="143"/>
      <c r="C46" s="144"/>
    </row>
    <row r="47" ht="15.75" customHeight="1">
      <c r="A47" s="143"/>
      <c r="B47" s="143"/>
      <c r="C47" s="144"/>
    </row>
    <row r="48" ht="15.75" customHeight="1">
      <c r="A48" s="143"/>
      <c r="B48" s="143"/>
      <c r="C48" s="144"/>
    </row>
    <row r="49" ht="15.75" customHeight="1">
      <c r="A49" s="143"/>
      <c r="B49" s="143"/>
      <c r="C49" s="144"/>
    </row>
    <row r="50" ht="15.75" customHeight="1">
      <c r="A50" s="143"/>
      <c r="B50" s="143"/>
      <c r="C50" s="144"/>
    </row>
    <row r="51" ht="15.75" customHeight="1">
      <c r="A51" s="143"/>
      <c r="B51" s="143"/>
      <c r="C51" s="144"/>
    </row>
    <row r="52" ht="15.75" customHeight="1">
      <c r="A52" s="143"/>
      <c r="B52" s="143"/>
      <c r="C52" s="144"/>
    </row>
    <row r="53" ht="15.75" customHeight="1">
      <c r="A53" s="143"/>
      <c r="B53" s="143"/>
      <c r="C53" s="144"/>
    </row>
    <row r="54" ht="15.75" customHeight="1">
      <c r="A54" s="143"/>
      <c r="B54" s="143"/>
      <c r="C54" s="144"/>
    </row>
    <row r="55" ht="15.75" customHeight="1">
      <c r="A55" s="143"/>
      <c r="B55" s="143"/>
      <c r="C55" s="144"/>
    </row>
    <row r="56" ht="15.75" customHeight="1">
      <c r="A56" s="143"/>
      <c r="B56" s="143"/>
      <c r="C56" s="144"/>
    </row>
    <row r="57" ht="15.75" customHeight="1">
      <c r="A57" s="143"/>
      <c r="B57" s="143"/>
      <c r="C57" s="144"/>
    </row>
    <row r="58" ht="15.75" customHeight="1">
      <c r="A58" s="143"/>
      <c r="B58" s="143"/>
      <c r="C58" s="144"/>
    </row>
    <row r="59" ht="15.75" customHeight="1">
      <c r="A59" s="143"/>
      <c r="B59" s="143"/>
      <c r="C59" s="144"/>
    </row>
    <row r="60" ht="15.75" customHeight="1">
      <c r="A60" s="143"/>
      <c r="B60" s="143"/>
      <c r="C60" s="144"/>
    </row>
    <row r="61" ht="15.75" customHeight="1">
      <c r="A61" s="143"/>
      <c r="B61" s="143"/>
      <c r="C61" s="144"/>
    </row>
    <row r="62" ht="15.75" customHeight="1">
      <c r="A62" s="143"/>
      <c r="B62" s="143"/>
      <c r="C62" s="144"/>
    </row>
    <row r="63" ht="15.75" customHeight="1">
      <c r="A63" s="143"/>
      <c r="B63" s="143"/>
      <c r="C63" s="144"/>
    </row>
    <row r="64" ht="15.75" customHeight="1">
      <c r="A64" s="143"/>
      <c r="B64" s="143"/>
      <c r="C64" s="144"/>
    </row>
    <row r="65" ht="15.75" customHeight="1">
      <c r="A65" s="143"/>
      <c r="B65" s="143"/>
      <c r="C65" s="144"/>
    </row>
    <row r="66" ht="15.75" customHeight="1">
      <c r="A66" s="143"/>
      <c r="B66" s="143"/>
      <c r="C66" s="144"/>
    </row>
    <row r="67" ht="15.75" customHeight="1">
      <c r="A67" s="143"/>
      <c r="B67" s="143"/>
      <c r="C67" s="144"/>
    </row>
    <row r="68" ht="15.75" customHeight="1">
      <c r="A68" s="143"/>
      <c r="B68" s="143"/>
      <c r="C68" s="144"/>
    </row>
    <row r="69" ht="15.75" customHeight="1">
      <c r="A69" s="143"/>
      <c r="B69" s="143"/>
      <c r="C69" s="144"/>
    </row>
    <row r="70" ht="15.75" customHeight="1">
      <c r="A70" s="143"/>
      <c r="B70" s="143"/>
      <c r="C70" s="144"/>
    </row>
    <row r="71" ht="15.75" customHeight="1">
      <c r="A71" s="143"/>
      <c r="B71" s="143"/>
      <c r="C71" s="144"/>
    </row>
    <row r="72" ht="15.75" customHeight="1">
      <c r="A72" s="143"/>
      <c r="B72" s="143"/>
      <c r="C72" s="144"/>
    </row>
    <row r="73" ht="15.75" customHeight="1">
      <c r="A73" s="143"/>
      <c r="B73" s="143"/>
      <c r="C73" s="144"/>
    </row>
    <row r="74" ht="15.75" customHeight="1">
      <c r="A74" s="143"/>
      <c r="B74" s="143"/>
      <c r="C74" s="144"/>
    </row>
    <row r="75" ht="15.75" customHeight="1">
      <c r="A75" s="143"/>
      <c r="B75" s="143"/>
      <c r="C75" s="144"/>
    </row>
    <row r="76" ht="15.75" customHeight="1">
      <c r="A76" s="143"/>
      <c r="B76" s="143"/>
      <c r="C76" s="144"/>
    </row>
    <row r="77" ht="15.75" customHeight="1">
      <c r="A77" s="143"/>
      <c r="B77" s="143"/>
      <c r="C77" s="144"/>
    </row>
    <row r="78" ht="15.75" customHeight="1">
      <c r="A78" s="143"/>
      <c r="B78" s="143"/>
      <c r="C78" s="144"/>
    </row>
    <row r="79" ht="15.75" customHeight="1">
      <c r="A79" s="143"/>
      <c r="B79" s="143"/>
      <c r="C79" s="144"/>
    </row>
    <row r="80" ht="15.75" customHeight="1">
      <c r="A80" s="143"/>
      <c r="B80" s="143"/>
      <c r="C80" s="144"/>
    </row>
    <row r="81" ht="15.75" customHeight="1">
      <c r="A81" s="143"/>
      <c r="B81" s="143"/>
      <c r="C81" s="144"/>
    </row>
    <row r="82" ht="15.75" customHeight="1">
      <c r="A82" s="143"/>
      <c r="B82" s="143"/>
      <c r="C82" s="144"/>
    </row>
    <row r="83" ht="15.75" customHeight="1">
      <c r="A83" s="143"/>
      <c r="B83" s="143"/>
      <c r="C83" s="144"/>
    </row>
    <row r="84" ht="15.75" customHeight="1">
      <c r="A84" s="143"/>
      <c r="B84" s="143"/>
      <c r="C84" s="144"/>
    </row>
    <row r="85" ht="15.75" customHeight="1">
      <c r="A85" s="143"/>
      <c r="B85" s="143"/>
      <c r="C85" s="144"/>
    </row>
    <row r="86" ht="15.75" customHeight="1">
      <c r="A86" s="143"/>
      <c r="B86" s="143"/>
      <c r="C86" s="144"/>
    </row>
    <row r="87" ht="15.75" customHeight="1">
      <c r="A87" s="143"/>
      <c r="B87" s="143"/>
      <c r="C87" s="144"/>
    </row>
    <row r="88" ht="15.75" customHeight="1">
      <c r="A88" s="143"/>
      <c r="B88" s="143"/>
      <c r="C88" s="144"/>
    </row>
    <row r="89" ht="15.75" customHeight="1">
      <c r="A89" s="143"/>
      <c r="B89" s="143"/>
      <c r="C89" s="144"/>
    </row>
    <row r="90" ht="15.75" customHeight="1">
      <c r="A90" s="143"/>
      <c r="B90" s="143"/>
      <c r="C90" s="144"/>
    </row>
    <row r="91" ht="15.75" customHeight="1">
      <c r="A91" s="143"/>
      <c r="B91" s="143"/>
      <c r="C91" s="144"/>
    </row>
    <row r="92" ht="15.75" customHeight="1">
      <c r="A92" s="143"/>
      <c r="B92" s="143"/>
      <c r="C92" s="144"/>
    </row>
    <row r="93" ht="15.75" customHeight="1">
      <c r="A93" s="143"/>
      <c r="B93" s="143"/>
      <c r="C93" s="144"/>
    </row>
    <row r="94" ht="15.75" customHeight="1">
      <c r="A94" s="143"/>
      <c r="B94" s="143"/>
      <c r="C94" s="144"/>
    </row>
    <row r="95" ht="15.75" customHeight="1">
      <c r="A95" s="143"/>
      <c r="B95" s="143"/>
      <c r="C95" s="144"/>
    </row>
    <row r="96" ht="15.75" customHeight="1">
      <c r="A96" s="143"/>
      <c r="B96" s="143"/>
      <c r="C96" s="144"/>
    </row>
    <row r="97" ht="15.75" customHeight="1">
      <c r="A97" s="143"/>
      <c r="B97" s="143"/>
      <c r="C97" s="144"/>
    </row>
    <row r="98" ht="15.75" customHeight="1">
      <c r="A98" s="143"/>
      <c r="B98" s="143"/>
      <c r="C98" s="144"/>
    </row>
    <row r="99" ht="15.75" customHeight="1">
      <c r="A99" s="143"/>
      <c r="B99" s="143"/>
      <c r="C99" s="144"/>
    </row>
    <row r="100" ht="15.75" customHeight="1">
      <c r="A100" s="143"/>
      <c r="B100" s="143"/>
      <c r="C100" s="144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C1"/>
    <mergeCell ref="A7:C7"/>
    <mergeCell ref="A18:C18"/>
    <mergeCell ref="A20:C20"/>
    <mergeCell ref="A27:C27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0.1" defaultRowHeight="15.0"/>
  <cols>
    <col customWidth="1" min="1" max="1" width="9.1"/>
    <col customWidth="1" min="2" max="2" width="36.4"/>
    <col customWidth="1" min="3" max="3" width="10.0"/>
    <col customWidth="1" min="4" max="4" width="11.6"/>
    <col customWidth="1" min="5" max="5" width="17.5"/>
    <col customWidth="1" min="6" max="6" width="18.2"/>
    <col customWidth="1" min="7" max="7" width="11.1"/>
    <col customWidth="1" min="8" max="8" width="10.7"/>
    <col customWidth="1" min="9" max="10" width="12.6"/>
    <col customWidth="1" min="11" max="11" width="11.0"/>
    <col customWidth="1" min="12" max="18" width="10.6"/>
    <col customWidth="1" min="19" max="19" width="8.6"/>
    <col customWidth="1" hidden="1" min="20" max="24" width="8.6"/>
    <col customWidth="1" min="25" max="25" width="8.6"/>
    <col customWidth="1" min="26" max="26" width="37.0"/>
    <col customWidth="1" min="27" max="27" width="8.0"/>
    <col customWidth="1" min="28" max="28" width="11.6"/>
    <col customWidth="1" min="29" max="29" width="10.4"/>
    <col customWidth="1" min="30" max="30" width="12.1"/>
    <col customWidth="1" min="31" max="31" width="5.2"/>
    <col customWidth="1" min="32" max="32" width="14.4"/>
    <col customWidth="1" min="33" max="33" width="4.1"/>
    <col customWidth="1" min="34" max="34" width="10.6"/>
    <col customWidth="1" min="35" max="35" width="31.2"/>
    <col customWidth="1" min="36" max="36" width="14.6"/>
    <col customWidth="1" min="37" max="37" width="18.4"/>
    <col customWidth="1" min="38" max="38" width="17.2"/>
    <col customWidth="1" min="39" max="39" width="16.4"/>
    <col customWidth="1" min="40" max="40" width="22.1"/>
    <col customWidth="1" min="41" max="41" width="16.4"/>
    <col customWidth="1" min="42" max="42" width="11.0"/>
    <col customWidth="1" min="43" max="48" width="8.6"/>
  </cols>
  <sheetData>
    <row r="1" ht="14.25" customHeight="1">
      <c r="A1" s="153"/>
      <c r="B1" s="154"/>
      <c r="C1" s="154"/>
      <c r="D1" s="154"/>
      <c r="E1" s="155"/>
      <c r="F1" s="154"/>
      <c r="G1" s="156"/>
      <c r="H1" s="43"/>
      <c r="I1" s="157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158" t="s">
        <v>198</v>
      </c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</row>
    <row r="2" ht="43.5" customHeight="1">
      <c r="A2" s="159" t="s">
        <v>7</v>
      </c>
      <c r="B2" s="159" t="s">
        <v>80</v>
      </c>
      <c r="C2" s="159"/>
      <c r="D2" s="160" t="s">
        <v>199</v>
      </c>
      <c r="E2" s="161" t="s">
        <v>200</v>
      </c>
      <c r="F2" s="162" t="s">
        <v>201</v>
      </c>
      <c r="G2" s="163" t="s">
        <v>202</v>
      </c>
      <c r="H2" s="164" t="s">
        <v>203</v>
      </c>
      <c r="I2" s="165" t="s">
        <v>204</v>
      </c>
      <c r="J2" s="166" t="s">
        <v>205</v>
      </c>
      <c r="K2" s="167" t="s">
        <v>206</v>
      </c>
      <c r="L2" s="168" t="s">
        <v>207</v>
      </c>
      <c r="M2" s="169" t="s">
        <v>208</v>
      </c>
      <c r="N2" s="169" t="s">
        <v>194</v>
      </c>
      <c r="O2" s="169" t="s">
        <v>209</v>
      </c>
      <c r="P2" s="169" t="s">
        <v>24</v>
      </c>
      <c r="Q2" s="170" t="s">
        <v>210</v>
      </c>
      <c r="R2" s="171" t="s">
        <v>211</v>
      </c>
      <c r="S2" s="172"/>
      <c r="T2" s="172"/>
      <c r="U2" s="172"/>
      <c r="V2" s="172"/>
      <c r="W2" s="172"/>
      <c r="X2" s="43"/>
      <c r="Y2" s="173"/>
      <c r="Z2" s="174" t="s">
        <v>212</v>
      </c>
      <c r="AA2" s="174" t="s">
        <v>213</v>
      </c>
      <c r="AB2" s="174" t="s">
        <v>214</v>
      </c>
      <c r="AC2" s="174" t="s">
        <v>8</v>
      </c>
      <c r="AD2" s="175" t="s">
        <v>215</v>
      </c>
      <c r="AE2" s="175" t="s">
        <v>216</v>
      </c>
      <c r="AF2" s="176" t="s">
        <v>217</v>
      </c>
      <c r="AG2" s="174" t="s">
        <v>218</v>
      </c>
      <c r="AH2" s="176" t="s">
        <v>219</v>
      </c>
      <c r="AI2" s="175" t="s">
        <v>220</v>
      </c>
      <c r="AJ2" s="175" t="s">
        <v>221</v>
      </c>
      <c r="AK2" s="175" t="s">
        <v>222</v>
      </c>
      <c r="AL2" s="174" t="s">
        <v>223</v>
      </c>
      <c r="AM2" s="175" t="s">
        <v>224</v>
      </c>
      <c r="AN2" s="175" t="s">
        <v>225</v>
      </c>
      <c r="AO2" s="175" t="s">
        <v>226</v>
      </c>
      <c r="AP2" s="175" t="s">
        <v>227</v>
      </c>
      <c r="AQ2" s="172"/>
      <c r="AR2" s="43"/>
      <c r="AS2" s="43"/>
      <c r="AT2" s="43"/>
      <c r="AU2" s="43"/>
      <c r="AV2" s="43"/>
    </row>
    <row r="3" ht="14.25" customHeight="1">
      <c r="A3" s="43"/>
      <c r="B3" s="43"/>
      <c r="C3" s="43"/>
      <c r="D3" s="177"/>
      <c r="E3" s="178" t="s">
        <v>228</v>
      </c>
      <c r="F3" s="179" t="s">
        <v>228</v>
      </c>
      <c r="G3" s="163"/>
      <c r="H3" s="159"/>
      <c r="I3" s="180"/>
      <c r="J3" s="181"/>
      <c r="K3" s="181"/>
      <c r="L3" s="182"/>
      <c r="M3" s="183"/>
      <c r="N3" s="182"/>
      <c r="O3" s="182"/>
      <c r="P3" s="182"/>
      <c r="Q3" s="182"/>
      <c r="R3" s="173"/>
      <c r="S3" s="43"/>
      <c r="T3" s="43"/>
      <c r="U3" s="43"/>
      <c r="V3" s="43"/>
      <c r="W3" s="43"/>
      <c r="X3" s="43"/>
      <c r="Y3" s="17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</row>
    <row r="4" ht="14.25" customHeight="1">
      <c r="A4" s="43"/>
      <c r="B4" s="43"/>
      <c r="C4" s="43"/>
      <c r="D4" s="184"/>
      <c r="E4" s="185">
        <v>0.3</v>
      </c>
      <c r="F4" s="186">
        <v>0.4</v>
      </c>
      <c r="G4" s="187"/>
      <c r="H4" s="159"/>
      <c r="I4" s="188"/>
      <c r="J4" s="173"/>
      <c r="K4" s="173"/>
      <c r="L4" s="43"/>
      <c r="M4" s="172"/>
      <c r="N4" s="172"/>
      <c r="O4" s="172"/>
      <c r="P4" s="172"/>
      <c r="Q4" s="172"/>
      <c r="R4" s="189"/>
      <c r="S4" s="172"/>
      <c r="T4" s="172"/>
      <c r="U4" s="172"/>
      <c r="V4" s="172"/>
      <c r="W4" s="172"/>
      <c r="X4" s="43"/>
      <c r="Y4" s="17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</row>
    <row r="5" ht="14.25" customHeight="1">
      <c r="A5" s="190" t="s">
        <v>229</v>
      </c>
      <c r="B5" s="66"/>
      <c r="C5" s="191" t="s">
        <v>230</v>
      </c>
      <c r="D5" s="184"/>
      <c r="E5" s="192"/>
      <c r="F5" s="193"/>
      <c r="G5" s="187"/>
      <c r="H5" s="159"/>
      <c r="I5" s="194"/>
      <c r="J5" s="159"/>
      <c r="K5" s="159"/>
      <c r="L5" s="195"/>
      <c r="M5" s="195"/>
      <c r="N5" s="195"/>
      <c r="O5" s="195"/>
      <c r="P5" s="195"/>
      <c r="Q5" s="195"/>
      <c r="R5" s="159"/>
      <c r="S5" s="183"/>
      <c r="T5" s="196"/>
      <c r="U5" s="196"/>
      <c r="V5" s="196"/>
      <c r="W5" s="196"/>
      <c r="X5" s="196"/>
      <c r="Y5" s="197"/>
      <c r="Z5" s="196"/>
      <c r="AA5" s="196"/>
      <c r="AB5" s="196"/>
      <c r="AC5" s="196"/>
      <c r="AD5" s="196"/>
      <c r="AE5" s="196"/>
      <c r="AF5" s="196"/>
      <c r="AG5" s="196"/>
      <c r="AH5" s="196"/>
      <c r="AI5" s="196"/>
      <c r="AJ5" s="196"/>
      <c r="AK5" s="196"/>
      <c r="AL5" s="196"/>
      <c r="AM5" s="196"/>
      <c r="AN5" s="196"/>
      <c r="AO5" s="196"/>
      <c r="AP5" s="196"/>
      <c r="AQ5" s="43"/>
      <c r="AR5" s="43"/>
      <c r="AS5" s="43"/>
      <c r="AT5" s="43"/>
      <c r="AU5" s="43"/>
      <c r="AV5" s="43"/>
    </row>
    <row r="6" ht="12.0" customHeight="1">
      <c r="A6" s="198" t="s">
        <v>66</v>
      </c>
      <c r="B6" s="199" t="s">
        <v>231</v>
      </c>
      <c r="C6" s="199" t="s">
        <v>232</v>
      </c>
      <c r="D6" s="200">
        <v>489.0</v>
      </c>
      <c r="E6" s="201"/>
      <c r="F6" s="202">
        <f>E6-(E6*$F$4)</f>
        <v>0</v>
      </c>
      <c r="G6" s="200"/>
      <c r="H6" s="200">
        <v>557.0</v>
      </c>
      <c r="I6" s="133"/>
      <c r="J6" s="203" t="s">
        <v>233</v>
      </c>
      <c r="K6" s="132">
        <v>344.0</v>
      </c>
      <c r="L6" s="136">
        <v>420.0</v>
      </c>
      <c r="M6" s="136"/>
      <c r="N6" s="136">
        <v>494.54</v>
      </c>
      <c r="O6" s="136">
        <v>426.0</v>
      </c>
      <c r="P6" s="136">
        <v>406.0</v>
      </c>
      <c r="Q6" s="136">
        <v>385.0</v>
      </c>
      <c r="R6" s="132">
        <v>449.0</v>
      </c>
      <c r="S6" s="136"/>
      <c r="T6" s="136"/>
      <c r="U6" s="136"/>
      <c r="V6" s="136"/>
      <c r="W6" s="136"/>
      <c r="X6" s="43"/>
      <c r="Y6" s="173"/>
      <c r="Z6" s="199" t="s">
        <v>231</v>
      </c>
      <c r="AA6" s="43" t="s">
        <v>66</v>
      </c>
      <c r="AB6" s="172" t="s">
        <v>234</v>
      </c>
      <c r="AC6" s="43" t="s">
        <v>235</v>
      </c>
      <c r="AD6" s="43" t="s">
        <v>236</v>
      </c>
      <c r="AE6" s="43"/>
      <c r="AF6" s="43">
        <v>120.0</v>
      </c>
      <c r="AG6" s="204" t="s">
        <v>237</v>
      </c>
      <c r="AH6" s="43">
        <v>1.0</v>
      </c>
      <c r="AI6" s="43" t="s">
        <v>238</v>
      </c>
      <c r="AJ6" s="43">
        <v>12.0</v>
      </c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</row>
    <row r="7" ht="12.0" customHeight="1">
      <c r="A7" s="198" t="s">
        <v>66</v>
      </c>
      <c r="B7" s="199" t="s">
        <v>239</v>
      </c>
      <c r="C7" s="199" t="s">
        <v>232</v>
      </c>
      <c r="D7" s="132">
        <v>575.0</v>
      </c>
      <c r="E7" s="133">
        <v>843.0</v>
      </c>
      <c r="F7" s="203">
        <f>E7-(E7*$F$4)-150</f>
        <v>355.8</v>
      </c>
      <c r="G7" s="132"/>
      <c r="H7" s="132">
        <v>545.0</v>
      </c>
      <c r="I7" s="133">
        <v>605.0</v>
      </c>
      <c r="J7" s="203">
        <v>550.0</v>
      </c>
      <c r="K7" s="132">
        <v>432.0</v>
      </c>
      <c r="L7" s="136">
        <v>510.0</v>
      </c>
      <c r="M7" s="136"/>
      <c r="N7" s="136">
        <v>581.5</v>
      </c>
      <c r="O7" s="136">
        <v>483.0</v>
      </c>
      <c r="P7" s="136">
        <v>409.0</v>
      </c>
      <c r="Q7" s="136"/>
      <c r="R7" s="132">
        <v>529.0</v>
      </c>
      <c r="S7" s="136"/>
      <c r="T7" s="136"/>
      <c r="U7" s="136"/>
      <c r="V7" s="136"/>
      <c r="W7" s="136"/>
      <c r="X7" s="43"/>
      <c r="Y7" s="173"/>
      <c r="Z7" s="199" t="s">
        <v>239</v>
      </c>
      <c r="AA7" s="43" t="s">
        <v>66</v>
      </c>
      <c r="AB7" s="172" t="s">
        <v>234</v>
      </c>
      <c r="AC7" s="43" t="s">
        <v>240</v>
      </c>
      <c r="AD7" s="43" t="s">
        <v>236</v>
      </c>
      <c r="AE7" s="43"/>
      <c r="AF7" s="43">
        <v>120.0</v>
      </c>
      <c r="AG7" s="204" t="s">
        <v>237</v>
      </c>
      <c r="AH7" s="43">
        <v>1.0</v>
      </c>
      <c r="AI7" s="43" t="s">
        <v>238</v>
      </c>
      <c r="AJ7" s="43">
        <v>12.0</v>
      </c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</row>
    <row r="8" ht="12.0" customHeight="1">
      <c r="A8" s="198" t="s">
        <v>66</v>
      </c>
      <c r="B8" s="199" t="s">
        <v>241</v>
      </c>
      <c r="C8" s="199" t="s">
        <v>232</v>
      </c>
      <c r="D8" s="132">
        <v>677.0</v>
      </c>
      <c r="E8" s="133"/>
      <c r="F8" s="203">
        <f>E8-(E8*$F$4)</f>
        <v>0</v>
      </c>
      <c r="G8" s="132"/>
      <c r="H8" s="132"/>
      <c r="I8" s="133"/>
      <c r="J8" s="203"/>
      <c r="K8" s="132"/>
      <c r="L8" s="136">
        <v>580.0</v>
      </c>
      <c r="M8" s="136"/>
      <c r="N8" s="136">
        <v>663.0</v>
      </c>
      <c r="O8" s="136">
        <v>567.0</v>
      </c>
      <c r="P8" s="136">
        <v>456.0</v>
      </c>
      <c r="Q8" s="136">
        <v>579.0</v>
      </c>
      <c r="R8" s="132">
        <v>523.0</v>
      </c>
      <c r="S8" s="136"/>
      <c r="T8" s="136"/>
      <c r="U8" s="136"/>
      <c r="V8" s="136"/>
      <c r="W8" s="136"/>
      <c r="X8" s="43"/>
      <c r="Y8" s="173"/>
      <c r="Z8" s="199" t="s">
        <v>241</v>
      </c>
      <c r="AA8" s="43" t="s">
        <v>66</v>
      </c>
      <c r="AB8" s="172" t="s">
        <v>234</v>
      </c>
      <c r="AC8" s="43" t="s">
        <v>242</v>
      </c>
      <c r="AD8" s="43" t="s">
        <v>236</v>
      </c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</row>
    <row r="9" ht="12.0" customHeight="1">
      <c r="A9" s="198" t="s">
        <v>66</v>
      </c>
      <c r="B9" s="199" t="s">
        <v>243</v>
      </c>
      <c r="C9" s="199" t="s">
        <v>232</v>
      </c>
      <c r="D9" s="132">
        <v>705.0</v>
      </c>
      <c r="E9" s="133">
        <v>946.0</v>
      </c>
      <c r="F9" s="203">
        <f t="shared" ref="F9:F12" si="1">E9-(E9*$F$4)-150</f>
        <v>417.6</v>
      </c>
      <c r="G9" s="132"/>
      <c r="H9" s="132">
        <v>580.0</v>
      </c>
      <c r="I9" s="133">
        <v>741.0</v>
      </c>
      <c r="J9" s="203">
        <v>674.0</v>
      </c>
      <c r="K9" s="132">
        <v>563.0</v>
      </c>
      <c r="L9" s="136">
        <v>620.0</v>
      </c>
      <c r="M9" s="136"/>
      <c r="N9" s="136">
        <v>710.84</v>
      </c>
      <c r="O9" s="136">
        <v>616.0</v>
      </c>
      <c r="P9" s="136">
        <v>665.0</v>
      </c>
      <c r="Q9" s="136"/>
      <c r="R9" s="132">
        <v>648.0</v>
      </c>
      <c r="S9" s="136"/>
      <c r="T9" s="136"/>
      <c r="U9" s="136"/>
      <c r="V9" s="136"/>
      <c r="W9" s="136"/>
      <c r="X9" s="43"/>
      <c r="Y9" s="173"/>
      <c r="Z9" s="199" t="s">
        <v>243</v>
      </c>
      <c r="AA9" s="43" t="s">
        <v>66</v>
      </c>
      <c r="AB9" s="172" t="s">
        <v>234</v>
      </c>
      <c r="AC9" s="43" t="s">
        <v>244</v>
      </c>
      <c r="AD9" s="43" t="s">
        <v>236</v>
      </c>
      <c r="AE9" s="43"/>
      <c r="AF9" s="43">
        <v>120.0</v>
      </c>
      <c r="AG9" s="204" t="s">
        <v>237</v>
      </c>
      <c r="AH9" s="43">
        <v>1.0</v>
      </c>
      <c r="AI9" s="43" t="s">
        <v>238</v>
      </c>
      <c r="AJ9" s="43">
        <v>12.0</v>
      </c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</row>
    <row r="10" ht="12.0" customHeight="1">
      <c r="A10" s="198" t="s">
        <v>66</v>
      </c>
      <c r="B10" s="199" t="s">
        <v>245</v>
      </c>
      <c r="C10" s="199" t="s">
        <v>232</v>
      </c>
      <c r="D10" s="132">
        <v>756.0</v>
      </c>
      <c r="E10" s="133">
        <v>1114.0</v>
      </c>
      <c r="F10" s="203">
        <f t="shared" si="1"/>
        <v>518.4</v>
      </c>
      <c r="G10" s="132"/>
      <c r="H10" s="132">
        <v>595.0</v>
      </c>
      <c r="I10" s="133"/>
      <c r="J10" s="203"/>
      <c r="K10" s="132">
        <v>616.0</v>
      </c>
      <c r="L10" s="136">
        <v>645.0</v>
      </c>
      <c r="M10" s="136"/>
      <c r="N10" s="136">
        <v>734.35</v>
      </c>
      <c r="O10" s="136">
        <v>582.0</v>
      </c>
      <c r="P10" s="136">
        <v>685.0</v>
      </c>
      <c r="Q10" s="136">
        <v>650.0</v>
      </c>
      <c r="R10" s="132">
        <v>696.0</v>
      </c>
      <c r="S10" s="136"/>
      <c r="T10" s="136"/>
      <c r="U10" s="136"/>
      <c r="V10" s="136"/>
      <c r="W10" s="136"/>
      <c r="X10" s="43"/>
      <c r="Y10" s="173"/>
      <c r="Z10" s="199" t="s">
        <v>245</v>
      </c>
      <c r="AA10" s="43" t="s">
        <v>66</v>
      </c>
      <c r="AB10" s="172" t="s">
        <v>234</v>
      </c>
      <c r="AC10" s="43" t="s">
        <v>246</v>
      </c>
      <c r="AD10" s="43" t="s">
        <v>236</v>
      </c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</row>
    <row r="11" ht="12.0" customHeight="1">
      <c r="A11" s="198" t="s">
        <v>66</v>
      </c>
      <c r="B11" s="199" t="s">
        <v>247</v>
      </c>
      <c r="C11" s="199" t="s">
        <v>232</v>
      </c>
      <c r="D11" s="132">
        <v>764.0</v>
      </c>
      <c r="E11" s="133">
        <v>1026.0</v>
      </c>
      <c r="F11" s="203">
        <f t="shared" si="1"/>
        <v>465.6</v>
      </c>
      <c r="G11" s="132"/>
      <c r="H11" s="132">
        <v>620.0</v>
      </c>
      <c r="I11" s="133">
        <v>803.0</v>
      </c>
      <c r="J11" s="203">
        <v>731.0</v>
      </c>
      <c r="K11" s="132">
        <v>624.0</v>
      </c>
      <c r="L11" s="136">
        <v>660.0</v>
      </c>
      <c r="M11" s="136"/>
      <c r="N11" s="136">
        <v>770.63</v>
      </c>
      <c r="O11" s="136">
        <v>658.0</v>
      </c>
      <c r="P11" s="136">
        <v>561.0</v>
      </c>
      <c r="Q11" s="136"/>
      <c r="R11" s="132">
        <v>703.0</v>
      </c>
      <c r="S11" s="136"/>
      <c r="T11" s="136"/>
      <c r="U11" s="136"/>
      <c r="V11" s="136"/>
      <c r="W11" s="136"/>
      <c r="X11" s="43"/>
      <c r="Y11" s="173"/>
      <c r="Z11" s="199" t="s">
        <v>247</v>
      </c>
      <c r="AA11" s="43" t="s">
        <v>66</v>
      </c>
      <c r="AB11" s="172" t="s">
        <v>234</v>
      </c>
      <c r="AC11" s="43" t="s">
        <v>248</v>
      </c>
      <c r="AD11" s="43" t="s">
        <v>236</v>
      </c>
      <c r="AE11" s="43"/>
      <c r="AF11" s="43">
        <v>120.0</v>
      </c>
      <c r="AG11" s="204" t="s">
        <v>237</v>
      </c>
      <c r="AH11" s="43">
        <v>1.0</v>
      </c>
      <c r="AI11" s="43" t="s">
        <v>238</v>
      </c>
      <c r="AJ11" s="43">
        <v>12.0</v>
      </c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</row>
    <row r="12" ht="12.0" customHeight="1">
      <c r="A12" s="198" t="s">
        <v>66</v>
      </c>
      <c r="B12" s="199" t="s">
        <v>249</v>
      </c>
      <c r="C12" s="199" t="s">
        <v>232</v>
      </c>
      <c r="D12" s="132">
        <v>868.0</v>
      </c>
      <c r="E12" s="133">
        <v>993.0</v>
      </c>
      <c r="F12" s="203">
        <f t="shared" si="1"/>
        <v>445.8</v>
      </c>
      <c r="G12" s="132"/>
      <c r="H12" s="132"/>
      <c r="I12" s="133"/>
      <c r="J12" s="203"/>
      <c r="K12" s="132"/>
      <c r="L12" s="136"/>
      <c r="M12" s="136"/>
      <c r="N12" s="136"/>
      <c r="O12" s="136">
        <v>814.0</v>
      </c>
      <c r="P12" s="136">
        <v>669.0</v>
      </c>
      <c r="Q12" s="136"/>
      <c r="R12" s="132">
        <v>799.0</v>
      </c>
      <c r="S12" s="136"/>
      <c r="T12" s="136"/>
      <c r="U12" s="136"/>
      <c r="V12" s="136"/>
      <c r="W12" s="136"/>
      <c r="X12" s="43"/>
      <c r="Y12" s="173"/>
      <c r="Z12" s="199"/>
      <c r="AA12" s="43"/>
      <c r="AB12" s="172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</row>
    <row r="13" ht="12.0" customHeight="1">
      <c r="A13" s="198" t="s">
        <v>66</v>
      </c>
      <c r="B13" s="199" t="s">
        <v>250</v>
      </c>
      <c r="C13" s="199" t="s">
        <v>251</v>
      </c>
      <c r="D13" s="132">
        <v>880.0</v>
      </c>
      <c r="E13" s="133">
        <v>1347.0</v>
      </c>
      <c r="F13" s="132">
        <f t="shared" ref="F13:F27" si="2">E13-(E13*$F$4)</f>
        <v>808.2</v>
      </c>
      <c r="G13" s="132"/>
      <c r="H13" s="132">
        <v>907.0</v>
      </c>
      <c r="I13" s="133">
        <v>873.0</v>
      </c>
      <c r="J13" s="203">
        <v>794.0</v>
      </c>
      <c r="K13" s="132">
        <v>832.0</v>
      </c>
      <c r="L13" s="136">
        <v>845.0</v>
      </c>
      <c r="M13" s="136"/>
      <c r="N13" s="136">
        <v>881.0</v>
      </c>
      <c r="O13" s="136">
        <v>772.0</v>
      </c>
      <c r="P13" s="136">
        <v>760.0</v>
      </c>
      <c r="Q13" s="136"/>
      <c r="R13" s="132">
        <v>794.0</v>
      </c>
      <c r="S13" s="136"/>
      <c r="T13" s="136"/>
      <c r="U13" s="136"/>
      <c r="V13" s="136"/>
      <c r="W13" s="136"/>
      <c r="X13" s="43"/>
      <c r="Y13" s="173"/>
      <c r="Z13" s="199" t="s">
        <v>250</v>
      </c>
      <c r="AA13" s="43" t="s">
        <v>66</v>
      </c>
      <c r="AB13" s="172" t="s">
        <v>234</v>
      </c>
      <c r="AC13" s="43" t="s">
        <v>252</v>
      </c>
      <c r="AD13" s="43" t="s">
        <v>236</v>
      </c>
      <c r="AE13" s="43"/>
      <c r="AF13" s="43">
        <v>120.0</v>
      </c>
      <c r="AG13" s="204" t="s">
        <v>253</v>
      </c>
      <c r="AH13" s="43">
        <v>1.0</v>
      </c>
      <c r="AI13" s="43" t="s">
        <v>254</v>
      </c>
      <c r="AJ13" s="43">
        <v>17.0</v>
      </c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</row>
    <row r="14" ht="12.0" customHeight="1">
      <c r="A14" s="198" t="s">
        <v>66</v>
      </c>
      <c r="B14" s="199" t="s">
        <v>255</v>
      </c>
      <c r="C14" s="199" t="s">
        <v>251</v>
      </c>
      <c r="D14" s="132">
        <v>920.0</v>
      </c>
      <c r="E14" s="133">
        <v>1408.0</v>
      </c>
      <c r="F14" s="132">
        <f t="shared" si="2"/>
        <v>844.8</v>
      </c>
      <c r="G14" s="132"/>
      <c r="H14" s="132">
        <v>906.0</v>
      </c>
      <c r="I14" s="133">
        <v>913.0</v>
      </c>
      <c r="J14" s="203">
        <v>830.0</v>
      </c>
      <c r="K14" s="132">
        <v>871.0</v>
      </c>
      <c r="L14" s="136">
        <v>880.0</v>
      </c>
      <c r="M14" s="136"/>
      <c r="N14" s="136">
        <v>919.0</v>
      </c>
      <c r="O14" s="136">
        <v>842.0</v>
      </c>
      <c r="P14" s="136">
        <v>750.0</v>
      </c>
      <c r="Q14" s="136"/>
      <c r="R14" s="132">
        <v>830.0</v>
      </c>
      <c r="S14" s="136"/>
      <c r="T14" s="136"/>
      <c r="U14" s="136"/>
      <c r="V14" s="136"/>
      <c r="W14" s="136"/>
      <c r="X14" s="43"/>
      <c r="Y14" s="173"/>
      <c r="Z14" s="199" t="s">
        <v>255</v>
      </c>
      <c r="AA14" s="43" t="s">
        <v>66</v>
      </c>
      <c r="AB14" s="172" t="s">
        <v>234</v>
      </c>
      <c r="AC14" s="43" t="s">
        <v>256</v>
      </c>
      <c r="AD14" s="43" t="s">
        <v>236</v>
      </c>
      <c r="AE14" s="43"/>
      <c r="AF14" s="43">
        <v>120.0</v>
      </c>
      <c r="AG14" s="205" t="s">
        <v>253</v>
      </c>
      <c r="AH14" s="43">
        <v>1.0</v>
      </c>
      <c r="AI14" s="43" t="s">
        <v>257</v>
      </c>
      <c r="AJ14" s="43">
        <v>17.0</v>
      </c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</row>
    <row r="15" ht="12.0" customHeight="1">
      <c r="A15" s="198" t="s">
        <v>66</v>
      </c>
      <c r="B15" s="199" t="s">
        <v>258</v>
      </c>
      <c r="C15" s="199" t="s">
        <v>251</v>
      </c>
      <c r="D15" s="132">
        <v>971.0</v>
      </c>
      <c r="E15" s="133">
        <v>1485.0</v>
      </c>
      <c r="F15" s="132">
        <f t="shared" si="2"/>
        <v>891</v>
      </c>
      <c r="G15" s="132"/>
      <c r="H15" s="132">
        <v>930.0</v>
      </c>
      <c r="I15" s="133">
        <v>963.0</v>
      </c>
      <c r="J15" s="203">
        <v>876.0</v>
      </c>
      <c r="K15" s="132">
        <v>919.0</v>
      </c>
      <c r="L15" s="136">
        <v>930.0</v>
      </c>
      <c r="M15" s="136"/>
      <c r="N15" s="136">
        <v>963.67</v>
      </c>
      <c r="O15" s="136">
        <v>887.0</v>
      </c>
      <c r="P15" s="136">
        <v>860.0</v>
      </c>
      <c r="Q15" s="136"/>
      <c r="R15" s="132">
        <v>876.0</v>
      </c>
      <c r="S15" s="136"/>
      <c r="T15" s="136"/>
      <c r="U15" s="136"/>
      <c r="V15" s="136"/>
      <c r="W15" s="136"/>
      <c r="X15" s="43"/>
      <c r="Y15" s="173"/>
      <c r="Z15" s="199" t="s">
        <v>258</v>
      </c>
      <c r="AA15" s="43" t="s">
        <v>66</v>
      </c>
      <c r="AB15" s="172" t="s">
        <v>234</v>
      </c>
      <c r="AC15" s="43" t="s">
        <v>259</v>
      </c>
      <c r="AD15" s="43" t="s">
        <v>236</v>
      </c>
      <c r="AE15" s="43"/>
      <c r="AF15" s="43">
        <v>120.0</v>
      </c>
      <c r="AG15" s="205" t="s">
        <v>253</v>
      </c>
      <c r="AH15" s="43">
        <v>1.0</v>
      </c>
      <c r="AI15" s="43" t="s">
        <v>260</v>
      </c>
      <c r="AJ15" s="43">
        <v>17.0</v>
      </c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</row>
    <row r="16" ht="12.0" customHeight="1">
      <c r="A16" s="198" t="s">
        <v>66</v>
      </c>
      <c r="B16" s="199" t="s">
        <v>261</v>
      </c>
      <c r="C16" s="199" t="s">
        <v>251</v>
      </c>
      <c r="D16" s="132">
        <v>1086.0</v>
      </c>
      <c r="E16" s="133">
        <v>1660.0</v>
      </c>
      <c r="F16" s="132">
        <f t="shared" si="2"/>
        <v>996</v>
      </c>
      <c r="G16" s="132"/>
      <c r="H16" s="132">
        <v>1090.0</v>
      </c>
      <c r="I16" s="133">
        <v>1078.0</v>
      </c>
      <c r="J16" s="203">
        <v>980.0</v>
      </c>
      <c r="K16" s="132">
        <v>1028.0</v>
      </c>
      <c r="L16" s="136">
        <v>1040.0</v>
      </c>
      <c r="M16" s="136"/>
      <c r="N16" s="136">
        <v>1083.0</v>
      </c>
      <c r="O16" s="136">
        <v>980.0</v>
      </c>
      <c r="P16" s="136">
        <v>849.0</v>
      </c>
      <c r="Q16" s="136"/>
      <c r="R16" s="132">
        <v>980.0</v>
      </c>
      <c r="S16" s="136"/>
      <c r="T16" s="136"/>
      <c r="U16" s="136"/>
      <c r="V16" s="136"/>
      <c r="W16" s="136"/>
      <c r="X16" s="43"/>
      <c r="Y16" s="173"/>
      <c r="Z16" s="199" t="s">
        <v>261</v>
      </c>
      <c r="AA16" s="43" t="s">
        <v>66</v>
      </c>
      <c r="AB16" s="172" t="s">
        <v>234</v>
      </c>
      <c r="AC16" s="43" t="s">
        <v>262</v>
      </c>
      <c r="AD16" s="43" t="s">
        <v>236</v>
      </c>
      <c r="AE16" s="43"/>
      <c r="AF16" s="43">
        <v>120.0</v>
      </c>
      <c r="AG16" s="205" t="s">
        <v>253</v>
      </c>
      <c r="AH16" s="43">
        <v>1.0</v>
      </c>
      <c r="AI16" s="43" t="s">
        <v>263</v>
      </c>
      <c r="AJ16" s="43">
        <v>17.0</v>
      </c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</row>
    <row r="17" ht="12.0" customHeight="1">
      <c r="A17" s="198" t="s">
        <v>66</v>
      </c>
      <c r="B17" s="199" t="s">
        <v>264</v>
      </c>
      <c r="C17" s="199" t="s">
        <v>251</v>
      </c>
      <c r="D17" s="132">
        <v>1289.0</v>
      </c>
      <c r="E17" s="133">
        <v>1966.0</v>
      </c>
      <c r="F17" s="132">
        <f t="shared" si="2"/>
        <v>1179.6</v>
      </c>
      <c r="G17" s="132"/>
      <c r="H17" s="132">
        <v>1260.0</v>
      </c>
      <c r="I17" s="133">
        <v>1278.0</v>
      </c>
      <c r="J17" s="203">
        <v>1162.0</v>
      </c>
      <c r="K17" s="132">
        <v>1219.0</v>
      </c>
      <c r="L17" s="136">
        <v>1235.0</v>
      </c>
      <c r="M17" s="136"/>
      <c r="N17" s="136">
        <v>1276.0</v>
      </c>
      <c r="O17" s="136">
        <v>1177.0</v>
      </c>
      <c r="P17" s="136">
        <v>1043.0</v>
      </c>
      <c r="Q17" s="136"/>
      <c r="R17" s="132">
        <v>1162.0</v>
      </c>
      <c r="S17" s="136"/>
      <c r="T17" s="136"/>
      <c r="U17" s="136"/>
      <c r="V17" s="136"/>
      <c r="W17" s="136"/>
      <c r="X17" s="43"/>
      <c r="Y17" s="173"/>
      <c r="Z17" s="199" t="s">
        <v>264</v>
      </c>
      <c r="AA17" s="43" t="s">
        <v>66</v>
      </c>
      <c r="AB17" s="172" t="s">
        <v>234</v>
      </c>
      <c r="AC17" s="43" t="s">
        <v>265</v>
      </c>
      <c r="AD17" s="43" t="s">
        <v>236</v>
      </c>
      <c r="AE17" s="43"/>
      <c r="AF17" s="43">
        <v>120.0</v>
      </c>
      <c r="AG17" s="205" t="s">
        <v>253</v>
      </c>
      <c r="AH17" s="43">
        <v>1.0</v>
      </c>
      <c r="AI17" s="43" t="s">
        <v>266</v>
      </c>
      <c r="AJ17" s="43">
        <v>17.0</v>
      </c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</row>
    <row r="18" ht="12.0" customHeight="1">
      <c r="A18" s="198" t="s">
        <v>66</v>
      </c>
      <c r="B18" s="199" t="s">
        <v>267</v>
      </c>
      <c r="C18" s="199" t="s">
        <v>251</v>
      </c>
      <c r="D18" s="132">
        <v>1448.0</v>
      </c>
      <c r="E18" s="133">
        <v>2207.0</v>
      </c>
      <c r="F18" s="132">
        <f t="shared" si="2"/>
        <v>1324.2</v>
      </c>
      <c r="G18" s="132"/>
      <c r="H18" s="132">
        <v>1385.0</v>
      </c>
      <c r="I18" s="133">
        <v>1435.0</v>
      </c>
      <c r="J18" s="203">
        <v>1306.0</v>
      </c>
      <c r="K18" s="132">
        <v>1369.0</v>
      </c>
      <c r="L18" s="136">
        <v>1385.0</v>
      </c>
      <c r="M18" s="136"/>
      <c r="N18" s="136">
        <v>1442.0</v>
      </c>
      <c r="O18" s="136">
        <v>1275.0</v>
      </c>
      <c r="P18" s="136">
        <v>1239.0</v>
      </c>
      <c r="Q18" s="136"/>
      <c r="R18" s="132">
        <v>1306.0</v>
      </c>
      <c r="S18" s="136"/>
      <c r="T18" s="136"/>
      <c r="U18" s="136"/>
      <c r="V18" s="136"/>
      <c r="W18" s="136"/>
      <c r="X18" s="43"/>
      <c r="Y18" s="173"/>
      <c r="Z18" s="199" t="s">
        <v>267</v>
      </c>
      <c r="AA18" s="43" t="s">
        <v>66</v>
      </c>
      <c r="AB18" s="172" t="s">
        <v>234</v>
      </c>
      <c r="AC18" s="43" t="s">
        <v>268</v>
      </c>
      <c r="AD18" s="43" t="s">
        <v>236</v>
      </c>
      <c r="AE18" s="43"/>
      <c r="AF18" s="43">
        <v>120.0</v>
      </c>
      <c r="AG18" s="205" t="s">
        <v>253</v>
      </c>
      <c r="AH18" s="43">
        <v>1.0</v>
      </c>
      <c r="AI18" s="43" t="s">
        <v>269</v>
      </c>
      <c r="AJ18" s="43">
        <v>17.0</v>
      </c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</row>
    <row r="19" ht="12.0" customHeight="1">
      <c r="A19" s="198" t="s">
        <v>66</v>
      </c>
      <c r="B19" s="199" t="s">
        <v>270</v>
      </c>
      <c r="C19" s="206" t="s">
        <v>251</v>
      </c>
      <c r="D19" s="132">
        <v>1515.0</v>
      </c>
      <c r="E19" s="133">
        <v>2312.0</v>
      </c>
      <c r="F19" s="132">
        <f t="shared" si="2"/>
        <v>1387.2</v>
      </c>
      <c r="G19" s="132"/>
      <c r="H19" s="132"/>
      <c r="I19" s="133">
        <v>1504.0</v>
      </c>
      <c r="J19" s="132">
        <v>1420.0</v>
      </c>
      <c r="K19" s="132">
        <v>947.6</v>
      </c>
      <c r="L19" s="136">
        <v>1450.0</v>
      </c>
      <c r="M19" s="136"/>
      <c r="N19" s="136">
        <v>1508.0</v>
      </c>
      <c r="O19" s="136">
        <v>1350.0</v>
      </c>
      <c r="P19" s="136">
        <v>1347.0</v>
      </c>
      <c r="Q19" s="136"/>
      <c r="R19" s="132">
        <v>1375.0</v>
      </c>
      <c r="S19" s="136"/>
      <c r="T19" s="136"/>
      <c r="U19" s="136"/>
      <c r="V19" s="136"/>
      <c r="W19" s="136"/>
      <c r="X19" s="136"/>
      <c r="Y19" s="132"/>
      <c r="Z19" s="199" t="s">
        <v>270</v>
      </c>
      <c r="AA19" s="43" t="s">
        <v>66</v>
      </c>
      <c r="AB19" s="172" t="s">
        <v>234</v>
      </c>
      <c r="AC19" s="43" t="s">
        <v>271</v>
      </c>
      <c r="AD19" s="43" t="s">
        <v>236</v>
      </c>
      <c r="AE19" s="136"/>
      <c r="AF19" s="43">
        <v>120.0</v>
      </c>
      <c r="AG19" s="204" t="s">
        <v>272</v>
      </c>
      <c r="AH19" s="43">
        <v>1.0</v>
      </c>
      <c r="AI19" s="43" t="s">
        <v>273</v>
      </c>
      <c r="AJ19" s="43">
        <v>21.0</v>
      </c>
      <c r="AK19" s="43"/>
      <c r="AL19" s="43"/>
      <c r="AM19" s="43"/>
      <c r="AN19" s="43"/>
      <c r="AO19" s="43"/>
      <c r="AP19" s="43"/>
      <c r="AQ19" s="136"/>
      <c r="AR19" s="136"/>
      <c r="AS19" s="136"/>
      <c r="AT19" s="136"/>
      <c r="AU19" s="136"/>
      <c r="AV19" s="136"/>
    </row>
    <row r="20" ht="12.0" customHeight="1">
      <c r="A20" s="198" t="s">
        <v>66</v>
      </c>
      <c r="B20" s="199" t="s">
        <v>274</v>
      </c>
      <c r="C20" s="206" t="s">
        <v>251</v>
      </c>
      <c r="D20" s="132">
        <v>1710.0</v>
      </c>
      <c r="E20" s="133">
        <v>2607.0</v>
      </c>
      <c r="F20" s="132">
        <f t="shared" si="2"/>
        <v>1564.2</v>
      </c>
      <c r="G20" s="132"/>
      <c r="H20" s="132"/>
      <c r="I20" s="133">
        <v>1697.0</v>
      </c>
      <c r="J20" s="132">
        <v>1580.0</v>
      </c>
      <c r="K20" s="132">
        <v>1133.5</v>
      </c>
      <c r="L20" s="136">
        <v>1640.0</v>
      </c>
      <c r="M20" s="136"/>
      <c r="N20" s="136">
        <v>1703.0</v>
      </c>
      <c r="O20" s="136">
        <v>1547.0</v>
      </c>
      <c r="P20" s="136">
        <v>1351.0</v>
      </c>
      <c r="Q20" s="136"/>
      <c r="R20" s="132">
        <v>1552.0</v>
      </c>
      <c r="S20" s="136"/>
      <c r="T20" s="136"/>
      <c r="U20" s="136"/>
      <c r="V20" s="136"/>
      <c r="W20" s="136"/>
      <c r="X20" s="136"/>
      <c r="Y20" s="132"/>
      <c r="Z20" s="199" t="s">
        <v>274</v>
      </c>
      <c r="AA20" s="43" t="s">
        <v>66</v>
      </c>
      <c r="AB20" s="172" t="s">
        <v>234</v>
      </c>
      <c r="AC20" s="43" t="s">
        <v>275</v>
      </c>
      <c r="AD20" s="43" t="s">
        <v>236</v>
      </c>
      <c r="AE20" s="43"/>
      <c r="AF20" s="43">
        <v>120.0</v>
      </c>
      <c r="AG20" s="205" t="s">
        <v>272</v>
      </c>
      <c r="AH20" s="43">
        <v>1.0</v>
      </c>
      <c r="AI20" s="43" t="s">
        <v>276</v>
      </c>
      <c r="AJ20" s="43">
        <v>21.0</v>
      </c>
      <c r="AK20" s="43"/>
      <c r="AL20" s="43"/>
      <c r="AM20" s="43"/>
      <c r="AN20" s="43"/>
      <c r="AO20" s="43"/>
      <c r="AP20" s="43"/>
      <c r="AQ20" s="136"/>
      <c r="AR20" s="136"/>
      <c r="AS20" s="136"/>
      <c r="AT20" s="136"/>
      <c r="AU20" s="136"/>
      <c r="AV20" s="136"/>
    </row>
    <row r="21" ht="12.0" customHeight="1">
      <c r="A21" s="198" t="s">
        <v>66</v>
      </c>
      <c r="B21" s="199" t="s">
        <v>277</v>
      </c>
      <c r="C21" s="206" t="s">
        <v>251</v>
      </c>
      <c r="D21" s="132">
        <v>1447.0</v>
      </c>
      <c r="E21" s="133">
        <v>2662.0</v>
      </c>
      <c r="F21" s="132">
        <f t="shared" si="2"/>
        <v>1597.2</v>
      </c>
      <c r="G21" s="132"/>
      <c r="H21" s="132"/>
      <c r="I21" s="133">
        <v>1733.0</v>
      </c>
      <c r="J21" s="132">
        <v>1615.0</v>
      </c>
      <c r="K21" s="132">
        <v>1167.6</v>
      </c>
      <c r="L21" s="136">
        <v>1675.0</v>
      </c>
      <c r="M21" s="136"/>
      <c r="N21" s="136">
        <v>1737.0</v>
      </c>
      <c r="O21" s="136">
        <v>1596.0</v>
      </c>
      <c r="P21" s="136">
        <v>1285.0</v>
      </c>
      <c r="Q21" s="136">
        <v>1257.0</v>
      </c>
      <c r="R21" s="132">
        <v>1585.0</v>
      </c>
      <c r="S21" s="136"/>
      <c r="T21" s="136"/>
      <c r="U21" s="136"/>
      <c r="V21" s="136"/>
      <c r="W21" s="136"/>
      <c r="X21" s="136"/>
      <c r="Y21" s="132"/>
      <c r="Z21" s="199" t="s">
        <v>277</v>
      </c>
      <c r="AA21" s="43" t="s">
        <v>66</v>
      </c>
      <c r="AB21" s="172" t="s">
        <v>234</v>
      </c>
      <c r="AC21" s="43" t="s">
        <v>278</v>
      </c>
      <c r="AD21" s="43" t="s">
        <v>236</v>
      </c>
      <c r="AE21" s="43"/>
      <c r="AF21" s="43">
        <v>120.0</v>
      </c>
      <c r="AG21" s="205" t="s">
        <v>272</v>
      </c>
      <c r="AH21" s="43">
        <v>1.0</v>
      </c>
      <c r="AI21" s="43" t="s">
        <v>279</v>
      </c>
      <c r="AJ21" s="43">
        <v>21.0</v>
      </c>
      <c r="AK21" s="43"/>
      <c r="AL21" s="43"/>
      <c r="AM21" s="43"/>
      <c r="AN21" s="43"/>
      <c r="AO21" s="43"/>
      <c r="AP21" s="43"/>
      <c r="AQ21" s="136"/>
      <c r="AR21" s="136"/>
      <c r="AS21" s="136"/>
      <c r="AT21" s="136"/>
      <c r="AU21" s="136"/>
      <c r="AV21" s="136"/>
    </row>
    <row r="22" ht="12.0" customHeight="1">
      <c r="A22" s="198" t="s">
        <v>66</v>
      </c>
      <c r="B22" s="199" t="s">
        <v>280</v>
      </c>
      <c r="C22" s="206" t="s">
        <v>251</v>
      </c>
      <c r="D22" s="132">
        <v>1844.0</v>
      </c>
      <c r="E22" s="133">
        <v>2812.0</v>
      </c>
      <c r="F22" s="132">
        <f t="shared" si="2"/>
        <v>1687.2</v>
      </c>
      <c r="G22" s="132"/>
      <c r="H22" s="132"/>
      <c r="I22" s="133">
        <v>1831.0</v>
      </c>
      <c r="J22" s="132">
        <v>1704.0</v>
      </c>
      <c r="K22" s="132">
        <v>1262.2</v>
      </c>
      <c r="L22" s="136">
        <v>1790.0</v>
      </c>
      <c r="M22" s="136"/>
      <c r="N22" s="136">
        <v>1829.0</v>
      </c>
      <c r="O22" s="136">
        <v>1650.0</v>
      </c>
      <c r="P22" s="136">
        <v>1452.0</v>
      </c>
      <c r="Q22" s="136">
        <v>1352.0</v>
      </c>
      <c r="R22" s="132">
        <v>1674.0</v>
      </c>
      <c r="S22" s="136"/>
      <c r="T22" s="136"/>
      <c r="U22" s="136"/>
      <c r="V22" s="136"/>
      <c r="W22" s="136"/>
      <c r="X22" s="136"/>
      <c r="Y22" s="132"/>
      <c r="Z22" s="199" t="s">
        <v>280</v>
      </c>
      <c r="AA22" s="43" t="s">
        <v>66</v>
      </c>
      <c r="AB22" s="172" t="s">
        <v>234</v>
      </c>
      <c r="AC22" s="43" t="s">
        <v>281</v>
      </c>
      <c r="AD22" s="43" t="s">
        <v>236</v>
      </c>
      <c r="AE22" s="43"/>
      <c r="AF22" s="43">
        <v>120.0</v>
      </c>
      <c r="AG22" s="205" t="s">
        <v>272</v>
      </c>
      <c r="AH22" s="43">
        <v>1.0</v>
      </c>
      <c r="AI22" s="43" t="s">
        <v>282</v>
      </c>
      <c r="AJ22" s="43">
        <v>21.0</v>
      </c>
      <c r="AK22" s="43"/>
      <c r="AL22" s="43"/>
      <c r="AM22" s="43"/>
      <c r="AN22" s="43"/>
      <c r="AO22" s="43"/>
      <c r="AP22" s="43"/>
      <c r="AQ22" s="136"/>
      <c r="AR22" s="136"/>
      <c r="AS22" s="136"/>
      <c r="AT22" s="136"/>
      <c r="AU22" s="136"/>
      <c r="AV22" s="136"/>
    </row>
    <row r="23" ht="12.0" customHeight="1">
      <c r="A23" s="198" t="s">
        <v>66</v>
      </c>
      <c r="B23" s="199" t="s">
        <v>283</v>
      </c>
      <c r="C23" s="206" t="s">
        <v>251</v>
      </c>
      <c r="D23" s="132">
        <v>1906.0</v>
      </c>
      <c r="E23" s="133">
        <v>2904.0</v>
      </c>
      <c r="F23" s="132">
        <f t="shared" si="2"/>
        <v>1742.4</v>
      </c>
      <c r="G23" s="132"/>
      <c r="H23" s="132"/>
      <c r="I23" s="133">
        <v>1891.0</v>
      </c>
      <c r="J23" s="132"/>
      <c r="K23" s="132">
        <v>1320.5</v>
      </c>
      <c r="L23" s="136">
        <v>1825.0</v>
      </c>
      <c r="M23" s="136"/>
      <c r="N23" s="136"/>
      <c r="O23" s="136">
        <v>1690.0</v>
      </c>
      <c r="P23" s="136">
        <v>1750.0</v>
      </c>
      <c r="Q23" s="136"/>
      <c r="R23" s="132">
        <v>1730.0</v>
      </c>
      <c r="S23" s="136"/>
      <c r="T23" s="136"/>
      <c r="U23" s="136"/>
      <c r="V23" s="136"/>
      <c r="W23" s="136"/>
      <c r="X23" s="136"/>
      <c r="Y23" s="132"/>
      <c r="Z23" s="199" t="s">
        <v>283</v>
      </c>
      <c r="AA23" s="43" t="s">
        <v>66</v>
      </c>
      <c r="AB23" s="172" t="s">
        <v>234</v>
      </c>
      <c r="AC23" s="43" t="s">
        <v>284</v>
      </c>
      <c r="AD23" s="43" t="s">
        <v>236</v>
      </c>
      <c r="AE23" s="43"/>
      <c r="AF23" s="43">
        <v>120.0</v>
      </c>
      <c r="AG23" s="205" t="s">
        <v>272</v>
      </c>
      <c r="AH23" s="43">
        <v>1.0</v>
      </c>
      <c r="AI23" s="43" t="s">
        <v>285</v>
      </c>
      <c r="AJ23" s="43">
        <v>21.0</v>
      </c>
      <c r="AK23" s="43"/>
      <c r="AL23" s="43"/>
      <c r="AM23" s="43"/>
      <c r="AN23" s="43"/>
      <c r="AO23" s="43"/>
      <c r="AP23" s="43"/>
      <c r="AQ23" s="136"/>
      <c r="AR23" s="136"/>
      <c r="AS23" s="136"/>
      <c r="AT23" s="136"/>
      <c r="AU23" s="136"/>
      <c r="AV23" s="136"/>
    </row>
    <row r="24" ht="12.0" customHeight="1">
      <c r="A24" s="198" t="s">
        <v>66</v>
      </c>
      <c r="B24" s="199" t="s">
        <v>286</v>
      </c>
      <c r="C24" s="206" t="s">
        <v>251</v>
      </c>
      <c r="D24" s="132">
        <v>2106.0</v>
      </c>
      <c r="E24" s="133">
        <v>3210.0</v>
      </c>
      <c r="F24" s="132">
        <f t="shared" si="2"/>
        <v>1926</v>
      </c>
      <c r="G24" s="132"/>
      <c r="H24" s="132"/>
      <c r="I24" s="133"/>
      <c r="J24" s="132">
        <v>1945.0</v>
      </c>
      <c r="K24" s="132">
        <v>1993.0</v>
      </c>
      <c r="L24" s="136">
        <v>2080.0</v>
      </c>
      <c r="M24" s="136"/>
      <c r="N24" s="136">
        <v>2083.0</v>
      </c>
      <c r="O24" s="136">
        <v>1766.0</v>
      </c>
      <c r="P24" s="136">
        <v>1700.0</v>
      </c>
      <c r="Q24" s="136">
        <v>1863.0</v>
      </c>
      <c r="R24" s="132">
        <v>1881.0</v>
      </c>
      <c r="S24" s="136"/>
      <c r="T24" s="136"/>
      <c r="U24" s="136"/>
      <c r="V24" s="136"/>
      <c r="W24" s="136"/>
      <c r="X24" s="136"/>
      <c r="Y24" s="132"/>
      <c r="Z24" s="199" t="s">
        <v>286</v>
      </c>
      <c r="AA24" s="43" t="s">
        <v>66</v>
      </c>
      <c r="AB24" s="172" t="s">
        <v>234</v>
      </c>
      <c r="AC24" s="43" t="s">
        <v>287</v>
      </c>
      <c r="AD24" s="43" t="s">
        <v>236</v>
      </c>
      <c r="AE24" s="43"/>
      <c r="AF24" s="43">
        <v>120.0</v>
      </c>
      <c r="AG24" s="204" t="s">
        <v>288</v>
      </c>
      <c r="AH24" s="43">
        <v>1.0</v>
      </c>
      <c r="AI24" s="43" t="s">
        <v>289</v>
      </c>
      <c r="AJ24" s="43">
        <v>43.0</v>
      </c>
      <c r="AK24" s="43"/>
      <c r="AL24" s="43"/>
      <c r="AM24" s="43"/>
      <c r="AN24" s="43"/>
      <c r="AO24" s="43"/>
      <c r="AP24" s="43"/>
      <c r="AQ24" s="136"/>
      <c r="AR24" s="136"/>
      <c r="AS24" s="136"/>
      <c r="AT24" s="136"/>
      <c r="AU24" s="136"/>
      <c r="AV24" s="136"/>
    </row>
    <row r="25" ht="14.25" customHeight="1">
      <c r="A25" s="198" t="s">
        <v>66</v>
      </c>
      <c r="B25" s="199" t="s">
        <v>290</v>
      </c>
      <c r="C25" s="206" t="s">
        <v>251</v>
      </c>
      <c r="D25" s="132">
        <v>2405.0</v>
      </c>
      <c r="E25" s="133">
        <v>3663.0</v>
      </c>
      <c r="F25" s="132">
        <f t="shared" si="2"/>
        <v>2197.8</v>
      </c>
      <c r="G25" s="132"/>
      <c r="H25" s="132"/>
      <c r="I25" s="133"/>
      <c r="J25" s="132">
        <v>2220.0</v>
      </c>
      <c r="K25" s="132">
        <v>2274.0</v>
      </c>
      <c r="L25" s="136">
        <v>2250.0</v>
      </c>
      <c r="M25" s="136"/>
      <c r="N25" s="136">
        <v>2377.0</v>
      </c>
      <c r="O25" s="136">
        <v>1700.0</v>
      </c>
      <c r="P25" s="136">
        <v>2095.0</v>
      </c>
      <c r="Q25" s="136">
        <v>1759.0</v>
      </c>
      <c r="R25" s="132">
        <v>2170.0</v>
      </c>
      <c r="S25" s="136"/>
      <c r="T25" s="136"/>
      <c r="U25" s="136"/>
      <c r="V25" s="136"/>
      <c r="W25" s="136"/>
      <c r="X25" s="136"/>
      <c r="Y25" s="132"/>
      <c r="Z25" s="199" t="s">
        <v>290</v>
      </c>
      <c r="AA25" s="43" t="s">
        <v>66</v>
      </c>
      <c r="AB25" s="172" t="s">
        <v>234</v>
      </c>
      <c r="AC25" s="43" t="s">
        <v>291</v>
      </c>
      <c r="AD25" s="43" t="s">
        <v>236</v>
      </c>
      <c r="AE25" s="43"/>
      <c r="AF25" s="43">
        <v>120.0</v>
      </c>
      <c r="AG25" s="204" t="s">
        <v>288</v>
      </c>
      <c r="AH25" s="43">
        <v>1.0</v>
      </c>
      <c r="AI25" s="43" t="s">
        <v>292</v>
      </c>
      <c r="AJ25" s="43">
        <v>44.0</v>
      </c>
      <c r="AK25" s="43"/>
      <c r="AL25" s="43"/>
      <c r="AM25" s="43"/>
      <c r="AN25" s="43"/>
      <c r="AO25" s="43"/>
      <c r="AP25" s="43"/>
      <c r="AQ25" s="136"/>
      <c r="AR25" s="136"/>
      <c r="AS25" s="136"/>
      <c r="AT25" s="136"/>
      <c r="AU25" s="136"/>
      <c r="AV25" s="136"/>
    </row>
    <row r="26" ht="14.25" customHeight="1">
      <c r="A26" s="198" t="s">
        <v>66</v>
      </c>
      <c r="B26" s="199" t="s">
        <v>293</v>
      </c>
      <c r="C26" s="206" t="s">
        <v>251</v>
      </c>
      <c r="D26" s="132">
        <v>2536.0</v>
      </c>
      <c r="E26" s="133">
        <v>3862.0</v>
      </c>
      <c r="F26" s="132">
        <f t="shared" si="2"/>
        <v>2317.2</v>
      </c>
      <c r="G26" s="132"/>
      <c r="H26" s="132"/>
      <c r="I26" s="133"/>
      <c r="J26" s="132">
        <v>2348.0</v>
      </c>
      <c r="K26" s="132">
        <v>2399.0</v>
      </c>
      <c r="L26" s="136">
        <v>2380.0</v>
      </c>
      <c r="M26" s="136"/>
      <c r="N26" s="136">
        <v>2506.0</v>
      </c>
      <c r="O26" s="136">
        <v>1950.0</v>
      </c>
      <c r="P26" s="136">
        <v>1800.0</v>
      </c>
      <c r="Q26" s="136"/>
      <c r="R26" s="132">
        <v>2289.0</v>
      </c>
      <c r="S26" s="136"/>
      <c r="T26" s="136"/>
      <c r="U26" s="136"/>
      <c r="V26" s="136"/>
      <c r="W26" s="136"/>
      <c r="X26" s="136"/>
      <c r="Y26" s="132"/>
      <c r="Z26" s="199" t="s">
        <v>293</v>
      </c>
      <c r="AA26" s="43" t="s">
        <v>66</v>
      </c>
      <c r="AB26" s="172" t="s">
        <v>234</v>
      </c>
      <c r="AC26" s="43" t="s">
        <v>294</v>
      </c>
      <c r="AD26" s="43" t="s">
        <v>236</v>
      </c>
      <c r="AE26" s="43"/>
      <c r="AF26" s="43">
        <v>120.0</v>
      </c>
      <c r="AG26" s="204" t="s">
        <v>288</v>
      </c>
      <c r="AH26" s="43">
        <v>1.0</v>
      </c>
      <c r="AI26" s="43" t="s">
        <v>295</v>
      </c>
      <c r="AJ26" s="43">
        <v>45.0</v>
      </c>
      <c r="AK26" s="43"/>
      <c r="AL26" s="43"/>
      <c r="AM26" s="43"/>
      <c r="AN26" s="43"/>
      <c r="AO26" s="43"/>
      <c r="AP26" s="43"/>
      <c r="AQ26" s="136"/>
      <c r="AR26" s="136"/>
      <c r="AS26" s="136"/>
      <c r="AT26" s="136"/>
      <c r="AU26" s="136"/>
      <c r="AV26" s="136"/>
    </row>
    <row r="27" ht="14.25" customHeight="1">
      <c r="A27" s="198" t="s">
        <v>66</v>
      </c>
      <c r="B27" s="199" t="s">
        <v>296</v>
      </c>
      <c r="C27" s="206" t="s">
        <v>251</v>
      </c>
      <c r="D27" s="132">
        <v>2543.0</v>
      </c>
      <c r="E27" s="133">
        <v>4000.0</v>
      </c>
      <c r="F27" s="132">
        <f t="shared" si="2"/>
        <v>2400</v>
      </c>
      <c r="G27" s="132"/>
      <c r="H27" s="132"/>
      <c r="I27" s="133"/>
      <c r="J27" s="132">
        <v>2350.0</v>
      </c>
      <c r="K27" s="132">
        <v>2405.0</v>
      </c>
      <c r="L27" s="136">
        <v>2400.0</v>
      </c>
      <c r="M27" s="136"/>
      <c r="N27" s="136">
        <v>2513.0</v>
      </c>
      <c r="O27" s="136">
        <v>1750.0</v>
      </c>
      <c r="P27" s="136">
        <v>1800.0</v>
      </c>
      <c r="Q27" s="136"/>
      <c r="R27" s="132">
        <v>2319.0</v>
      </c>
      <c r="S27" s="136"/>
      <c r="T27" s="136"/>
      <c r="U27" s="136"/>
      <c r="V27" s="136"/>
      <c r="W27" s="136"/>
      <c r="X27" s="136"/>
      <c r="Y27" s="132"/>
      <c r="Z27" s="199" t="s">
        <v>296</v>
      </c>
      <c r="AA27" s="43" t="s">
        <v>66</v>
      </c>
      <c r="AB27" s="172" t="s">
        <v>234</v>
      </c>
      <c r="AC27" s="43" t="s">
        <v>297</v>
      </c>
      <c r="AD27" s="43" t="s">
        <v>236</v>
      </c>
      <c r="AE27" s="43"/>
      <c r="AF27" s="43">
        <v>120.0</v>
      </c>
      <c r="AG27" s="204" t="s">
        <v>298</v>
      </c>
      <c r="AH27" s="43">
        <v>1.0</v>
      </c>
      <c r="AI27" s="43" t="s">
        <v>289</v>
      </c>
      <c r="AJ27" s="43">
        <v>49.0</v>
      </c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</row>
    <row r="28" ht="14.25" customHeight="1">
      <c r="A28" s="198" t="s">
        <v>66</v>
      </c>
      <c r="B28" s="199" t="s">
        <v>299</v>
      </c>
      <c r="C28" s="206" t="s">
        <v>251</v>
      </c>
      <c r="D28" s="132">
        <v>4020.0</v>
      </c>
      <c r="E28" s="133"/>
      <c r="F28" s="132"/>
      <c r="G28" s="132"/>
      <c r="H28" s="132"/>
      <c r="I28" s="133"/>
      <c r="J28" s="132"/>
      <c r="K28" s="132">
        <v>3800.0</v>
      </c>
      <c r="L28" s="136"/>
      <c r="M28" s="136"/>
      <c r="N28" s="136">
        <v>3968.0</v>
      </c>
      <c r="O28" s="136"/>
      <c r="P28" s="136">
        <v>3740.0</v>
      </c>
      <c r="Q28" s="136"/>
      <c r="R28" s="132">
        <v>3626.0</v>
      </c>
      <c r="S28" s="136"/>
      <c r="T28" s="136"/>
      <c r="U28" s="136"/>
      <c r="V28" s="136"/>
      <c r="W28" s="136"/>
      <c r="X28" s="136"/>
      <c r="Y28" s="132"/>
      <c r="Z28" s="199" t="s">
        <v>299</v>
      </c>
      <c r="AA28" s="43" t="s">
        <v>66</v>
      </c>
      <c r="AB28" s="172" t="s">
        <v>234</v>
      </c>
      <c r="AC28" s="43" t="s">
        <v>300</v>
      </c>
      <c r="AD28" s="43" t="s">
        <v>236</v>
      </c>
      <c r="AE28" s="43"/>
      <c r="AF28" s="43">
        <v>120.0</v>
      </c>
      <c r="AG28" s="204" t="s">
        <v>301</v>
      </c>
      <c r="AH28" s="43">
        <v>1.0</v>
      </c>
      <c r="AI28" s="43" t="s">
        <v>302</v>
      </c>
      <c r="AJ28" s="43">
        <v>93.0</v>
      </c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</row>
    <row r="29" ht="14.25" customHeight="1">
      <c r="A29" s="198" t="s">
        <v>66</v>
      </c>
      <c r="B29" s="199" t="s">
        <v>303</v>
      </c>
      <c r="C29" s="199"/>
      <c r="D29" s="132"/>
      <c r="E29" s="133"/>
      <c r="F29" s="132"/>
      <c r="G29" s="132"/>
      <c r="H29" s="132"/>
      <c r="I29" s="133"/>
      <c r="J29" s="132"/>
      <c r="K29" s="132">
        <v>3842.6</v>
      </c>
      <c r="L29" s="136"/>
      <c r="M29" s="136"/>
      <c r="N29" s="136"/>
      <c r="O29" s="136">
        <v>3699.0</v>
      </c>
      <c r="P29" s="136">
        <v>3810.0</v>
      </c>
      <c r="Q29" s="136"/>
      <c r="R29" s="132">
        <v>3998.0</v>
      </c>
      <c r="S29" s="136"/>
      <c r="T29" s="136"/>
      <c r="U29" s="136"/>
      <c r="V29" s="136"/>
      <c r="W29" s="136"/>
      <c r="X29" s="136"/>
      <c r="Y29" s="132"/>
      <c r="Z29" s="199" t="s">
        <v>303</v>
      </c>
      <c r="AA29" s="43" t="s">
        <v>66</v>
      </c>
      <c r="AB29" s="172" t="s">
        <v>234</v>
      </c>
      <c r="AC29" s="43" t="s">
        <v>304</v>
      </c>
      <c r="AD29" s="43" t="s">
        <v>236</v>
      </c>
      <c r="AE29" s="43"/>
      <c r="AF29" s="43"/>
      <c r="AG29" s="204" t="s">
        <v>305</v>
      </c>
      <c r="AH29" s="43">
        <v>1.0</v>
      </c>
      <c r="AI29" s="43" t="s">
        <v>306</v>
      </c>
      <c r="AJ29" s="43">
        <v>93.0</v>
      </c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</row>
    <row r="30" ht="14.25" customHeight="1">
      <c r="A30" s="198" t="s">
        <v>66</v>
      </c>
      <c r="B30" s="199" t="s">
        <v>307</v>
      </c>
      <c r="C30" s="199"/>
      <c r="D30" s="132"/>
      <c r="E30" s="133"/>
      <c r="F30" s="132"/>
      <c r="G30" s="132"/>
      <c r="H30" s="132"/>
      <c r="I30" s="133"/>
      <c r="J30" s="132"/>
      <c r="K30" s="132"/>
      <c r="L30" s="136"/>
      <c r="M30" s="136"/>
      <c r="N30" s="136"/>
      <c r="O30" s="136">
        <v>3690.0</v>
      </c>
      <c r="P30" s="136">
        <v>3595.0</v>
      </c>
      <c r="Q30" s="136"/>
      <c r="R30" s="132"/>
      <c r="S30" s="136"/>
      <c r="T30" s="136"/>
      <c r="U30" s="136"/>
      <c r="V30" s="136"/>
      <c r="W30" s="136"/>
      <c r="X30" s="136"/>
      <c r="Y30" s="132"/>
      <c r="Z30" s="199" t="s">
        <v>307</v>
      </c>
      <c r="AA30" s="43" t="s">
        <v>66</v>
      </c>
      <c r="AB30" s="172" t="s">
        <v>234</v>
      </c>
      <c r="AC30" s="43" t="s">
        <v>308</v>
      </c>
      <c r="AD30" s="43" t="s">
        <v>236</v>
      </c>
      <c r="AE30" s="43"/>
      <c r="AF30" s="43"/>
      <c r="AG30" s="204" t="s">
        <v>309</v>
      </c>
      <c r="AH30" s="43">
        <v>1.0</v>
      </c>
      <c r="AI30" s="43" t="s">
        <v>310</v>
      </c>
      <c r="AJ30" s="43">
        <v>79.0</v>
      </c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</row>
    <row r="31" ht="14.25" customHeight="1">
      <c r="A31" s="198" t="s">
        <v>66</v>
      </c>
      <c r="B31" s="199" t="s">
        <v>311</v>
      </c>
      <c r="C31" s="199"/>
      <c r="D31" s="132"/>
      <c r="E31" s="133"/>
      <c r="F31" s="132"/>
      <c r="G31" s="132"/>
      <c r="H31" s="132"/>
      <c r="I31" s="133"/>
      <c r="J31" s="132"/>
      <c r="K31" s="132"/>
      <c r="L31" s="136"/>
      <c r="M31" s="136"/>
      <c r="N31" s="136"/>
      <c r="O31" s="136">
        <v>5244.0</v>
      </c>
      <c r="P31" s="136">
        <v>5315.0</v>
      </c>
      <c r="Q31" s="136"/>
      <c r="R31" s="132"/>
      <c r="S31" s="136"/>
      <c r="T31" s="136"/>
      <c r="U31" s="136"/>
      <c r="V31" s="136"/>
      <c r="W31" s="136"/>
      <c r="X31" s="136"/>
      <c r="Y31" s="132"/>
      <c r="Z31" s="199" t="s">
        <v>311</v>
      </c>
      <c r="AA31" s="43" t="s">
        <v>66</v>
      </c>
      <c r="AB31" s="172" t="s">
        <v>234</v>
      </c>
      <c r="AC31" s="43" t="s">
        <v>312</v>
      </c>
      <c r="AD31" s="43" t="s">
        <v>236</v>
      </c>
      <c r="AE31" s="43"/>
      <c r="AF31" s="43"/>
      <c r="AG31" s="204" t="s">
        <v>313</v>
      </c>
      <c r="AH31" s="43">
        <v>1.0</v>
      </c>
      <c r="AI31" s="43" t="s">
        <v>302</v>
      </c>
      <c r="AJ31" s="43">
        <v>86.0</v>
      </c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</row>
    <row r="32" ht="14.25" customHeight="1">
      <c r="A32" s="198" t="s">
        <v>66</v>
      </c>
      <c r="B32" s="199" t="s">
        <v>314</v>
      </c>
      <c r="C32" s="199"/>
      <c r="D32" s="132"/>
      <c r="E32" s="133"/>
      <c r="F32" s="132"/>
      <c r="G32" s="132"/>
      <c r="H32" s="132"/>
      <c r="I32" s="133"/>
      <c r="J32" s="132"/>
      <c r="K32" s="132"/>
      <c r="L32" s="136"/>
      <c r="M32" s="136"/>
      <c r="N32" s="136">
        <v>9400.0</v>
      </c>
      <c r="O32" s="136">
        <v>6800.0</v>
      </c>
      <c r="P32" s="136">
        <v>7219.0</v>
      </c>
      <c r="Q32" s="136"/>
      <c r="R32" s="132"/>
      <c r="S32" s="136"/>
      <c r="T32" s="136"/>
      <c r="U32" s="136"/>
      <c r="V32" s="136"/>
      <c r="W32" s="136"/>
      <c r="X32" s="136"/>
      <c r="Y32" s="132"/>
      <c r="Z32" s="199" t="s">
        <v>314</v>
      </c>
      <c r="AA32" s="43" t="s">
        <v>66</v>
      </c>
      <c r="AB32" s="172" t="s">
        <v>234</v>
      </c>
      <c r="AC32" s="43" t="s">
        <v>315</v>
      </c>
      <c r="AD32" s="43" t="s">
        <v>236</v>
      </c>
      <c r="AE32" s="43"/>
      <c r="AF32" s="43"/>
      <c r="AG32" s="204" t="s">
        <v>316</v>
      </c>
      <c r="AH32" s="43">
        <v>1.0</v>
      </c>
      <c r="AI32" s="43" t="s">
        <v>317</v>
      </c>
      <c r="AJ32" s="43">
        <v>112.0</v>
      </c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</row>
    <row r="33" ht="12.0" customHeight="1">
      <c r="A33" s="198" t="s">
        <v>66</v>
      </c>
      <c r="B33" s="199" t="s">
        <v>318</v>
      </c>
      <c r="C33" s="199" t="s">
        <v>251</v>
      </c>
      <c r="D33" s="132"/>
      <c r="E33" s="133">
        <v>3390.0</v>
      </c>
      <c r="F33" s="132">
        <f>E33-(E33*$F$4)</f>
        <v>2034</v>
      </c>
      <c r="G33" s="132"/>
      <c r="H33" s="132"/>
      <c r="I33" s="133"/>
      <c r="J33" s="132"/>
      <c r="K33" s="132"/>
      <c r="L33" s="136">
        <v>2150.0</v>
      </c>
      <c r="M33" s="136"/>
      <c r="N33" s="136"/>
      <c r="O33" s="136"/>
      <c r="P33" s="136"/>
      <c r="Q33" s="136"/>
      <c r="R33" s="132"/>
      <c r="S33" s="136"/>
      <c r="T33" s="136"/>
      <c r="U33" s="136"/>
      <c r="V33" s="136"/>
      <c r="W33" s="136"/>
      <c r="X33" s="136"/>
      <c r="Y33" s="132"/>
      <c r="Z33" s="199" t="s">
        <v>318</v>
      </c>
      <c r="AA33" s="43" t="s">
        <v>66</v>
      </c>
      <c r="AB33" s="172" t="s">
        <v>234</v>
      </c>
      <c r="AC33" s="43" t="s">
        <v>281</v>
      </c>
      <c r="AD33" s="43" t="s">
        <v>236</v>
      </c>
      <c r="AE33" s="43"/>
      <c r="AF33" s="43"/>
      <c r="AG33" s="205"/>
      <c r="AH33" s="43"/>
      <c r="AI33" s="43"/>
      <c r="AJ33" s="43"/>
      <c r="AK33" s="43"/>
      <c r="AL33" s="43"/>
      <c r="AM33" s="43"/>
      <c r="AN33" s="43"/>
      <c r="AO33" s="43"/>
      <c r="AP33" s="43"/>
      <c r="AQ33" s="136"/>
      <c r="AR33" s="136"/>
      <c r="AS33" s="136"/>
      <c r="AT33" s="136"/>
      <c r="AU33" s="136"/>
      <c r="AV33" s="136"/>
    </row>
    <row r="34" ht="14.25" customHeight="1">
      <c r="A34" s="198"/>
      <c r="B34" s="199"/>
      <c r="C34" s="199"/>
      <c r="D34" s="132"/>
      <c r="E34" s="133"/>
      <c r="F34" s="132"/>
      <c r="G34" s="132"/>
      <c r="H34" s="132"/>
      <c r="I34" s="133"/>
      <c r="J34" s="132"/>
      <c r="K34" s="132"/>
      <c r="L34" s="136"/>
      <c r="M34" s="136"/>
      <c r="N34" s="136"/>
      <c r="O34" s="136"/>
      <c r="P34" s="136"/>
      <c r="Q34" s="136"/>
      <c r="R34" s="132"/>
      <c r="S34" s="136"/>
      <c r="T34" s="136"/>
      <c r="U34" s="136"/>
      <c r="V34" s="136"/>
      <c r="W34" s="136"/>
      <c r="X34" s="136"/>
      <c r="Y34" s="132"/>
      <c r="Z34" s="199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</row>
    <row r="35" ht="14.25" customHeight="1">
      <c r="A35" s="198" t="s">
        <v>66</v>
      </c>
      <c r="B35" s="199" t="s">
        <v>319</v>
      </c>
      <c r="C35" s="199" t="s">
        <v>49</v>
      </c>
      <c r="D35" s="132">
        <v>41.0</v>
      </c>
      <c r="E35" s="133">
        <v>60.0</v>
      </c>
      <c r="F35" s="132">
        <f t="shared" ref="F35:F36" si="3">E35-(E35*$F$4)</f>
        <v>36</v>
      </c>
      <c r="G35" s="132"/>
      <c r="H35" s="132"/>
      <c r="I35" s="133"/>
      <c r="J35" s="132">
        <v>45.0</v>
      </c>
      <c r="K35" s="132">
        <v>38.5</v>
      </c>
      <c r="L35" s="136">
        <v>40.0</v>
      </c>
      <c r="M35" s="136"/>
      <c r="N35" s="136"/>
      <c r="O35" s="136"/>
      <c r="P35" s="136">
        <v>38.74</v>
      </c>
      <c r="Q35" s="136">
        <v>31.0</v>
      </c>
      <c r="R35" s="132">
        <v>35.0</v>
      </c>
      <c r="S35" s="136"/>
      <c r="T35" s="136"/>
      <c r="U35" s="136"/>
      <c r="V35" s="136"/>
      <c r="W35" s="136"/>
      <c r="X35" s="136"/>
      <c r="Y35" s="132"/>
      <c r="Z35" s="199" t="s">
        <v>319</v>
      </c>
      <c r="AA35" s="43" t="s">
        <v>66</v>
      </c>
      <c r="AB35" s="43" t="s">
        <v>320</v>
      </c>
      <c r="AC35" s="43" t="s">
        <v>321</v>
      </c>
      <c r="AD35" s="43" t="s">
        <v>236</v>
      </c>
      <c r="AE35" s="43"/>
      <c r="AF35" s="43">
        <v>300.0</v>
      </c>
      <c r="AG35" s="204" t="s">
        <v>322</v>
      </c>
      <c r="AH35" s="43">
        <v>20.0</v>
      </c>
      <c r="AI35" s="43" t="s">
        <v>323</v>
      </c>
      <c r="AJ35" s="43">
        <v>0.6</v>
      </c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</row>
    <row r="36" ht="14.25" customHeight="1">
      <c r="A36" s="198" t="s">
        <v>66</v>
      </c>
      <c r="B36" s="199" t="s">
        <v>324</v>
      </c>
      <c r="C36" s="199" t="s">
        <v>49</v>
      </c>
      <c r="D36" s="132">
        <v>41.0</v>
      </c>
      <c r="E36" s="133">
        <v>65.0</v>
      </c>
      <c r="F36" s="132">
        <f t="shared" si="3"/>
        <v>39</v>
      </c>
      <c r="G36" s="132"/>
      <c r="H36" s="132"/>
      <c r="I36" s="133"/>
      <c r="J36" s="132">
        <v>45.0</v>
      </c>
      <c r="K36" s="132">
        <v>39.0</v>
      </c>
      <c r="L36" s="136">
        <v>40.0</v>
      </c>
      <c r="M36" s="136"/>
      <c r="N36" s="136"/>
      <c r="O36" s="136"/>
      <c r="P36" s="136">
        <v>39.63</v>
      </c>
      <c r="Q36" s="136"/>
      <c r="R36" s="132">
        <v>36.4</v>
      </c>
      <c r="S36" s="136"/>
      <c r="T36" s="136"/>
      <c r="U36" s="136"/>
      <c r="V36" s="136"/>
      <c r="W36" s="136"/>
      <c r="X36" s="136"/>
      <c r="Y36" s="132"/>
      <c r="Z36" s="199" t="s">
        <v>324</v>
      </c>
      <c r="AA36" s="43" t="s">
        <v>66</v>
      </c>
      <c r="AB36" s="43" t="s">
        <v>320</v>
      </c>
      <c r="AC36" s="43" t="s">
        <v>321</v>
      </c>
      <c r="AD36" s="43" t="s">
        <v>236</v>
      </c>
      <c r="AE36" s="43"/>
      <c r="AF36" s="43">
        <v>120.0</v>
      </c>
      <c r="AG36" s="204" t="s">
        <v>322</v>
      </c>
      <c r="AH36" s="43">
        <v>20.0</v>
      </c>
      <c r="AI36" s="43" t="s">
        <v>323</v>
      </c>
      <c r="AJ36" s="43">
        <v>0.6</v>
      </c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</row>
    <row r="37" ht="14.25" customHeight="1">
      <c r="A37" s="198"/>
      <c r="B37" s="199"/>
      <c r="C37" s="199"/>
      <c r="D37" s="132"/>
      <c r="E37" s="133"/>
      <c r="F37" s="132"/>
      <c r="G37" s="132"/>
      <c r="H37" s="132"/>
      <c r="I37" s="133"/>
      <c r="J37" s="132"/>
      <c r="K37" s="132"/>
      <c r="L37" s="136"/>
      <c r="M37" s="136"/>
      <c r="N37" s="136"/>
      <c r="O37" s="136"/>
      <c r="P37" s="136"/>
      <c r="Q37" s="136"/>
      <c r="R37" s="132"/>
      <c r="S37" s="136"/>
      <c r="T37" s="136"/>
      <c r="U37" s="136"/>
      <c r="V37" s="136"/>
      <c r="W37" s="136"/>
      <c r="X37" s="136"/>
      <c r="Y37" s="132"/>
      <c r="Z37" s="199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</row>
    <row r="38" ht="14.25" customHeight="1">
      <c r="A38" s="198"/>
      <c r="B38" s="199"/>
      <c r="C38" s="199"/>
      <c r="D38" s="132"/>
      <c r="E38" s="133"/>
      <c r="F38" s="132"/>
      <c r="G38" s="132"/>
      <c r="H38" s="132"/>
      <c r="I38" s="133"/>
      <c r="J38" s="132"/>
      <c r="K38" s="132"/>
      <c r="L38" s="136"/>
      <c r="M38" s="136"/>
      <c r="N38" s="136"/>
      <c r="O38" s="136"/>
      <c r="P38" s="136"/>
      <c r="Q38" s="136"/>
      <c r="R38" s="132"/>
      <c r="S38" s="136"/>
      <c r="T38" s="136"/>
      <c r="U38" s="136"/>
      <c r="V38" s="136"/>
      <c r="W38" s="136"/>
      <c r="X38" s="136"/>
      <c r="Y38" s="132"/>
      <c r="Z38" s="199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</row>
    <row r="39" ht="14.25" customHeight="1">
      <c r="A39" s="198" t="s">
        <v>63</v>
      </c>
      <c r="B39" s="199" t="s">
        <v>325</v>
      </c>
      <c r="C39" s="199" t="s">
        <v>326</v>
      </c>
      <c r="D39" s="132"/>
      <c r="E39" s="133">
        <v>655.0</v>
      </c>
      <c r="F39" s="132">
        <f t="shared" ref="F39:F53" si="4">E39-(E39*$F$4)</f>
        <v>393</v>
      </c>
      <c r="G39" s="132"/>
      <c r="H39" s="132"/>
      <c r="I39" s="133"/>
      <c r="J39" s="132"/>
      <c r="K39" s="132"/>
      <c r="L39" s="136"/>
      <c r="M39" s="136"/>
      <c r="N39" s="136"/>
      <c r="O39" s="136"/>
      <c r="P39" s="136"/>
      <c r="Q39" s="136"/>
      <c r="R39" s="132"/>
      <c r="S39" s="136"/>
      <c r="T39" s="136"/>
      <c r="U39" s="136"/>
      <c r="V39" s="136"/>
      <c r="W39" s="136"/>
      <c r="X39" s="136"/>
      <c r="Y39" s="132"/>
      <c r="Z39" s="199" t="s">
        <v>325</v>
      </c>
      <c r="AA39" s="43" t="s">
        <v>63</v>
      </c>
      <c r="AB39" s="172" t="s">
        <v>234</v>
      </c>
      <c r="AC39" s="43" t="s">
        <v>327</v>
      </c>
      <c r="AD39" s="43" t="s">
        <v>236</v>
      </c>
      <c r="AE39" s="43"/>
      <c r="AF39" s="43"/>
      <c r="AG39" s="204" t="s">
        <v>328</v>
      </c>
      <c r="AH39" s="43">
        <v>1.0</v>
      </c>
      <c r="AI39" s="43" t="s">
        <v>329</v>
      </c>
      <c r="AJ39" s="43">
        <v>6.0</v>
      </c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</row>
    <row r="40" ht="14.25" customHeight="1">
      <c r="A40" s="198" t="s">
        <v>63</v>
      </c>
      <c r="B40" s="199" t="s">
        <v>330</v>
      </c>
      <c r="C40" s="199" t="s">
        <v>326</v>
      </c>
      <c r="D40" s="132"/>
      <c r="E40" s="133">
        <v>770.0</v>
      </c>
      <c r="F40" s="132">
        <f t="shared" si="4"/>
        <v>462</v>
      </c>
      <c r="G40" s="132"/>
      <c r="H40" s="132"/>
      <c r="I40" s="133"/>
      <c r="J40" s="132"/>
      <c r="K40" s="132"/>
      <c r="L40" s="136"/>
      <c r="M40" s="136"/>
      <c r="N40" s="136"/>
      <c r="O40" s="136"/>
      <c r="P40" s="136"/>
      <c r="Q40" s="136"/>
      <c r="R40" s="132"/>
      <c r="S40" s="136"/>
      <c r="T40" s="136"/>
      <c r="U40" s="136"/>
      <c r="V40" s="136"/>
      <c r="W40" s="136"/>
      <c r="X40" s="136"/>
      <c r="Y40" s="132"/>
      <c r="Z40" s="199" t="s">
        <v>330</v>
      </c>
      <c r="AA40" s="43" t="s">
        <v>63</v>
      </c>
      <c r="AB40" s="172" t="s">
        <v>234</v>
      </c>
      <c r="AC40" s="43" t="s">
        <v>331</v>
      </c>
      <c r="AD40" s="43" t="s">
        <v>236</v>
      </c>
      <c r="AE40" s="43"/>
      <c r="AF40" s="43"/>
      <c r="AG40" s="204" t="s">
        <v>328</v>
      </c>
      <c r="AH40" s="43">
        <v>1.0</v>
      </c>
      <c r="AI40" s="43" t="s">
        <v>329</v>
      </c>
      <c r="AJ40" s="43">
        <v>6.0</v>
      </c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</row>
    <row r="41" ht="14.25" customHeight="1">
      <c r="A41" s="198" t="s">
        <v>63</v>
      </c>
      <c r="B41" s="199" t="s">
        <v>332</v>
      </c>
      <c r="C41" s="199" t="s">
        <v>326</v>
      </c>
      <c r="D41" s="132"/>
      <c r="E41" s="133">
        <v>916.0</v>
      </c>
      <c r="F41" s="132">
        <f t="shared" si="4"/>
        <v>549.6</v>
      </c>
      <c r="G41" s="132"/>
      <c r="H41" s="132"/>
      <c r="I41" s="133"/>
      <c r="J41" s="132"/>
      <c r="K41" s="132"/>
      <c r="L41" s="136"/>
      <c r="M41" s="136"/>
      <c r="N41" s="136"/>
      <c r="O41" s="136"/>
      <c r="P41" s="136"/>
      <c r="Q41" s="136"/>
      <c r="R41" s="132"/>
      <c r="S41" s="136"/>
      <c r="T41" s="136"/>
      <c r="U41" s="136"/>
      <c r="V41" s="136"/>
      <c r="W41" s="136"/>
      <c r="X41" s="136"/>
      <c r="Y41" s="132"/>
      <c r="Z41" s="199" t="s">
        <v>332</v>
      </c>
      <c r="AA41" s="43" t="s">
        <v>63</v>
      </c>
      <c r="AB41" s="172" t="s">
        <v>234</v>
      </c>
      <c r="AC41" s="43" t="s">
        <v>333</v>
      </c>
      <c r="AD41" s="43" t="s">
        <v>236</v>
      </c>
      <c r="AE41" s="43"/>
      <c r="AF41" s="43"/>
      <c r="AG41" s="204" t="s">
        <v>334</v>
      </c>
      <c r="AH41" s="43">
        <v>1.0</v>
      </c>
      <c r="AI41" s="43" t="s">
        <v>335</v>
      </c>
      <c r="AJ41" s="43">
        <v>10.0</v>
      </c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</row>
    <row r="42" ht="14.25" customHeight="1">
      <c r="A42" s="198" t="s">
        <v>63</v>
      </c>
      <c r="B42" s="199" t="s">
        <v>336</v>
      </c>
      <c r="C42" s="199" t="s">
        <v>326</v>
      </c>
      <c r="D42" s="132"/>
      <c r="E42" s="133">
        <v>989.0</v>
      </c>
      <c r="F42" s="132">
        <f t="shared" si="4"/>
        <v>593.4</v>
      </c>
      <c r="G42" s="132"/>
      <c r="H42" s="132"/>
      <c r="I42" s="133"/>
      <c r="J42" s="132"/>
      <c r="K42" s="132"/>
      <c r="L42" s="136"/>
      <c r="M42" s="136"/>
      <c r="N42" s="136"/>
      <c r="O42" s="136"/>
      <c r="P42" s="136"/>
      <c r="Q42" s="136"/>
      <c r="R42" s="132"/>
      <c r="S42" s="136"/>
      <c r="T42" s="136"/>
      <c r="U42" s="136"/>
      <c r="V42" s="136"/>
      <c r="W42" s="136"/>
      <c r="X42" s="136"/>
      <c r="Y42" s="132"/>
      <c r="Z42" s="199" t="s">
        <v>336</v>
      </c>
      <c r="AA42" s="43" t="s">
        <v>63</v>
      </c>
      <c r="AB42" s="172" t="s">
        <v>234</v>
      </c>
      <c r="AC42" s="43" t="s">
        <v>337</v>
      </c>
      <c r="AD42" s="43" t="s">
        <v>236</v>
      </c>
      <c r="AE42" s="43"/>
      <c r="AF42" s="43"/>
      <c r="AG42" s="204" t="s">
        <v>334</v>
      </c>
      <c r="AH42" s="43">
        <v>1.0</v>
      </c>
      <c r="AI42" s="43" t="s">
        <v>335</v>
      </c>
      <c r="AJ42" s="43">
        <v>10.0</v>
      </c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</row>
    <row r="43" ht="14.25" customHeight="1">
      <c r="A43" s="198" t="s">
        <v>63</v>
      </c>
      <c r="B43" s="199" t="s">
        <v>338</v>
      </c>
      <c r="C43" s="199" t="s">
        <v>339</v>
      </c>
      <c r="D43" s="132"/>
      <c r="E43" s="133">
        <v>1080.0</v>
      </c>
      <c r="F43" s="132">
        <f t="shared" si="4"/>
        <v>648</v>
      </c>
      <c r="G43" s="132"/>
      <c r="H43" s="132"/>
      <c r="I43" s="133"/>
      <c r="J43" s="132"/>
      <c r="K43" s="132"/>
      <c r="L43" s="136"/>
      <c r="M43" s="136"/>
      <c r="N43" s="136"/>
      <c r="O43" s="136"/>
      <c r="P43" s="136"/>
      <c r="Q43" s="136"/>
      <c r="R43" s="132"/>
      <c r="S43" s="136"/>
      <c r="T43" s="136"/>
      <c r="U43" s="136"/>
      <c r="V43" s="136"/>
      <c r="W43" s="136"/>
      <c r="X43" s="136"/>
      <c r="Y43" s="132"/>
      <c r="Z43" s="199" t="s">
        <v>338</v>
      </c>
      <c r="AA43" s="43" t="s">
        <v>63</v>
      </c>
      <c r="AB43" s="172" t="s">
        <v>234</v>
      </c>
      <c r="AC43" s="43" t="s">
        <v>340</v>
      </c>
      <c r="AD43" s="43" t="s">
        <v>236</v>
      </c>
      <c r="AE43" s="43"/>
      <c r="AF43" s="43"/>
      <c r="AG43" s="204" t="s">
        <v>341</v>
      </c>
      <c r="AH43" s="43">
        <v>1.0</v>
      </c>
      <c r="AI43" s="43" t="s">
        <v>342</v>
      </c>
      <c r="AJ43" s="43">
        <v>18.0</v>
      </c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</row>
    <row r="44" ht="14.25" customHeight="1">
      <c r="A44" s="198" t="s">
        <v>63</v>
      </c>
      <c r="B44" s="199" t="s">
        <v>343</v>
      </c>
      <c r="C44" s="199" t="s">
        <v>339</v>
      </c>
      <c r="D44" s="132"/>
      <c r="E44" s="133">
        <v>1139.0</v>
      </c>
      <c r="F44" s="132">
        <f t="shared" si="4"/>
        <v>683.4</v>
      </c>
      <c r="G44" s="132"/>
      <c r="H44" s="132"/>
      <c r="I44" s="133"/>
      <c r="J44" s="132"/>
      <c r="K44" s="132"/>
      <c r="L44" s="136"/>
      <c r="M44" s="136"/>
      <c r="N44" s="136"/>
      <c r="O44" s="136"/>
      <c r="P44" s="136"/>
      <c r="Q44" s="136"/>
      <c r="R44" s="132"/>
      <c r="S44" s="136"/>
      <c r="T44" s="136"/>
      <c r="U44" s="136"/>
      <c r="V44" s="136"/>
      <c r="W44" s="136"/>
      <c r="X44" s="136"/>
      <c r="Y44" s="132"/>
      <c r="Z44" s="199" t="s">
        <v>343</v>
      </c>
      <c r="AA44" s="43" t="s">
        <v>63</v>
      </c>
      <c r="AB44" s="172" t="s">
        <v>234</v>
      </c>
      <c r="AC44" s="43" t="s">
        <v>344</v>
      </c>
      <c r="AD44" s="43" t="s">
        <v>236</v>
      </c>
      <c r="AE44" s="43"/>
      <c r="AF44" s="43"/>
      <c r="AG44" s="204" t="s">
        <v>341</v>
      </c>
      <c r="AH44" s="43">
        <v>1.0</v>
      </c>
      <c r="AI44" s="43" t="s">
        <v>342</v>
      </c>
      <c r="AJ44" s="43">
        <v>18.0</v>
      </c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</row>
    <row r="45" ht="14.25" customHeight="1">
      <c r="A45" s="198" t="s">
        <v>63</v>
      </c>
      <c r="B45" s="199" t="s">
        <v>345</v>
      </c>
      <c r="C45" s="199" t="s">
        <v>339</v>
      </c>
      <c r="D45" s="132"/>
      <c r="E45" s="133">
        <v>1215.0</v>
      </c>
      <c r="F45" s="132">
        <f t="shared" si="4"/>
        <v>729</v>
      </c>
      <c r="G45" s="132"/>
      <c r="H45" s="132"/>
      <c r="I45" s="133"/>
      <c r="J45" s="132"/>
      <c r="K45" s="132"/>
      <c r="L45" s="136"/>
      <c r="M45" s="136"/>
      <c r="N45" s="136"/>
      <c r="O45" s="136"/>
      <c r="P45" s="136"/>
      <c r="Q45" s="136">
        <v>586.0</v>
      </c>
      <c r="R45" s="132"/>
      <c r="S45" s="136"/>
      <c r="T45" s="136"/>
      <c r="U45" s="136"/>
      <c r="V45" s="136"/>
      <c r="W45" s="136"/>
      <c r="X45" s="136"/>
      <c r="Y45" s="132"/>
      <c r="Z45" s="199" t="s">
        <v>345</v>
      </c>
      <c r="AA45" s="43" t="s">
        <v>63</v>
      </c>
      <c r="AB45" s="172" t="s">
        <v>234</v>
      </c>
      <c r="AC45" s="43" t="s">
        <v>346</v>
      </c>
      <c r="AD45" s="43" t="s">
        <v>236</v>
      </c>
      <c r="AE45" s="43"/>
      <c r="AF45" s="43"/>
      <c r="AG45" s="205" t="s">
        <v>347</v>
      </c>
      <c r="AH45" s="43">
        <v>1.0</v>
      </c>
      <c r="AI45" s="43" t="s">
        <v>342</v>
      </c>
      <c r="AJ45" s="43">
        <v>18.0</v>
      </c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</row>
    <row r="46" ht="14.25" customHeight="1">
      <c r="A46" s="198" t="s">
        <v>63</v>
      </c>
      <c r="B46" s="199" t="s">
        <v>348</v>
      </c>
      <c r="C46" s="199" t="s">
        <v>339</v>
      </c>
      <c r="D46" s="132"/>
      <c r="E46" s="133">
        <v>1245.0</v>
      </c>
      <c r="F46" s="132">
        <f t="shared" si="4"/>
        <v>747</v>
      </c>
      <c r="G46" s="132"/>
      <c r="H46" s="132"/>
      <c r="I46" s="133"/>
      <c r="J46" s="132"/>
      <c r="K46" s="132"/>
      <c r="L46" s="136"/>
      <c r="M46" s="136"/>
      <c r="N46" s="136"/>
      <c r="O46" s="136"/>
      <c r="P46" s="136"/>
      <c r="Q46" s="136">
        <v>544.0</v>
      </c>
      <c r="R46" s="132"/>
      <c r="S46" s="136"/>
      <c r="T46" s="136"/>
      <c r="U46" s="136"/>
      <c r="V46" s="136"/>
      <c r="W46" s="136"/>
      <c r="X46" s="136"/>
      <c r="Y46" s="132"/>
      <c r="Z46" s="199" t="s">
        <v>348</v>
      </c>
      <c r="AA46" s="43" t="s">
        <v>63</v>
      </c>
      <c r="AB46" s="172" t="s">
        <v>234</v>
      </c>
      <c r="AC46" s="43" t="s">
        <v>349</v>
      </c>
      <c r="AD46" s="43" t="s">
        <v>236</v>
      </c>
      <c r="AE46" s="43"/>
      <c r="AF46" s="43"/>
      <c r="AG46" s="205" t="s">
        <v>347</v>
      </c>
      <c r="AH46" s="43">
        <v>1.0</v>
      </c>
      <c r="AI46" s="43" t="s">
        <v>342</v>
      </c>
      <c r="AJ46" s="43">
        <v>18.0</v>
      </c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</row>
    <row r="47" ht="14.25" customHeight="1">
      <c r="A47" s="198" t="s">
        <v>63</v>
      </c>
      <c r="B47" s="199" t="s">
        <v>350</v>
      </c>
      <c r="C47" s="199" t="s">
        <v>339</v>
      </c>
      <c r="D47" s="132"/>
      <c r="E47" s="133">
        <v>1259.0</v>
      </c>
      <c r="F47" s="132">
        <f t="shared" si="4"/>
        <v>755.4</v>
      </c>
      <c r="G47" s="132"/>
      <c r="H47" s="132"/>
      <c r="I47" s="133"/>
      <c r="J47" s="132"/>
      <c r="K47" s="132"/>
      <c r="L47" s="136"/>
      <c r="M47" s="136"/>
      <c r="N47" s="136"/>
      <c r="O47" s="136"/>
      <c r="P47" s="136"/>
      <c r="Q47" s="136">
        <v>617.0</v>
      </c>
      <c r="R47" s="132"/>
      <c r="S47" s="136"/>
      <c r="T47" s="136"/>
      <c r="U47" s="136"/>
      <c r="V47" s="136"/>
      <c r="W47" s="136"/>
      <c r="X47" s="136"/>
      <c r="Y47" s="132"/>
      <c r="Z47" s="199" t="s">
        <v>350</v>
      </c>
      <c r="AA47" s="43" t="s">
        <v>63</v>
      </c>
      <c r="AB47" s="172" t="s">
        <v>234</v>
      </c>
      <c r="AC47" s="43" t="s">
        <v>351</v>
      </c>
      <c r="AD47" s="43" t="s">
        <v>236</v>
      </c>
      <c r="AE47" s="43"/>
      <c r="AF47" s="43"/>
      <c r="AG47" s="205" t="s">
        <v>347</v>
      </c>
      <c r="AH47" s="43">
        <v>1.0</v>
      </c>
      <c r="AI47" s="43" t="s">
        <v>342</v>
      </c>
      <c r="AJ47" s="43">
        <v>18.0</v>
      </c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</row>
    <row r="48" ht="14.25" customHeight="1">
      <c r="A48" s="198" t="s">
        <v>63</v>
      </c>
      <c r="B48" s="199" t="s">
        <v>352</v>
      </c>
      <c r="C48" s="199" t="s">
        <v>339</v>
      </c>
      <c r="D48" s="132"/>
      <c r="E48" s="133">
        <v>1450.0</v>
      </c>
      <c r="F48" s="132">
        <f t="shared" si="4"/>
        <v>870</v>
      </c>
      <c r="G48" s="132"/>
      <c r="H48" s="132"/>
      <c r="I48" s="133"/>
      <c r="J48" s="132"/>
      <c r="K48" s="132"/>
      <c r="L48" s="136"/>
      <c r="M48" s="136"/>
      <c r="N48" s="136"/>
      <c r="O48" s="136"/>
      <c r="P48" s="136"/>
      <c r="Q48" s="136">
        <v>709.0</v>
      </c>
      <c r="R48" s="132"/>
      <c r="S48" s="136"/>
      <c r="T48" s="136"/>
      <c r="U48" s="136"/>
      <c r="V48" s="136"/>
      <c r="W48" s="136"/>
      <c r="X48" s="136"/>
      <c r="Y48" s="132"/>
      <c r="Z48" s="199" t="s">
        <v>352</v>
      </c>
      <c r="AA48" s="43" t="s">
        <v>63</v>
      </c>
      <c r="AB48" s="172" t="s">
        <v>234</v>
      </c>
      <c r="AC48" s="43" t="s">
        <v>353</v>
      </c>
      <c r="AD48" s="43" t="s">
        <v>236</v>
      </c>
      <c r="AE48" s="43"/>
      <c r="AF48" s="43"/>
      <c r="AG48" s="205" t="s">
        <v>347</v>
      </c>
      <c r="AH48" s="43">
        <v>1.0</v>
      </c>
      <c r="AI48" s="43" t="s">
        <v>342</v>
      </c>
      <c r="AJ48" s="43">
        <v>18.0</v>
      </c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</row>
    <row r="49" ht="14.25" customHeight="1">
      <c r="A49" s="198" t="s">
        <v>63</v>
      </c>
      <c r="B49" s="199" t="s">
        <v>354</v>
      </c>
      <c r="C49" s="199" t="s">
        <v>339</v>
      </c>
      <c r="D49" s="132"/>
      <c r="E49" s="133">
        <v>1509.0</v>
      </c>
      <c r="F49" s="132">
        <f t="shared" si="4"/>
        <v>905.4</v>
      </c>
      <c r="G49" s="132"/>
      <c r="H49" s="132"/>
      <c r="I49" s="133"/>
      <c r="J49" s="132"/>
      <c r="K49" s="132"/>
      <c r="L49" s="136"/>
      <c r="M49" s="136"/>
      <c r="N49" s="136"/>
      <c r="O49" s="136"/>
      <c r="P49" s="136"/>
      <c r="Q49" s="136">
        <v>736.0</v>
      </c>
      <c r="R49" s="132"/>
      <c r="S49" s="136"/>
      <c r="T49" s="136"/>
      <c r="U49" s="136"/>
      <c r="V49" s="136"/>
      <c r="W49" s="136"/>
      <c r="X49" s="136"/>
      <c r="Y49" s="132"/>
      <c r="Z49" s="199" t="s">
        <v>354</v>
      </c>
      <c r="AA49" s="43" t="s">
        <v>63</v>
      </c>
      <c r="AB49" s="172" t="s">
        <v>234</v>
      </c>
      <c r="AC49" s="43" t="s">
        <v>355</v>
      </c>
      <c r="AD49" s="43" t="s">
        <v>236</v>
      </c>
      <c r="AE49" s="43"/>
      <c r="AF49" s="43"/>
      <c r="AG49" s="205" t="s">
        <v>347</v>
      </c>
      <c r="AH49" s="43">
        <v>1.0</v>
      </c>
      <c r="AI49" s="43" t="s">
        <v>342</v>
      </c>
      <c r="AJ49" s="43">
        <v>18.0</v>
      </c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</row>
    <row r="50" ht="14.25" customHeight="1">
      <c r="A50" s="198" t="s">
        <v>63</v>
      </c>
      <c r="B50" s="199" t="s">
        <v>356</v>
      </c>
      <c r="C50" s="199" t="s">
        <v>339</v>
      </c>
      <c r="D50" s="132"/>
      <c r="E50" s="133">
        <v>1799.0</v>
      </c>
      <c r="F50" s="132">
        <f t="shared" si="4"/>
        <v>1079.4</v>
      </c>
      <c r="G50" s="132"/>
      <c r="H50" s="132"/>
      <c r="I50" s="133"/>
      <c r="J50" s="132"/>
      <c r="K50" s="132"/>
      <c r="L50" s="136"/>
      <c r="M50" s="136"/>
      <c r="N50" s="136"/>
      <c r="O50" s="136"/>
      <c r="P50" s="136"/>
      <c r="Q50" s="136">
        <v>884.0</v>
      </c>
      <c r="R50" s="132"/>
      <c r="S50" s="136"/>
      <c r="T50" s="136"/>
      <c r="U50" s="136"/>
      <c r="V50" s="136"/>
      <c r="W50" s="136"/>
      <c r="X50" s="136"/>
      <c r="Y50" s="132"/>
      <c r="Z50" s="199" t="s">
        <v>356</v>
      </c>
      <c r="AA50" s="43" t="s">
        <v>63</v>
      </c>
      <c r="AB50" s="172" t="s">
        <v>234</v>
      </c>
      <c r="AC50" s="43" t="s">
        <v>357</v>
      </c>
      <c r="AD50" s="43" t="s">
        <v>236</v>
      </c>
      <c r="AE50" s="43"/>
      <c r="AF50" s="43"/>
      <c r="AG50" s="204" t="s">
        <v>358</v>
      </c>
      <c r="AH50" s="43">
        <v>1.0</v>
      </c>
      <c r="AI50" s="43" t="s">
        <v>342</v>
      </c>
      <c r="AJ50" s="43">
        <v>21.0</v>
      </c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</row>
    <row r="51" ht="14.25" customHeight="1">
      <c r="A51" s="198" t="s">
        <v>63</v>
      </c>
      <c r="B51" s="199" t="s">
        <v>359</v>
      </c>
      <c r="C51" s="199" t="s">
        <v>339</v>
      </c>
      <c r="D51" s="132"/>
      <c r="E51" s="133">
        <v>1895.0</v>
      </c>
      <c r="F51" s="132">
        <f t="shared" si="4"/>
        <v>1137</v>
      </c>
      <c r="G51" s="132"/>
      <c r="H51" s="132"/>
      <c r="I51" s="133"/>
      <c r="J51" s="132"/>
      <c r="K51" s="132"/>
      <c r="L51" s="136"/>
      <c r="M51" s="136"/>
      <c r="N51" s="136"/>
      <c r="O51" s="136"/>
      <c r="P51" s="136"/>
      <c r="Q51" s="136">
        <v>932.0</v>
      </c>
      <c r="R51" s="132"/>
      <c r="S51" s="136"/>
      <c r="T51" s="136"/>
      <c r="U51" s="136"/>
      <c r="V51" s="136"/>
      <c r="W51" s="136"/>
      <c r="X51" s="136"/>
      <c r="Y51" s="132"/>
      <c r="Z51" s="199" t="s">
        <v>359</v>
      </c>
      <c r="AA51" s="43" t="s">
        <v>63</v>
      </c>
      <c r="AB51" s="172" t="s">
        <v>234</v>
      </c>
      <c r="AC51" s="43" t="s">
        <v>360</v>
      </c>
      <c r="AD51" s="43" t="s">
        <v>236</v>
      </c>
      <c r="AE51" s="43"/>
      <c r="AF51" s="43"/>
      <c r="AG51" s="204" t="s">
        <v>358</v>
      </c>
      <c r="AH51" s="43">
        <v>1.0</v>
      </c>
      <c r="AI51" s="43" t="s">
        <v>342</v>
      </c>
      <c r="AJ51" s="43">
        <v>21.0</v>
      </c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</row>
    <row r="52" ht="14.25" customHeight="1">
      <c r="A52" s="198" t="s">
        <v>63</v>
      </c>
      <c r="B52" s="199" t="s">
        <v>361</v>
      </c>
      <c r="C52" s="199" t="s">
        <v>339</v>
      </c>
      <c r="D52" s="132"/>
      <c r="E52" s="133">
        <v>2835.0</v>
      </c>
      <c r="F52" s="132">
        <f t="shared" si="4"/>
        <v>1701</v>
      </c>
      <c r="G52" s="132"/>
      <c r="H52" s="132"/>
      <c r="I52" s="133"/>
      <c r="J52" s="132"/>
      <c r="K52" s="132"/>
      <c r="L52" s="136"/>
      <c r="M52" s="136"/>
      <c r="N52" s="136"/>
      <c r="O52" s="136"/>
      <c r="P52" s="136"/>
      <c r="Q52" s="136"/>
      <c r="R52" s="132"/>
      <c r="S52" s="136"/>
      <c r="T52" s="136"/>
      <c r="U52" s="136"/>
      <c r="V52" s="136"/>
      <c r="W52" s="136"/>
      <c r="X52" s="136"/>
      <c r="Y52" s="132"/>
      <c r="Z52" s="199" t="s">
        <v>361</v>
      </c>
      <c r="AA52" s="43" t="s">
        <v>63</v>
      </c>
      <c r="AB52" s="172" t="s">
        <v>234</v>
      </c>
      <c r="AC52" s="43" t="s">
        <v>362</v>
      </c>
      <c r="AD52" s="43" t="s">
        <v>236</v>
      </c>
      <c r="AE52" s="43"/>
      <c r="AF52" s="43"/>
      <c r="AG52" s="204" t="s">
        <v>363</v>
      </c>
      <c r="AH52" s="43">
        <v>1.0</v>
      </c>
      <c r="AI52" s="43" t="s">
        <v>364</v>
      </c>
      <c r="AJ52" s="43">
        <v>50.0</v>
      </c>
      <c r="AK52" s="43"/>
      <c r="AL52" s="43"/>
      <c r="AM52" s="43"/>
      <c r="AN52" s="43"/>
      <c r="AO52" s="43"/>
      <c r="AP52" s="43"/>
      <c r="AQ52" s="136"/>
      <c r="AR52" s="136"/>
      <c r="AS52" s="136"/>
      <c r="AT52" s="136"/>
      <c r="AU52" s="136"/>
      <c r="AV52" s="136"/>
    </row>
    <row r="53" ht="14.25" customHeight="1">
      <c r="A53" s="198" t="s">
        <v>63</v>
      </c>
      <c r="B53" s="199" t="s">
        <v>365</v>
      </c>
      <c r="C53" s="199" t="s">
        <v>339</v>
      </c>
      <c r="D53" s="132"/>
      <c r="E53" s="133">
        <v>3750.0</v>
      </c>
      <c r="F53" s="132">
        <f t="shared" si="4"/>
        <v>2250</v>
      </c>
      <c r="G53" s="132"/>
      <c r="H53" s="132"/>
      <c r="I53" s="133"/>
      <c r="J53" s="132"/>
      <c r="K53" s="132"/>
      <c r="L53" s="136"/>
      <c r="M53" s="136"/>
      <c r="N53" s="136"/>
      <c r="O53" s="136"/>
      <c r="P53" s="136"/>
      <c r="Q53" s="136">
        <v>2215.0</v>
      </c>
      <c r="R53" s="132"/>
      <c r="S53" s="136"/>
      <c r="T53" s="136"/>
      <c r="U53" s="136"/>
      <c r="V53" s="136"/>
      <c r="W53" s="136"/>
      <c r="X53" s="136"/>
      <c r="Y53" s="132"/>
      <c r="Z53" s="199" t="s">
        <v>365</v>
      </c>
      <c r="AA53" s="43" t="s">
        <v>63</v>
      </c>
      <c r="AB53" s="172" t="s">
        <v>234</v>
      </c>
      <c r="AC53" s="43" t="s">
        <v>366</v>
      </c>
      <c r="AD53" s="43" t="s">
        <v>236</v>
      </c>
      <c r="AE53" s="43"/>
      <c r="AF53" s="43"/>
      <c r="AG53" s="204" t="s">
        <v>363</v>
      </c>
      <c r="AH53" s="43">
        <v>1.0</v>
      </c>
      <c r="AI53" s="43" t="s">
        <v>367</v>
      </c>
      <c r="AJ53" s="43">
        <v>62.0</v>
      </c>
      <c r="AK53" s="43"/>
      <c r="AL53" s="43"/>
      <c r="AM53" s="43"/>
      <c r="AN53" s="43"/>
      <c r="AO53" s="43"/>
      <c r="AP53" s="43"/>
      <c r="AQ53" s="136"/>
      <c r="AR53" s="136"/>
      <c r="AS53" s="136"/>
      <c r="AT53" s="136"/>
      <c r="AU53" s="136"/>
      <c r="AV53" s="136"/>
    </row>
    <row r="54" ht="14.25" customHeight="1">
      <c r="A54" s="198" t="s">
        <v>63</v>
      </c>
      <c r="B54" s="199" t="s">
        <v>368</v>
      </c>
      <c r="C54" s="199" t="s">
        <v>339</v>
      </c>
      <c r="D54" s="132"/>
      <c r="E54" s="133" t="s">
        <v>369</v>
      </c>
      <c r="F54" s="132"/>
      <c r="G54" s="132"/>
      <c r="H54" s="132"/>
      <c r="I54" s="133"/>
      <c r="J54" s="132"/>
      <c r="K54" s="132"/>
      <c r="L54" s="136"/>
      <c r="M54" s="136"/>
      <c r="N54" s="136"/>
      <c r="O54" s="136"/>
      <c r="P54" s="136"/>
      <c r="Q54" s="136"/>
      <c r="R54" s="132"/>
      <c r="S54" s="136"/>
      <c r="T54" s="136"/>
      <c r="U54" s="136"/>
      <c r="V54" s="136"/>
      <c r="W54" s="136"/>
      <c r="X54" s="136"/>
      <c r="Y54" s="132"/>
      <c r="Z54" s="199"/>
      <c r="AA54" s="43"/>
      <c r="AB54" s="172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136"/>
      <c r="AR54" s="136"/>
      <c r="AS54" s="136"/>
      <c r="AT54" s="136"/>
      <c r="AU54" s="136"/>
      <c r="AV54" s="136"/>
    </row>
    <row r="55" ht="14.25" customHeight="1">
      <c r="A55" s="198" t="s">
        <v>63</v>
      </c>
      <c r="B55" s="199" t="s">
        <v>370</v>
      </c>
      <c r="C55" s="199" t="s">
        <v>232</v>
      </c>
      <c r="D55" s="132"/>
      <c r="E55" s="133">
        <v>1140.0</v>
      </c>
      <c r="F55" s="132">
        <f t="shared" ref="F55:F61" si="5">E55-(E55*$F$4)</f>
        <v>684</v>
      </c>
      <c r="G55" s="132"/>
      <c r="H55" s="132"/>
      <c r="I55" s="133"/>
      <c r="J55" s="132"/>
      <c r="K55" s="132"/>
      <c r="L55" s="136"/>
      <c r="M55" s="136"/>
      <c r="N55" s="136"/>
      <c r="O55" s="136"/>
      <c r="P55" s="136"/>
      <c r="Q55" s="136"/>
      <c r="R55" s="132"/>
      <c r="S55" s="136"/>
      <c r="T55" s="136"/>
      <c r="U55" s="136"/>
      <c r="V55" s="136"/>
      <c r="W55" s="136"/>
      <c r="X55" s="136"/>
      <c r="Y55" s="132"/>
      <c r="Z55" s="199" t="s">
        <v>370</v>
      </c>
      <c r="AA55" s="43" t="s">
        <v>63</v>
      </c>
      <c r="AB55" s="172" t="s">
        <v>234</v>
      </c>
      <c r="AC55" s="43" t="s">
        <v>240</v>
      </c>
      <c r="AD55" s="43" t="s">
        <v>236</v>
      </c>
      <c r="AE55" s="43"/>
      <c r="AF55" s="43"/>
      <c r="AG55" s="204" t="s">
        <v>371</v>
      </c>
      <c r="AH55" s="43">
        <v>1.0</v>
      </c>
      <c r="AI55" s="43" t="s">
        <v>372</v>
      </c>
      <c r="AJ55" s="43">
        <v>18.5</v>
      </c>
      <c r="AK55" s="43"/>
      <c r="AL55" s="43"/>
      <c r="AM55" s="43"/>
      <c r="AN55" s="43"/>
      <c r="AO55" s="43"/>
      <c r="AP55" s="43"/>
      <c r="AQ55" s="136"/>
      <c r="AR55" s="136"/>
      <c r="AS55" s="136"/>
      <c r="AT55" s="136"/>
      <c r="AU55" s="136"/>
      <c r="AV55" s="136"/>
    </row>
    <row r="56" ht="14.25" customHeight="1">
      <c r="A56" s="198" t="s">
        <v>63</v>
      </c>
      <c r="B56" s="199" t="s">
        <v>373</v>
      </c>
      <c r="C56" s="199" t="s">
        <v>232</v>
      </c>
      <c r="D56" s="132"/>
      <c r="E56" s="133">
        <v>1349.0</v>
      </c>
      <c r="F56" s="132">
        <f t="shared" si="5"/>
        <v>809.4</v>
      </c>
      <c r="G56" s="132"/>
      <c r="H56" s="132"/>
      <c r="I56" s="133"/>
      <c r="J56" s="132"/>
      <c r="K56" s="132"/>
      <c r="L56" s="136"/>
      <c r="M56" s="136"/>
      <c r="N56" s="136"/>
      <c r="O56" s="136"/>
      <c r="P56" s="136"/>
      <c r="Q56" s="136"/>
      <c r="R56" s="132"/>
      <c r="S56" s="136"/>
      <c r="T56" s="136"/>
      <c r="U56" s="136"/>
      <c r="V56" s="136"/>
      <c r="W56" s="136"/>
      <c r="X56" s="136"/>
      <c r="Y56" s="132"/>
      <c r="Z56" s="199" t="s">
        <v>373</v>
      </c>
      <c r="AA56" s="43" t="s">
        <v>63</v>
      </c>
      <c r="AB56" s="172" t="s">
        <v>234</v>
      </c>
      <c r="AC56" s="43" t="s">
        <v>244</v>
      </c>
      <c r="AD56" s="43" t="s">
        <v>236</v>
      </c>
      <c r="AE56" s="43"/>
      <c r="AF56" s="43"/>
      <c r="AG56" s="204" t="s">
        <v>371</v>
      </c>
      <c r="AH56" s="43">
        <v>1.0</v>
      </c>
      <c r="AI56" s="43" t="s">
        <v>372</v>
      </c>
      <c r="AJ56" s="43">
        <v>18.5</v>
      </c>
      <c r="AK56" s="43"/>
      <c r="AL56" s="43"/>
      <c r="AM56" s="43"/>
      <c r="AN56" s="43"/>
      <c r="AO56" s="43"/>
      <c r="AP56" s="43"/>
      <c r="AQ56" s="136"/>
      <c r="AR56" s="136"/>
      <c r="AS56" s="136"/>
      <c r="AT56" s="136"/>
      <c r="AU56" s="136"/>
      <c r="AV56" s="136"/>
    </row>
    <row r="57" ht="14.25" customHeight="1">
      <c r="A57" s="198" t="s">
        <v>63</v>
      </c>
      <c r="B57" s="199" t="s">
        <v>374</v>
      </c>
      <c r="C57" s="199" t="s">
        <v>232</v>
      </c>
      <c r="D57" s="132"/>
      <c r="E57" s="133">
        <v>1450.0</v>
      </c>
      <c r="F57" s="132">
        <f t="shared" si="5"/>
        <v>870</v>
      </c>
      <c r="G57" s="132"/>
      <c r="H57" s="132"/>
      <c r="I57" s="133"/>
      <c r="J57" s="132"/>
      <c r="K57" s="132"/>
      <c r="L57" s="136"/>
      <c r="M57" s="136">
        <v>1200.0</v>
      </c>
      <c r="N57" s="136"/>
      <c r="O57" s="136"/>
      <c r="P57" s="136"/>
      <c r="Q57" s="136"/>
      <c r="R57" s="132"/>
      <c r="S57" s="136"/>
      <c r="T57" s="136"/>
      <c r="U57" s="136"/>
      <c r="V57" s="136"/>
      <c r="W57" s="136"/>
      <c r="X57" s="136"/>
      <c r="Y57" s="132"/>
      <c r="Z57" s="199" t="s">
        <v>374</v>
      </c>
      <c r="AA57" s="43" t="s">
        <v>63</v>
      </c>
      <c r="AB57" s="172" t="s">
        <v>234</v>
      </c>
      <c r="AC57" s="43" t="s">
        <v>248</v>
      </c>
      <c r="AD57" s="43" t="s">
        <v>236</v>
      </c>
      <c r="AE57" s="43"/>
      <c r="AF57" s="43"/>
      <c r="AG57" s="204" t="s">
        <v>371</v>
      </c>
      <c r="AH57" s="43">
        <v>1.0</v>
      </c>
      <c r="AI57" s="43" t="s">
        <v>372</v>
      </c>
      <c r="AJ57" s="43">
        <v>18.5</v>
      </c>
      <c r="AK57" s="43"/>
      <c r="AL57" s="43"/>
      <c r="AM57" s="43"/>
      <c r="AN57" s="43"/>
      <c r="AO57" s="43"/>
      <c r="AP57" s="43"/>
      <c r="AQ57" s="136"/>
      <c r="AR57" s="136"/>
      <c r="AS57" s="136"/>
      <c r="AT57" s="136"/>
      <c r="AU57" s="136"/>
      <c r="AV57" s="136"/>
    </row>
    <row r="58" ht="14.25" customHeight="1">
      <c r="A58" s="198" t="s">
        <v>63</v>
      </c>
      <c r="B58" s="199" t="s">
        <v>375</v>
      </c>
      <c r="C58" s="199" t="s">
        <v>251</v>
      </c>
      <c r="D58" s="132"/>
      <c r="E58" s="133">
        <v>2158.0</v>
      </c>
      <c r="F58" s="132">
        <f t="shared" si="5"/>
        <v>1294.8</v>
      </c>
      <c r="G58" s="132"/>
      <c r="H58" s="132"/>
      <c r="I58" s="133"/>
      <c r="J58" s="132"/>
      <c r="K58" s="132"/>
      <c r="L58" s="136"/>
      <c r="M58" s="136">
        <v>1420.0</v>
      </c>
      <c r="N58" s="136"/>
      <c r="O58" s="136"/>
      <c r="P58" s="136"/>
      <c r="Q58" s="136"/>
      <c r="R58" s="132"/>
      <c r="S58" s="136"/>
      <c r="T58" s="136"/>
      <c r="U58" s="136"/>
      <c r="V58" s="136"/>
      <c r="W58" s="136"/>
      <c r="X58" s="136"/>
      <c r="Y58" s="132"/>
      <c r="Z58" s="199" t="s">
        <v>375</v>
      </c>
      <c r="AA58" s="43" t="s">
        <v>63</v>
      </c>
      <c r="AB58" s="172" t="s">
        <v>234</v>
      </c>
      <c r="AC58" s="43" t="s">
        <v>259</v>
      </c>
      <c r="AD58" s="43" t="s">
        <v>236</v>
      </c>
      <c r="AE58" s="136"/>
      <c r="AF58" s="43"/>
      <c r="AG58" s="204" t="s">
        <v>376</v>
      </c>
      <c r="AH58" s="43">
        <v>1.0</v>
      </c>
      <c r="AI58" s="43" t="s">
        <v>377</v>
      </c>
      <c r="AJ58" s="43">
        <v>27.0</v>
      </c>
      <c r="AK58" s="43"/>
      <c r="AL58" s="43"/>
      <c r="AM58" s="43"/>
      <c r="AN58" s="43"/>
      <c r="AO58" s="43"/>
      <c r="AP58" s="43"/>
      <c r="AQ58" s="136"/>
      <c r="AR58" s="136"/>
      <c r="AS58" s="136"/>
      <c r="AT58" s="136"/>
      <c r="AU58" s="136"/>
      <c r="AV58" s="136"/>
    </row>
    <row r="59" ht="14.25" customHeight="1">
      <c r="A59" s="198" t="s">
        <v>63</v>
      </c>
      <c r="B59" s="199" t="s">
        <v>378</v>
      </c>
      <c r="C59" s="199" t="s">
        <v>251</v>
      </c>
      <c r="D59" s="132"/>
      <c r="E59" s="133">
        <v>2268.0</v>
      </c>
      <c r="F59" s="132">
        <f t="shared" si="5"/>
        <v>1360.8</v>
      </c>
      <c r="G59" s="132"/>
      <c r="H59" s="132"/>
      <c r="I59" s="133"/>
      <c r="J59" s="132"/>
      <c r="K59" s="132"/>
      <c r="L59" s="136"/>
      <c r="M59" s="136">
        <v>1499.0</v>
      </c>
      <c r="N59" s="136"/>
      <c r="O59" s="136"/>
      <c r="P59" s="136"/>
      <c r="Q59" s="136"/>
      <c r="R59" s="132"/>
      <c r="S59" s="136"/>
      <c r="T59" s="136"/>
      <c r="U59" s="136"/>
      <c r="V59" s="136"/>
      <c r="W59" s="136"/>
      <c r="X59" s="136"/>
      <c r="Y59" s="132"/>
      <c r="Z59" s="199" t="s">
        <v>378</v>
      </c>
      <c r="AA59" s="43" t="s">
        <v>63</v>
      </c>
      <c r="AB59" s="172" t="s">
        <v>234</v>
      </c>
      <c r="AC59" s="43" t="s">
        <v>262</v>
      </c>
      <c r="AD59" s="43" t="s">
        <v>236</v>
      </c>
      <c r="AE59" s="136"/>
      <c r="AF59" s="43"/>
      <c r="AG59" s="204" t="s">
        <v>376</v>
      </c>
      <c r="AH59" s="43">
        <v>1.0</v>
      </c>
      <c r="AI59" s="43" t="s">
        <v>377</v>
      </c>
      <c r="AJ59" s="43">
        <v>27.0</v>
      </c>
      <c r="AK59" s="43"/>
      <c r="AL59" s="43"/>
      <c r="AM59" s="43"/>
      <c r="AN59" s="43"/>
      <c r="AO59" s="43"/>
      <c r="AP59" s="43"/>
      <c r="AQ59" s="136"/>
      <c r="AR59" s="136"/>
      <c r="AS59" s="136"/>
      <c r="AT59" s="136"/>
      <c r="AU59" s="136"/>
      <c r="AV59" s="136"/>
    </row>
    <row r="60" ht="14.25" customHeight="1">
      <c r="A60" s="198" t="s">
        <v>63</v>
      </c>
      <c r="B60" s="199" t="s">
        <v>379</v>
      </c>
      <c r="C60" s="199" t="s">
        <v>251</v>
      </c>
      <c r="D60" s="132"/>
      <c r="E60" s="133">
        <v>2369.0</v>
      </c>
      <c r="F60" s="132">
        <f t="shared" si="5"/>
        <v>1421.4</v>
      </c>
      <c r="G60" s="132"/>
      <c r="H60" s="132"/>
      <c r="I60" s="133"/>
      <c r="J60" s="132"/>
      <c r="K60" s="132"/>
      <c r="L60" s="136"/>
      <c r="M60" s="136">
        <v>1569.0</v>
      </c>
      <c r="N60" s="136"/>
      <c r="O60" s="136"/>
      <c r="P60" s="136"/>
      <c r="Q60" s="136"/>
      <c r="R60" s="132"/>
      <c r="S60" s="136"/>
      <c r="T60" s="136"/>
      <c r="U60" s="136"/>
      <c r="V60" s="136"/>
      <c r="W60" s="136"/>
      <c r="X60" s="136"/>
      <c r="Y60" s="132"/>
      <c r="Z60" s="199" t="s">
        <v>379</v>
      </c>
      <c r="AA60" s="43" t="s">
        <v>63</v>
      </c>
      <c r="AB60" s="172" t="s">
        <v>234</v>
      </c>
      <c r="AC60" s="43" t="s">
        <v>265</v>
      </c>
      <c r="AD60" s="43" t="s">
        <v>236</v>
      </c>
      <c r="AE60" s="136"/>
      <c r="AF60" s="43"/>
      <c r="AG60" s="204" t="s">
        <v>376</v>
      </c>
      <c r="AH60" s="43">
        <v>1.0</v>
      </c>
      <c r="AI60" s="43" t="s">
        <v>377</v>
      </c>
      <c r="AJ60" s="43">
        <v>27.0</v>
      </c>
      <c r="AK60" s="43"/>
      <c r="AL60" s="43"/>
      <c r="AM60" s="43"/>
      <c r="AN60" s="43"/>
      <c r="AO60" s="43"/>
      <c r="AP60" s="43"/>
      <c r="AQ60" s="136"/>
      <c r="AR60" s="136"/>
      <c r="AS60" s="136"/>
      <c r="AT60" s="136"/>
      <c r="AU60" s="136"/>
      <c r="AV60" s="136"/>
    </row>
    <row r="61" ht="14.25" customHeight="1">
      <c r="A61" s="198" t="s">
        <v>63</v>
      </c>
      <c r="B61" s="199" t="s">
        <v>380</v>
      </c>
      <c r="C61" s="199" t="s">
        <v>251</v>
      </c>
      <c r="D61" s="132"/>
      <c r="E61" s="133">
        <v>2534.0</v>
      </c>
      <c r="F61" s="132">
        <f t="shared" si="5"/>
        <v>1520.4</v>
      </c>
      <c r="G61" s="132"/>
      <c r="H61" s="132"/>
      <c r="I61" s="133"/>
      <c r="J61" s="132"/>
      <c r="K61" s="132"/>
      <c r="L61" s="136"/>
      <c r="M61" s="136">
        <v>1689.0</v>
      </c>
      <c r="N61" s="136"/>
      <c r="O61" s="136"/>
      <c r="P61" s="136"/>
      <c r="Q61" s="136"/>
      <c r="R61" s="132"/>
      <c r="S61" s="136"/>
      <c r="T61" s="136"/>
      <c r="U61" s="136"/>
      <c r="V61" s="136"/>
      <c r="W61" s="136"/>
      <c r="X61" s="136"/>
      <c r="Y61" s="132"/>
      <c r="Z61" s="199" t="s">
        <v>380</v>
      </c>
      <c r="AA61" s="43" t="s">
        <v>63</v>
      </c>
      <c r="AB61" s="172" t="s">
        <v>234</v>
      </c>
      <c r="AC61" s="43" t="s">
        <v>268</v>
      </c>
      <c r="AD61" s="43" t="s">
        <v>236</v>
      </c>
      <c r="AE61" s="136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136"/>
      <c r="AR61" s="136"/>
      <c r="AS61" s="136"/>
      <c r="AT61" s="136"/>
      <c r="AU61" s="136"/>
      <c r="AV61" s="136"/>
    </row>
    <row r="62" ht="14.25" customHeight="1">
      <c r="A62" s="198"/>
      <c r="B62" s="199"/>
      <c r="C62" s="199"/>
      <c r="D62" s="132"/>
      <c r="E62" s="133"/>
      <c r="F62" s="132"/>
      <c r="G62" s="132"/>
      <c r="H62" s="132"/>
      <c r="I62" s="133"/>
      <c r="J62" s="132"/>
      <c r="K62" s="132"/>
      <c r="L62" s="136"/>
      <c r="M62" s="136"/>
      <c r="N62" s="136"/>
      <c r="O62" s="136"/>
      <c r="P62" s="136"/>
      <c r="Q62" s="136"/>
      <c r="R62" s="132"/>
      <c r="S62" s="136"/>
      <c r="T62" s="136"/>
      <c r="U62" s="136"/>
      <c r="V62" s="136"/>
      <c r="W62" s="136"/>
      <c r="X62" s="136"/>
      <c r="Y62" s="132"/>
      <c r="Z62" s="199"/>
      <c r="AA62" s="43"/>
      <c r="AB62" s="172"/>
      <c r="AC62" s="43"/>
      <c r="AD62" s="43"/>
      <c r="AE62" s="136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136"/>
      <c r="AR62" s="136"/>
      <c r="AS62" s="136"/>
      <c r="AT62" s="136"/>
      <c r="AU62" s="136"/>
      <c r="AV62" s="136"/>
    </row>
    <row r="63" ht="14.25" customHeight="1">
      <c r="A63" s="198" t="s">
        <v>381</v>
      </c>
      <c r="B63" s="199" t="s">
        <v>382</v>
      </c>
      <c r="C63" s="199" t="s">
        <v>326</v>
      </c>
      <c r="D63" s="132"/>
      <c r="E63" s="133">
        <v>1357.0</v>
      </c>
      <c r="F63" s="132">
        <f t="shared" ref="F63:F65" si="6">E63-(E63*$F$4)</f>
        <v>814.2</v>
      </c>
      <c r="G63" s="132">
        <f>1570-1570*0.42</f>
        <v>910.6</v>
      </c>
      <c r="H63" s="132">
        <v>950.0</v>
      </c>
      <c r="I63" s="133">
        <v>872.0</v>
      </c>
      <c r="J63" s="132">
        <v>844.0</v>
      </c>
      <c r="K63" s="132"/>
      <c r="L63" s="136"/>
      <c r="M63" s="136">
        <v>839.0</v>
      </c>
      <c r="N63" s="136">
        <v>883.8</v>
      </c>
      <c r="O63" s="136"/>
      <c r="P63" s="136">
        <v>884.74</v>
      </c>
      <c r="Q63" s="136"/>
      <c r="R63" s="132"/>
      <c r="S63" s="136"/>
      <c r="T63" s="136"/>
      <c r="U63" s="136"/>
      <c r="V63" s="136"/>
      <c r="W63" s="136"/>
      <c r="X63" s="136"/>
      <c r="Y63" s="132"/>
      <c r="Z63" s="199" t="s">
        <v>382</v>
      </c>
      <c r="AA63" s="43" t="s">
        <v>381</v>
      </c>
      <c r="AB63" s="172" t="s">
        <v>234</v>
      </c>
      <c r="AC63" s="43" t="s">
        <v>383</v>
      </c>
      <c r="AD63" s="43" t="s">
        <v>236</v>
      </c>
      <c r="AE63" s="136"/>
      <c r="AF63" s="43"/>
      <c r="AG63" s="204" t="s">
        <v>384</v>
      </c>
      <c r="AH63" s="43">
        <v>1.0</v>
      </c>
      <c r="AI63" s="43" t="s">
        <v>385</v>
      </c>
      <c r="AJ63" s="43">
        <v>21.5</v>
      </c>
      <c r="AK63" s="43"/>
      <c r="AL63" s="43"/>
      <c r="AM63" s="43"/>
      <c r="AN63" s="43"/>
      <c r="AO63" s="43"/>
      <c r="AP63" s="43"/>
      <c r="AQ63" s="136"/>
      <c r="AR63" s="136"/>
      <c r="AS63" s="136"/>
      <c r="AT63" s="136"/>
      <c r="AU63" s="136"/>
      <c r="AV63" s="136"/>
    </row>
    <row r="64" ht="14.25" customHeight="1">
      <c r="A64" s="198" t="s">
        <v>381</v>
      </c>
      <c r="B64" s="207" t="s">
        <v>386</v>
      </c>
      <c r="C64" s="207"/>
      <c r="D64" s="208"/>
      <c r="E64" s="133"/>
      <c r="F64" s="132">
        <f t="shared" si="6"/>
        <v>0</v>
      </c>
      <c r="G64" s="132"/>
      <c r="H64" s="132"/>
      <c r="I64" s="133"/>
      <c r="J64" s="132"/>
      <c r="K64" s="132"/>
      <c r="L64" s="136"/>
      <c r="M64" s="209">
        <v>887.0</v>
      </c>
      <c r="N64" s="209">
        <v>977.0</v>
      </c>
      <c r="O64" s="209"/>
      <c r="P64" s="209">
        <v>936.0</v>
      </c>
      <c r="Q64" s="209"/>
      <c r="R64" s="132"/>
      <c r="S64" s="136"/>
      <c r="T64" s="136"/>
      <c r="U64" s="136"/>
      <c r="V64" s="136"/>
      <c r="W64" s="136"/>
      <c r="X64" s="136"/>
      <c r="Y64" s="132"/>
      <c r="Z64" s="207" t="s">
        <v>386</v>
      </c>
      <c r="AA64" s="43" t="s">
        <v>381</v>
      </c>
      <c r="AB64" s="172" t="s">
        <v>234</v>
      </c>
      <c r="AC64" s="43" t="s">
        <v>387</v>
      </c>
      <c r="AD64" s="43" t="s">
        <v>236</v>
      </c>
      <c r="AE64" s="136"/>
      <c r="AF64" s="43"/>
      <c r="AG64" s="204" t="s">
        <v>384</v>
      </c>
      <c r="AH64" s="43">
        <v>1.0</v>
      </c>
      <c r="AI64" s="43" t="s">
        <v>385</v>
      </c>
      <c r="AJ64" s="43">
        <v>21.5</v>
      </c>
      <c r="AK64" s="43"/>
      <c r="AL64" s="43"/>
      <c r="AM64" s="43"/>
      <c r="AN64" s="43"/>
      <c r="AO64" s="43"/>
      <c r="AP64" s="43"/>
      <c r="AQ64" s="136"/>
      <c r="AR64" s="136"/>
      <c r="AS64" s="136"/>
      <c r="AT64" s="136"/>
      <c r="AU64" s="136"/>
      <c r="AV64" s="136"/>
    </row>
    <row r="65" ht="14.25" customHeight="1">
      <c r="A65" s="198" t="s">
        <v>381</v>
      </c>
      <c r="B65" s="43" t="s">
        <v>388</v>
      </c>
      <c r="C65" s="43" t="s">
        <v>326</v>
      </c>
      <c r="D65" s="132"/>
      <c r="E65" s="133">
        <v>1477.0</v>
      </c>
      <c r="F65" s="132">
        <f t="shared" si="6"/>
        <v>886.2</v>
      </c>
      <c r="G65" s="132">
        <f>1740-1740*0.42</f>
        <v>1009.2</v>
      </c>
      <c r="H65" s="132">
        <v>1026.0</v>
      </c>
      <c r="I65" s="133">
        <v>965.0</v>
      </c>
      <c r="J65" s="132">
        <v>934.0</v>
      </c>
      <c r="K65" s="132"/>
      <c r="L65" s="136"/>
      <c r="M65" s="136">
        <v>929.0</v>
      </c>
      <c r="N65" s="136">
        <v>978.71</v>
      </c>
      <c r="O65" s="136"/>
      <c r="P65" s="136"/>
      <c r="Q65" s="136"/>
      <c r="R65" s="132"/>
      <c r="S65" s="136"/>
      <c r="T65" s="136"/>
      <c r="U65" s="136"/>
      <c r="V65" s="136"/>
      <c r="W65" s="136"/>
      <c r="X65" s="136"/>
      <c r="Y65" s="132"/>
      <c r="Z65" s="43" t="s">
        <v>388</v>
      </c>
      <c r="AA65" s="43" t="s">
        <v>381</v>
      </c>
      <c r="AB65" s="172" t="s">
        <v>234</v>
      </c>
      <c r="AC65" s="43" t="s">
        <v>389</v>
      </c>
      <c r="AD65" s="43" t="s">
        <v>236</v>
      </c>
      <c r="AE65" s="136"/>
      <c r="AF65" s="43"/>
      <c r="AG65" s="204" t="s">
        <v>384</v>
      </c>
      <c r="AH65" s="43">
        <v>1.0</v>
      </c>
      <c r="AI65" s="43" t="s">
        <v>385</v>
      </c>
      <c r="AJ65" s="43">
        <v>21.5</v>
      </c>
      <c r="AK65" s="43"/>
      <c r="AL65" s="43"/>
      <c r="AM65" s="43"/>
      <c r="AN65" s="43"/>
      <c r="AO65" s="43"/>
      <c r="AP65" s="43"/>
      <c r="AQ65" s="136"/>
      <c r="AR65" s="136"/>
      <c r="AS65" s="136"/>
      <c r="AT65" s="136"/>
      <c r="AU65" s="136"/>
      <c r="AV65" s="136"/>
    </row>
    <row r="66" ht="14.25" customHeight="1">
      <c r="A66" s="198" t="s">
        <v>381</v>
      </c>
      <c r="B66" s="207" t="s">
        <v>390</v>
      </c>
      <c r="C66" s="207"/>
      <c r="D66" s="208"/>
      <c r="E66" s="133"/>
      <c r="F66" s="132"/>
      <c r="G66" s="132"/>
      <c r="H66" s="132"/>
      <c r="I66" s="133"/>
      <c r="J66" s="132"/>
      <c r="K66" s="132"/>
      <c r="L66" s="136"/>
      <c r="M66" s="209">
        <v>985.0</v>
      </c>
      <c r="N66" s="209">
        <v>1039.0</v>
      </c>
      <c r="O66" s="209"/>
      <c r="P66" s="209"/>
      <c r="Q66" s="209"/>
      <c r="R66" s="132"/>
      <c r="S66" s="136"/>
      <c r="T66" s="136"/>
      <c r="U66" s="136"/>
      <c r="V66" s="136"/>
      <c r="W66" s="136"/>
      <c r="X66" s="136"/>
      <c r="Y66" s="132"/>
      <c r="Z66" s="207" t="s">
        <v>390</v>
      </c>
      <c r="AA66" s="43" t="s">
        <v>381</v>
      </c>
      <c r="AB66" s="172" t="s">
        <v>234</v>
      </c>
      <c r="AC66" s="43" t="s">
        <v>391</v>
      </c>
      <c r="AD66" s="43" t="s">
        <v>236</v>
      </c>
      <c r="AE66" s="136"/>
      <c r="AF66" s="43"/>
      <c r="AG66" s="204" t="s">
        <v>384</v>
      </c>
      <c r="AH66" s="43">
        <v>1.0</v>
      </c>
      <c r="AI66" s="43" t="s">
        <v>385</v>
      </c>
      <c r="AJ66" s="43">
        <v>21.5</v>
      </c>
      <c r="AK66" s="43"/>
      <c r="AL66" s="43"/>
      <c r="AM66" s="43"/>
      <c r="AN66" s="43"/>
      <c r="AO66" s="43"/>
      <c r="AP66" s="43"/>
      <c r="AQ66" s="136"/>
      <c r="AR66" s="136"/>
      <c r="AS66" s="136"/>
      <c r="AT66" s="136"/>
      <c r="AU66" s="136"/>
      <c r="AV66" s="136"/>
    </row>
    <row r="67" ht="14.25" customHeight="1">
      <c r="A67" s="198" t="s">
        <v>381</v>
      </c>
      <c r="B67" s="43" t="s">
        <v>392</v>
      </c>
      <c r="C67" s="43" t="s">
        <v>326</v>
      </c>
      <c r="D67" s="132"/>
      <c r="E67" s="133">
        <v>1626.0</v>
      </c>
      <c r="F67" s="132">
        <f>E67-(E67*$F$4)</f>
        <v>975.6</v>
      </c>
      <c r="G67" s="132">
        <f>1905-1905*0.42</f>
        <v>1104.9</v>
      </c>
      <c r="H67" s="132">
        <v>1124.0</v>
      </c>
      <c r="I67" s="133">
        <v>1061.0</v>
      </c>
      <c r="J67" s="132">
        <v>1027.0</v>
      </c>
      <c r="K67" s="132"/>
      <c r="L67" s="136"/>
      <c r="M67" s="136">
        <v>1022.0</v>
      </c>
      <c r="N67" s="136">
        <v>1076.83</v>
      </c>
      <c r="O67" s="136"/>
      <c r="P67" s="136"/>
      <c r="Q67" s="136"/>
      <c r="R67" s="132"/>
      <c r="S67" s="136"/>
      <c r="T67" s="136"/>
      <c r="U67" s="136"/>
      <c r="V67" s="136"/>
      <c r="W67" s="136"/>
      <c r="X67" s="136"/>
      <c r="Y67" s="132"/>
      <c r="Z67" s="43" t="s">
        <v>392</v>
      </c>
      <c r="AA67" s="43" t="s">
        <v>381</v>
      </c>
      <c r="AB67" s="172" t="s">
        <v>234</v>
      </c>
      <c r="AC67" s="43" t="s">
        <v>393</v>
      </c>
      <c r="AD67" s="43" t="s">
        <v>236</v>
      </c>
      <c r="AE67" s="136"/>
      <c r="AF67" s="43"/>
      <c r="AG67" s="204" t="s">
        <v>384</v>
      </c>
      <c r="AH67" s="43">
        <v>1.0</v>
      </c>
      <c r="AI67" s="43" t="s">
        <v>385</v>
      </c>
      <c r="AJ67" s="43">
        <v>21.5</v>
      </c>
      <c r="AK67" s="43"/>
      <c r="AL67" s="43"/>
      <c r="AM67" s="43"/>
      <c r="AN67" s="43"/>
      <c r="AO67" s="43"/>
      <c r="AP67" s="43"/>
      <c r="AQ67" s="136"/>
      <c r="AR67" s="136"/>
      <c r="AS67" s="136"/>
      <c r="AT67" s="136"/>
      <c r="AU67" s="136"/>
      <c r="AV67" s="136"/>
    </row>
    <row r="68" ht="14.25" customHeight="1">
      <c r="A68" s="198"/>
      <c r="B68" s="43"/>
      <c r="C68" s="43"/>
      <c r="D68" s="132"/>
      <c r="E68" s="133"/>
      <c r="F68" s="132"/>
      <c r="G68" s="132"/>
      <c r="H68" s="132"/>
      <c r="I68" s="133"/>
      <c r="J68" s="132"/>
      <c r="K68" s="132"/>
      <c r="L68" s="136"/>
      <c r="M68" s="136"/>
      <c r="N68" s="136"/>
      <c r="O68" s="136"/>
      <c r="P68" s="136"/>
      <c r="Q68" s="136"/>
      <c r="R68" s="132"/>
      <c r="S68" s="136"/>
      <c r="T68" s="136"/>
      <c r="U68" s="136"/>
      <c r="V68" s="136"/>
      <c r="W68" s="136"/>
      <c r="X68" s="136"/>
      <c r="Y68" s="132"/>
      <c r="Z68" s="43"/>
      <c r="AA68" s="43"/>
      <c r="AB68" s="172"/>
      <c r="AC68" s="43"/>
      <c r="AD68" s="43"/>
      <c r="AE68" s="136"/>
      <c r="AF68" s="43"/>
      <c r="AG68" s="205"/>
      <c r="AH68" s="43"/>
      <c r="AI68" s="43"/>
      <c r="AJ68" s="43"/>
      <c r="AK68" s="43"/>
      <c r="AL68" s="43"/>
      <c r="AM68" s="43"/>
      <c r="AN68" s="43"/>
      <c r="AO68" s="43"/>
      <c r="AP68" s="43"/>
      <c r="AQ68" s="136"/>
      <c r="AR68" s="136"/>
      <c r="AS68" s="136"/>
      <c r="AT68" s="136"/>
      <c r="AU68" s="136"/>
      <c r="AV68" s="136"/>
    </row>
    <row r="69" ht="14.25" customHeight="1">
      <c r="A69" s="198" t="s">
        <v>381</v>
      </c>
      <c r="B69" s="43" t="s">
        <v>394</v>
      </c>
      <c r="C69" s="43" t="s">
        <v>339</v>
      </c>
      <c r="D69" s="132"/>
      <c r="E69" s="133">
        <v>1390.0</v>
      </c>
      <c r="F69" s="132">
        <f t="shared" ref="F69:F83" si="7">E69-(E69*$F$4)</f>
        <v>834</v>
      </c>
      <c r="G69" s="132">
        <f>1630-1630*0.42</f>
        <v>945.4</v>
      </c>
      <c r="H69" s="132">
        <v>955.0</v>
      </c>
      <c r="I69" s="133">
        <v>864.0</v>
      </c>
      <c r="J69" s="132">
        <v>835.0</v>
      </c>
      <c r="K69" s="132"/>
      <c r="L69" s="136"/>
      <c r="M69" s="136"/>
      <c r="N69" s="136">
        <v>868.78</v>
      </c>
      <c r="O69" s="136"/>
      <c r="P69" s="136">
        <v>937.0</v>
      </c>
      <c r="Q69" s="136"/>
      <c r="R69" s="132"/>
      <c r="S69" s="136"/>
      <c r="T69" s="136"/>
      <c r="U69" s="136"/>
      <c r="V69" s="136"/>
      <c r="W69" s="136"/>
      <c r="X69" s="136"/>
      <c r="Y69" s="132"/>
      <c r="Z69" s="43" t="s">
        <v>394</v>
      </c>
      <c r="AA69" s="43" t="s">
        <v>381</v>
      </c>
      <c r="AB69" s="172" t="s">
        <v>234</v>
      </c>
      <c r="AC69" s="43" t="s">
        <v>395</v>
      </c>
      <c r="AD69" s="43" t="s">
        <v>236</v>
      </c>
      <c r="AE69" s="136"/>
      <c r="AF69" s="43"/>
      <c r="AG69" s="204" t="s">
        <v>396</v>
      </c>
      <c r="AH69" s="43">
        <v>1.0</v>
      </c>
      <c r="AI69" s="43" t="s">
        <v>385</v>
      </c>
      <c r="AJ69" s="43">
        <v>16.0</v>
      </c>
      <c r="AK69" s="43"/>
      <c r="AL69" s="43"/>
      <c r="AM69" s="43"/>
      <c r="AN69" s="43"/>
      <c r="AO69" s="43"/>
      <c r="AP69" s="43"/>
      <c r="AQ69" s="136"/>
      <c r="AR69" s="136"/>
      <c r="AS69" s="136"/>
      <c r="AT69" s="136"/>
      <c r="AU69" s="136"/>
      <c r="AV69" s="136"/>
    </row>
    <row r="70" ht="14.25" customHeight="1">
      <c r="A70" s="198" t="s">
        <v>381</v>
      </c>
      <c r="B70" s="43" t="s">
        <v>397</v>
      </c>
      <c r="C70" s="43" t="s">
        <v>339</v>
      </c>
      <c r="D70" s="132"/>
      <c r="E70" s="133">
        <v>1530.0</v>
      </c>
      <c r="F70" s="132">
        <f t="shared" si="7"/>
        <v>918</v>
      </c>
      <c r="G70" s="132">
        <f>1790-1790*0.42</f>
        <v>1038.2</v>
      </c>
      <c r="H70" s="132">
        <v>960.0</v>
      </c>
      <c r="I70" s="133">
        <v>950.0</v>
      </c>
      <c r="J70" s="132"/>
      <c r="K70" s="132"/>
      <c r="L70" s="136"/>
      <c r="M70" s="136"/>
      <c r="N70" s="136">
        <v>846.24</v>
      </c>
      <c r="O70" s="136"/>
      <c r="P70" s="136">
        <v>930.0</v>
      </c>
      <c r="Q70" s="136"/>
      <c r="R70" s="132"/>
      <c r="S70" s="136"/>
      <c r="T70" s="136"/>
      <c r="U70" s="136"/>
      <c r="V70" s="136"/>
      <c r="W70" s="136"/>
      <c r="X70" s="136"/>
      <c r="Y70" s="132"/>
      <c r="Z70" s="43" t="s">
        <v>397</v>
      </c>
      <c r="AA70" s="43" t="s">
        <v>381</v>
      </c>
      <c r="AB70" s="172" t="s">
        <v>234</v>
      </c>
      <c r="AC70" s="43" t="s">
        <v>398</v>
      </c>
      <c r="AD70" s="43" t="s">
        <v>236</v>
      </c>
      <c r="AE70" s="136"/>
      <c r="AF70" s="43"/>
      <c r="AG70" s="204" t="s">
        <v>396</v>
      </c>
      <c r="AH70" s="43">
        <v>1.0</v>
      </c>
      <c r="AI70" s="43" t="s">
        <v>399</v>
      </c>
      <c r="AJ70" s="43">
        <v>16.0</v>
      </c>
      <c r="AK70" s="43"/>
      <c r="AL70" s="43"/>
      <c r="AM70" s="43"/>
      <c r="AN70" s="43"/>
      <c r="AO70" s="43"/>
      <c r="AP70" s="43"/>
      <c r="AQ70" s="136"/>
      <c r="AR70" s="136"/>
      <c r="AS70" s="136"/>
      <c r="AT70" s="136"/>
      <c r="AU70" s="136"/>
      <c r="AV70" s="136"/>
    </row>
    <row r="71" ht="14.25" customHeight="1">
      <c r="A71" s="198" t="s">
        <v>381</v>
      </c>
      <c r="B71" s="43" t="s">
        <v>400</v>
      </c>
      <c r="C71" s="43" t="s">
        <v>339</v>
      </c>
      <c r="D71" s="132"/>
      <c r="E71" s="133">
        <v>1696.0</v>
      </c>
      <c r="F71" s="132">
        <f t="shared" si="7"/>
        <v>1017.6</v>
      </c>
      <c r="G71" s="132">
        <f>1980-1980*0.42</f>
        <v>1148.4</v>
      </c>
      <c r="H71" s="132"/>
      <c r="I71" s="133">
        <v>1052.0</v>
      </c>
      <c r="J71" s="132">
        <v>912.0</v>
      </c>
      <c r="K71" s="132"/>
      <c r="L71" s="136"/>
      <c r="M71" s="136"/>
      <c r="N71" s="136">
        <v>1055.54</v>
      </c>
      <c r="O71" s="136"/>
      <c r="P71" s="136">
        <v>1031.0</v>
      </c>
      <c r="Q71" s="136"/>
      <c r="R71" s="132"/>
      <c r="S71" s="136"/>
      <c r="T71" s="136"/>
      <c r="U71" s="136"/>
      <c r="V71" s="136"/>
      <c r="W71" s="136"/>
      <c r="X71" s="136"/>
      <c r="Y71" s="132"/>
      <c r="Z71" s="43" t="s">
        <v>400</v>
      </c>
      <c r="AA71" s="43" t="s">
        <v>381</v>
      </c>
      <c r="AB71" s="172" t="s">
        <v>234</v>
      </c>
      <c r="AC71" s="43" t="s">
        <v>401</v>
      </c>
      <c r="AD71" s="43" t="s">
        <v>236</v>
      </c>
      <c r="AE71" s="136"/>
      <c r="AF71" s="43"/>
      <c r="AG71" s="204" t="s">
        <v>396</v>
      </c>
      <c r="AH71" s="43">
        <v>1.0</v>
      </c>
      <c r="AI71" s="43" t="s">
        <v>402</v>
      </c>
      <c r="AJ71" s="43">
        <v>16.0</v>
      </c>
      <c r="AK71" s="43"/>
      <c r="AL71" s="43"/>
      <c r="AM71" s="43"/>
      <c r="AN71" s="43"/>
      <c r="AO71" s="43"/>
      <c r="AP71" s="43"/>
      <c r="AQ71" s="136"/>
      <c r="AR71" s="136"/>
      <c r="AS71" s="136"/>
      <c r="AT71" s="136"/>
      <c r="AU71" s="136"/>
      <c r="AV71" s="136"/>
    </row>
    <row r="72" ht="14.25" customHeight="1">
      <c r="A72" s="198" t="s">
        <v>381</v>
      </c>
      <c r="B72" s="43" t="s">
        <v>403</v>
      </c>
      <c r="C72" s="43" t="s">
        <v>339</v>
      </c>
      <c r="D72" s="132"/>
      <c r="E72" s="133">
        <v>1540.0</v>
      </c>
      <c r="F72" s="132">
        <f t="shared" si="7"/>
        <v>924</v>
      </c>
      <c r="G72" s="132">
        <f>1800-1800*0.42</f>
        <v>1044</v>
      </c>
      <c r="H72" s="132">
        <v>1040.0</v>
      </c>
      <c r="I72" s="133">
        <v>956.0</v>
      </c>
      <c r="J72" s="132">
        <v>925.0</v>
      </c>
      <c r="K72" s="132"/>
      <c r="L72" s="136"/>
      <c r="M72" s="136">
        <v>989.0</v>
      </c>
      <c r="N72" s="136">
        <v>959.0</v>
      </c>
      <c r="O72" s="136"/>
      <c r="P72" s="136">
        <v>950.0</v>
      </c>
      <c r="Q72" s="136"/>
      <c r="R72" s="132">
        <v>885.89</v>
      </c>
      <c r="S72" s="136"/>
      <c r="T72" s="136"/>
      <c r="U72" s="136"/>
      <c r="V72" s="136"/>
      <c r="W72" s="136"/>
      <c r="X72" s="136"/>
      <c r="Y72" s="132"/>
      <c r="Z72" s="43" t="s">
        <v>403</v>
      </c>
      <c r="AA72" s="43" t="s">
        <v>381</v>
      </c>
      <c r="AB72" s="172" t="s">
        <v>234</v>
      </c>
      <c r="AC72" s="43" t="s">
        <v>395</v>
      </c>
      <c r="AD72" s="43" t="s">
        <v>236</v>
      </c>
      <c r="AE72" s="136"/>
      <c r="AF72" s="43"/>
      <c r="AG72" s="204" t="s">
        <v>396</v>
      </c>
      <c r="AH72" s="43">
        <v>1.0</v>
      </c>
      <c r="AI72" s="43" t="s">
        <v>404</v>
      </c>
      <c r="AJ72" s="43">
        <v>19.9</v>
      </c>
      <c r="AK72" s="43"/>
      <c r="AL72" s="43"/>
      <c r="AM72" s="43"/>
      <c r="AN72" s="43"/>
      <c r="AO72" s="43"/>
      <c r="AP72" s="43"/>
      <c r="AQ72" s="136"/>
      <c r="AR72" s="136"/>
      <c r="AS72" s="136"/>
      <c r="AT72" s="136"/>
      <c r="AU72" s="136"/>
      <c r="AV72" s="136"/>
    </row>
    <row r="73" ht="14.25" customHeight="1">
      <c r="A73" s="198" t="s">
        <v>381</v>
      </c>
      <c r="B73" s="43" t="s">
        <v>405</v>
      </c>
      <c r="C73" s="43" t="s">
        <v>339</v>
      </c>
      <c r="D73" s="132"/>
      <c r="E73" s="133">
        <v>1690.0</v>
      </c>
      <c r="F73" s="132">
        <f t="shared" si="7"/>
        <v>1014</v>
      </c>
      <c r="G73" s="132">
        <f>1980-1980*0.42</f>
        <v>1148.4</v>
      </c>
      <c r="H73" s="132">
        <v>1168.0</v>
      </c>
      <c r="I73" s="133">
        <v>1048.0</v>
      </c>
      <c r="J73" s="132">
        <v>1015.0</v>
      </c>
      <c r="K73" s="132"/>
      <c r="L73" s="136"/>
      <c r="M73" s="136">
        <v>1088.0</v>
      </c>
      <c r="N73" s="136">
        <v>1051.76</v>
      </c>
      <c r="O73" s="136"/>
      <c r="P73" s="136">
        <v>1032.0</v>
      </c>
      <c r="Q73" s="136"/>
      <c r="R73" s="132"/>
      <c r="S73" s="136"/>
      <c r="T73" s="136"/>
      <c r="U73" s="136"/>
      <c r="V73" s="136"/>
      <c r="W73" s="136"/>
      <c r="X73" s="136"/>
      <c r="Y73" s="132"/>
      <c r="Z73" s="43" t="s">
        <v>405</v>
      </c>
      <c r="AA73" s="43" t="s">
        <v>381</v>
      </c>
      <c r="AB73" s="172" t="s">
        <v>234</v>
      </c>
      <c r="AC73" s="43" t="s">
        <v>398</v>
      </c>
      <c r="AD73" s="43" t="s">
        <v>236</v>
      </c>
      <c r="AE73" s="136"/>
      <c r="AF73" s="43"/>
      <c r="AG73" s="204" t="s">
        <v>396</v>
      </c>
      <c r="AH73" s="43">
        <v>1.0</v>
      </c>
      <c r="AI73" s="43" t="s">
        <v>406</v>
      </c>
      <c r="AJ73" s="43">
        <v>19.9</v>
      </c>
      <c r="AK73" s="43"/>
      <c r="AL73" s="43"/>
      <c r="AM73" s="43"/>
      <c r="AN73" s="43"/>
      <c r="AO73" s="43"/>
      <c r="AP73" s="43"/>
      <c r="AQ73" s="136"/>
      <c r="AR73" s="136"/>
      <c r="AS73" s="136"/>
      <c r="AT73" s="136"/>
      <c r="AU73" s="136"/>
      <c r="AV73" s="136"/>
    </row>
    <row r="74" ht="14.25" customHeight="1">
      <c r="A74" s="198" t="s">
        <v>381</v>
      </c>
      <c r="B74" s="43" t="s">
        <v>407</v>
      </c>
      <c r="C74" s="43" t="s">
        <v>339</v>
      </c>
      <c r="D74" s="132"/>
      <c r="E74" s="133">
        <v>1784.0</v>
      </c>
      <c r="F74" s="132">
        <f t="shared" si="7"/>
        <v>1070.4</v>
      </c>
      <c r="G74" s="132">
        <f>2090-2090*0.42</f>
        <v>1212.2</v>
      </c>
      <c r="H74" s="132">
        <v>1240.0</v>
      </c>
      <c r="I74" s="133">
        <v>1105.0</v>
      </c>
      <c r="J74" s="132">
        <v>1070.0</v>
      </c>
      <c r="K74" s="132"/>
      <c r="L74" s="136"/>
      <c r="M74" s="136">
        <v>1147.0</v>
      </c>
      <c r="N74" s="136">
        <v>1109.76</v>
      </c>
      <c r="O74" s="136"/>
      <c r="P74" s="136">
        <v>1085.0</v>
      </c>
      <c r="Q74" s="136"/>
      <c r="R74" s="132">
        <v>1033.0</v>
      </c>
      <c r="S74" s="136"/>
      <c r="T74" s="136"/>
      <c r="U74" s="136"/>
      <c r="V74" s="136"/>
      <c r="W74" s="136"/>
      <c r="X74" s="136"/>
      <c r="Y74" s="132"/>
      <c r="Z74" s="43" t="s">
        <v>407</v>
      </c>
      <c r="AA74" s="43" t="s">
        <v>381</v>
      </c>
      <c r="AB74" s="172" t="s">
        <v>234</v>
      </c>
      <c r="AC74" s="43" t="s">
        <v>401</v>
      </c>
      <c r="AD74" s="43" t="s">
        <v>236</v>
      </c>
      <c r="AE74" s="136"/>
      <c r="AF74" s="43"/>
      <c r="AG74" s="204" t="s">
        <v>396</v>
      </c>
      <c r="AH74" s="43">
        <v>1.0</v>
      </c>
      <c r="AI74" s="43" t="s">
        <v>408</v>
      </c>
      <c r="AJ74" s="43">
        <v>19.9</v>
      </c>
      <c r="AK74" s="43"/>
      <c r="AL74" s="43"/>
      <c r="AM74" s="43"/>
      <c r="AN74" s="43"/>
      <c r="AO74" s="43"/>
      <c r="AP74" s="43"/>
      <c r="AQ74" s="136"/>
      <c r="AR74" s="136"/>
      <c r="AS74" s="136"/>
      <c r="AT74" s="136"/>
      <c r="AU74" s="136"/>
      <c r="AV74" s="136"/>
    </row>
    <row r="75" ht="14.25" customHeight="1">
      <c r="A75" s="198" t="s">
        <v>381</v>
      </c>
      <c r="B75" s="43" t="s">
        <v>409</v>
      </c>
      <c r="C75" s="43" t="s">
        <v>339</v>
      </c>
      <c r="D75" s="132"/>
      <c r="E75" s="133">
        <v>1813.0</v>
      </c>
      <c r="F75" s="132">
        <f t="shared" si="7"/>
        <v>1087.8</v>
      </c>
      <c r="G75" s="132">
        <f>2120-2120*0.42</f>
        <v>1229.6</v>
      </c>
      <c r="H75" s="132">
        <v>1250.0</v>
      </c>
      <c r="I75" s="133">
        <v>1123.0</v>
      </c>
      <c r="J75" s="132">
        <v>1090.0</v>
      </c>
      <c r="K75" s="132"/>
      <c r="L75" s="136"/>
      <c r="M75" s="136">
        <v>1167.0</v>
      </c>
      <c r="N75" s="136">
        <v>1127.41</v>
      </c>
      <c r="O75" s="136"/>
      <c r="P75" s="136">
        <v>1029.0</v>
      </c>
      <c r="Q75" s="136"/>
      <c r="R75" s="132">
        <v>1033.0</v>
      </c>
      <c r="S75" s="136"/>
      <c r="T75" s="136"/>
      <c r="U75" s="136"/>
      <c r="V75" s="136"/>
      <c r="W75" s="136"/>
      <c r="X75" s="136"/>
      <c r="Y75" s="132"/>
      <c r="Z75" s="43" t="s">
        <v>409</v>
      </c>
      <c r="AA75" s="43" t="s">
        <v>381</v>
      </c>
      <c r="AB75" s="172" t="s">
        <v>234</v>
      </c>
      <c r="AC75" s="43" t="s">
        <v>410</v>
      </c>
      <c r="AD75" s="43" t="s">
        <v>236</v>
      </c>
      <c r="AE75" s="136"/>
      <c r="AF75" s="43"/>
      <c r="AG75" s="204" t="s">
        <v>396</v>
      </c>
      <c r="AH75" s="43">
        <v>1.0</v>
      </c>
      <c r="AI75" s="43" t="s">
        <v>385</v>
      </c>
      <c r="AJ75" s="43">
        <v>19.9</v>
      </c>
      <c r="AK75" s="43"/>
      <c r="AL75" s="43"/>
      <c r="AM75" s="43"/>
      <c r="AN75" s="43"/>
      <c r="AO75" s="43"/>
      <c r="AP75" s="43"/>
      <c r="AQ75" s="136"/>
      <c r="AR75" s="136"/>
      <c r="AS75" s="136"/>
      <c r="AT75" s="136"/>
      <c r="AU75" s="136"/>
      <c r="AV75" s="136"/>
    </row>
    <row r="76" ht="14.25" customHeight="1">
      <c r="A76" s="198" t="s">
        <v>381</v>
      </c>
      <c r="B76" s="43" t="s">
        <v>411</v>
      </c>
      <c r="C76" s="43" t="s">
        <v>339</v>
      </c>
      <c r="D76" s="132"/>
      <c r="E76" s="133">
        <v>1851.0</v>
      </c>
      <c r="F76" s="132">
        <f t="shared" si="7"/>
        <v>1110.6</v>
      </c>
      <c r="G76" s="132">
        <f>2160-2160*0.42</f>
        <v>1252.8</v>
      </c>
      <c r="H76" s="132">
        <v>1274.0</v>
      </c>
      <c r="I76" s="133">
        <v>1147.0</v>
      </c>
      <c r="J76" s="132">
        <v>1110.0</v>
      </c>
      <c r="K76" s="132"/>
      <c r="L76" s="136"/>
      <c r="M76" s="136">
        <v>1196.0</v>
      </c>
      <c r="N76" s="136">
        <v>1150.06</v>
      </c>
      <c r="O76" s="136"/>
      <c r="P76" s="136">
        <v>1078.0</v>
      </c>
      <c r="Q76" s="136"/>
      <c r="R76" s="132">
        <v>1055.0</v>
      </c>
      <c r="S76" s="136"/>
      <c r="T76" s="136"/>
      <c r="U76" s="136"/>
      <c r="V76" s="136"/>
      <c r="W76" s="136"/>
      <c r="X76" s="136"/>
      <c r="Y76" s="132"/>
      <c r="Z76" s="43" t="s">
        <v>411</v>
      </c>
      <c r="AA76" s="43" t="s">
        <v>381</v>
      </c>
      <c r="AB76" s="172" t="s">
        <v>234</v>
      </c>
      <c r="AC76" s="43" t="s">
        <v>412</v>
      </c>
      <c r="AD76" s="43" t="s">
        <v>236</v>
      </c>
      <c r="AE76" s="136"/>
      <c r="AF76" s="43"/>
      <c r="AG76" s="204" t="s">
        <v>396</v>
      </c>
      <c r="AH76" s="43">
        <v>1.0</v>
      </c>
      <c r="AI76" s="43" t="s">
        <v>385</v>
      </c>
      <c r="AJ76" s="43">
        <v>19.9</v>
      </c>
      <c r="AK76" s="43"/>
      <c r="AL76" s="43"/>
      <c r="AM76" s="43"/>
      <c r="AN76" s="43"/>
      <c r="AO76" s="43"/>
      <c r="AP76" s="43"/>
      <c r="AQ76" s="136"/>
      <c r="AR76" s="136"/>
      <c r="AS76" s="136"/>
      <c r="AT76" s="136"/>
      <c r="AU76" s="136"/>
      <c r="AV76" s="136"/>
    </row>
    <row r="77" ht="14.25" customHeight="1">
      <c r="A77" s="198" t="s">
        <v>381</v>
      </c>
      <c r="B77" s="43" t="s">
        <v>413</v>
      </c>
      <c r="C77" s="43" t="s">
        <v>339</v>
      </c>
      <c r="D77" s="132"/>
      <c r="E77" s="133">
        <v>2298.0</v>
      </c>
      <c r="F77" s="132">
        <f t="shared" si="7"/>
        <v>1378.8</v>
      </c>
      <c r="G77" s="132">
        <f>2670-2670*0.42</f>
        <v>1548.6</v>
      </c>
      <c r="H77" s="132">
        <v>1580.0</v>
      </c>
      <c r="I77" s="133">
        <v>1420.0</v>
      </c>
      <c r="J77" s="132">
        <v>1375.0</v>
      </c>
      <c r="K77" s="132"/>
      <c r="L77" s="136"/>
      <c r="M77" s="136">
        <v>1483.0</v>
      </c>
      <c r="N77" s="136">
        <v>1427.5</v>
      </c>
      <c r="O77" s="136"/>
      <c r="P77" s="136">
        <v>1230.0</v>
      </c>
      <c r="Q77" s="136"/>
      <c r="R77" s="132">
        <v>1309.0</v>
      </c>
      <c r="S77" s="136"/>
      <c r="T77" s="136"/>
      <c r="U77" s="136"/>
      <c r="V77" s="136"/>
      <c r="W77" s="136"/>
      <c r="X77" s="136"/>
      <c r="Y77" s="132"/>
      <c r="Z77" s="43" t="s">
        <v>413</v>
      </c>
      <c r="AA77" s="43" t="s">
        <v>381</v>
      </c>
      <c r="AB77" s="172" t="s">
        <v>234</v>
      </c>
      <c r="AC77" s="43" t="s">
        <v>414</v>
      </c>
      <c r="AD77" s="43" t="s">
        <v>236</v>
      </c>
      <c r="AE77" s="136"/>
      <c r="AF77" s="43"/>
      <c r="AG77" s="204" t="s">
        <v>396</v>
      </c>
      <c r="AH77" s="43">
        <v>1.0</v>
      </c>
      <c r="AI77" s="43" t="s">
        <v>385</v>
      </c>
      <c r="AJ77" s="43">
        <v>21.9</v>
      </c>
      <c r="AK77" s="43"/>
      <c r="AL77" s="43"/>
      <c r="AM77" s="43"/>
      <c r="AN77" s="43"/>
      <c r="AO77" s="43"/>
      <c r="AP77" s="43"/>
      <c r="AQ77" s="136"/>
      <c r="AR77" s="136"/>
      <c r="AS77" s="136"/>
      <c r="AT77" s="136"/>
      <c r="AU77" s="136"/>
      <c r="AV77" s="136"/>
    </row>
    <row r="78" ht="14.25" customHeight="1">
      <c r="A78" s="198" t="s">
        <v>381</v>
      </c>
      <c r="B78" s="43" t="s">
        <v>415</v>
      </c>
      <c r="C78" s="43" t="s">
        <v>339</v>
      </c>
      <c r="D78" s="132"/>
      <c r="E78" s="133">
        <v>2541.0</v>
      </c>
      <c r="F78" s="132">
        <f t="shared" si="7"/>
        <v>1524.6</v>
      </c>
      <c r="G78" s="132">
        <f>2950-2950*0.42</f>
        <v>1711</v>
      </c>
      <c r="H78" s="132">
        <v>1740.0</v>
      </c>
      <c r="I78" s="133">
        <v>1569.0</v>
      </c>
      <c r="J78" s="132">
        <v>1520.0</v>
      </c>
      <c r="K78" s="132"/>
      <c r="L78" s="136"/>
      <c r="M78" s="136">
        <v>1641.0</v>
      </c>
      <c r="N78" s="136">
        <v>1578.17</v>
      </c>
      <c r="O78" s="136"/>
      <c r="P78" s="136">
        <v>1358.0</v>
      </c>
      <c r="Q78" s="136"/>
      <c r="R78" s="132">
        <v>1448.0</v>
      </c>
      <c r="S78" s="136"/>
      <c r="T78" s="136"/>
      <c r="U78" s="136"/>
      <c r="V78" s="136"/>
      <c r="W78" s="136"/>
      <c r="X78" s="136"/>
      <c r="Y78" s="132"/>
      <c r="Z78" s="43" t="s">
        <v>415</v>
      </c>
      <c r="AA78" s="43" t="s">
        <v>381</v>
      </c>
      <c r="AB78" s="172" t="s">
        <v>234</v>
      </c>
      <c r="AC78" s="43" t="s">
        <v>416</v>
      </c>
      <c r="AD78" s="43" t="s">
        <v>236</v>
      </c>
      <c r="AE78" s="136"/>
      <c r="AF78" s="43"/>
      <c r="AG78" s="204" t="s">
        <v>396</v>
      </c>
      <c r="AH78" s="43">
        <v>1.0</v>
      </c>
      <c r="AI78" s="43" t="s">
        <v>385</v>
      </c>
      <c r="AJ78" s="43">
        <v>21.9</v>
      </c>
      <c r="AK78" s="43"/>
      <c r="AL78" s="43"/>
      <c r="AM78" s="43"/>
      <c r="AN78" s="43"/>
      <c r="AO78" s="43"/>
      <c r="AP78" s="43"/>
      <c r="AQ78" s="136"/>
      <c r="AR78" s="136"/>
      <c r="AS78" s="136"/>
      <c r="AT78" s="136"/>
      <c r="AU78" s="136"/>
      <c r="AV78" s="136"/>
    </row>
    <row r="79" ht="14.25" customHeight="1">
      <c r="A79" s="198" t="s">
        <v>381</v>
      </c>
      <c r="B79" s="43" t="s">
        <v>417</v>
      </c>
      <c r="C79" s="43" t="s">
        <v>339</v>
      </c>
      <c r="D79" s="132"/>
      <c r="E79" s="133">
        <v>2671.0</v>
      </c>
      <c r="F79" s="132">
        <f t="shared" si="7"/>
        <v>1602.6</v>
      </c>
      <c r="G79" s="132">
        <f>3100-3100*0.42</f>
        <v>1798</v>
      </c>
      <c r="H79" s="132">
        <v>1895.0</v>
      </c>
      <c r="I79" s="133">
        <v>1652.0</v>
      </c>
      <c r="J79" s="132">
        <v>1600.0</v>
      </c>
      <c r="K79" s="132"/>
      <c r="L79" s="136"/>
      <c r="M79" s="136" t="s">
        <v>418</v>
      </c>
      <c r="N79" s="136">
        <v>1633.57</v>
      </c>
      <c r="O79" s="136"/>
      <c r="P79" s="136">
        <v>1480.0</v>
      </c>
      <c r="Q79" s="136"/>
      <c r="R79" s="132">
        <v>1491.0</v>
      </c>
      <c r="S79" s="136"/>
      <c r="T79" s="136"/>
      <c r="U79" s="136"/>
      <c r="V79" s="136"/>
      <c r="W79" s="136"/>
      <c r="X79" s="136"/>
      <c r="Y79" s="132"/>
      <c r="Z79" s="43" t="s">
        <v>417</v>
      </c>
      <c r="AA79" s="43" t="s">
        <v>381</v>
      </c>
      <c r="AB79" s="172" t="s">
        <v>234</v>
      </c>
      <c r="AC79" s="43" t="s">
        <v>419</v>
      </c>
      <c r="AD79" s="43" t="s">
        <v>236</v>
      </c>
      <c r="AE79" s="136"/>
      <c r="AF79" s="43"/>
      <c r="AG79" s="204" t="s">
        <v>396</v>
      </c>
      <c r="AH79" s="43">
        <v>1.0</v>
      </c>
      <c r="AI79" s="43" t="s">
        <v>420</v>
      </c>
      <c r="AJ79" s="43">
        <v>34.8</v>
      </c>
      <c r="AK79" s="43"/>
      <c r="AL79" s="43"/>
      <c r="AM79" s="43"/>
      <c r="AN79" s="43"/>
      <c r="AO79" s="43"/>
      <c r="AP79" s="43"/>
      <c r="AQ79" s="136"/>
      <c r="AR79" s="136"/>
      <c r="AS79" s="136"/>
      <c r="AT79" s="136"/>
      <c r="AU79" s="136"/>
      <c r="AV79" s="136"/>
    </row>
    <row r="80" ht="14.25" customHeight="1">
      <c r="A80" s="198" t="s">
        <v>381</v>
      </c>
      <c r="B80" s="43" t="s">
        <v>421</v>
      </c>
      <c r="C80" s="43" t="s">
        <v>339</v>
      </c>
      <c r="D80" s="132"/>
      <c r="E80" s="133">
        <v>2925.0</v>
      </c>
      <c r="F80" s="132">
        <f t="shared" si="7"/>
        <v>1755</v>
      </c>
      <c r="G80" s="132"/>
      <c r="H80" s="132"/>
      <c r="I80" s="133"/>
      <c r="J80" s="132">
        <v>1810.0</v>
      </c>
      <c r="K80" s="132"/>
      <c r="L80" s="136"/>
      <c r="M80" s="136"/>
      <c r="N80" s="136">
        <v>1853.26</v>
      </c>
      <c r="O80" s="136"/>
      <c r="P80" s="136"/>
      <c r="Q80" s="136"/>
      <c r="R80" s="132">
        <v>1696.0</v>
      </c>
      <c r="S80" s="136"/>
      <c r="T80" s="136"/>
      <c r="U80" s="136"/>
      <c r="V80" s="136"/>
      <c r="W80" s="136"/>
      <c r="X80" s="136"/>
      <c r="Y80" s="132"/>
      <c r="Z80" s="43" t="s">
        <v>421</v>
      </c>
      <c r="AA80" s="43" t="s">
        <v>381</v>
      </c>
      <c r="AB80" s="172" t="s">
        <v>234</v>
      </c>
      <c r="AC80" s="43" t="s">
        <v>422</v>
      </c>
      <c r="AD80" s="43" t="s">
        <v>236</v>
      </c>
      <c r="AE80" s="136"/>
      <c r="AF80" s="43"/>
      <c r="AG80" s="204" t="s">
        <v>396</v>
      </c>
      <c r="AH80" s="43">
        <v>1.0</v>
      </c>
      <c r="AI80" s="43" t="s">
        <v>420</v>
      </c>
      <c r="AJ80" s="43">
        <v>34.8</v>
      </c>
      <c r="AK80" s="43"/>
      <c r="AL80" s="43"/>
      <c r="AM80" s="43"/>
      <c r="AN80" s="43"/>
      <c r="AO80" s="43"/>
      <c r="AP80" s="43"/>
      <c r="AQ80" s="136"/>
      <c r="AR80" s="136"/>
      <c r="AS80" s="136"/>
      <c r="AT80" s="136"/>
      <c r="AU80" s="136"/>
      <c r="AV80" s="136"/>
    </row>
    <row r="81" ht="14.25" customHeight="1">
      <c r="A81" s="198" t="s">
        <v>381</v>
      </c>
      <c r="B81" s="43" t="s">
        <v>423</v>
      </c>
      <c r="C81" s="43" t="s">
        <v>339</v>
      </c>
      <c r="D81" s="132"/>
      <c r="E81" s="133">
        <v>2946.0</v>
      </c>
      <c r="F81" s="132">
        <f t="shared" si="7"/>
        <v>1767.6</v>
      </c>
      <c r="G81" s="132"/>
      <c r="H81" s="132"/>
      <c r="I81" s="133"/>
      <c r="J81" s="132">
        <v>1825.0</v>
      </c>
      <c r="K81" s="132"/>
      <c r="L81" s="136"/>
      <c r="M81" s="136"/>
      <c r="N81" s="136">
        <v>1866.07</v>
      </c>
      <c r="O81" s="136"/>
      <c r="P81" s="136">
        <v>1758.0</v>
      </c>
      <c r="Q81" s="136"/>
      <c r="R81" s="132">
        <v>1703.0</v>
      </c>
      <c r="S81" s="136"/>
      <c r="T81" s="136"/>
      <c r="U81" s="136"/>
      <c r="V81" s="136"/>
      <c r="W81" s="136"/>
      <c r="X81" s="136"/>
      <c r="Y81" s="132"/>
      <c r="Z81" s="43" t="s">
        <v>423</v>
      </c>
      <c r="AA81" s="43" t="s">
        <v>381</v>
      </c>
      <c r="AB81" s="172" t="s">
        <v>234</v>
      </c>
      <c r="AC81" s="43" t="s">
        <v>424</v>
      </c>
      <c r="AD81" s="43" t="s">
        <v>236</v>
      </c>
      <c r="AE81" s="136"/>
      <c r="AF81" s="43"/>
      <c r="AG81" s="204" t="s">
        <v>396</v>
      </c>
      <c r="AH81" s="43">
        <v>1.0</v>
      </c>
      <c r="AI81" s="43" t="s">
        <v>420</v>
      </c>
      <c r="AJ81" s="43">
        <v>43.4</v>
      </c>
      <c r="AK81" s="43"/>
      <c r="AL81" s="43"/>
      <c r="AM81" s="43"/>
      <c r="AN81" s="43"/>
      <c r="AO81" s="43"/>
      <c r="AP81" s="43"/>
      <c r="AQ81" s="136"/>
      <c r="AR81" s="136"/>
      <c r="AS81" s="136"/>
      <c r="AT81" s="136"/>
      <c r="AU81" s="136"/>
      <c r="AV81" s="136"/>
    </row>
    <row r="82" ht="14.25" customHeight="1">
      <c r="A82" s="198" t="s">
        <v>381</v>
      </c>
      <c r="B82" s="43" t="s">
        <v>425</v>
      </c>
      <c r="C82" s="43" t="s">
        <v>339</v>
      </c>
      <c r="D82" s="132"/>
      <c r="E82" s="133">
        <v>3144.0</v>
      </c>
      <c r="F82" s="132">
        <f t="shared" si="7"/>
        <v>1886.4</v>
      </c>
      <c r="G82" s="132"/>
      <c r="H82" s="132"/>
      <c r="I82" s="133"/>
      <c r="J82" s="132">
        <v>1945.0</v>
      </c>
      <c r="K82" s="132"/>
      <c r="L82" s="136"/>
      <c r="M82" s="136"/>
      <c r="N82" s="136">
        <v>1992.09</v>
      </c>
      <c r="O82" s="136"/>
      <c r="P82" s="136">
        <v>1870.0</v>
      </c>
      <c r="Q82" s="136"/>
      <c r="R82" s="132">
        <v>1835.0</v>
      </c>
      <c r="S82" s="136"/>
      <c r="T82" s="136"/>
      <c r="U82" s="136"/>
      <c r="V82" s="136"/>
      <c r="W82" s="136"/>
      <c r="X82" s="136"/>
      <c r="Y82" s="132"/>
      <c r="Z82" s="43" t="s">
        <v>425</v>
      </c>
      <c r="AA82" s="43" t="s">
        <v>381</v>
      </c>
      <c r="AB82" s="172" t="s">
        <v>234</v>
      </c>
      <c r="AC82" s="43" t="s">
        <v>426</v>
      </c>
      <c r="AD82" s="43" t="s">
        <v>236</v>
      </c>
      <c r="AE82" s="136"/>
      <c r="AF82" s="43"/>
      <c r="AG82" s="204" t="s">
        <v>396</v>
      </c>
      <c r="AH82" s="43">
        <v>1.0</v>
      </c>
      <c r="AI82" s="43" t="s">
        <v>420</v>
      </c>
      <c r="AJ82" s="43">
        <v>43.4</v>
      </c>
      <c r="AK82" s="43"/>
      <c r="AL82" s="43"/>
      <c r="AM82" s="43"/>
      <c r="AN82" s="43"/>
      <c r="AO82" s="43"/>
      <c r="AP82" s="43"/>
      <c r="AQ82" s="136"/>
      <c r="AR82" s="136"/>
      <c r="AS82" s="136"/>
      <c r="AT82" s="136"/>
      <c r="AU82" s="136"/>
      <c r="AV82" s="136"/>
    </row>
    <row r="83" ht="14.25" customHeight="1">
      <c r="A83" s="198" t="s">
        <v>381</v>
      </c>
      <c r="B83" s="43" t="s">
        <v>427</v>
      </c>
      <c r="C83" s="43" t="s">
        <v>339</v>
      </c>
      <c r="D83" s="132"/>
      <c r="E83" s="133">
        <v>3284.0</v>
      </c>
      <c r="F83" s="132">
        <f t="shared" si="7"/>
        <v>1970.4</v>
      </c>
      <c r="G83" s="132"/>
      <c r="H83" s="132"/>
      <c r="I83" s="133"/>
      <c r="J83" s="132">
        <v>2035.0</v>
      </c>
      <c r="K83" s="132"/>
      <c r="L83" s="136"/>
      <c r="M83" s="136"/>
      <c r="N83" s="136">
        <v>2218.37</v>
      </c>
      <c r="O83" s="136"/>
      <c r="P83" s="136"/>
      <c r="Q83" s="136"/>
      <c r="R83" s="132"/>
      <c r="S83" s="136"/>
      <c r="T83" s="136"/>
      <c r="U83" s="136"/>
      <c r="V83" s="136"/>
      <c r="W83" s="136"/>
      <c r="X83" s="136"/>
      <c r="Y83" s="132"/>
      <c r="Z83" s="43" t="s">
        <v>427</v>
      </c>
      <c r="AA83" s="43" t="s">
        <v>381</v>
      </c>
      <c r="AB83" s="172" t="s">
        <v>234</v>
      </c>
      <c r="AC83" s="43" t="s">
        <v>428</v>
      </c>
      <c r="AD83" s="43" t="s">
        <v>236</v>
      </c>
      <c r="AE83" s="136"/>
      <c r="AF83" s="43"/>
      <c r="AG83" s="204" t="s">
        <v>396</v>
      </c>
      <c r="AH83" s="43">
        <v>1.0</v>
      </c>
      <c r="AI83" s="43" t="s">
        <v>420</v>
      </c>
      <c r="AJ83" s="43">
        <v>43.4</v>
      </c>
      <c r="AK83" s="43"/>
      <c r="AL83" s="43"/>
      <c r="AM83" s="43"/>
      <c r="AN83" s="43"/>
      <c r="AO83" s="43"/>
      <c r="AP83" s="43"/>
      <c r="AQ83" s="136"/>
      <c r="AR83" s="136"/>
      <c r="AS83" s="136"/>
      <c r="AT83" s="136"/>
      <c r="AU83" s="136"/>
      <c r="AV83" s="136"/>
    </row>
    <row r="84" ht="14.25" customHeight="1">
      <c r="A84" s="198"/>
      <c r="B84" s="43"/>
      <c r="C84" s="43"/>
      <c r="D84" s="132"/>
      <c r="E84" s="133"/>
      <c r="F84" s="132"/>
      <c r="G84" s="132"/>
      <c r="H84" s="132"/>
      <c r="I84" s="133"/>
      <c r="J84" s="132"/>
      <c r="K84" s="132"/>
      <c r="L84" s="136"/>
      <c r="M84" s="136"/>
      <c r="N84" s="136"/>
      <c r="O84" s="136"/>
      <c r="P84" s="136"/>
      <c r="Q84" s="136"/>
      <c r="R84" s="132"/>
      <c r="S84" s="136"/>
      <c r="T84" s="136"/>
      <c r="U84" s="136"/>
      <c r="V84" s="136"/>
      <c r="W84" s="136"/>
      <c r="X84" s="136"/>
      <c r="Y84" s="132"/>
      <c r="Z84" s="43"/>
      <c r="AA84" s="43"/>
      <c r="AB84" s="172"/>
      <c r="AC84" s="43"/>
      <c r="AD84" s="43"/>
      <c r="AE84" s="136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136"/>
      <c r="AR84" s="136"/>
      <c r="AS84" s="136"/>
      <c r="AT84" s="136"/>
      <c r="AU84" s="136"/>
      <c r="AV84" s="136"/>
    </row>
    <row r="85" ht="14.25" customHeight="1">
      <c r="A85" s="210" t="s">
        <v>381</v>
      </c>
      <c r="B85" s="211" t="s">
        <v>429</v>
      </c>
      <c r="C85" s="211" t="s">
        <v>430</v>
      </c>
      <c r="D85" s="212"/>
      <c r="E85" s="213">
        <v>2266.0</v>
      </c>
      <c r="F85" s="212">
        <f t="shared" ref="F85:F106" si="8">E85-(E85*$F$4)</f>
        <v>1359.6</v>
      </c>
      <c r="G85" s="212"/>
      <c r="H85" s="212"/>
      <c r="I85" s="213"/>
      <c r="J85" s="212"/>
      <c r="K85" s="212"/>
      <c r="L85" s="214"/>
      <c r="M85" s="214">
        <v>1074.0</v>
      </c>
      <c r="N85" s="214"/>
      <c r="O85" s="214"/>
      <c r="P85" s="214"/>
      <c r="Q85" s="214"/>
      <c r="R85" s="212">
        <v>933.0</v>
      </c>
      <c r="S85" s="215"/>
      <c r="T85" s="215"/>
      <c r="U85" s="215"/>
      <c r="V85" s="215"/>
      <c r="W85" s="215"/>
      <c r="X85" s="215"/>
      <c r="Y85" s="212"/>
      <c r="Z85" s="211" t="s">
        <v>429</v>
      </c>
      <c r="AA85" s="211" t="s">
        <v>381</v>
      </c>
      <c r="AB85" s="216" t="s">
        <v>234</v>
      </c>
      <c r="AC85" s="211" t="s">
        <v>431</v>
      </c>
      <c r="AD85" s="211" t="s">
        <v>236</v>
      </c>
      <c r="AE85" s="217"/>
      <c r="AF85" s="206"/>
      <c r="AG85" s="206"/>
      <c r="AH85" s="206"/>
      <c r="AI85" s="206"/>
      <c r="AJ85" s="206"/>
      <c r="AK85" s="206"/>
      <c r="AL85" s="206"/>
      <c r="AM85" s="206"/>
      <c r="AN85" s="206"/>
      <c r="AO85" s="206"/>
      <c r="AP85" s="206"/>
      <c r="AQ85" s="217"/>
      <c r="AR85" s="217"/>
      <c r="AS85" s="217"/>
      <c r="AT85" s="217"/>
      <c r="AU85" s="217"/>
      <c r="AV85" s="217"/>
    </row>
    <row r="86" ht="14.25" customHeight="1">
      <c r="A86" s="210" t="s">
        <v>381</v>
      </c>
      <c r="B86" s="211" t="s">
        <v>432</v>
      </c>
      <c r="C86" s="211" t="s">
        <v>430</v>
      </c>
      <c r="D86" s="212"/>
      <c r="E86" s="213">
        <v>2417.0</v>
      </c>
      <c r="F86" s="212">
        <f t="shared" si="8"/>
        <v>1450.2</v>
      </c>
      <c r="G86" s="212"/>
      <c r="H86" s="212"/>
      <c r="I86" s="213"/>
      <c r="J86" s="212"/>
      <c r="K86" s="212"/>
      <c r="L86" s="214"/>
      <c r="M86" s="214">
        <v>1229.0</v>
      </c>
      <c r="N86" s="214"/>
      <c r="O86" s="214"/>
      <c r="P86" s="214"/>
      <c r="Q86" s="214"/>
      <c r="R86" s="212">
        <v>1068.0</v>
      </c>
      <c r="S86" s="215"/>
      <c r="T86" s="215"/>
      <c r="U86" s="215"/>
      <c r="V86" s="215"/>
      <c r="W86" s="215"/>
      <c r="X86" s="215"/>
      <c r="Y86" s="212"/>
      <c r="Z86" s="211" t="s">
        <v>432</v>
      </c>
      <c r="AA86" s="211" t="s">
        <v>381</v>
      </c>
      <c r="AB86" s="216" t="s">
        <v>234</v>
      </c>
      <c r="AC86" s="211" t="s">
        <v>433</v>
      </c>
      <c r="AD86" s="211" t="s">
        <v>236</v>
      </c>
      <c r="AE86" s="217"/>
      <c r="AF86" s="206"/>
      <c r="AG86" s="206"/>
      <c r="AH86" s="206"/>
      <c r="AI86" s="206"/>
      <c r="AJ86" s="206"/>
      <c r="AK86" s="206"/>
      <c r="AL86" s="206"/>
      <c r="AM86" s="206"/>
      <c r="AN86" s="206"/>
      <c r="AO86" s="206"/>
      <c r="AP86" s="206"/>
      <c r="AQ86" s="217"/>
      <c r="AR86" s="217"/>
      <c r="AS86" s="217"/>
      <c r="AT86" s="217"/>
      <c r="AU86" s="217"/>
      <c r="AV86" s="217"/>
    </row>
    <row r="87" ht="14.25" customHeight="1">
      <c r="A87" s="210" t="s">
        <v>381</v>
      </c>
      <c r="B87" s="211" t="s">
        <v>434</v>
      </c>
      <c r="C87" s="211" t="s">
        <v>430</v>
      </c>
      <c r="D87" s="212"/>
      <c r="E87" s="213">
        <v>2544.0</v>
      </c>
      <c r="F87" s="212">
        <f t="shared" si="8"/>
        <v>1526.4</v>
      </c>
      <c r="G87" s="212"/>
      <c r="H87" s="212"/>
      <c r="I87" s="213"/>
      <c r="J87" s="212"/>
      <c r="K87" s="212"/>
      <c r="L87" s="214"/>
      <c r="M87" s="214">
        <v>1264.0</v>
      </c>
      <c r="N87" s="214"/>
      <c r="O87" s="214"/>
      <c r="P87" s="214"/>
      <c r="Q87" s="214"/>
      <c r="R87" s="212">
        <v>1099.0</v>
      </c>
      <c r="S87" s="215"/>
      <c r="T87" s="215"/>
      <c r="U87" s="215"/>
      <c r="V87" s="215"/>
      <c r="W87" s="215"/>
      <c r="X87" s="215"/>
      <c r="Y87" s="212"/>
      <c r="Z87" s="211" t="s">
        <v>434</v>
      </c>
      <c r="AA87" s="211" t="s">
        <v>381</v>
      </c>
      <c r="AB87" s="216" t="s">
        <v>234</v>
      </c>
      <c r="AC87" s="211" t="s">
        <v>435</v>
      </c>
      <c r="AD87" s="211" t="s">
        <v>236</v>
      </c>
      <c r="AE87" s="217"/>
      <c r="AF87" s="206"/>
      <c r="AG87" s="206"/>
      <c r="AH87" s="206"/>
      <c r="AI87" s="206"/>
      <c r="AJ87" s="206"/>
      <c r="AK87" s="206"/>
      <c r="AL87" s="206"/>
      <c r="AM87" s="206"/>
      <c r="AN87" s="206"/>
      <c r="AO87" s="206"/>
      <c r="AP87" s="206"/>
      <c r="AQ87" s="217"/>
      <c r="AR87" s="217"/>
      <c r="AS87" s="217"/>
      <c r="AT87" s="217"/>
      <c r="AU87" s="217"/>
      <c r="AV87" s="217"/>
    </row>
    <row r="88" ht="14.25" customHeight="1">
      <c r="A88" s="210" t="s">
        <v>381</v>
      </c>
      <c r="B88" s="211" t="s">
        <v>436</v>
      </c>
      <c r="C88" s="211" t="s">
        <v>430</v>
      </c>
      <c r="D88" s="212"/>
      <c r="E88" s="213">
        <v>3027.0</v>
      </c>
      <c r="F88" s="212">
        <f t="shared" si="8"/>
        <v>1816.2</v>
      </c>
      <c r="G88" s="212"/>
      <c r="H88" s="212"/>
      <c r="I88" s="213"/>
      <c r="J88" s="212"/>
      <c r="K88" s="212"/>
      <c r="L88" s="215"/>
      <c r="M88" s="218">
        <v>1375.0</v>
      </c>
      <c r="N88" s="218"/>
      <c r="O88" s="218"/>
      <c r="P88" s="218"/>
      <c r="Q88" s="218"/>
      <c r="R88" s="212">
        <v>1266.0</v>
      </c>
      <c r="S88" s="215"/>
      <c r="T88" s="215"/>
      <c r="U88" s="215"/>
      <c r="V88" s="215"/>
      <c r="W88" s="215"/>
      <c r="X88" s="215"/>
      <c r="Y88" s="212"/>
      <c r="Z88" s="211" t="s">
        <v>436</v>
      </c>
      <c r="AA88" s="211" t="s">
        <v>381</v>
      </c>
      <c r="AB88" s="216" t="s">
        <v>234</v>
      </c>
      <c r="AC88" s="211" t="s">
        <v>437</v>
      </c>
      <c r="AD88" s="211" t="s">
        <v>236</v>
      </c>
      <c r="AE88" s="217"/>
      <c r="AF88" s="206"/>
      <c r="AG88" s="206"/>
      <c r="AH88" s="206"/>
      <c r="AI88" s="206"/>
      <c r="AJ88" s="206"/>
      <c r="AK88" s="206"/>
      <c r="AL88" s="206"/>
      <c r="AM88" s="206"/>
      <c r="AN88" s="206"/>
      <c r="AO88" s="206"/>
      <c r="AP88" s="206"/>
      <c r="AQ88" s="217"/>
      <c r="AR88" s="217"/>
      <c r="AS88" s="217"/>
      <c r="AT88" s="217"/>
      <c r="AU88" s="217"/>
      <c r="AV88" s="217"/>
    </row>
    <row r="89" ht="19.5" customHeight="1">
      <c r="A89" s="210" t="s">
        <v>381</v>
      </c>
      <c r="B89" s="211" t="s">
        <v>438</v>
      </c>
      <c r="C89" s="211" t="s">
        <v>430</v>
      </c>
      <c r="D89" s="212"/>
      <c r="E89" s="213">
        <v>3485.0</v>
      </c>
      <c r="F89" s="212">
        <f t="shared" si="8"/>
        <v>2091</v>
      </c>
      <c r="G89" s="212"/>
      <c r="H89" s="212"/>
      <c r="I89" s="213"/>
      <c r="J89" s="212"/>
      <c r="K89" s="212"/>
      <c r="L89" s="215"/>
      <c r="M89" s="218" t="s">
        <v>439</v>
      </c>
      <c r="N89" s="218"/>
      <c r="O89" s="218"/>
      <c r="P89" s="218"/>
      <c r="Q89" s="218"/>
      <c r="R89" s="212">
        <v>1531.0</v>
      </c>
      <c r="S89" s="215"/>
      <c r="T89" s="215"/>
      <c r="U89" s="215"/>
      <c r="V89" s="215"/>
      <c r="W89" s="215"/>
      <c r="X89" s="215"/>
      <c r="Y89" s="212"/>
      <c r="Z89" s="211" t="s">
        <v>438</v>
      </c>
      <c r="AA89" s="211" t="s">
        <v>381</v>
      </c>
      <c r="AB89" s="216" t="s">
        <v>234</v>
      </c>
      <c r="AC89" s="211" t="s">
        <v>440</v>
      </c>
      <c r="AD89" s="211" t="s">
        <v>236</v>
      </c>
      <c r="AE89" s="217"/>
      <c r="AF89" s="206"/>
      <c r="AG89" s="206"/>
      <c r="AH89" s="206"/>
      <c r="AI89" s="206"/>
      <c r="AJ89" s="206"/>
      <c r="AK89" s="206"/>
      <c r="AL89" s="206"/>
      <c r="AM89" s="206"/>
      <c r="AN89" s="206"/>
      <c r="AO89" s="206"/>
      <c r="AP89" s="206"/>
      <c r="AQ89" s="217"/>
      <c r="AR89" s="217"/>
      <c r="AS89" s="217"/>
      <c r="AT89" s="217"/>
      <c r="AU89" s="217"/>
      <c r="AV89" s="217"/>
    </row>
    <row r="90" ht="18.0" customHeight="1">
      <c r="A90" s="210" t="s">
        <v>381</v>
      </c>
      <c r="B90" s="211" t="s">
        <v>441</v>
      </c>
      <c r="C90" s="211" t="s">
        <v>430</v>
      </c>
      <c r="D90" s="212"/>
      <c r="E90" s="213">
        <v>3640.0</v>
      </c>
      <c r="F90" s="212">
        <f t="shared" si="8"/>
        <v>2184</v>
      </c>
      <c r="G90" s="212"/>
      <c r="H90" s="212"/>
      <c r="I90" s="213"/>
      <c r="J90" s="212"/>
      <c r="K90" s="212"/>
      <c r="L90" s="215"/>
      <c r="M90" s="218" t="s">
        <v>442</v>
      </c>
      <c r="N90" s="218"/>
      <c r="O90" s="218"/>
      <c r="P90" s="218"/>
      <c r="Q90" s="218"/>
      <c r="R90" s="212">
        <v>1625.0</v>
      </c>
      <c r="S90" s="215"/>
      <c r="T90" s="215"/>
      <c r="U90" s="215"/>
      <c r="V90" s="215"/>
      <c r="W90" s="215"/>
      <c r="X90" s="215"/>
      <c r="Y90" s="212"/>
      <c r="Z90" s="211" t="s">
        <v>441</v>
      </c>
      <c r="AA90" s="211" t="s">
        <v>381</v>
      </c>
      <c r="AB90" s="216" t="s">
        <v>234</v>
      </c>
      <c r="AC90" s="211" t="s">
        <v>443</v>
      </c>
      <c r="AD90" s="211" t="s">
        <v>236</v>
      </c>
      <c r="AE90" s="217"/>
      <c r="AF90" s="206"/>
      <c r="AG90" s="206"/>
      <c r="AH90" s="206"/>
      <c r="AI90" s="206"/>
      <c r="AJ90" s="206"/>
      <c r="AK90" s="206"/>
      <c r="AL90" s="206"/>
      <c r="AM90" s="206"/>
      <c r="AN90" s="206"/>
      <c r="AO90" s="206"/>
      <c r="AP90" s="206"/>
      <c r="AQ90" s="217"/>
      <c r="AR90" s="217"/>
      <c r="AS90" s="217"/>
      <c r="AT90" s="217"/>
      <c r="AU90" s="217"/>
      <c r="AV90" s="217"/>
    </row>
    <row r="91" ht="14.25" customHeight="1">
      <c r="A91" s="198"/>
      <c r="B91" s="43"/>
      <c r="C91" s="43"/>
      <c r="D91" s="132"/>
      <c r="E91" s="133"/>
      <c r="F91" s="219">
        <f t="shared" si="8"/>
        <v>0</v>
      </c>
      <c r="G91" s="132"/>
      <c r="H91" s="132"/>
      <c r="I91" s="133"/>
      <c r="J91" s="132"/>
      <c r="K91" s="132"/>
      <c r="L91" s="136"/>
      <c r="M91" s="136"/>
      <c r="N91" s="136"/>
      <c r="O91" s="136"/>
      <c r="P91" s="136"/>
      <c r="Q91" s="136"/>
      <c r="R91" s="132"/>
      <c r="S91" s="136"/>
      <c r="T91" s="136"/>
      <c r="U91" s="136"/>
      <c r="V91" s="136"/>
      <c r="W91" s="136"/>
      <c r="X91" s="136"/>
      <c r="Y91" s="132"/>
      <c r="Z91" s="43"/>
      <c r="AA91" s="43"/>
      <c r="AB91" s="172"/>
      <c r="AC91" s="43"/>
      <c r="AD91" s="43"/>
      <c r="AE91" s="136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136"/>
      <c r="AR91" s="136"/>
      <c r="AS91" s="136"/>
      <c r="AT91" s="136"/>
      <c r="AU91" s="136"/>
      <c r="AV91" s="136"/>
    </row>
    <row r="92" ht="14.25" customHeight="1">
      <c r="A92" s="220" t="s">
        <v>381</v>
      </c>
      <c r="B92" s="221" t="s">
        <v>444</v>
      </c>
      <c r="C92" s="222" t="s">
        <v>232</v>
      </c>
      <c r="D92" s="223"/>
      <c r="E92" s="224">
        <v>1978.0</v>
      </c>
      <c r="F92" s="219">
        <f t="shared" si="8"/>
        <v>1186.8</v>
      </c>
      <c r="G92" s="219"/>
      <c r="H92" s="219"/>
      <c r="I92" s="224">
        <v>1256.0</v>
      </c>
      <c r="J92" s="219">
        <v>1222.0</v>
      </c>
      <c r="K92" s="219"/>
      <c r="L92" s="225"/>
      <c r="M92" s="226" t="s">
        <v>445</v>
      </c>
      <c r="N92" s="226">
        <v>1313.0</v>
      </c>
      <c r="O92" s="226"/>
      <c r="P92" s="226">
        <v>1188.0</v>
      </c>
      <c r="Q92" s="226"/>
      <c r="R92" s="219">
        <v>1221.0</v>
      </c>
      <c r="S92" s="225"/>
      <c r="T92" s="225"/>
      <c r="U92" s="225"/>
      <c r="V92" s="225"/>
      <c r="W92" s="225"/>
      <c r="X92" s="225"/>
      <c r="Y92" s="219"/>
      <c r="Z92" s="221" t="s">
        <v>444</v>
      </c>
      <c r="AA92" s="227" t="s">
        <v>381</v>
      </c>
      <c r="AB92" s="172" t="s">
        <v>234</v>
      </c>
      <c r="AC92" s="227" t="s">
        <v>240</v>
      </c>
      <c r="AD92" s="227" t="s">
        <v>236</v>
      </c>
      <c r="AE92" s="225"/>
      <c r="AF92" s="227"/>
      <c r="AG92" s="228" t="s">
        <v>446</v>
      </c>
      <c r="AH92" s="227">
        <v>1.0</v>
      </c>
      <c r="AI92" s="227" t="s">
        <v>447</v>
      </c>
      <c r="AJ92" s="227">
        <v>15.4</v>
      </c>
      <c r="AK92" s="227"/>
      <c r="AL92" s="227">
        <v>19.0</v>
      </c>
      <c r="AM92" s="227"/>
      <c r="AN92" s="227"/>
      <c r="AO92" s="227"/>
      <c r="AP92" s="227"/>
      <c r="AQ92" s="225"/>
      <c r="AR92" s="225"/>
      <c r="AS92" s="225"/>
      <c r="AT92" s="225"/>
      <c r="AU92" s="225"/>
      <c r="AV92" s="225"/>
    </row>
    <row r="93" ht="14.25" customHeight="1">
      <c r="A93" s="220" t="s">
        <v>381</v>
      </c>
      <c r="B93" s="221" t="s">
        <v>448</v>
      </c>
      <c r="C93" s="222" t="s">
        <v>232</v>
      </c>
      <c r="D93" s="223"/>
      <c r="E93" s="224"/>
      <c r="F93" s="219">
        <f t="shared" si="8"/>
        <v>0</v>
      </c>
      <c r="G93" s="219"/>
      <c r="H93" s="219"/>
      <c r="I93" s="224"/>
      <c r="J93" s="219"/>
      <c r="K93" s="219"/>
      <c r="L93" s="225"/>
      <c r="M93" s="226" t="s">
        <v>449</v>
      </c>
      <c r="N93" s="226">
        <v>1370.0</v>
      </c>
      <c r="O93" s="226"/>
      <c r="P93" s="226">
        <v>1564.0</v>
      </c>
      <c r="Q93" s="226"/>
      <c r="R93" s="219">
        <v>1208.0</v>
      </c>
      <c r="S93" s="225"/>
      <c r="T93" s="225"/>
      <c r="U93" s="225"/>
      <c r="V93" s="225"/>
      <c r="W93" s="225"/>
      <c r="X93" s="225"/>
      <c r="Y93" s="219"/>
      <c r="Z93" s="221" t="s">
        <v>448</v>
      </c>
      <c r="AA93" s="227" t="s">
        <v>381</v>
      </c>
      <c r="AB93" s="172" t="s">
        <v>234</v>
      </c>
      <c r="AC93" s="227" t="s">
        <v>242</v>
      </c>
      <c r="AD93" s="227" t="s">
        <v>236</v>
      </c>
      <c r="AE93" s="225"/>
      <c r="AF93" s="227"/>
      <c r="AG93" s="228" t="s">
        <v>446</v>
      </c>
      <c r="AH93" s="227">
        <v>1.0</v>
      </c>
      <c r="AI93" s="227" t="s">
        <v>447</v>
      </c>
      <c r="AJ93" s="227">
        <v>15.4</v>
      </c>
      <c r="AK93" s="227"/>
      <c r="AL93" s="227">
        <v>19.0</v>
      </c>
      <c r="AM93" s="227"/>
      <c r="AN93" s="227"/>
      <c r="AO93" s="227"/>
      <c r="AP93" s="227"/>
      <c r="AQ93" s="225"/>
      <c r="AR93" s="225"/>
      <c r="AS93" s="225"/>
      <c r="AT93" s="225"/>
      <c r="AU93" s="225"/>
      <c r="AV93" s="225"/>
    </row>
    <row r="94" ht="14.25" customHeight="1">
      <c r="A94" s="220" t="s">
        <v>381</v>
      </c>
      <c r="B94" s="221" t="s">
        <v>450</v>
      </c>
      <c r="C94" s="222" t="s">
        <v>232</v>
      </c>
      <c r="D94" s="223"/>
      <c r="E94" s="224">
        <v>2126.0</v>
      </c>
      <c r="F94" s="219">
        <f t="shared" si="8"/>
        <v>1275.6</v>
      </c>
      <c r="G94" s="219"/>
      <c r="H94" s="219"/>
      <c r="I94" s="224">
        <v>1350.0</v>
      </c>
      <c r="J94" s="219">
        <v>1313.0</v>
      </c>
      <c r="K94" s="219"/>
      <c r="L94" s="225"/>
      <c r="M94" s="226" t="s">
        <v>451</v>
      </c>
      <c r="N94" s="226">
        <v>1411.0</v>
      </c>
      <c r="O94" s="226"/>
      <c r="P94" s="226">
        <v>1611.0</v>
      </c>
      <c r="Q94" s="226"/>
      <c r="R94" s="219">
        <v>1277.0</v>
      </c>
      <c r="S94" s="225"/>
      <c r="T94" s="225"/>
      <c r="U94" s="225"/>
      <c r="V94" s="225"/>
      <c r="W94" s="225"/>
      <c r="X94" s="225"/>
      <c r="Y94" s="219"/>
      <c r="Z94" s="221" t="s">
        <v>450</v>
      </c>
      <c r="AA94" s="227" t="s">
        <v>381</v>
      </c>
      <c r="AB94" s="172" t="s">
        <v>234</v>
      </c>
      <c r="AC94" s="227" t="s">
        <v>244</v>
      </c>
      <c r="AD94" s="227" t="s">
        <v>236</v>
      </c>
      <c r="AE94" s="225"/>
      <c r="AF94" s="227"/>
      <c r="AG94" s="228" t="s">
        <v>446</v>
      </c>
      <c r="AH94" s="227">
        <v>1.0</v>
      </c>
      <c r="AI94" s="227" t="s">
        <v>447</v>
      </c>
      <c r="AJ94" s="227">
        <v>15.4</v>
      </c>
      <c r="AK94" s="227"/>
      <c r="AL94" s="227">
        <v>19.0</v>
      </c>
      <c r="AM94" s="227"/>
      <c r="AN94" s="227"/>
      <c r="AO94" s="227"/>
      <c r="AP94" s="227"/>
      <c r="AQ94" s="225"/>
      <c r="AR94" s="225"/>
      <c r="AS94" s="225"/>
      <c r="AT94" s="225"/>
      <c r="AU94" s="225"/>
      <c r="AV94" s="225"/>
    </row>
    <row r="95" ht="14.25" customHeight="1">
      <c r="A95" s="220" t="s">
        <v>381</v>
      </c>
      <c r="B95" s="221" t="s">
        <v>452</v>
      </c>
      <c r="C95" s="222" t="s">
        <v>232</v>
      </c>
      <c r="D95" s="223"/>
      <c r="E95" s="224">
        <v>2400.0</v>
      </c>
      <c r="F95" s="219">
        <f t="shared" si="8"/>
        <v>1440</v>
      </c>
      <c r="G95" s="219"/>
      <c r="H95" s="219"/>
      <c r="I95" s="224"/>
      <c r="J95" s="219"/>
      <c r="K95" s="219"/>
      <c r="L95" s="225"/>
      <c r="M95" s="226" t="s">
        <v>453</v>
      </c>
      <c r="N95" s="226">
        <v>1523.0</v>
      </c>
      <c r="O95" s="226"/>
      <c r="P95" s="226">
        <v>1379.0</v>
      </c>
      <c r="Q95" s="226"/>
      <c r="R95" s="219">
        <v>1342.0</v>
      </c>
      <c r="S95" s="225"/>
      <c r="T95" s="225"/>
      <c r="U95" s="225"/>
      <c r="V95" s="225"/>
      <c r="W95" s="225"/>
      <c r="X95" s="225"/>
      <c r="Y95" s="219"/>
      <c r="Z95" s="221" t="s">
        <v>452</v>
      </c>
      <c r="AA95" s="227" t="s">
        <v>381</v>
      </c>
      <c r="AB95" s="172" t="s">
        <v>234</v>
      </c>
      <c r="AC95" s="227" t="s">
        <v>246</v>
      </c>
      <c r="AD95" s="227" t="s">
        <v>236</v>
      </c>
      <c r="AE95" s="225"/>
      <c r="AF95" s="227"/>
      <c r="AG95" s="228" t="s">
        <v>446</v>
      </c>
      <c r="AH95" s="227">
        <v>1.0</v>
      </c>
      <c r="AI95" s="227" t="s">
        <v>447</v>
      </c>
      <c r="AJ95" s="227">
        <v>15.4</v>
      </c>
      <c r="AK95" s="227"/>
      <c r="AL95" s="227">
        <v>19.0</v>
      </c>
      <c r="AM95" s="227"/>
      <c r="AN95" s="227"/>
      <c r="AO95" s="227"/>
      <c r="AP95" s="227"/>
      <c r="AQ95" s="225"/>
      <c r="AR95" s="225"/>
      <c r="AS95" s="225"/>
      <c r="AT95" s="225"/>
      <c r="AU95" s="225"/>
      <c r="AV95" s="225"/>
    </row>
    <row r="96" ht="14.25" customHeight="1">
      <c r="A96" s="220" t="s">
        <v>381</v>
      </c>
      <c r="B96" s="221" t="s">
        <v>454</v>
      </c>
      <c r="C96" s="222" t="s">
        <v>232</v>
      </c>
      <c r="D96" s="223"/>
      <c r="E96" s="224">
        <v>2266.0</v>
      </c>
      <c r="F96" s="219">
        <f t="shared" si="8"/>
        <v>1359.6</v>
      </c>
      <c r="G96" s="219"/>
      <c r="H96" s="219"/>
      <c r="I96" s="224">
        <v>1524.0</v>
      </c>
      <c r="J96" s="219">
        <v>1482.0</v>
      </c>
      <c r="K96" s="219"/>
      <c r="L96" s="225"/>
      <c r="M96" s="226" t="s">
        <v>455</v>
      </c>
      <c r="N96" s="226">
        <v>1593.0</v>
      </c>
      <c r="O96" s="226"/>
      <c r="P96" s="226">
        <v>1813.0</v>
      </c>
      <c r="Q96" s="226"/>
      <c r="R96" s="219">
        <v>1454.0</v>
      </c>
      <c r="S96" s="225"/>
      <c r="T96" s="225"/>
      <c r="U96" s="225"/>
      <c r="V96" s="225"/>
      <c r="W96" s="225"/>
      <c r="X96" s="225"/>
      <c r="Y96" s="219"/>
      <c r="Z96" s="221" t="s">
        <v>454</v>
      </c>
      <c r="AA96" s="227" t="s">
        <v>381</v>
      </c>
      <c r="AB96" s="172" t="s">
        <v>234</v>
      </c>
      <c r="AC96" s="227" t="s">
        <v>248</v>
      </c>
      <c r="AD96" s="227" t="s">
        <v>236</v>
      </c>
      <c r="AE96" s="225"/>
      <c r="AF96" s="227"/>
      <c r="AG96" s="228" t="s">
        <v>446</v>
      </c>
      <c r="AH96" s="227">
        <v>1.0</v>
      </c>
      <c r="AI96" s="227" t="s">
        <v>447</v>
      </c>
      <c r="AJ96" s="227">
        <v>15.4</v>
      </c>
      <c r="AK96" s="227"/>
      <c r="AL96" s="227">
        <v>19.0</v>
      </c>
      <c r="AM96" s="227"/>
      <c r="AN96" s="227"/>
      <c r="AO96" s="227"/>
      <c r="AP96" s="227"/>
      <c r="AQ96" s="225"/>
      <c r="AR96" s="225"/>
      <c r="AS96" s="225"/>
      <c r="AT96" s="225"/>
      <c r="AU96" s="225"/>
      <c r="AV96" s="225"/>
    </row>
    <row r="97" ht="14.25" customHeight="1">
      <c r="A97" s="220" t="s">
        <v>381</v>
      </c>
      <c r="B97" s="221" t="s">
        <v>456</v>
      </c>
      <c r="C97" s="222" t="s">
        <v>232</v>
      </c>
      <c r="D97" s="223"/>
      <c r="E97" s="224"/>
      <c r="F97" s="219">
        <f t="shared" si="8"/>
        <v>0</v>
      </c>
      <c r="G97" s="219"/>
      <c r="H97" s="219"/>
      <c r="I97" s="224"/>
      <c r="J97" s="219"/>
      <c r="K97" s="219"/>
      <c r="L97" s="225"/>
      <c r="M97" s="226" t="s">
        <v>457</v>
      </c>
      <c r="N97" s="226">
        <v>1768.0</v>
      </c>
      <c r="O97" s="226"/>
      <c r="P97" s="226">
        <v>1649.0</v>
      </c>
      <c r="Q97" s="226"/>
      <c r="R97" s="219">
        <v>1661.0</v>
      </c>
      <c r="S97" s="225"/>
      <c r="T97" s="225"/>
      <c r="U97" s="225"/>
      <c r="V97" s="225"/>
      <c r="W97" s="225"/>
      <c r="X97" s="225"/>
      <c r="Y97" s="219"/>
      <c r="Z97" s="221" t="s">
        <v>456</v>
      </c>
      <c r="AA97" s="227" t="s">
        <v>381</v>
      </c>
      <c r="AB97" s="172" t="s">
        <v>234</v>
      </c>
      <c r="AC97" s="227" t="s">
        <v>458</v>
      </c>
      <c r="AD97" s="227" t="s">
        <v>236</v>
      </c>
      <c r="AE97" s="225"/>
      <c r="AF97" s="227"/>
      <c r="AG97" s="228" t="s">
        <v>446</v>
      </c>
      <c r="AH97" s="227">
        <v>1.0</v>
      </c>
      <c r="AI97" s="227" t="s">
        <v>447</v>
      </c>
      <c r="AJ97" s="227">
        <v>15.4</v>
      </c>
      <c r="AK97" s="227"/>
      <c r="AL97" s="227">
        <v>19.0</v>
      </c>
      <c r="AM97" s="227"/>
      <c r="AN97" s="227"/>
      <c r="AO97" s="227"/>
      <c r="AP97" s="227"/>
      <c r="AQ97" s="225"/>
      <c r="AR97" s="225"/>
      <c r="AS97" s="225"/>
      <c r="AT97" s="225"/>
      <c r="AU97" s="225"/>
      <c r="AV97" s="225"/>
    </row>
    <row r="98" ht="14.25" customHeight="1">
      <c r="A98" s="198"/>
      <c r="B98" s="207"/>
      <c r="C98" s="207"/>
      <c r="D98" s="208"/>
      <c r="E98" s="133"/>
      <c r="F98" s="219">
        <f t="shared" si="8"/>
        <v>0</v>
      </c>
      <c r="G98" s="132"/>
      <c r="H98" s="132"/>
      <c r="I98" s="133"/>
      <c r="J98" s="132"/>
      <c r="K98" s="132"/>
      <c r="L98" s="136"/>
      <c r="M98" s="209"/>
      <c r="N98" s="209"/>
      <c r="O98" s="209"/>
      <c r="P98" s="209"/>
      <c r="Q98" s="209"/>
      <c r="R98" s="132"/>
      <c r="S98" s="136"/>
      <c r="T98" s="136"/>
      <c r="U98" s="136"/>
      <c r="V98" s="136"/>
      <c r="W98" s="136"/>
      <c r="X98" s="136"/>
      <c r="Y98" s="132"/>
      <c r="Z98" s="207"/>
      <c r="AA98" s="43"/>
      <c r="AB98" s="172"/>
      <c r="AC98" s="43"/>
      <c r="AD98" s="43"/>
      <c r="AE98" s="136"/>
      <c r="AF98" s="43"/>
      <c r="AG98" s="205"/>
      <c r="AH98" s="43"/>
      <c r="AI98" s="43"/>
      <c r="AJ98" s="43"/>
      <c r="AK98" s="43"/>
      <c r="AL98" s="227"/>
      <c r="AM98" s="43"/>
      <c r="AN98" s="43"/>
      <c r="AO98" s="43"/>
      <c r="AP98" s="43"/>
      <c r="AQ98" s="136"/>
      <c r="AR98" s="136"/>
      <c r="AS98" s="136"/>
      <c r="AT98" s="136"/>
      <c r="AU98" s="136"/>
      <c r="AV98" s="136"/>
    </row>
    <row r="99" ht="14.25" customHeight="1">
      <c r="A99" s="198" t="s">
        <v>381</v>
      </c>
      <c r="B99" s="221" t="s">
        <v>459</v>
      </c>
      <c r="C99" s="222" t="s">
        <v>251</v>
      </c>
      <c r="D99" s="223"/>
      <c r="E99" s="224">
        <v>2266.0</v>
      </c>
      <c r="F99" s="219">
        <f t="shared" si="8"/>
        <v>1359.6</v>
      </c>
      <c r="G99" s="219"/>
      <c r="H99" s="219"/>
      <c r="I99" s="224">
        <v>1439.0</v>
      </c>
      <c r="J99" s="219">
        <v>1400.0</v>
      </c>
      <c r="K99" s="219"/>
      <c r="L99" s="225"/>
      <c r="M99" s="226" t="s">
        <v>460</v>
      </c>
      <c r="N99" s="226">
        <v>1504.0</v>
      </c>
      <c r="O99" s="226"/>
      <c r="P99" s="226">
        <v>1383.0</v>
      </c>
      <c r="Q99" s="226"/>
      <c r="R99" s="219">
        <v>1327.0</v>
      </c>
      <c r="S99" s="225"/>
      <c r="T99" s="225"/>
      <c r="U99" s="225"/>
      <c r="V99" s="225"/>
      <c r="W99" s="225"/>
      <c r="X99" s="225"/>
      <c r="Y99" s="219"/>
      <c r="Z99" s="221" t="s">
        <v>459</v>
      </c>
      <c r="AA99" s="227" t="s">
        <v>381</v>
      </c>
      <c r="AB99" s="172" t="s">
        <v>234</v>
      </c>
      <c r="AC99" s="227" t="s">
        <v>252</v>
      </c>
      <c r="AD99" s="227" t="s">
        <v>236</v>
      </c>
      <c r="AE99" s="225"/>
      <c r="AF99" s="227"/>
      <c r="AG99" s="228" t="s">
        <v>461</v>
      </c>
      <c r="AH99" s="227">
        <v>1.0</v>
      </c>
      <c r="AI99" s="227" t="s">
        <v>447</v>
      </c>
      <c r="AJ99" s="227">
        <v>15.6</v>
      </c>
      <c r="AK99" s="43"/>
      <c r="AL99" s="227">
        <v>19.4</v>
      </c>
      <c r="AM99" s="43"/>
      <c r="AN99" s="43"/>
      <c r="AO99" s="43"/>
      <c r="AP99" s="43"/>
      <c r="AQ99" s="136"/>
      <c r="AR99" s="136"/>
      <c r="AS99" s="136"/>
      <c r="AT99" s="136"/>
      <c r="AU99" s="136"/>
      <c r="AV99" s="136"/>
    </row>
    <row r="100" ht="14.25" customHeight="1">
      <c r="A100" s="198" t="s">
        <v>381</v>
      </c>
      <c r="B100" s="221" t="s">
        <v>462</v>
      </c>
      <c r="C100" s="222" t="s">
        <v>251</v>
      </c>
      <c r="D100" s="223"/>
      <c r="E100" s="224">
        <v>2417.0</v>
      </c>
      <c r="F100" s="219">
        <f t="shared" si="8"/>
        <v>1450.2</v>
      </c>
      <c r="G100" s="219"/>
      <c r="H100" s="219"/>
      <c r="I100" s="224">
        <v>1535.0</v>
      </c>
      <c r="J100" s="219">
        <v>1495.0</v>
      </c>
      <c r="K100" s="219"/>
      <c r="L100" s="225"/>
      <c r="M100" s="226" t="s">
        <v>463</v>
      </c>
      <c r="N100" s="226">
        <v>1604.0</v>
      </c>
      <c r="O100" s="226"/>
      <c r="P100" s="226">
        <v>1475.0</v>
      </c>
      <c r="Q100" s="226"/>
      <c r="R100" s="219">
        <v>1416.0</v>
      </c>
      <c r="S100" s="225"/>
      <c r="T100" s="225"/>
      <c r="U100" s="225"/>
      <c r="V100" s="225"/>
      <c r="W100" s="225"/>
      <c r="X100" s="225"/>
      <c r="Y100" s="219"/>
      <c r="Z100" s="221" t="s">
        <v>464</v>
      </c>
      <c r="AA100" s="227" t="s">
        <v>381</v>
      </c>
      <c r="AB100" s="172" t="s">
        <v>234</v>
      </c>
      <c r="AC100" s="227" t="s">
        <v>256</v>
      </c>
      <c r="AD100" s="227" t="s">
        <v>236</v>
      </c>
      <c r="AE100" s="225"/>
      <c r="AF100" s="227"/>
      <c r="AG100" s="229" t="s">
        <v>461</v>
      </c>
      <c r="AH100" s="227">
        <v>1.0</v>
      </c>
      <c r="AI100" s="227" t="s">
        <v>447</v>
      </c>
      <c r="AJ100" s="227">
        <v>15.6</v>
      </c>
      <c r="AK100" s="43"/>
      <c r="AL100" s="227">
        <v>19.4</v>
      </c>
      <c r="AM100" s="43"/>
      <c r="AN100" s="43"/>
      <c r="AO100" s="43"/>
      <c r="AP100" s="43"/>
      <c r="AQ100" s="136"/>
      <c r="AR100" s="136"/>
      <c r="AS100" s="136"/>
      <c r="AT100" s="136"/>
      <c r="AU100" s="136"/>
      <c r="AV100" s="136"/>
    </row>
    <row r="101" ht="14.25" customHeight="1">
      <c r="A101" s="198" t="s">
        <v>381</v>
      </c>
      <c r="B101" s="221" t="s">
        <v>465</v>
      </c>
      <c r="C101" s="222" t="s">
        <v>251</v>
      </c>
      <c r="D101" s="223"/>
      <c r="E101" s="224">
        <v>2544.0</v>
      </c>
      <c r="F101" s="219">
        <f t="shared" si="8"/>
        <v>1526.4</v>
      </c>
      <c r="G101" s="219"/>
      <c r="H101" s="219"/>
      <c r="I101" s="224">
        <v>1615.0</v>
      </c>
      <c r="J101" s="219">
        <v>1572.0</v>
      </c>
      <c r="K101" s="219"/>
      <c r="L101" s="225"/>
      <c r="M101" s="226" t="s">
        <v>466</v>
      </c>
      <c r="N101" s="226">
        <v>1688.0</v>
      </c>
      <c r="O101" s="226"/>
      <c r="P101" s="226">
        <v>1549.0</v>
      </c>
      <c r="Q101" s="226"/>
      <c r="R101" s="219">
        <v>1504.0</v>
      </c>
      <c r="S101" s="225"/>
      <c r="T101" s="225"/>
      <c r="U101" s="225"/>
      <c r="V101" s="225"/>
      <c r="W101" s="225"/>
      <c r="X101" s="225"/>
      <c r="Y101" s="219"/>
      <c r="Z101" s="221" t="s">
        <v>467</v>
      </c>
      <c r="AA101" s="227" t="s">
        <v>381</v>
      </c>
      <c r="AB101" s="172" t="s">
        <v>234</v>
      </c>
      <c r="AC101" s="227" t="s">
        <v>259</v>
      </c>
      <c r="AD101" s="227" t="s">
        <v>236</v>
      </c>
      <c r="AE101" s="225"/>
      <c r="AF101" s="227"/>
      <c r="AG101" s="229" t="s">
        <v>461</v>
      </c>
      <c r="AH101" s="227">
        <v>1.0</v>
      </c>
      <c r="AI101" s="227" t="s">
        <v>447</v>
      </c>
      <c r="AJ101" s="227">
        <v>15.6</v>
      </c>
      <c r="AK101" s="43"/>
      <c r="AL101" s="227">
        <v>19.4</v>
      </c>
      <c r="AM101" s="43"/>
      <c r="AN101" s="43"/>
      <c r="AO101" s="43"/>
      <c r="AP101" s="43"/>
      <c r="AQ101" s="136"/>
      <c r="AR101" s="136"/>
      <c r="AS101" s="136"/>
      <c r="AT101" s="136"/>
      <c r="AU101" s="136"/>
      <c r="AV101" s="136"/>
    </row>
    <row r="102" ht="14.25" customHeight="1">
      <c r="A102" s="198" t="s">
        <v>381</v>
      </c>
      <c r="B102" s="221" t="s">
        <v>468</v>
      </c>
      <c r="C102" s="222" t="s">
        <v>251</v>
      </c>
      <c r="D102" s="223"/>
      <c r="E102" s="224">
        <v>3027.0</v>
      </c>
      <c r="F102" s="219">
        <f t="shared" si="8"/>
        <v>1816.2</v>
      </c>
      <c r="G102" s="219"/>
      <c r="H102" s="219"/>
      <c r="I102" s="224">
        <v>1922.0</v>
      </c>
      <c r="J102" s="219">
        <v>1870.0</v>
      </c>
      <c r="K102" s="219"/>
      <c r="L102" s="225"/>
      <c r="M102" s="226" t="s">
        <v>469</v>
      </c>
      <c r="N102" s="226">
        <v>2008.0</v>
      </c>
      <c r="O102" s="226"/>
      <c r="P102" s="226">
        <v>1935.0</v>
      </c>
      <c r="Q102" s="226"/>
      <c r="R102" s="219">
        <v>1788.0</v>
      </c>
      <c r="S102" s="225"/>
      <c r="T102" s="225"/>
      <c r="U102" s="225"/>
      <c r="V102" s="225"/>
      <c r="W102" s="225"/>
      <c r="X102" s="225"/>
      <c r="Y102" s="219"/>
      <c r="Z102" s="221" t="s">
        <v>470</v>
      </c>
      <c r="AA102" s="227" t="s">
        <v>381</v>
      </c>
      <c r="AB102" s="172" t="s">
        <v>234</v>
      </c>
      <c r="AC102" s="227" t="s">
        <v>262</v>
      </c>
      <c r="AD102" s="227" t="s">
        <v>236</v>
      </c>
      <c r="AE102" s="225"/>
      <c r="AF102" s="227"/>
      <c r="AG102" s="229" t="s">
        <v>461</v>
      </c>
      <c r="AH102" s="227">
        <v>1.0</v>
      </c>
      <c r="AI102" s="227" t="s">
        <v>471</v>
      </c>
      <c r="AJ102" s="227">
        <v>23.4</v>
      </c>
      <c r="AK102" s="43"/>
      <c r="AL102" s="227">
        <v>28.5</v>
      </c>
      <c r="AM102" s="43"/>
      <c r="AN102" s="43"/>
      <c r="AO102" s="43"/>
      <c r="AP102" s="43"/>
      <c r="AQ102" s="136"/>
      <c r="AR102" s="136"/>
      <c r="AS102" s="136"/>
      <c r="AT102" s="136"/>
      <c r="AU102" s="136"/>
      <c r="AV102" s="136"/>
    </row>
    <row r="103" ht="14.25" customHeight="1">
      <c r="A103" s="198" t="s">
        <v>381</v>
      </c>
      <c r="B103" s="221" t="s">
        <v>472</v>
      </c>
      <c r="C103" s="222" t="s">
        <v>251</v>
      </c>
      <c r="D103" s="223"/>
      <c r="E103" s="224">
        <v>3485.0</v>
      </c>
      <c r="F103" s="219">
        <f t="shared" si="8"/>
        <v>2091</v>
      </c>
      <c r="G103" s="219"/>
      <c r="H103" s="219"/>
      <c r="I103" s="224">
        <v>2212.0</v>
      </c>
      <c r="J103" s="219">
        <v>2110.0</v>
      </c>
      <c r="K103" s="219"/>
      <c r="L103" s="225"/>
      <c r="M103" s="226" t="s">
        <v>473</v>
      </c>
      <c r="N103" s="226">
        <v>2311.0</v>
      </c>
      <c r="O103" s="226"/>
      <c r="P103" s="226">
        <v>1926.0</v>
      </c>
      <c r="Q103" s="226"/>
      <c r="R103" s="219">
        <v>2057.0</v>
      </c>
      <c r="S103" s="225"/>
      <c r="T103" s="225"/>
      <c r="U103" s="225"/>
      <c r="V103" s="225"/>
      <c r="W103" s="225"/>
      <c r="X103" s="225"/>
      <c r="Y103" s="219"/>
      <c r="Z103" s="221" t="s">
        <v>472</v>
      </c>
      <c r="AA103" s="227" t="s">
        <v>381</v>
      </c>
      <c r="AB103" s="172" t="s">
        <v>234</v>
      </c>
      <c r="AC103" s="227" t="s">
        <v>265</v>
      </c>
      <c r="AD103" s="227" t="s">
        <v>236</v>
      </c>
      <c r="AE103" s="225"/>
      <c r="AF103" s="227"/>
      <c r="AG103" s="229" t="s">
        <v>461</v>
      </c>
      <c r="AH103" s="227">
        <v>1.0</v>
      </c>
      <c r="AI103" s="227" t="s">
        <v>471</v>
      </c>
      <c r="AJ103" s="227">
        <v>23.4</v>
      </c>
      <c r="AK103" s="43"/>
      <c r="AL103" s="227">
        <v>28.5</v>
      </c>
      <c r="AM103" s="43"/>
      <c r="AN103" s="43"/>
      <c r="AO103" s="43"/>
      <c r="AP103" s="43"/>
      <c r="AQ103" s="136"/>
      <c r="AR103" s="136"/>
      <c r="AS103" s="136"/>
      <c r="AT103" s="136"/>
      <c r="AU103" s="136"/>
      <c r="AV103" s="136"/>
    </row>
    <row r="104" ht="14.25" customHeight="1">
      <c r="A104" s="198" t="s">
        <v>381</v>
      </c>
      <c r="B104" s="221" t="s">
        <v>474</v>
      </c>
      <c r="C104" s="222" t="s">
        <v>251</v>
      </c>
      <c r="D104" s="223"/>
      <c r="E104" s="224">
        <v>3640.0</v>
      </c>
      <c r="F104" s="219">
        <f t="shared" si="8"/>
        <v>2184</v>
      </c>
      <c r="G104" s="219"/>
      <c r="H104" s="219"/>
      <c r="I104" s="224">
        <v>2310.0</v>
      </c>
      <c r="J104" s="219">
        <v>2215.0</v>
      </c>
      <c r="K104" s="219"/>
      <c r="L104" s="225"/>
      <c r="M104" s="226" t="s">
        <v>475</v>
      </c>
      <c r="N104" s="226">
        <v>2414.0</v>
      </c>
      <c r="O104" s="226"/>
      <c r="P104" s="226">
        <v>2049.0</v>
      </c>
      <c r="Q104" s="226"/>
      <c r="R104" s="219">
        <v>2143.0</v>
      </c>
      <c r="S104" s="225"/>
      <c r="T104" s="225"/>
      <c r="U104" s="225"/>
      <c r="V104" s="225"/>
      <c r="W104" s="225"/>
      <c r="X104" s="225"/>
      <c r="Y104" s="219"/>
      <c r="Z104" s="221" t="s">
        <v>474</v>
      </c>
      <c r="AA104" s="227" t="s">
        <v>381</v>
      </c>
      <c r="AB104" s="172" t="s">
        <v>234</v>
      </c>
      <c r="AC104" s="227" t="s">
        <v>268</v>
      </c>
      <c r="AD104" s="227" t="s">
        <v>236</v>
      </c>
      <c r="AE104" s="225"/>
      <c r="AF104" s="227"/>
      <c r="AG104" s="229" t="s">
        <v>461</v>
      </c>
      <c r="AH104" s="227">
        <v>1.0</v>
      </c>
      <c r="AI104" s="227" t="s">
        <v>471</v>
      </c>
      <c r="AJ104" s="227">
        <v>23.4</v>
      </c>
      <c r="AK104" s="43"/>
      <c r="AL104" s="227">
        <v>28.5</v>
      </c>
      <c r="AM104" s="43"/>
      <c r="AN104" s="43"/>
      <c r="AO104" s="43"/>
      <c r="AP104" s="43"/>
      <c r="AQ104" s="136"/>
      <c r="AR104" s="136"/>
      <c r="AS104" s="136"/>
      <c r="AT104" s="136"/>
      <c r="AU104" s="136"/>
      <c r="AV104" s="136"/>
    </row>
    <row r="105" ht="14.25" customHeight="1">
      <c r="A105" s="198"/>
      <c r="B105" s="207"/>
      <c r="C105" s="207"/>
      <c r="D105" s="208"/>
      <c r="E105" s="133"/>
      <c r="F105" s="219">
        <f t="shared" si="8"/>
        <v>0</v>
      </c>
      <c r="G105" s="132"/>
      <c r="H105" s="132"/>
      <c r="I105" s="133"/>
      <c r="J105" s="132"/>
      <c r="K105" s="132"/>
      <c r="L105" s="136"/>
      <c r="M105" s="209"/>
      <c r="N105" s="209"/>
      <c r="O105" s="209"/>
      <c r="P105" s="209"/>
      <c r="Q105" s="209"/>
      <c r="R105" s="132"/>
      <c r="S105" s="136"/>
      <c r="T105" s="136"/>
      <c r="U105" s="136"/>
      <c r="V105" s="136"/>
      <c r="W105" s="136"/>
      <c r="X105" s="136"/>
      <c r="Y105" s="132"/>
      <c r="Z105" s="207"/>
      <c r="AA105" s="43"/>
      <c r="AB105" s="172"/>
      <c r="AC105" s="43"/>
      <c r="AD105" s="43"/>
      <c r="AE105" s="136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136"/>
      <c r="AR105" s="136"/>
      <c r="AS105" s="136"/>
      <c r="AT105" s="136"/>
      <c r="AU105" s="136"/>
      <c r="AV105" s="136"/>
    </row>
    <row r="106" ht="14.25" customHeight="1">
      <c r="A106" s="198" t="s">
        <v>476</v>
      </c>
      <c r="B106" s="207" t="s">
        <v>53</v>
      </c>
      <c r="C106" s="207" t="s">
        <v>326</v>
      </c>
      <c r="D106" s="208"/>
      <c r="E106" s="133">
        <v>1007.0</v>
      </c>
      <c r="F106" s="219">
        <f t="shared" si="8"/>
        <v>604.2</v>
      </c>
      <c r="G106" s="132">
        <v>774.0</v>
      </c>
      <c r="H106" s="132"/>
      <c r="I106" s="133"/>
      <c r="J106" s="132"/>
      <c r="K106" s="132"/>
      <c r="L106" s="136"/>
      <c r="M106" s="209"/>
      <c r="N106" s="209"/>
      <c r="O106" s="209"/>
      <c r="P106" s="209"/>
      <c r="Q106" s="209"/>
      <c r="R106" s="132"/>
      <c r="S106" s="136"/>
      <c r="T106" s="136"/>
      <c r="U106" s="136"/>
      <c r="V106" s="136"/>
      <c r="W106" s="136"/>
      <c r="X106" s="136"/>
      <c r="Y106" s="132"/>
      <c r="Z106" s="207"/>
      <c r="AA106" s="43"/>
      <c r="AB106" s="172"/>
      <c r="AC106" s="43"/>
      <c r="AD106" s="43"/>
      <c r="AE106" s="136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136"/>
      <c r="AR106" s="136"/>
      <c r="AS106" s="136"/>
      <c r="AT106" s="136"/>
      <c r="AU106" s="136"/>
      <c r="AV106" s="136"/>
    </row>
    <row r="107" ht="14.25" customHeight="1">
      <c r="A107" s="198" t="s">
        <v>476</v>
      </c>
      <c r="B107" s="207" t="s">
        <v>477</v>
      </c>
      <c r="C107" s="207" t="s">
        <v>326</v>
      </c>
      <c r="D107" s="208"/>
      <c r="E107" s="133">
        <v>1147.0</v>
      </c>
      <c r="F107" s="219"/>
      <c r="G107" s="132"/>
      <c r="H107" s="132"/>
      <c r="I107" s="133"/>
      <c r="J107" s="132"/>
      <c r="K107" s="132"/>
      <c r="L107" s="136"/>
      <c r="M107" s="209"/>
      <c r="N107" s="209"/>
      <c r="O107" s="209"/>
      <c r="P107" s="209"/>
      <c r="Q107" s="209"/>
      <c r="R107" s="132"/>
      <c r="S107" s="136"/>
      <c r="T107" s="136"/>
      <c r="U107" s="136"/>
      <c r="V107" s="136"/>
      <c r="W107" s="136"/>
      <c r="X107" s="136"/>
      <c r="Y107" s="132"/>
      <c r="Z107" s="207"/>
      <c r="AA107" s="43"/>
      <c r="AB107" s="172"/>
      <c r="AC107" s="43"/>
      <c r="AD107" s="43"/>
      <c r="AE107" s="136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136"/>
      <c r="AR107" s="136"/>
      <c r="AS107" s="136"/>
      <c r="AT107" s="136"/>
      <c r="AU107" s="136"/>
      <c r="AV107" s="136"/>
    </row>
    <row r="108" ht="14.25" customHeight="1">
      <c r="A108" s="198" t="s">
        <v>476</v>
      </c>
      <c r="B108" s="207" t="s">
        <v>478</v>
      </c>
      <c r="C108" s="207" t="s">
        <v>326</v>
      </c>
      <c r="D108" s="208"/>
      <c r="E108" s="133">
        <v>1318.0</v>
      </c>
      <c r="F108" s="219"/>
      <c r="G108" s="132"/>
      <c r="H108" s="132"/>
      <c r="I108" s="133"/>
      <c r="J108" s="132"/>
      <c r="K108" s="132"/>
      <c r="L108" s="136"/>
      <c r="M108" s="209"/>
      <c r="N108" s="209"/>
      <c r="O108" s="209"/>
      <c r="P108" s="209"/>
      <c r="Q108" s="209"/>
      <c r="R108" s="132"/>
      <c r="S108" s="136"/>
      <c r="T108" s="136"/>
      <c r="U108" s="136"/>
      <c r="V108" s="136"/>
      <c r="W108" s="136"/>
      <c r="X108" s="136"/>
      <c r="Y108" s="132"/>
      <c r="Z108" s="207"/>
      <c r="AA108" s="43"/>
      <c r="AB108" s="172"/>
      <c r="AC108" s="43"/>
      <c r="AD108" s="43"/>
      <c r="AE108" s="136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136"/>
      <c r="AR108" s="136"/>
      <c r="AS108" s="136"/>
      <c r="AT108" s="136"/>
      <c r="AU108" s="136"/>
      <c r="AV108" s="136"/>
    </row>
    <row r="109" ht="14.25" customHeight="1">
      <c r="A109" s="198" t="s">
        <v>476</v>
      </c>
      <c r="B109" s="43" t="s">
        <v>479</v>
      </c>
      <c r="C109" s="43" t="s">
        <v>326</v>
      </c>
      <c r="D109" s="132"/>
      <c r="E109" s="133">
        <v>1364.0</v>
      </c>
      <c r="F109" s="219"/>
      <c r="G109" s="132"/>
      <c r="H109" s="132"/>
      <c r="I109" s="133"/>
      <c r="J109" s="132"/>
      <c r="K109" s="132"/>
      <c r="L109" s="136"/>
      <c r="M109" s="136"/>
      <c r="N109" s="136"/>
      <c r="O109" s="136"/>
      <c r="P109" s="136"/>
      <c r="Q109" s="136"/>
      <c r="R109" s="132"/>
      <c r="S109" s="136"/>
      <c r="T109" s="136"/>
      <c r="U109" s="136"/>
      <c r="V109" s="136"/>
      <c r="W109" s="136"/>
      <c r="X109" s="136"/>
      <c r="Y109" s="132"/>
      <c r="Z109" s="43"/>
      <c r="AA109" s="43"/>
      <c r="AB109" s="172"/>
      <c r="AC109" s="43"/>
      <c r="AD109" s="43"/>
      <c r="AE109" s="136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136"/>
      <c r="AR109" s="136"/>
      <c r="AS109" s="136"/>
      <c r="AT109" s="136"/>
      <c r="AU109" s="136"/>
      <c r="AV109" s="136"/>
    </row>
    <row r="110" ht="14.25" customHeight="1">
      <c r="A110" s="198" t="s">
        <v>476</v>
      </c>
      <c r="B110" s="43" t="s">
        <v>54</v>
      </c>
      <c r="C110" s="43" t="s">
        <v>326</v>
      </c>
      <c r="D110" s="132"/>
      <c r="E110" s="133">
        <v>1415.0</v>
      </c>
      <c r="F110" s="219">
        <f t="shared" ref="F110:F111" si="9">E110-(E110*$F$4)</f>
        <v>849</v>
      </c>
      <c r="G110" s="132">
        <v>906.0</v>
      </c>
      <c r="H110" s="132"/>
      <c r="I110" s="133"/>
      <c r="J110" s="132"/>
      <c r="K110" s="132"/>
      <c r="L110" s="136"/>
      <c r="M110" s="136"/>
      <c r="N110" s="136"/>
      <c r="O110" s="136"/>
      <c r="P110" s="136"/>
      <c r="Q110" s="136"/>
      <c r="R110" s="132"/>
      <c r="S110" s="136"/>
      <c r="T110" s="136"/>
      <c r="U110" s="136"/>
      <c r="V110" s="136"/>
      <c r="W110" s="136"/>
      <c r="X110" s="136"/>
      <c r="Y110" s="132"/>
      <c r="Z110" s="43"/>
      <c r="AA110" s="43"/>
      <c r="AB110" s="172"/>
      <c r="AC110" s="43"/>
      <c r="AD110" s="43"/>
      <c r="AE110" s="136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136"/>
      <c r="AR110" s="136"/>
      <c r="AS110" s="136"/>
      <c r="AT110" s="136"/>
      <c r="AU110" s="136"/>
      <c r="AV110" s="136"/>
    </row>
    <row r="111" ht="14.25" customHeight="1">
      <c r="A111" s="198" t="s">
        <v>476</v>
      </c>
      <c r="B111" s="207" t="s">
        <v>55</v>
      </c>
      <c r="C111" s="207" t="s">
        <v>326</v>
      </c>
      <c r="D111" s="208"/>
      <c r="E111" s="133">
        <v>1518.0</v>
      </c>
      <c r="F111" s="219">
        <f t="shared" si="9"/>
        <v>910.8</v>
      </c>
      <c r="G111" s="132">
        <v>1014.0</v>
      </c>
      <c r="H111" s="132"/>
      <c r="I111" s="133"/>
      <c r="J111" s="132"/>
      <c r="K111" s="132"/>
      <c r="L111" s="136"/>
      <c r="M111" s="209"/>
      <c r="N111" s="209"/>
      <c r="O111" s="209"/>
      <c r="P111" s="209"/>
      <c r="Q111" s="209"/>
      <c r="R111" s="132"/>
      <c r="S111" s="136"/>
      <c r="T111" s="136"/>
      <c r="U111" s="136"/>
      <c r="V111" s="136"/>
      <c r="W111" s="136"/>
      <c r="X111" s="136"/>
      <c r="Y111" s="132"/>
      <c r="Z111" s="207"/>
      <c r="AA111" s="43"/>
      <c r="AB111" s="172"/>
      <c r="AC111" s="43"/>
      <c r="AD111" s="43"/>
      <c r="AE111" s="136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136"/>
      <c r="AR111" s="136"/>
      <c r="AS111" s="136"/>
      <c r="AT111" s="136"/>
      <c r="AU111" s="136"/>
      <c r="AV111" s="136"/>
    </row>
    <row r="112" ht="14.25" customHeight="1">
      <c r="A112" s="198" t="s">
        <v>476</v>
      </c>
      <c r="B112" s="207" t="s">
        <v>480</v>
      </c>
      <c r="C112" s="207" t="s">
        <v>326</v>
      </c>
      <c r="D112" s="208"/>
      <c r="E112" s="133"/>
      <c r="F112" s="219"/>
      <c r="G112" s="132"/>
      <c r="H112" s="132"/>
      <c r="I112" s="133"/>
      <c r="J112" s="132"/>
      <c r="K112" s="132"/>
      <c r="L112" s="136"/>
      <c r="M112" s="209"/>
      <c r="N112" s="209"/>
      <c r="O112" s="209"/>
      <c r="P112" s="209"/>
      <c r="Q112" s="209"/>
      <c r="R112" s="132"/>
      <c r="S112" s="136"/>
      <c r="T112" s="136"/>
      <c r="U112" s="136"/>
      <c r="V112" s="136"/>
      <c r="W112" s="136"/>
      <c r="X112" s="136"/>
      <c r="Y112" s="132"/>
      <c r="Z112" s="207"/>
      <c r="AA112" s="43"/>
      <c r="AB112" s="172"/>
      <c r="AC112" s="43"/>
      <c r="AD112" s="43"/>
      <c r="AE112" s="136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136"/>
      <c r="AR112" s="136"/>
      <c r="AS112" s="136"/>
      <c r="AT112" s="136"/>
      <c r="AU112" s="136"/>
      <c r="AV112" s="136"/>
    </row>
    <row r="113" ht="14.25" customHeight="1">
      <c r="A113" s="198" t="s">
        <v>476</v>
      </c>
      <c r="B113" s="207" t="s">
        <v>481</v>
      </c>
      <c r="C113" s="207" t="s">
        <v>339</v>
      </c>
      <c r="D113" s="208"/>
      <c r="E113" s="133">
        <v>1799.0</v>
      </c>
      <c r="F113" s="219"/>
      <c r="G113" s="132"/>
      <c r="H113" s="132"/>
      <c r="I113" s="133"/>
      <c r="J113" s="132"/>
      <c r="K113" s="132"/>
      <c r="L113" s="136"/>
      <c r="M113" s="209"/>
      <c r="N113" s="209"/>
      <c r="O113" s="209"/>
      <c r="P113" s="209"/>
      <c r="Q113" s="209"/>
      <c r="R113" s="132"/>
      <c r="S113" s="136"/>
      <c r="T113" s="136"/>
      <c r="U113" s="136"/>
      <c r="V113" s="136"/>
      <c r="W113" s="136"/>
      <c r="X113" s="136"/>
      <c r="Y113" s="132"/>
      <c r="Z113" s="207"/>
      <c r="AA113" s="43"/>
      <c r="AB113" s="172"/>
      <c r="AC113" s="43"/>
      <c r="AD113" s="43"/>
      <c r="AE113" s="136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136"/>
      <c r="AR113" s="136"/>
      <c r="AS113" s="136"/>
      <c r="AT113" s="136"/>
      <c r="AU113" s="136"/>
      <c r="AV113" s="136"/>
    </row>
    <row r="114" ht="14.25" customHeight="1">
      <c r="A114" s="198" t="s">
        <v>476</v>
      </c>
      <c r="B114" s="43" t="s">
        <v>56</v>
      </c>
      <c r="C114" s="43" t="s">
        <v>339</v>
      </c>
      <c r="D114" s="132"/>
      <c r="E114" s="133">
        <v>1634.0</v>
      </c>
      <c r="F114" s="219">
        <f>E114-(E114*$F$4)</f>
        <v>980.4</v>
      </c>
      <c r="G114" s="132"/>
      <c r="H114" s="132"/>
      <c r="I114" s="133"/>
      <c r="J114" s="132"/>
      <c r="K114" s="132"/>
      <c r="L114" s="136"/>
      <c r="M114" s="136"/>
      <c r="N114" s="136"/>
      <c r="O114" s="136"/>
      <c r="P114" s="136"/>
      <c r="Q114" s="136"/>
      <c r="R114" s="132"/>
      <c r="S114" s="136"/>
      <c r="T114" s="136"/>
      <c r="U114" s="136"/>
      <c r="V114" s="136"/>
      <c r="W114" s="136"/>
      <c r="X114" s="136"/>
      <c r="Y114" s="132"/>
      <c r="Z114" s="43"/>
      <c r="AA114" s="43"/>
      <c r="AB114" s="172"/>
      <c r="AC114" s="43"/>
      <c r="AD114" s="43"/>
      <c r="AE114" s="136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136"/>
      <c r="AR114" s="136"/>
      <c r="AS114" s="136"/>
      <c r="AT114" s="136"/>
      <c r="AU114" s="136"/>
      <c r="AV114" s="136"/>
    </row>
    <row r="115" ht="14.25" customHeight="1">
      <c r="A115" s="198" t="s">
        <v>476</v>
      </c>
      <c r="B115" s="43" t="s">
        <v>482</v>
      </c>
      <c r="C115" s="43" t="s">
        <v>339</v>
      </c>
      <c r="D115" s="132"/>
      <c r="E115" s="133">
        <v>2025.0</v>
      </c>
      <c r="F115" s="219"/>
      <c r="G115" s="132"/>
      <c r="H115" s="132"/>
      <c r="I115" s="133"/>
      <c r="J115" s="132"/>
      <c r="K115" s="132"/>
      <c r="L115" s="136"/>
      <c r="M115" s="136"/>
      <c r="N115" s="136"/>
      <c r="O115" s="136"/>
      <c r="P115" s="136"/>
      <c r="Q115" s="136"/>
      <c r="R115" s="132"/>
      <c r="S115" s="136"/>
      <c r="T115" s="136"/>
      <c r="U115" s="136"/>
      <c r="V115" s="136"/>
      <c r="W115" s="136"/>
      <c r="X115" s="136"/>
      <c r="Y115" s="132"/>
      <c r="Z115" s="43"/>
      <c r="AA115" s="43"/>
      <c r="AB115" s="172"/>
      <c r="AC115" s="43"/>
      <c r="AD115" s="43"/>
      <c r="AE115" s="136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136"/>
      <c r="AR115" s="136"/>
      <c r="AS115" s="136"/>
      <c r="AT115" s="136"/>
      <c r="AU115" s="136"/>
      <c r="AV115" s="136"/>
    </row>
    <row r="116" ht="14.25" customHeight="1">
      <c r="A116" s="198" t="s">
        <v>476</v>
      </c>
      <c r="B116" s="207" t="s">
        <v>57</v>
      </c>
      <c r="C116" s="207" t="s">
        <v>339</v>
      </c>
      <c r="D116" s="208"/>
      <c r="E116" s="133">
        <v>1790.0</v>
      </c>
      <c r="F116" s="219">
        <f>E116-(E116*$F$4)</f>
        <v>1074</v>
      </c>
      <c r="G116" s="132">
        <v>1230.0</v>
      </c>
      <c r="H116" s="132"/>
      <c r="I116" s="133"/>
      <c r="J116" s="132"/>
      <c r="K116" s="132"/>
      <c r="L116" s="136"/>
      <c r="M116" s="209"/>
      <c r="N116" s="209"/>
      <c r="O116" s="209"/>
      <c r="P116" s="209"/>
      <c r="Q116" s="209"/>
      <c r="R116" s="132"/>
      <c r="S116" s="136"/>
      <c r="T116" s="136"/>
      <c r="U116" s="136"/>
      <c r="V116" s="136"/>
      <c r="W116" s="136"/>
      <c r="X116" s="136"/>
      <c r="Y116" s="132"/>
      <c r="Z116" s="207"/>
      <c r="AA116" s="43"/>
      <c r="AB116" s="172"/>
      <c r="AC116" s="43"/>
      <c r="AD116" s="43"/>
      <c r="AE116" s="136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136"/>
      <c r="AR116" s="136"/>
      <c r="AS116" s="136"/>
      <c r="AT116" s="136"/>
      <c r="AU116" s="136"/>
      <c r="AV116" s="136"/>
    </row>
    <row r="117" ht="14.25" customHeight="1">
      <c r="A117" s="198" t="s">
        <v>476</v>
      </c>
      <c r="B117" s="207" t="s">
        <v>483</v>
      </c>
      <c r="C117" s="207" t="s">
        <v>339</v>
      </c>
      <c r="D117" s="208"/>
      <c r="E117" s="133">
        <v>2206.0</v>
      </c>
      <c r="F117" s="219"/>
      <c r="G117" s="132"/>
      <c r="H117" s="132"/>
      <c r="I117" s="133"/>
      <c r="J117" s="132"/>
      <c r="K117" s="132"/>
      <c r="L117" s="136"/>
      <c r="M117" s="209"/>
      <c r="N117" s="209"/>
      <c r="O117" s="209"/>
      <c r="P117" s="209"/>
      <c r="Q117" s="209"/>
      <c r="R117" s="132"/>
      <c r="S117" s="136"/>
      <c r="T117" s="136"/>
      <c r="U117" s="136"/>
      <c r="V117" s="136"/>
      <c r="W117" s="136"/>
      <c r="X117" s="136"/>
      <c r="Y117" s="132"/>
      <c r="Z117" s="207"/>
      <c r="AA117" s="43"/>
      <c r="AB117" s="172"/>
      <c r="AC117" s="43"/>
      <c r="AD117" s="43"/>
      <c r="AE117" s="136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136"/>
      <c r="AR117" s="136"/>
      <c r="AS117" s="136"/>
      <c r="AT117" s="136"/>
      <c r="AU117" s="136"/>
      <c r="AV117" s="136"/>
    </row>
    <row r="118" ht="14.25" customHeight="1">
      <c r="A118" s="198" t="s">
        <v>476</v>
      </c>
      <c r="B118" s="207" t="s">
        <v>58</v>
      </c>
      <c r="C118" s="207" t="s">
        <v>339</v>
      </c>
      <c r="D118" s="208"/>
      <c r="E118" s="133">
        <v>1939.0</v>
      </c>
      <c r="F118" s="219">
        <f t="shared" ref="F118:F122" si="10">E118-(E118*$F$4)</f>
        <v>1163.4</v>
      </c>
      <c r="G118" s="132">
        <v>1320.0</v>
      </c>
      <c r="H118" s="132"/>
      <c r="I118" s="133"/>
      <c r="J118" s="132"/>
      <c r="K118" s="132"/>
      <c r="L118" s="136"/>
      <c r="M118" s="209"/>
      <c r="N118" s="209"/>
      <c r="O118" s="209"/>
      <c r="P118" s="209"/>
      <c r="Q118" s="209"/>
      <c r="R118" s="132"/>
      <c r="S118" s="136"/>
      <c r="T118" s="136"/>
      <c r="U118" s="136"/>
      <c r="V118" s="136"/>
      <c r="W118" s="136"/>
      <c r="X118" s="136"/>
      <c r="Y118" s="132"/>
      <c r="Z118" s="207"/>
      <c r="AA118" s="43"/>
      <c r="AB118" s="172"/>
      <c r="AC118" s="43"/>
      <c r="AD118" s="43"/>
      <c r="AE118" s="136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136"/>
      <c r="AR118" s="136"/>
      <c r="AS118" s="136"/>
      <c r="AT118" s="136"/>
      <c r="AU118" s="136"/>
      <c r="AV118" s="136"/>
    </row>
    <row r="119" ht="14.25" customHeight="1">
      <c r="A119" s="198" t="s">
        <v>476</v>
      </c>
      <c r="B119" s="43" t="s">
        <v>59</v>
      </c>
      <c r="C119" s="43" t="s">
        <v>339</v>
      </c>
      <c r="D119" s="132"/>
      <c r="E119" s="133">
        <v>2020.0</v>
      </c>
      <c r="F119" s="219">
        <f t="shared" si="10"/>
        <v>1212</v>
      </c>
      <c r="G119" s="132">
        <v>1380.0</v>
      </c>
      <c r="H119" s="132"/>
      <c r="I119" s="133"/>
      <c r="J119" s="132"/>
      <c r="K119" s="132"/>
      <c r="L119" s="136"/>
      <c r="M119" s="136"/>
      <c r="N119" s="136"/>
      <c r="O119" s="136"/>
      <c r="P119" s="136"/>
      <c r="Q119" s="136"/>
      <c r="R119" s="132"/>
      <c r="S119" s="136"/>
      <c r="T119" s="136"/>
      <c r="U119" s="136"/>
      <c r="V119" s="136"/>
      <c r="W119" s="136"/>
      <c r="X119" s="136"/>
      <c r="Y119" s="132"/>
      <c r="Z119" s="43"/>
      <c r="AA119" s="43"/>
      <c r="AB119" s="172"/>
      <c r="AC119" s="43"/>
      <c r="AD119" s="43"/>
      <c r="AE119" s="136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136"/>
      <c r="AR119" s="136"/>
      <c r="AS119" s="136"/>
      <c r="AT119" s="136"/>
      <c r="AU119" s="136"/>
      <c r="AV119" s="136"/>
    </row>
    <row r="120" ht="14.25" customHeight="1">
      <c r="A120" s="198" t="s">
        <v>476</v>
      </c>
      <c r="B120" s="43" t="s">
        <v>60</v>
      </c>
      <c r="C120" s="43" t="s">
        <v>339</v>
      </c>
      <c r="D120" s="132"/>
      <c r="E120" s="133">
        <v>2245.0</v>
      </c>
      <c r="F120" s="219">
        <f t="shared" si="10"/>
        <v>1347</v>
      </c>
      <c r="G120" s="132">
        <v>1476.0</v>
      </c>
      <c r="H120" s="132"/>
      <c r="I120" s="133"/>
      <c r="J120" s="132"/>
      <c r="K120" s="132"/>
      <c r="L120" s="136"/>
      <c r="M120" s="136"/>
      <c r="N120" s="136"/>
      <c r="O120" s="136"/>
      <c r="P120" s="136"/>
      <c r="Q120" s="136"/>
      <c r="R120" s="132"/>
      <c r="S120" s="136"/>
      <c r="T120" s="136"/>
      <c r="U120" s="136"/>
      <c r="V120" s="136"/>
      <c r="W120" s="136"/>
      <c r="X120" s="136"/>
      <c r="Y120" s="132"/>
      <c r="Z120" s="43"/>
      <c r="AA120" s="43"/>
      <c r="AB120" s="172"/>
      <c r="AC120" s="43"/>
      <c r="AD120" s="43"/>
      <c r="AE120" s="136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136"/>
      <c r="AR120" s="136"/>
      <c r="AS120" s="136"/>
      <c r="AT120" s="136"/>
      <c r="AU120" s="136"/>
      <c r="AV120" s="136"/>
    </row>
    <row r="121" ht="14.25" customHeight="1">
      <c r="A121" s="198" t="s">
        <v>476</v>
      </c>
      <c r="B121" s="207" t="s">
        <v>61</v>
      </c>
      <c r="C121" s="207" t="s">
        <v>339</v>
      </c>
      <c r="D121" s="208"/>
      <c r="E121" s="133">
        <v>2335.0</v>
      </c>
      <c r="F121" s="219">
        <f t="shared" si="10"/>
        <v>1401</v>
      </c>
      <c r="G121" s="132">
        <v>1545.0</v>
      </c>
      <c r="H121" s="132"/>
      <c r="I121" s="133"/>
      <c r="J121" s="132"/>
      <c r="K121" s="132"/>
      <c r="L121" s="136"/>
      <c r="M121" s="209"/>
      <c r="N121" s="209"/>
      <c r="O121" s="209"/>
      <c r="P121" s="209"/>
      <c r="Q121" s="209"/>
      <c r="R121" s="132"/>
      <c r="S121" s="136"/>
      <c r="T121" s="136"/>
      <c r="U121" s="136"/>
      <c r="V121" s="136"/>
      <c r="W121" s="136"/>
      <c r="X121" s="136"/>
      <c r="Y121" s="132"/>
      <c r="Z121" s="207"/>
      <c r="AA121" s="43"/>
      <c r="AB121" s="172"/>
      <c r="AC121" s="43"/>
      <c r="AD121" s="43"/>
      <c r="AE121" s="136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136"/>
      <c r="AR121" s="136"/>
      <c r="AS121" s="136"/>
      <c r="AT121" s="136"/>
      <c r="AU121" s="136"/>
      <c r="AV121" s="136"/>
    </row>
    <row r="122" ht="14.25" customHeight="1">
      <c r="A122" s="198" t="s">
        <v>476</v>
      </c>
      <c r="B122" s="207" t="s">
        <v>62</v>
      </c>
      <c r="C122" s="207" t="s">
        <v>339</v>
      </c>
      <c r="D122" s="208"/>
      <c r="E122" s="133">
        <v>2425.0</v>
      </c>
      <c r="F122" s="219">
        <f t="shared" si="10"/>
        <v>1455</v>
      </c>
      <c r="G122" s="132">
        <v>1608.0</v>
      </c>
      <c r="H122" s="132"/>
      <c r="I122" s="133"/>
      <c r="J122" s="132"/>
      <c r="K122" s="132"/>
      <c r="L122" s="136"/>
      <c r="M122" s="209"/>
      <c r="N122" s="209"/>
      <c r="O122" s="209"/>
      <c r="P122" s="209"/>
      <c r="Q122" s="209"/>
      <c r="R122" s="132"/>
      <c r="S122" s="136"/>
      <c r="T122" s="136"/>
      <c r="U122" s="136"/>
      <c r="V122" s="136"/>
      <c r="W122" s="136"/>
      <c r="X122" s="136"/>
      <c r="Y122" s="132"/>
      <c r="Z122" s="207"/>
      <c r="AA122" s="43"/>
      <c r="AB122" s="172"/>
      <c r="AC122" s="43"/>
      <c r="AD122" s="43"/>
      <c r="AE122" s="136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136"/>
      <c r="AR122" s="136"/>
      <c r="AS122" s="136"/>
      <c r="AT122" s="136"/>
      <c r="AU122" s="136"/>
      <c r="AV122" s="136"/>
    </row>
    <row r="123" ht="14.25" customHeight="1">
      <c r="A123" s="198" t="s">
        <v>476</v>
      </c>
      <c r="B123" s="207" t="s">
        <v>484</v>
      </c>
      <c r="C123" s="207" t="s">
        <v>339</v>
      </c>
      <c r="D123" s="208"/>
      <c r="E123" s="133">
        <v>2516.0</v>
      </c>
      <c r="F123" s="219"/>
      <c r="G123" s="132"/>
      <c r="H123" s="132"/>
      <c r="I123" s="133"/>
      <c r="J123" s="132"/>
      <c r="K123" s="132"/>
      <c r="L123" s="136"/>
      <c r="M123" s="209"/>
      <c r="N123" s="209"/>
      <c r="O123" s="209"/>
      <c r="P123" s="209"/>
      <c r="Q123" s="209"/>
      <c r="R123" s="132"/>
      <c r="S123" s="136"/>
      <c r="T123" s="136"/>
      <c r="U123" s="136"/>
      <c r="V123" s="136"/>
      <c r="W123" s="136"/>
      <c r="X123" s="136"/>
      <c r="Y123" s="132"/>
      <c r="Z123" s="207"/>
      <c r="AA123" s="43"/>
      <c r="AB123" s="172"/>
      <c r="AC123" s="43"/>
      <c r="AD123" s="43"/>
      <c r="AE123" s="136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136"/>
      <c r="AR123" s="136"/>
      <c r="AS123" s="136"/>
      <c r="AT123" s="136"/>
      <c r="AU123" s="136"/>
      <c r="AV123" s="136"/>
    </row>
    <row r="124" ht="14.25" customHeight="1">
      <c r="A124" s="198" t="s">
        <v>476</v>
      </c>
      <c r="B124" s="43" t="s">
        <v>485</v>
      </c>
      <c r="C124" s="43" t="s">
        <v>339</v>
      </c>
      <c r="D124" s="132"/>
      <c r="E124" s="133">
        <v>2101.0</v>
      </c>
      <c r="F124" s="219"/>
      <c r="G124" s="132"/>
      <c r="H124" s="132"/>
      <c r="I124" s="133"/>
      <c r="J124" s="132"/>
      <c r="K124" s="132"/>
      <c r="L124" s="136"/>
      <c r="M124" s="136"/>
      <c r="N124" s="136"/>
      <c r="O124" s="136"/>
      <c r="P124" s="136"/>
      <c r="Q124" s="136"/>
      <c r="R124" s="132"/>
      <c r="S124" s="136"/>
      <c r="T124" s="136"/>
      <c r="U124" s="136"/>
      <c r="V124" s="136"/>
      <c r="W124" s="136"/>
      <c r="X124" s="136"/>
      <c r="Y124" s="132"/>
      <c r="Z124" s="43"/>
      <c r="AA124" s="43"/>
      <c r="AB124" s="172"/>
      <c r="AC124" s="43"/>
      <c r="AD124" s="43"/>
      <c r="AE124" s="136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136"/>
      <c r="AR124" s="136"/>
      <c r="AS124" s="136"/>
      <c r="AT124" s="136"/>
      <c r="AU124" s="136"/>
      <c r="AV124" s="136"/>
    </row>
    <row r="125" ht="14.25" customHeight="1">
      <c r="A125" s="198" t="s">
        <v>476</v>
      </c>
      <c r="B125" s="207" t="s">
        <v>486</v>
      </c>
      <c r="C125" s="207" t="s">
        <v>339</v>
      </c>
      <c r="D125" s="208"/>
      <c r="E125" s="133">
        <v>2130.0</v>
      </c>
      <c r="F125" s="219"/>
      <c r="G125" s="132"/>
      <c r="H125" s="132"/>
      <c r="I125" s="133"/>
      <c r="J125" s="132"/>
      <c r="K125" s="132"/>
      <c r="L125" s="136"/>
      <c r="M125" s="209"/>
      <c r="N125" s="209"/>
      <c r="O125" s="209"/>
      <c r="P125" s="209"/>
      <c r="Q125" s="209"/>
      <c r="R125" s="132"/>
      <c r="S125" s="136"/>
      <c r="T125" s="136"/>
      <c r="U125" s="136"/>
      <c r="V125" s="136"/>
      <c r="W125" s="136"/>
      <c r="X125" s="136"/>
      <c r="Y125" s="132"/>
      <c r="Z125" s="207"/>
      <c r="AA125" s="43"/>
      <c r="AB125" s="172"/>
      <c r="AC125" s="43"/>
      <c r="AD125" s="43"/>
      <c r="AE125" s="136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136"/>
      <c r="AR125" s="136"/>
      <c r="AS125" s="136"/>
      <c r="AT125" s="136"/>
      <c r="AU125" s="136"/>
      <c r="AV125" s="136"/>
    </row>
    <row r="126" ht="14.25" customHeight="1">
      <c r="A126" s="198" t="s">
        <v>476</v>
      </c>
      <c r="B126" s="207" t="s">
        <v>487</v>
      </c>
      <c r="C126" s="207" t="s">
        <v>339</v>
      </c>
      <c r="D126" s="208"/>
      <c r="E126" s="133">
        <v>2372.0</v>
      </c>
      <c r="F126" s="136"/>
      <c r="G126" s="132"/>
      <c r="H126" s="132"/>
      <c r="I126" s="133"/>
      <c r="J126" s="132"/>
      <c r="K126" s="132"/>
      <c r="L126" s="136"/>
      <c r="M126" s="209"/>
      <c r="N126" s="209"/>
      <c r="O126" s="209"/>
      <c r="P126" s="209"/>
      <c r="Q126" s="209"/>
      <c r="R126" s="132"/>
      <c r="S126" s="136"/>
      <c r="T126" s="136"/>
      <c r="U126" s="136"/>
      <c r="V126" s="136"/>
      <c r="W126" s="136"/>
      <c r="X126" s="136"/>
      <c r="Y126" s="132"/>
      <c r="Z126" s="207"/>
      <c r="AA126" s="43"/>
      <c r="AB126" s="172"/>
      <c r="AC126" s="43"/>
      <c r="AD126" s="43"/>
      <c r="AE126" s="136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136"/>
      <c r="AR126" s="136"/>
      <c r="AS126" s="136"/>
      <c r="AT126" s="136"/>
      <c r="AU126" s="136"/>
      <c r="AV126" s="136"/>
    </row>
    <row r="127" ht="14.25" customHeight="1">
      <c r="A127" s="198" t="s">
        <v>476</v>
      </c>
      <c r="B127" s="207" t="s">
        <v>488</v>
      </c>
      <c r="C127" s="207" t="s">
        <v>339</v>
      </c>
      <c r="D127" s="208"/>
      <c r="E127" s="133">
        <v>2650.0</v>
      </c>
      <c r="F127" s="136"/>
      <c r="G127" s="132"/>
      <c r="H127" s="132"/>
      <c r="I127" s="133"/>
      <c r="J127" s="132"/>
      <c r="K127" s="132"/>
      <c r="L127" s="136"/>
      <c r="M127" s="209"/>
      <c r="N127" s="209"/>
      <c r="O127" s="209"/>
      <c r="P127" s="209"/>
      <c r="Q127" s="209"/>
      <c r="R127" s="132"/>
      <c r="S127" s="136"/>
      <c r="T127" s="136"/>
      <c r="U127" s="136"/>
      <c r="V127" s="136"/>
      <c r="W127" s="136"/>
      <c r="X127" s="136"/>
      <c r="Y127" s="132"/>
      <c r="Z127" s="207"/>
      <c r="AA127" s="43"/>
      <c r="AB127" s="172"/>
      <c r="AC127" s="43"/>
      <c r="AD127" s="43"/>
      <c r="AE127" s="136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136"/>
      <c r="AR127" s="136"/>
      <c r="AS127" s="136"/>
      <c r="AT127" s="136"/>
      <c r="AU127" s="136"/>
      <c r="AV127" s="136"/>
    </row>
    <row r="128" ht="14.25" customHeight="1">
      <c r="A128" s="198" t="s">
        <v>476</v>
      </c>
      <c r="B128" s="207" t="s">
        <v>489</v>
      </c>
      <c r="C128" s="207" t="s">
        <v>339</v>
      </c>
      <c r="D128" s="208"/>
      <c r="E128" s="133">
        <v>2560.0</v>
      </c>
      <c r="F128" s="136"/>
      <c r="G128" s="132"/>
      <c r="H128" s="132"/>
      <c r="I128" s="133"/>
      <c r="J128" s="132"/>
      <c r="K128" s="132"/>
      <c r="L128" s="136"/>
      <c r="M128" s="209"/>
      <c r="N128" s="209"/>
      <c r="O128" s="209"/>
      <c r="P128" s="209"/>
      <c r="Q128" s="209"/>
      <c r="R128" s="132"/>
      <c r="S128" s="136"/>
      <c r="T128" s="136"/>
      <c r="U128" s="136"/>
      <c r="V128" s="136"/>
      <c r="W128" s="136"/>
      <c r="X128" s="136"/>
      <c r="Y128" s="132"/>
      <c r="Z128" s="207"/>
      <c r="AA128" s="43"/>
      <c r="AB128" s="172"/>
      <c r="AC128" s="43"/>
      <c r="AD128" s="43"/>
      <c r="AE128" s="136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136"/>
      <c r="AR128" s="136"/>
      <c r="AS128" s="136"/>
      <c r="AT128" s="136"/>
      <c r="AU128" s="136"/>
      <c r="AV128" s="136"/>
    </row>
    <row r="129" ht="14.25" customHeight="1">
      <c r="A129" s="198" t="s">
        <v>476</v>
      </c>
      <c r="B129" s="207" t="s">
        <v>490</v>
      </c>
      <c r="C129" s="207" t="s">
        <v>339</v>
      </c>
      <c r="D129" s="208"/>
      <c r="E129" s="133">
        <v>1931.0</v>
      </c>
      <c r="F129" s="136"/>
      <c r="G129" s="132"/>
      <c r="H129" s="132"/>
      <c r="I129" s="133"/>
      <c r="J129" s="132"/>
      <c r="K129" s="132"/>
      <c r="L129" s="136"/>
      <c r="M129" s="209"/>
      <c r="N129" s="209"/>
      <c r="O129" s="209"/>
      <c r="P129" s="209"/>
      <c r="Q129" s="209"/>
      <c r="R129" s="132"/>
      <c r="S129" s="136"/>
      <c r="T129" s="136"/>
      <c r="U129" s="136"/>
      <c r="V129" s="136"/>
      <c r="W129" s="136"/>
      <c r="X129" s="136"/>
      <c r="Y129" s="132"/>
      <c r="Z129" s="207"/>
      <c r="AA129" s="43"/>
      <c r="AB129" s="172"/>
      <c r="AC129" s="43"/>
      <c r="AD129" s="43"/>
      <c r="AE129" s="136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136"/>
      <c r="AR129" s="136"/>
      <c r="AS129" s="136"/>
      <c r="AT129" s="136"/>
      <c r="AU129" s="136"/>
      <c r="AV129" s="136"/>
    </row>
    <row r="130" ht="14.25" customHeight="1">
      <c r="A130" s="198" t="s">
        <v>476</v>
      </c>
      <c r="B130" s="207" t="s">
        <v>491</v>
      </c>
      <c r="C130" s="207" t="s">
        <v>49</v>
      </c>
      <c r="D130" s="208"/>
      <c r="E130" s="133">
        <v>77.0</v>
      </c>
      <c r="F130" s="136">
        <v>47.93</v>
      </c>
      <c r="G130" s="132">
        <v>86.5</v>
      </c>
      <c r="H130" s="132"/>
      <c r="I130" s="133"/>
      <c r="J130" s="132"/>
      <c r="K130" s="132"/>
      <c r="L130" s="136"/>
      <c r="M130" s="209"/>
      <c r="N130" s="209"/>
      <c r="O130" s="209"/>
      <c r="P130" s="209"/>
      <c r="Q130" s="209"/>
      <c r="R130" s="132"/>
      <c r="S130" s="136"/>
      <c r="T130" s="136"/>
      <c r="U130" s="136"/>
      <c r="V130" s="136"/>
      <c r="W130" s="136"/>
      <c r="X130" s="136"/>
      <c r="Y130" s="132"/>
      <c r="Z130" s="207"/>
      <c r="AA130" s="43"/>
      <c r="AB130" s="172"/>
      <c r="AC130" s="43"/>
      <c r="AD130" s="43"/>
      <c r="AE130" s="136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136"/>
      <c r="AR130" s="136"/>
      <c r="AS130" s="136"/>
      <c r="AT130" s="136"/>
      <c r="AU130" s="136"/>
      <c r="AV130" s="136"/>
    </row>
    <row r="131" ht="14.25" customHeight="1">
      <c r="A131" s="198" t="s">
        <v>476</v>
      </c>
      <c r="B131" s="207" t="s">
        <v>492</v>
      </c>
      <c r="C131" s="207" t="s">
        <v>49</v>
      </c>
      <c r="D131" s="208"/>
      <c r="E131" s="133">
        <v>90.0</v>
      </c>
      <c r="F131" s="136">
        <v>51.4</v>
      </c>
      <c r="G131" s="132">
        <v>93.0</v>
      </c>
      <c r="H131" s="132"/>
      <c r="I131" s="133"/>
      <c r="J131" s="132"/>
      <c r="K131" s="132"/>
      <c r="L131" s="136"/>
      <c r="M131" s="209"/>
      <c r="N131" s="209"/>
      <c r="O131" s="209"/>
      <c r="P131" s="209"/>
      <c r="Q131" s="209"/>
      <c r="R131" s="132"/>
      <c r="S131" s="136"/>
      <c r="T131" s="136"/>
      <c r="U131" s="136"/>
      <c r="V131" s="136"/>
      <c r="W131" s="136"/>
      <c r="X131" s="136"/>
      <c r="Y131" s="132"/>
      <c r="Z131" s="207"/>
      <c r="AA131" s="43"/>
      <c r="AB131" s="172"/>
      <c r="AC131" s="43"/>
      <c r="AD131" s="43"/>
      <c r="AE131" s="136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136"/>
      <c r="AR131" s="136"/>
      <c r="AS131" s="136"/>
      <c r="AT131" s="136"/>
      <c r="AU131" s="136"/>
      <c r="AV131" s="136"/>
    </row>
    <row r="132" ht="14.25" customHeight="1">
      <c r="A132" s="198" t="s">
        <v>476</v>
      </c>
      <c r="B132" s="207" t="s">
        <v>493</v>
      </c>
      <c r="C132" s="207" t="s">
        <v>49</v>
      </c>
      <c r="D132" s="208"/>
      <c r="E132" s="133">
        <v>80.0</v>
      </c>
      <c r="F132" s="136"/>
      <c r="G132" s="132">
        <v>89.5</v>
      </c>
      <c r="H132" s="132"/>
      <c r="I132" s="133"/>
      <c r="J132" s="132"/>
      <c r="K132" s="132"/>
      <c r="L132" s="136"/>
      <c r="M132" s="209"/>
      <c r="N132" s="209"/>
      <c r="O132" s="209"/>
      <c r="P132" s="209"/>
      <c r="Q132" s="209"/>
      <c r="R132" s="132"/>
      <c r="S132" s="136"/>
      <c r="T132" s="136"/>
      <c r="U132" s="136"/>
      <c r="V132" s="136"/>
      <c r="W132" s="136"/>
      <c r="X132" s="136"/>
      <c r="Y132" s="132"/>
      <c r="Z132" s="207"/>
      <c r="AA132" s="43"/>
      <c r="AB132" s="172"/>
      <c r="AC132" s="43"/>
      <c r="AD132" s="43"/>
      <c r="AE132" s="136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136"/>
      <c r="AR132" s="136"/>
      <c r="AS132" s="136"/>
      <c r="AT132" s="136"/>
      <c r="AU132" s="136"/>
      <c r="AV132" s="136"/>
    </row>
    <row r="133" ht="14.25" customHeight="1">
      <c r="A133" s="198" t="s">
        <v>476</v>
      </c>
      <c r="B133" s="207" t="s">
        <v>494</v>
      </c>
      <c r="C133" s="207" t="s">
        <v>49</v>
      </c>
      <c r="D133" s="208"/>
      <c r="E133" s="133">
        <v>102.0</v>
      </c>
      <c r="F133" s="136">
        <v>63.24</v>
      </c>
      <c r="G133" s="132">
        <v>94.0</v>
      </c>
      <c r="H133" s="132"/>
      <c r="I133" s="133"/>
      <c r="J133" s="132"/>
      <c r="K133" s="132"/>
      <c r="L133" s="136"/>
      <c r="M133" s="209"/>
      <c r="N133" s="209"/>
      <c r="O133" s="209"/>
      <c r="P133" s="209"/>
      <c r="Q133" s="209"/>
      <c r="R133" s="132"/>
      <c r="S133" s="136"/>
      <c r="T133" s="136"/>
      <c r="U133" s="136"/>
      <c r="V133" s="136"/>
      <c r="W133" s="136"/>
      <c r="X133" s="136"/>
      <c r="Y133" s="132"/>
      <c r="Z133" s="207"/>
      <c r="AA133" s="43"/>
      <c r="AB133" s="172"/>
      <c r="AC133" s="43"/>
      <c r="AD133" s="43"/>
      <c r="AE133" s="136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136"/>
      <c r="AR133" s="136"/>
      <c r="AS133" s="136"/>
      <c r="AT133" s="136"/>
      <c r="AU133" s="136"/>
      <c r="AV133" s="136"/>
    </row>
    <row r="134" ht="14.25" customHeight="1">
      <c r="A134" s="198" t="s">
        <v>476</v>
      </c>
      <c r="B134" s="207" t="s">
        <v>495</v>
      </c>
      <c r="C134" s="207" t="s">
        <v>49</v>
      </c>
      <c r="D134" s="208"/>
      <c r="E134" s="133">
        <v>102.0</v>
      </c>
      <c r="F134" s="136">
        <v>63.24</v>
      </c>
      <c r="G134" s="132"/>
      <c r="H134" s="132"/>
      <c r="I134" s="133"/>
      <c r="J134" s="132"/>
      <c r="K134" s="132"/>
      <c r="L134" s="136"/>
      <c r="M134" s="209"/>
      <c r="N134" s="209"/>
      <c r="O134" s="209"/>
      <c r="P134" s="209"/>
      <c r="Q134" s="209"/>
      <c r="R134" s="132"/>
      <c r="S134" s="136"/>
      <c r="T134" s="136"/>
      <c r="U134" s="136"/>
      <c r="V134" s="136"/>
      <c r="W134" s="136"/>
      <c r="X134" s="136"/>
      <c r="Y134" s="132"/>
      <c r="Z134" s="207"/>
      <c r="AA134" s="43"/>
      <c r="AB134" s="172"/>
      <c r="AC134" s="43"/>
      <c r="AD134" s="43"/>
      <c r="AE134" s="136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136"/>
      <c r="AR134" s="136"/>
      <c r="AS134" s="136"/>
      <c r="AT134" s="136"/>
      <c r="AU134" s="136"/>
      <c r="AV134" s="136"/>
    </row>
    <row r="135" ht="14.25" customHeight="1">
      <c r="A135" s="198" t="s">
        <v>476</v>
      </c>
      <c r="B135" s="207" t="s">
        <v>496</v>
      </c>
      <c r="C135" s="207" t="s">
        <v>49</v>
      </c>
      <c r="D135" s="208"/>
      <c r="E135" s="133">
        <v>75.0</v>
      </c>
      <c r="F135" s="136"/>
      <c r="G135" s="132"/>
      <c r="H135" s="132"/>
      <c r="I135" s="133"/>
      <c r="J135" s="132"/>
      <c r="K135" s="132"/>
      <c r="L135" s="136"/>
      <c r="M135" s="209"/>
      <c r="N135" s="209"/>
      <c r="O135" s="209"/>
      <c r="P135" s="209"/>
      <c r="Q135" s="209"/>
      <c r="R135" s="132"/>
      <c r="S135" s="136"/>
      <c r="T135" s="136"/>
      <c r="U135" s="136"/>
      <c r="V135" s="136"/>
      <c r="W135" s="136"/>
      <c r="X135" s="136"/>
      <c r="Y135" s="132"/>
      <c r="Z135" s="207"/>
      <c r="AA135" s="43"/>
      <c r="AB135" s="172"/>
      <c r="AC135" s="43"/>
      <c r="AD135" s="43"/>
      <c r="AE135" s="136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136"/>
      <c r="AR135" s="136"/>
      <c r="AS135" s="136"/>
      <c r="AT135" s="136"/>
      <c r="AU135" s="136"/>
      <c r="AV135" s="136"/>
    </row>
    <row r="136" ht="14.25" customHeight="1">
      <c r="A136" s="198" t="s">
        <v>476</v>
      </c>
      <c r="B136" s="207" t="s">
        <v>497</v>
      </c>
      <c r="C136" s="207" t="s">
        <v>49</v>
      </c>
      <c r="D136" s="208"/>
      <c r="E136" s="133">
        <v>93.0</v>
      </c>
      <c r="F136" s="136"/>
      <c r="G136" s="132"/>
      <c r="H136" s="132"/>
      <c r="I136" s="133"/>
      <c r="J136" s="132"/>
      <c r="K136" s="132"/>
      <c r="L136" s="136"/>
      <c r="M136" s="209"/>
      <c r="N136" s="209"/>
      <c r="O136" s="209"/>
      <c r="P136" s="209"/>
      <c r="Q136" s="209"/>
      <c r="R136" s="132"/>
      <c r="S136" s="136"/>
      <c r="T136" s="136"/>
      <c r="U136" s="136"/>
      <c r="V136" s="136"/>
      <c r="W136" s="136"/>
      <c r="X136" s="136"/>
      <c r="Y136" s="132"/>
      <c r="Z136" s="207"/>
      <c r="AA136" s="43"/>
      <c r="AB136" s="172"/>
      <c r="AC136" s="43"/>
      <c r="AD136" s="43"/>
      <c r="AE136" s="136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136"/>
      <c r="AR136" s="136"/>
      <c r="AS136" s="136"/>
      <c r="AT136" s="136"/>
      <c r="AU136" s="136"/>
      <c r="AV136" s="136"/>
    </row>
    <row r="137" ht="14.25" customHeight="1">
      <c r="A137" s="198" t="s">
        <v>476</v>
      </c>
      <c r="B137" s="207" t="s">
        <v>498</v>
      </c>
      <c r="C137" s="207" t="s">
        <v>49</v>
      </c>
      <c r="D137" s="208"/>
      <c r="E137" s="133">
        <v>97.0</v>
      </c>
      <c r="F137" s="136"/>
      <c r="G137" s="132"/>
      <c r="H137" s="132"/>
      <c r="I137" s="133"/>
      <c r="J137" s="132"/>
      <c r="K137" s="132"/>
      <c r="L137" s="136"/>
      <c r="M137" s="209"/>
      <c r="N137" s="209"/>
      <c r="O137" s="209"/>
      <c r="P137" s="209"/>
      <c r="Q137" s="209"/>
      <c r="R137" s="132"/>
      <c r="S137" s="136"/>
      <c r="T137" s="136"/>
      <c r="U137" s="136"/>
      <c r="V137" s="136"/>
      <c r="W137" s="136"/>
      <c r="X137" s="136"/>
      <c r="Y137" s="132"/>
      <c r="Z137" s="207"/>
      <c r="AA137" s="43"/>
      <c r="AB137" s="172"/>
      <c r="AC137" s="43"/>
      <c r="AD137" s="43"/>
      <c r="AE137" s="136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136"/>
      <c r="AR137" s="136"/>
      <c r="AS137" s="136"/>
      <c r="AT137" s="136"/>
      <c r="AU137" s="136"/>
      <c r="AV137" s="136"/>
    </row>
    <row r="138" ht="14.25" customHeight="1">
      <c r="A138" s="198" t="s">
        <v>476</v>
      </c>
      <c r="B138" s="207" t="s">
        <v>499</v>
      </c>
      <c r="C138" s="207" t="s">
        <v>49</v>
      </c>
      <c r="D138" s="208"/>
      <c r="E138" s="133">
        <v>106.0</v>
      </c>
      <c r="F138" s="136"/>
      <c r="G138" s="132"/>
      <c r="H138" s="132"/>
      <c r="I138" s="133"/>
      <c r="J138" s="132"/>
      <c r="K138" s="132"/>
      <c r="L138" s="136"/>
      <c r="M138" s="209"/>
      <c r="N138" s="209"/>
      <c r="O138" s="209"/>
      <c r="P138" s="209"/>
      <c r="Q138" s="209"/>
      <c r="R138" s="132"/>
      <c r="S138" s="136"/>
      <c r="T138" s="136"/>
      <c r="U138" s="136"/>
      <c r="V138" s="136"/>
      <c r="W138" s="136"/>
      <c r="X138" s="136"/>
      <c r="Y138" s="132"/>
      <c r="Z138" s="207"/>
      <c r="AA138" s="43"/>
      <c r="AB138" s="172"/>
      <c r="AC138" s="43"/>
      <c r="AD138" s="43"/>
      <c r="AE138" s="136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136"/>
      <c r="AR138" s="136"/>
      <c r="AS138" s="136"/>
      <c r="AT138" s="136"/>
      <c r="AU138" s="136"/>
      <c r="AV138" s="136"/>
    </row>
    <row r="139" ht="14.25" customHeight="1">
      <c r="A139" s="198" t="s">
        <v>476</v>
      </c>
      <c r="B139" s="207" t="s">
        <v>499</v>
      </c>
      <c r="C139" s="207" t="s">
        <v>49</v>
      </c>
      <c r="D139" s="208"/>
      <c r="E139" s="133">
        <v>114.0</v>
      </c>
      <c r="F139" s="136"/>
      <c r="G139" s="132"/>
      <c r="H139" s="132"/>
      <c r="I139" s="133"/>
      <c r="J139" s="132"/>
      <c r="K139" s="132"/>
      <c r="L139" s="136"/>
      <c r="M139" s="209"/>
      <c r="N139" s="209"/>
      <c r="O139" s="209"/>
      <c r="P139" s="209"/>
      <c r="Q139" s="209"/>
      <c r="R139" s="132"/>
      <c r="S139" s="136"/>
      <c r="T139" s="136"/>
      <c r="U139" s="136"/>
      <c r="V139" s="136"/>
      <c r="W139" s="136"/>
      <c r="X139" s="136"/>
      <c r="Y139" s="132"/>
      <c r="Z139" s="207"/>
      <c r="AA139" s="43"/>
      <c r="AB139" s="172"/>
      <c r="AC139" s="43"/>
      <c r="AD139" s="43"/>
      <c r="AE139" s="136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136"/>
      <c r="AR139" s="136"/>
      <c r="AS139" s="136"/>
      <c r="AT139" s="136"/>
      <c r="AU139" s="136"/>
      <c r="AV139" s="136"/>
    </row>
    <row r="140" ht="14.25" customHeight="1">
      <c r="A140" s="198" t="s">
        <v>476</v>
      </c>
      <c r="B140" s="207" t="s">
        <v>500</v>
      </c>
      <c r="C140" s="207" t="s">
        <v>49</v>
      </c>
      <c r="D140" s="208"/>
      <c r="E140" s="133">
        <v>122.0</v>
      </c>
      <c r="F140" s="136"/>
      <c r="G140" s="132"/>
      <c r="H140" s="132"/>
      <c r="I140" s="133"/>
      <c r="J140" s="132"/>
      <c r="K140" s="132"/>
      <c r="L140" s="136"/>
      <c r="M140" s="209"/>
      <c r="N140" s="209"/>
      <c r="O140" s="209"/>
      <c r="P140" s="209"/>
      <c r="Q140" s="209"/>
      <c r="R140" s="132"/>
      <c r="S140" s="136"/>
      <c r="T140" s="136"/>
      <c r="U140" s="136"/>
      <c r="V140" s="136"/>
      <c r="W140" s="136"/>
      <c r="X140" s="136"/>
      <c r="Y140" s="132"/>
      <c r="Z140" s="207"/>
      <c r="AA140" s="43"/>
      <c r="AB140" s="172"/>
      <c r="AC140" s="43"/>
      <c r="AD140" s="43"/>
      <c r="AE140" s="136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136"/>
      <c r="AR140" s="136"/>
      <c r="AS140" s="136"/>
      <c r="AT140" s="136"/>
      <c r="AU140" s="136"/>
      <c r="AV140" s="136"/>
    </row>
    <row r="141" ht="14.25" customHeight="1">
      <c r="A141" s="198" t="s">
        <v>476</v>
      </c>
      <c r="B141" s="207"/>
      <c r="C141" s="207"/>
      <c r="D141" s="208"/>
      <c r="E141" s="133"/>
      <c r="F141" s="136"/>
      <c r="G141" s="132"/>
      <c r="H141" s="132"/>
      <c r="I141" s="133"/>
      <c r="J141" s="132"/>
      <c r="K141" s="132"/>
      <c r="L141" s="136"/>
      <c r="M141" s="209"/>
      <c r="N141" s="209"/>
      <c r="O141" s="209"/>
      <c r="P141" s="209"/>
      <c r="Q141" s="209"/>
      <c r="R141" s="132"/>
      <c r="S141" s="136"/>
      <c r="T141" s="136"/>
      <c r="U141" s="136"/>
      <c r="V141" s="136"/>
      <c r="W141" s="136"/>
      <c r="X141" s="136"/>
      <c r="Y141" s="132"/>
      <c r="Z141" s="207"/>
      <c r="AA141" s="43"/>
      <c r="AB141" s="172"/>
      <c r="AC141" s="43"/>
      <c r="AD141" s="43"/>
      <c r="AE141" s="136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136"/>
      <c r="AR141" s="136"/>
      <c r="AS141" s="136"/>
      <c r="AT141" s="136"/>
      <c r="AU141" s="136"/>
      <c r="AV141" s="136"/>
    </row>
    <row r="142" ht="14.25" customHeight="1">
      <c r="A142" s="198" t="s">
        <v>476</v>
      </c>
      <c r="B142" s="207"/>
      <c r="C142" s="207"/>
      <c r="D142" s="208"/>
      <c r="E142" s="133"/>
      <c r="F142" s="136"/>
      <c r="G142" s="132"/>
      <c r="H142" s="132"/>
      <c r="I142" s="133"/>
      <c r="J142" s="132"/>
      <c r="K142" s="132"/>
      <c r="L142" s="136"/>
      <c r="M142" s="209"/>
      <c r="N142" s="209"/>
      <c r="O142" s="209"/>
      <c r="P142" s="209"/>
      <c r="Q142" s="209"/>
      <c r="R142" s="132"/>
      <c r="S142" s="136"/>
      <c r="T142" s="136"/>
      <c r="U142" s="136"/>
      <c r="V142" s="136"/>
      <c r="W142" s="136"/>
      <c r="X142" s="136"/>
      <c r="Y142" s="132"/>
      <c r="Z142" s="207"/>
      <c r="AA142" s="43"/>
      <c r="AB142" s="172"/>
      <c r="AC142" s="43"/>
      <c r="AD142" s="43"/>
      <c r="AE142" s="136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136"/>
      <c r="AR142" s="136"/>
      <c r="AS142" s="136"/>
      <c r="AT142" s="136"/>
      <c r="AU142" s="136"/>
      <c r="AV142" s="136"/>
    </row>
    <row r="143" ht="14.25" customHeight="1">
      <c r="A143" s="198" t="s">
        <v>476</v>
      </c>
      <c r="B143" s="207"/>
      <c r="C143" s="207"/>
      <c r="D143" s="208"/>
      <c r="E143" s="133"/>
      <c r="F143" s="136"/>
      <c r="G143" s="132"/>
      <c r="H143" s="132"/>
      <c r="I143" s="133"/>
      <c r="J143" s="132"/>
      <c r="K143" s="132"/>
      <c r="L143" s="136"/>
      <c r="M143" s="209"/>
      <c r="N143" s="209"/>
      <c r="O143" s="209"/>
      <c r="P143" s="209"/>
      <c r="Q143" s="209"/>
      <c r="R143" s="132"/>
      <c r="S143" s="136"/>
      <c r="T143" s="136"/>
      <c r="U143" s="136"/>
      <c r="V143" s="136"/>
      <c r="W143" s="136"/>
      <c r="X143" s="136"/>
      <c r="Y143" s="132"/>
      <c r="Z143" s="207"/>
      <c r="AA143" s="43"/>
      <c r="AB143" s="172"/>
      <c r="AC143" s="43"/>
      <c r="AD143" s="43"/>
      <c r="AE143" s="136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136"/>
      <c r="AR143" s="136"/>
      <c r="AS143" s="136"/>
      <c r="AT143" s="136"/>
      <c r="AU143" s="136"/>
      <c r="AV143" s="136"/>
    </row>
    <row r="144" ht="14.25" customHeight="1">
      <c r="A144" s="198" t="s">
        <v>476</v>
      </c>
      <c r="B144" s="207"/>
      <c r="C144" s="207"/>
      <c r="D144" s="208"/>
      <c r="E144" s="133"/>
      <c r="F144" s="136"/>
      <c r="G144" s="132"/>
      <c r="H144" s="132"/>
      <c r="I144" s="133"/>
      <c r="J144" s="132"/>
      <c r="K144" s="132"/>
      <c r="L144" s="136"/>
      <c r="M144" s="209"/>
      <c r="N144" s="209"/>
      <c r="O144" s="209"/>
      <c r="P144" s="209"/>
      <c r="Q144" s="209"/>
      <c r="R144" s="132"/>
      <c r="S144" s="136"/>
      <c r="T144" s="136"/>
      <c r="U144" s="136"/>
      <c r="V144" s="136"/>
      <c r="W144" s="136"/>
      <c r="X144" s="136"/>
      <c r="Y144" s="132"/>
      <c r="Z144" s="207"/>
      <c r="AA144" s="43"/>
      <c r="AB144" s="172"/>
      <c r="AC144" s="43"/>
      <c r="AD144" s="43"/>
      <c r="AE144" s="136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136"/>
      <c r="AR144" s="136"/>
      <c r="AS144" s="136"/>
      <c r="AT144" s="136"/>
      <c r="AU144" s="136"/>
      <c r="AV144" s="136"/>
    </row>
    <row r="145" ht="14.25" customHeight="1">
      <c r="A145" s="198" t="s">
        <v>476</v>
      </c>
      <c r="B145" s="207"/>
      <c r="C145" s="207"/>
      <c r="D145" s="208"/>
      <c r="E145" s="133"/>
      <c r="F145" s="136"/>
      <c r="G145" s="132"/>
      <c r="H145" s="132"/>
      <c r="I145" s="133"/>
      <c r="J145" s="132"/>
      <c r="K145" s="132"/>
      <c r="L145" s="136"/>
      <c r="M145" s="209"/>
      <c r="N145" s="209"/>
      <c r="O145" s="209"/>
      <c r="P145" s="209"/>
      <c r="Q145" s="209"/>
      <c r="R145" s="132"/>
      <c r="S145" s="136"/>
      <c r="T145" s="136"/>
      <c r="U145" s="136"/>
      <c r="V145" s="136"/>
      <c r="W145" s="136"/>
      <c r="X145" s="136"/>
      <c r="Y145" s="132"/>
      <c r="Z145" s="207"/>
      <c r="AA145" s="43"/>
      <c r="AB145" s="172"/>
      <c r="AC145" s="43"/>
      <c r="AD145" s="43"/>
      <c r="AE145" s="136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136"/>
      <c r="AR145" s="136"/>
      <c r="AS145" s="136"/>
      <c r="AT145" s="136"/>
      <c r="AU145" s="136"/>
      <c r="AV145" s="136"/>
    </row>
    <row r="146" ht="14.25" customHeight="1">
      <c r="A146" s="198" t="s">
        <v>476</v>
      </c>
      <c r="B146" s="207"/>
      <c r="C146" s="207"/>
      <c r="D146" s="208"/>
      <c r="E146" s="133"/>
      <c r="F146" s="136"/>
      <c r="G146" s="132"/>
      <c r="H146" s="132"/>
      <c r="I146" s="133"/>
      <c r="J146" s="132"/>
      <c r="K146" s="132"/>
      <c r="L146" s="136"/>
      <c r="M146" s="209"/>
      <c r="N146" s="209"/>
      <c r="O146" s="209"/>
      <c r="P146" s="209"/>
      <c r="Q146" s="209"/>
      <c r="R146" s="132"/>
      <c r="S146" s="136"/>
      <c r="T146" s="136"/>
      <c r="U146" s="136"/>
      <c r="V146" s="136"/>
      <c r="W146" s="136"/>
      <c r="X146" s="136"/>
      <c r="Y146" s="132"/>
      <c r="Z146" s="207"/>
      <c r="AA146" s="43"/>
      <c r="AB146" s="172"/>
      <c r="AC146" s="43"/>
      <c r="AD146" s="43"/>
      <c r="AE146" s="136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136"/>
      <c r="AR146" s="136"/>
      <c r="AS146" s="136"/>
      <c r="AT146" s="136"/>
      <c r="AU146" s="136"/>
      <c r="AV146" s="136"/>
    </row>
    <row r="147" ht="14.25" customHeight="1">
      <c r="A147" s="198" t="s">
        <v>476</v>
      </c>
      <c r="B147" s="207"/>
      <c r="C147" s="207"/>
      <c r="D147" s="208"/>
      <c r="E147" s="133"/>
      <c r="F147" s="136"/>
      <c r="G147" s="132"/>
      <c r="H147" s="132"/>
      <c r="I147" s="133"/>
      <c r="J147" s="132"/>
      <c r="K147" s="132"/>
      <c r="L147" s="136"/>
      <c r="M147" s="209"/>
      <c r="N147" s="209"/>
      <c r="O147" s="209"/>
      <c r="P147" s="209"/>
      <c r="Q147" s="209"/>
      <c r="R147" s="132"/>
      <c r="S147" s="136"/>
      <c r="T147" s="136"/>
      <c r="U147" s="136"/>
      <c r="V147" s="136"/>
      <c r="W147" s="136"/>
      <c r="X147" s="136"/>
      <c r="Y147" s="132"/>
      <c r="Z147" s="207"/>
      <c r="AA147" s="43"/>
      <c r="AB147" s="172"/>
      <c r="AC147" s="43"/>
      <c r="AD147" s="43"/>
      <c r="AE147" s="136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136"/>
      <c r="AR147" s="136"/>
      <c r="AS147" s="136"/>
      <c r="AT147" s="136"/>
      <c r="AU147" s="136"/>
      <c r="AV147" s="136"/>
    </row>
    <row r="148" ht="14.25" customHeight="1">
      <c r="A148" s="198" t="s">
        <v>476</v>
      </c>
      <c r="B148" s="207"/>
      <c r="C148" s="207"/>
      <c r="D148" s="208"/>
      <c r="E148" s="133"/>
      <c r="F148" s="136"/>
      <c r="G148" s="132"/>
      <c r="H148" s="132"/>
      <c r="I148" s="133"/>
      <c r="J148" s="132"/>
      <c r="K148" s="132"/>
      <c r="L148" s="136"/>
      <c r="M148" s="209"/>
      <c r="N148" s="209"/>
      <c r="O148" s="209"/>
      <c r="P148" s="209"/>
      <c r="Q148" s="209"/>
      <c r="R148" s="132"/>
      <c r="S148" s="136"/>
      <c r="T148" s="136"/>
      <c r="U148" s="136"/>
      <c r="V148" s="136"/>
      <c r="W148" s="136"/>
      <c r="X148" s="136"/>
      <c r="Y148" s="132"/>
      <c r="Z148" s="207"/>
      <c r="AA148" s="43"/>
      <c r="AB148" s="172"/>
      <c r="AC148" s="43"/>
      <c r="AD148" s="43"/>
      <c r="AE148" s="136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136"/>
      <c r="AR148" s="136"/>
      <c r="AS148" s="136"/>
      <c r="AT148" s="136"/>
      <c r="AU148" s="136"/>
      <c r="AV148" s="136"/>
    </row>
    <row r="149" ht="14.25" customHeight="1">
      <c r="A149" s="198" t="s">
        <v>476</v>
      </c>
      <c r="B149" s="207"/>
      <c r="C149" s="207"/>
      <c r="D149" s="208"/>
      <c r="E149" s="133"/>
      <c r="F149" s="136"/>
      <c r="G149" s="132"/>
      <c r="H149" s="132"/>
      <c r="I149" s="133"/>
      <c r="J149" s="132"/>
      <c r="K149" s="132"/>
      <c r="L149" s="136"/>
      <c r="M149" s="209"/>
      <c r="N149" s="209"/>
      <c r="O149" s="209"/>
      <c r="P149" s="209"/>
      <c r="Q149" s="209"/>
      <c r="R149" s="132"/>
      <c r="S149" s="136"/>
      <c r="T149" s="136"/>
      <c r="U149" s="136"/>
      <c r="V149" s="136"/>
      <c r="W149" s="136"/>
      <c r="X149" s="136"/>
      <c r="Y149" s="132"/>
      <c r="Z149" s="207"/>
      <c r="AA149" s="43"/>
      <c r="AB149" s="172"/>
      <c r="AC149" s="43"/>
      <c r="AD149" s="43"/>
      <c r="AE149" s="136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136"/>
      <c r="AR149" s="136"/>
      <c r="AS149" s="136"/>
      <c r="AT149" s="136"/>
      <c r="AU149" s="136"/>
      <c r="AV149" s="136"/>
    </row>
    <row r="150" ht="14.25" customHeight="1">
      <c r="A150" s="198" t="s">
        <v>476</v>
      </c>
      <c r="B150" s="207"/>
      <c r="C150" s="207"/>
      <c r="D150" s="208"/>
      <c r="E150" s="133"/>
      <c r="F150" s="136"/>
      <c r="G150" s="132"/>
      <c r="H150" s="132"/>
      <c r="I150" s="133"/>
      <c r="J150" s="132"/>
      <c r="K150" s="132"/>
      <c r="L150" s="136"/>
      <c r="M150" s="209"/>
      <c r="N150" s="209"/>
      <c r="O150" s="209"/>
      <c r="P150" s="209"/>
      <c r="Q150" s="209"/>
      <c r="R150" s="132"/>
      <c r="S150" s="136"/>
      <c r="T150" s="136"/>
      <c r="U150" s="136"/>
      <c r="V150" s="136"/>
      <c r="W150" s="136"/>
      <c r="X150" s="136"/>
      <c r="Y150" s="132"/>
      <c r="Z150" s="207"/>
      <c r="AA150" s="43"/>
      <c r="AB150" s="172"/>
      <c r="AC150" s="43"/>
      <c r="AD150" s="43"/>
      <c r="AE150" s="136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136"/>
      <c r="AR150" s="136"/>
      <c r="AS150" s="136"/>
      <c r="AT150" s="136"/>
      <c r="AU150" s="136"/>
      <c r="AV150" s="136"/>
    </row>
    <row r="151" ht="14.25" customHeight="1">
      <c r="A151" s="198" t="s">
        <v>476</v>
      </c>
      <c r="B151" s="207"/>
      <c r="C151" s="207"/>
      <c r="D151" s="208"/>
      <c r="E151" s="133"/>
      <c r="F151" s="136"/>
      <c r="G151" s="132"/>
      <c r="H151" s="132"/>
      <c r="I151" s="133"/>
      <c r="J151" s="132"/>
      <c r="K151" s="132"/>
      <c r="L151" s="136"/>
      <c r="M151" s="209"/>
      <c r="N151" s="209"/>
      <c r="O151" s="209"/>
      <c r="P151" s="209"/>
      <c r="Q151" s="209"/>
      <c r="R151" s="132"/>
      <c r="S151" s="136"/>
      <c r="T151" s="136"/>
      <c r="U151" s="136"/>
      <c r="V151" s="136"/>
      <c r="W151" s="136"/>
      <c r="X151" s="136"/>
      <c r="Y151" s="132"/>
      <c r="Z151" s="207"/>
      <c r="AA151" s="43"/>
      <c r="AB151" s="172"/>
      <c r="AC151" s="43"/>
      <c r="AD151" s="43"/>
      <c r="AE151" s="136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136"/>
      <c r="AR151" s="136"/>
      <c r="AS151" s="136"/>
      <c r="AT151" s="136"/>
      <c r="AU151" s="136"/>
      <c r="AV151" s="136"/>
    </row>
    <row r="152" ht="14.25" customHeight="1">
      <c r="A152" s="198" t="s">
        <v>476</v>
      </c>
      <c r="B152" s="207"/>
      <c r="C152" s="207"/>
      <c r="D152" s="208"/>
      <c r="E152" s="133"/>
      <c r="F152" s="136"/>
      <c r="G152" s="132"/>
      <c r="H152" s="132"/>
      <c r="I152" s="133"/>
      <c r="J152" s="132"/>
      <c r="K152" s="132"/>
      <c r="L152" s="136"/>
      <c r="M152" s="209"/>
      <c r="N152" s="209"/>
      <c r="O152" s="209"/>
      <c r="P152" s="209"/>
      <c r="Q152" s="209"/>
      <c r="R152" s="132"/>
      <c r="S152" s="136"/>
      <c r="T152" s="136"/>
      <c r="U152" s="136"/>
      <c r="V152" s="136"/>
      <c r="W152" s="136"/>
      <c r="X152" s="136"/>
      <c r="Y152" s="132"/>
      <c r="Z152" s="207"/>
      <c r="AA152" s="43"/>
      <c r="AB152" s="172"/>
      <c r="AC152" s="43"/>
      <c r="AD152" s="43"/>
      <c r="AE152" s="136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136"/>
      <c r="AR152" s="136"/>
      <c r="AS152" s="136"/>
      <c r="AT152" s="136"/>
      <c r="AU152" s="136"/>
      <c r="AV152" s="136"/>
    </row>
    <row r="153" ht="14.25" customHeight="1">
      <c r="A153" s="198" t="s">
        <v>476</v>
      </c>
      <c r="B153" s="207"/>
      <c r="C153" s="207"/>
      <c r="D153" s="208"/>
      <c r="E153" s="133"/>
      <c r="F153" s="136"/>
      <c r="G153" s="132"/>
      <c r="H153" s="132"/>
      <c r="I153" s="133"/>
      <c r="J153" s="132"/>
      <c r="K153" s="132"/>
      <c r="L153" s="136"/>
      <c r="M153" s="209"/>
      <c r="N153" s="209"/>
      <c r="O153" s="209"/>
      <c r="P153" s="209"/>
      <c r="Q153" s="209"/>
      <c r="R153" s="132"/>
      <c r="S153" s="136"/>
      <c r="T153" s="136"/>
      <c r="U153" s="136"/>
      <c r="V153" s="136"/>
      <c r="W153" s="136"/>
      <c r="X153" s="136"/>
      <c r="Y153" s="132"/>
      <c r="Z153" s="207"/>
      <c r="AA153" s="43"/>
      <c r="AB153" s="172"/>
      <c r="AC153" s="43"/>
      <c r="AD153" s="43"/>
      <c r="AE153" s="136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136"/>
      <c r="AR153" s="136"/>
      <c r="AS153" s="136"/>
      <c r="AT153" s="136"/>
      <c r="AU153" s="136"/>
      <c r="AV153" s="136"/>
    </row>
    <row r="154" ht="14.25" customHeight="1">
      <c r="A154" s="198" t="s">
        <v>476</v>
      </c>
      <c r="B154" s="207"/>
      <c r="C154" s="207"/>
      <c r="D154" s="208"/>
      <c r="E154" s="133"/>
      <c r="F154" s="136"/>
      <c r="G154" s="132"/>
      <c r="H154" s="132"/>
      <c r="I154" s="133"/>
      <c r="J154" s="132"/>
      <c r="K154" s="132"/>
      <c r="L154" s="136"/>
      <c r="M154" s="209"/>
      <c r="N154" s="209"/>
      <c r="O154" s="209"/>
      <c r="P154" s="209"/>
      <c r="Q154" s="209"/>
      <c r="R154" s="132"/>
      <c r="S154" s="136"/>
      <c r="T154" s="136"/>
      <c r="U154" s="136"/>
      <c r="V154" s="136"/>
      <c r="W154" s="136"/>
      <c r="X154" s="136"/>
      <c r="Y154" s="132"/>
      <c r="Z154" s="207"/>
      <c r="AA154" s="43"/>
      <c r="AB154" s="172"/>
      <c r="AC154" s="43"/>
      <c r="AD154" s="43"/>
      <c r="AE154" s="136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136"/>
      <c r="AR154" s="136"/>
      <c r="AS154" s="136"/>
      <c r="AT154" s="136"/>
      <c r="AU154" s="136"/>
      <c r="AV154" s="136"/>
    </row>
    <row r="155" ht="14.25" customHeight="1">
      <c r="A155" s="198" t="s">
        <v>476</v>
      </c>
      <c r="B155" s="207"/>
      <c r="C155" s="207"/>
      <c r="D155" s="208"/>
      <c r="E155" s="133"/>
      <c r="F155" s="136"/>
      <c r="G155" s="132"/>
      <c r="H155" s="132"/>
      <c r="I155" s="133"/>
      <c r="J155" s="132"/>
      <c r="K155" s="132"/>
      <c r="L155" s="136"/>
      <c r="M155" s="209"/>
      <c r="N155" s="209"/>
      <c r="O155" s="209"/>
      <c r="P155" s="209"/>
      <c r="Q155" s="209"/>
      <c r="R155" s="132"/>
      <c r="S155" s="136"/>
      <c r="T155" s="136"/>
      <c r="U155" s="136"/>
      <c r="V155" s="136"/>
      <c r="W155" s="136"/>
      <c r="X155" s="136"/>
      <c r="Y155" s="132"/>
      <c r="Z155" s="207"/>
      <c r="AA155" s="43"/>
      <c r="AB155" s="172"/>
      <c r="AC155" s="43"/>
      <c r="AD155" s="43"/>
      <c r="AE155" s="136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136"/>
      <c r="AR155" s="136"/>
      <c r="AS155" s="136"/>
      <c r="AT155" s="136"/>
      <c r="AU155" s="136"/>
      <c r="AV155" s="136"/>
    </row>
    <row r="156" ht="14.25" customHeight="1">
      <c r="A156" s="198" t="s">
        <v>476</v>
      </c>
      <c r="B156" s="207"/>
      <c r="C156" s="207"/>
      <c r="D156" s="208"/>
      <c r="E156" s="133"/>
      <c r="F156" s="136"/>
      <c r="G156" s="132"/>
      <c r="H156" s="132"/>
      <c r="I156" s="133"/>
      <c r="J156" s="132"/>
      <c r="K156" s="132"/>
      <c r="L156" s="136"/>
      <c r="M156" s="209"/>
      <c r="N156" s="209"/>
      <c r="O156" s="209"/>
      <c r="P156" s="209"/>
      <c r="Q156" s="209"/>
      <c r="R156" s="132"/>
      <c r="S156" s="136"/>
      <c r="T156" s="136"/>
      <c r="U156" s="136"/>
      <c r="V156" s="136"/>
      <c r="W156" s="136"/>
      <c r="X156" s="136"/>
      <c r="Y156" s="132"/>
      <c r="Z156" s="207"/>
      <c r="AA156" s="43"/>
      <c r="AB156" s="172"/>
      <c r="AC156" s="43"/>
      <c r="AD156" s="43"/>
      <c r="AE156" s="136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136"/>
      <c r="AR156" s="136"/>
      <c r="AS156" s="136"/>
      <c r="AT156" s="136"/>
      <c r="AU156" s="136"/>
      <c r="AV156" s="136"/>
    </row>
    <row r="157" ht="14.25" customHeight="1">
      <c r="A157" s="198" t="s">
        <v>476</v>
      </c>
      <c r="B157" s="207"/>
      <c r="C157" s="207"/>
      <c r="D157" s="208"/>
      <c r="E157" s="133"/>
      <c r="F157" s="136"/>
      <c r="G157" s="132"/>
      <c r="H157" s="132"/>
      <c r="I157" s="133"/>
      <c r="J157" s="132"/>
      <c r="K157" s="132"/>
      <c r="L157" s="136"/>
      <c r="M157" s="209"/>
      <c r="N157" s="209"/>
      <c r="O157" s="209"/>
      <c r="P157" s="209"/>
      <c r="Q157" s="209"/>
      <c r="R157" s="132"/>
      <c r="S157" s="136"/>
      <c r="T157" s="136"/>
      <c r="U157" s="136"/>
      <c r="V157" s="136"/>
      <c r="W157" s="136"/>
      <c r="X157" s="136"/>
      <c r="Y157" s="132"/>
      <c r="Z157" s="207"/>
      <c r="AA157" s="43"/>
      <c r="AB157" s="172"/>
      <c r="AC157" s="43"/>
      <c r="AD157" s="43"/>
      <c r="AE157" s="136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136"/>
      <c r="AR157" s="136"/>
      <c r="AS157" s="136"/>
      <c r="AT157" s="136"/>
      <c r="AU157" s="136"/>
      <c r="AV157" s="136"/>
    </row>
    <row r="158" ht="14.25" customHeight="1">
      <c r="A158" s="198" t="s">
        <v>476</v>
      </c>
      <c r="B158" s="207"/>
      <c r="C158" s="207"/>
      <c r="D158" s="208"/>
      <c r="E158" s="133"/>
      <c r="F158" s="136"/>
      <c r="G158" s="132"/>
      <c r="H158" s="132"/>
      <c r="I158" s="133"/>
      <c r="J158" s="132"/>
      <c r="K158" s="132"/>
      <c r="L158" s="136"/>
      <c r="M158" s="209"/>
      <c r="N158" s="209"/>
      <c r="O158" s="209"/>
      <c r="P158" s="209"/>
      <c r="Q158" s="209"/>
      <c r="R158" s="132"/>
      <c r="S158" s="136"/>
      <c r="T158" s="136"/>
      <c r="U158" s="136"/>
      <c r="V158" s="136"/>
      <c r="W158" s="136"/>
      <c r="X158" s="136"/>
      <c r="Y158" s="132"/>
      <c r="Z158" s="207"/>
      <c r="AA158" s="43"/>
      <c r="AB158" s="172"/>
      <c r="AC158" s="43"/>
      <c r="AD158" s="43"/>
      <c r="AE158" s="136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136"/>
      <c r="AR158" s="136"/>
      <c r="AS158" s="136"/>
      <c r="AT158" s="136"/>
      <c r="AU158" s="136"/>
      <c r="AV158" s="136"/>
    </row>
    <row r="159" ht="14.25" customHeight="1">
      <c r="A159" s="198"/>
      <c r="B159" s="43"/>
      <c r="C159" s="43"/>
      <c r="D159" s="132"/>
      <c r="E159" s="133"/>
      <c r="F159" s="136"/>
      <c r="G159" s="132"/>
      <c r="H159" s="132"/>
      <c r="I159" s="133"/>
      <c r="J159" s="132"/>
      <c r="K159" s="132"/>
      <c r="L159" s="136"/>
      <c r="M159" s="136"/>
      <c r="N159" s="136"/>
      <c r="O159" s="136"/>
      <c r="P159" s="136"/>
      <c r="Q159" s="136"/>
      <c r="R159" s="132"/>
      <c r="S159" s="136"/>
      <c r="T159" s="136"/>
      <c r="U159" s="136"/>
      <c r="V159" s="136"/>
      <c r="W159" s="136"/>
      <c r="X159" s="136"/>
      <c r="Y159" s="132"/>
      <c r="Z159" s="43"/>
      <c r="AA159" s="43"/>
      <c r="AB159" s="172"/>
      <c r="AC159" s="43"/>
      <c r="AD159" s="43"/>
      <c r="AE159" s="136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136"/>
      <c r="AR159" s="136"/>
      <c r="AS159" s="136"/>
      <c r="AT159" s="136"/>
      <c r="AU159" s="136"/>
      <c r="AV159" s="136"/>
    </row>
    <row r="160" ht="14.25" customHeight="1">
      <c r="A160" s="198"/>
      <c r="B160" s="43"/>
      <c r="C160" s="43"/>
      <c r="D160" s="132"/>
      <c r="E160" s="133"/>
      <c r="F160" s="136"/>
      <c r="G160" s="132"/>
      <c r="H160" s="132"/>
      <c r="I160" s="133"/>
      <c r="J160" s="132"/>
      <c r="K160" s="132"/>
      <c r="L160" s="136"/>
      <c r="M160" s="136"/>
      <c r="N160" s="136"/>
      <c r="O160" s="136"/>
      <c r="P160" s="136"/>
      <c r="Q160" s="136"/>
      <c r="R160" s="132"/>
      <c r="S160" s="136"/>
      <c r="T160" s="136"/>
      <c r="U160" s="136"/>
      <c r="V160" s="136"/>
      <c r="W160" s="136"/>
      <c r="X160" s="136"/>
      <c r="Y160" s="132"/>
      <c r="Z160" s="43"/>
      <c r="AA160" s="43"/>
      <c r="AB160" s="172"/>
      <c r="AC160" s="43"/>
      <c r="AD160" s="43"/>
      <c r="AE160" s="136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136"/>
      <c r="AR160" s="136"/>
      <c r="AS160" s="136"/>
      <c r="AT160" s="136"/>
      <c r="AU160" s="136"/>
      <c r="AV160" s="136"/>
    </row>
    <row r="161" ht="14.25" customHeight="1">
      <c r="A161" s="198"/>
      <c r="B161" s="43"/>
      <c r="C161" s="43"/>
      <c r="D161" s="132"/>
      <c r="E161" s="133"/>
      <c r="F161" s="136"/>
      <c r="G161" s="132"/>
      <c r="H161" s="132"/>
      <c r="I161" s="133"/>
      <c r="J161" s="132"/>
      <c r="K161" s="132"/>
      <c r="L161" s="136"/>
      <c r="M161" s="136"/>
      <c r="N161" s="136"/>
      <c r="O161" s="136"/>
      <c r="P161" s="136"/>
      <c r="Q161" s="136"/>
      <c r="R161" s="132"/>
      <c r="S161" s="136"/>
      <c r="T161" s="136"/>
      <c r="U161" s="136"/>
      <c r="V161" s="136"/>
      <c r="W161" s="136"/>
      <c r="X161" s="43"/>
      <c r="Y161" s="173"/>
      <c r="Z161" s="43"/>
      <c r="AA161" s="43"/>
      <c r="AB161" s="172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43"/>
    </row>
    <row r="162" ht="14.25" customHeight="1">
      <c r="A162" s="198" t="s">
        <v>501</v>
      </c>
      <c r="B162" s="43" t="s">
        <v>502</v>
      </c>
      <c r="C162" s="43" t="s">
        <v>326</v>
      </c>
      <c r="D162" s="132"/>
      <c r="E162" s="133"/>
      <c r="F162" s="136"/>
      <c r="G162" s="132">
        <f>615-615*0.4</f>
        <v>369</v>
      </c>
      <c r="H162" s="132"/>
      <c r="I162" s="133"/>
      <c r="J162" s="132"/>
      <c r="K162" s="132"/>
      <c r="L162" s="136"/>
      <c r="M162" s="136"/>
      <c r="N162" s="136">
        <v>305.0</v>
      </c>
      <c r="O162" s="136"/>
      <c r="P162" s="136"/>
      <c r="Q162" s="136"/>
      <c r="R162" s="132"/>
      <c r="S162" s="136"/>
      <c r="T162" s="136"/>
      <c r="U162" s="136"/>
      <c r="V162" s="136"/>
      <c r="W162" s="136"/>
      <c r="X162" s="43"/>
      <c r="Y162" s="173"/>
      <c r="Z162" s="43" t="s">
        <v>502</v>
      </c>
      <c r="AA162" s="43" t="s">
        <v>501</v>
      </c>
      <c r="AB162" s="172" t="s">
        <v>234</v>
      </c>
      <c r="AC162" s="43"/>
      <c r="AD162" s="43" t="s">
        <v>236</v>
      </c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  <c r="AT162" s="43"/>
      <c r="AU162" s="43"/>
      <c r="AV162" s="43"/>
    </row>
    <row r="163" ht="14.25" customHeight="1">
      <c r="A163" s="198" t="s">
        <v>501</v>
      </c>
      <c r="B163" s="43" t="s">
        <v>503</v>
      </c>
      <c r="C163" s="43" t="s">
        <v>326</v>
      </c>
      <c r="D163" s="132"/>
      <c r="E163" s="133"/>
      <c r="F163" s="136"/>
      <c r="G163" s="132">
        <f>920-920*0.4</f>
        <v>552</v>
      </c>
      <c r="H163" s="132"/>
      <c r="I163" s="133"/>
      <c r="J163" s="132"/>
      <c r="K163" s="132"/>
      <c r="L163" s="136"/>
      <c r="M163" s="136"/>
      <c r="N163" s="136"/>
      <c r="O163" s="136"/>
      <c r="P163" s="136"/>
      <c r="Q163" s="136"/>
      <c r="R163" s="132"/>
      <c r="S163" s="136"/>
      <c r="T163" s="136"/>
      <c r="U163" s="136"/>
      <c r="V163" s="136"/>
      <c r="W163" s="136"/>
      <c r="X163" s="43"/>
      <c r="Y163" s="173"/>
      <c r="Z163" s="43" t="s">
        <v>503</v>
      </c>
      <c r="AA163" s="43" t="s">
        <v>501</v>
      </c>
      <c r="AB163" s="172" t="s">
        <v>234</v>
      </c>
      <c r="AC163" s="43"/>
      <c r="AD163" s="43" t="s">
        <v>236</v>
      </c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</row>
    <row r="164" ht="14.25" customHeight="1">
      <c r="A164" s="198" t="s">
        <v>501</v>
      </c>
      <c r="B164" s="43" t="s">
        <v>504</v>
      </c>
      <c r="C164" s="43" t="s">
        <v>326</v>
      </c>
      <c r="D164" s="132"/>
      <c r="E164" s="133"/>
      <c r="F164" s="136"/>
      <c r="G164" s="132">
        <f>985-985*0.4</f>
        <v>591</v>
      </c>
      <c r="H164" s="132"/>
      <c r="I164" s="133"/>
      <c r="J164" s="132"/>
      <c r="K164" s="132"/>
      <c r="L164" s="136"/>
      <c r="M164" s="136"/>
      <c r="N164" s="136"/>
      <c r="O164" s="136"/>
      <c r="P164" s="136"/>
      <c r="Q164" s="136"/>
      <c r="R164" s="132"/>
      <c r="S164" s="136"/>
      <c r="T164" s="136"/>
      <c r="U164" s="136"/>
      <c r="V164" s="136"/>
      <c r="W164" s="136"/>
      <c r="X164" s="43"/>
      <c r="Y164" s="173"/>
      <c r="Z164" s="43" t="s">
        <v>504</v>
      </c>
      <c r="AA164" s="43" t="s">
        <v>501</v>
      </c>
      <c r="AB164" s="172" t="s">
        <v>234</v>
      </c>
      <c r="AC164" s="43"/>
      <c r="AD164" s="43" t="s">
        <v>236</v>
      </c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  <c r="AR164" s="43"/>
      <c r="AS164" s="43"/>
      <c r="AT164" s="43"/>
      <c r="AU164" s="43"/>
      <c r="AV164" s="43"/>
    </row>
    <row r="165" ht="14.25" customHeight="1">
      <c r="A165" s="198" t="s">
        <v>501</v>
      </c>
      <c r="B165" s="43" t="s">
        <v>505</v>
      </c>
      <c r="C165" s="43" t="s">
        <v>326</v>
      </c>
      <c r="D165" s="132"/>
      <c r="E165" s="133"/>
      <c r="F165" s="136"/>
      <c r="G165" s="132">
        <f>1055-1055*0.4</f>
        <v>633</v>
      </c>
      <c r="H165" s="132"/>
      <c r="I165" s="133"/>
      <c r="J165" s="132"/>
      <c r="K165" s="132"/>
      <c r="L165" s="136"/>
      <c r="M165" s="136"/>
      <c r="N165" s="136"/>
      <c r="O165" s="136"/>
      <c r="P165" s="136"/>
      <c r="Q165" s="136"/>
      <c r="R165" s="132"/>
      <c r="S165" s="136"/>
      <c r="T165" s="136"/>
      <c r="U165" s="136"/>
      <c r="V165" s="136"/>
      <c r="W165" s="136"/>
      <c r="X165" s="43"/>
      <c r="Y165" s="173"/>
      <c r="Z165" s="43" t="s">
        <v>505</v>
      </c>
      <c r="AA165" s="43" t="s">
        <v>501</v>
      </c>
      <c r="AB165" s="172" t="s">
        <v>234</v>
      </c>
      <c r="AC165" s="43"/>
      <c r="AD165" s="43" t="s">
        <v>236</v>
      </c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</row>
    <row r="166" ht="14.25" customHeight="1">
      <c r="A166" s="198" t="s">
        <v>501</v>
      </c>
      <c r="B166" s="43" t="s">
        <v>506</v>
      </c>
      <c r="C166" s="43" t="s">
        <v>339</v>
      </c>
      <c r="D166" s="132"/>
      <c r="E166" s="133"/>
      <c r="F166" s="136"/>
      <c r="G166" s="132">
        <f>1465-1465*0.4</f>
        <v>879</v>
      </c>
      <c r="H166" s="132"/>
      <c r="I166" s="133"/>
      <c r="J166" s="132"/>
      <c r="K166" s="132"/>
      <c r="L166" s="136"/>
      <c r="M166" s="136"/>
      <c r="N166" s="136">
        <v>586.0</v>
      </c>
      <c r="O166" s="136"/>
      <c r="P166" s="136"/>
      <c r="Q166" s="136"/>
      <c r="R166" s="132"/>
      <c r="S166" s="136"/>
      <c r="T166" s="136"/>
      <c r="U166" s="136"/>
      <c r="V166" s="136"/>
      <c r="W166" s="136"/>
      <c r="X166" s="43"/>
      <c r="Y166" s="173"/>
      <c r="Z166" s="43" t="s">
        <v>506</v>
      </c>
      <c r="AA166" s="43" t="s">
        <v>501</v>
      </c>
      <c r="AB166" s="172" t="s">
        <v>234</v>
      </c>
      <c r="AC166" s="43"/>
      <c r="AD166" s="43" t="s">
        <v>236</v>
      </c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  <c r="AT166" s="43"/>
      <c r="AU166" s="43"/>
      <c r="AV166" s="43"/>
    </row>
    <row r="167" ht="14.25" customHeight="1">
      <c r="A167" s="198" t="s">
        <v>501</v>
      </c>
      <c r="B167" s="43" t="s">
        <v>507</v>
      </c>
      <c r="C167" s="43" t="s">
        <v>339</v>
      </c>
      <c r="D167" s="132"/>
      <c r="E167" s="133"/>
      <c r="F167" s="136"/>
      <c r="G167" s="132">
        <f>1530-1530*0.4</f>
        <v>918</v>
      </c>
      <c r="H167" s="132"/>
      <c r="I167" s="133"/>
      <c r="J167" s="132"/>
      <c r="K167" s="132"/>
      <c r="L167" s="136"/>
      <c r="M167" s="136"/>
      <c r="N167" s="136">
        <v>580.0</v>
      </c>
      <c r="O167" s="136"/>
      <c r="P167" s="136"/>
      <c r="Q167" s="136"/>
      <c r="R167" s="132"/>
      <c r="S167" s="136"/>
      <c r="T167" s="136"/>
      <c r="U167" s="136"/>
      <c r="V167" s="136"/>
      <c r="W167" s="136"/>
      <c r="X167" s="43"/>
      <c r="Y167" s="173"/>
      <c r="Z167" s="43" t="s">
        <v>507</v>
      </c>
      <c r="AA167" s="43" t="s">
        <v>501</v>
      </c>
      <c r="AB167" s="172" t="s">
        <v>234</v>
      </c>
      <c r="AC167" s="43"/>
      <c r="AD167" s="43" t="s">
        <v>236</v>
      </c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</row>
    <row r="168" ht="14.25" customHeight="1">
      <c r="A168" s="198" t="s">
        <v>501</v>
      </c>
      <c r="B168" s="43" t="s">
        <v>508</v>
      </c>
      <c r="C168" s="43" t="s">
        <v>339</v>
      </c>
      <c r="D168" s="132"/>
      <c r="E168" s="133"/>
      <c r="F168" s="136"/>
      <c r="G168" s="132">
        <f>1625-1625*0.4</f>
        <v>975</v>
      </c>
      <c r="H168" s="132"/>
      <c r="I168" s="133"/>
      <c r="J168" s="132"/>
      <c r="K168" s="132"/>
      <c r="L168" s="136"/>
      <c r="M168" s="136"/>
      <c r="N168" s="136">
        <v>649.0</v>
      </c>
      <c r="O168" s="136"/>
      <c r="P168" s="136"/>
      <c r="Q168" s="136"/>
      <c r="R168" s="132"/>
      <c r="S168" s="136"/>
      <c r="T168" s="136"/>
      <c r="U168" s="136"/>
      <c r="V168" s="136"/>
      <c r="W168" s="136"/>
      <c r="X168" s="43"/>
      <c r="Y168" s="173"/>
      <c r="Z168" s="43" t="s">
        <v>508</v>
      </c>
      <c r="AA168" s="43" t="s">
        <v>501</v>
      </c>
      <c r="AB168" s="172" t="s">
        <v>234</v>
      </c>
      <c r="AC168" s="43"/>
      <c r="AD168" s="43" t="s">
        <v>236</v>
      </c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  <c r="AR168" s="43"/>
      <c r="AS168" s="43"/>
      <c r="AT168" s="43"/>
      <c r="AU168" s="43"/>
      <c r="AV168" s="43"/>
    </row>
    <row r="169" ht="14.25" customHeight="1">
      <c r="A169" s="198" t="s">
        <v>501</v>
      </c>
      <c r="B169" s="43" t="s">
        <v>509</v>
      </c>
      <c r="C169" s="43" t="s">
        <v>339</v>
      </c>
      <c r="D169" s="132"/>
      <c r="E169" s="133"/>
      <c r="F169" s="136"/>
      <c r="G169" s="132">
        <f>1680-1680*0.4</f>
        <v>1008</v>
      </c>
      <c r="H169" s="132"/>
      <c r="I169" s="133"/>
      <c r="J169" s="132"/>
      <c r="K169" s="132"/>
      <c r="L169" s="136"/>
      <c r="M169" s="136"/>
      <c r="N169" s="136">
        <v>694.0</v>
      </c>
      <c r="O169" s="136"/>
      <c r="P169" s="136"/>
      <c r="Q169" s="136"/>
      <c r="R169" s="132"/>
      <c r="S169" s="136"/>
      <c r="T169" s="136"/>
      <c r="U169" s="136"/>
      <c r="V169" s="136"/>
      <c r="W169" s="136"/>
      <c r="X169" s="43"/>
      <c r="Y169" s="173"/>
      <c r="Z169" s="43" t="s">
        <v>509</v>
      </c>
      <c r="AA169" s="43" t="s">
        <v>501</v>
      </c>
      <c r="AB169" s="172" t="s">
        <v>234</v>
      </c>
      <c r="AC169" s="43"/>
      <c r="AD169" s="43" t="s">
        <v>236</v>
      </c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</row>
    <row r="170" ht="14.25" customHeight="1">
      <c r="A170" s="198" t="s">
        <v>501</v>
      </c>
      <c r="B170" s="43" t="s">
        <v>510</v>
      </c>
      <c r="C170" s="43" t="s">
        <v>339</v>
      </c>
      <c r="D170" s="132"/>
      <c r="E170" s="133"/>
      <c r="F170" s="136"/>
      <c r="G170" s="132">
        <f>1840-1840*0.4</f>
        <v>1104</v>
      </c>
      <c r="H170" s="132"/>
      <c r="I170" s="133"/>
      <c r="J170" s="132"/>
      <c r="K170" s="132"/>
      <c r="L170" s="136"/>
      <c r="M170" s="136"/>
      <c r="N170" s="136">
        <v>785.0</v>
      </c>
      <c r="O170" s="136"/>
      <c r="P170" s="136"/>
      <c r="Q170" s="136"/>
      <c r="R170" s="132"/>
      <c r="S170" s="136"/>
      <c r="T170" s="136"/>
      <c r="U170" s="136"/>
      <c r="V170" s="136"/>
      <c r="W170" s="136"/>
      <c r="X170" s="43"/>
      <c r="Y170" s="173"/>
      <c r="Z170" s="43" t="s">
        <v>510</v>
      </c>
      <c r="AA170" s="43" t="s">
        <v>501</v>
      </c>
      <c r="AB170" s="172" t="s">
        <v>234</v>
      </c>
      <c r="AC170" s="43"/>
      <c r="AD170" s="43" t="s">
        <v>236</v>
      </c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  <c r="AT170" s="43"/>
      <c r="AU170" s="43"/>
      <c r="AV170" s="43"/>
    </row>
    <row r="171" ht="14.25" customHeight="1">
      <c r="A171" s="198" t="s">
        <v>501</v>
      </c>
      <c r="B171" s="43" t="s">
        <v>511</v>
      </c>
      <c r="C171" s="43"/>
      <c r="D171" s="132"/>
      <c r="E171" s="133"/>
      <c r="F171" s="136"/>
      <c r="G171" s="132">
        <f t="shared" ref="G171:G172" si="11">50-50*0.4</f>
        <v>30</v>
      </c>
      <c r="H171" s="132"/>
      <c r="I171" s="133"/>
      <c r="J171" s="132"/>
      <c r="K171" s="132"/>
      <c r="L171" s="136"/>
      <c r="M171" s="136"/>
      <c r="N171" s="136"/>
      <c r="O171" s="136"/>
      <c r="P171" s="136"/>
      <c r="Q171" s="136"/>
      <c r="R171" s="132"/>
      <c r="S171" s="136"/>
      <c r="T171" s="136"/>
      <c r="U171" s="136"/>
      <c r="V171" s="136"/>
      <c r="W171" s="136"/>
      <c r="X171" s="43"/>
      <c r="Y171" s="173"/>
      <c r="Z171" s="43" t="s">
        <v>511</v>
      </c>
      <c r="AA171" s="43" t="s">
        <v>501</v>
      </c>
      <c r="AB171" s="172" t="s">
        <v>234</v>
      </c>
      <c r="AC171" s="43"/>
      <c r="AD171" s="43" t="s">
        <v>236</v>
      </c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</row>
    <row r="172" ht="14.25" customHeight="1">
      <c r="A172" s="198" t="s">
        <v>501</v>
      </c>
      <c r="B172" s="43" t="s">
        <v>512</v>
      </c>
      <c r="C172" s="43"/>
      <c r="D172" s="132"/>
      <c r="E172" s="133"/>
      <c r="F172" s="136"/>
      <c r="G172" s="132">
        <f t="shared" si="11"/>
        <v>30</v>
      </c>
      <c r="H172" s="132"/>
      <c r="I172" s="133"/>
      <c r="J172" s="132"/>
      <c r="K172" s="132"/>
      <c r="L172" s="136"/>
      <c r="M172" s="136"/>
      <c r="N172" s="136"/>
      <c r="O172" s="136"/>
      <c r="P172" s="136"/>
      <c r="Q172" s="136"/>
      <c r="R172" s="132"/>
      <c r="S172" s="136"/>
      <c r="T172" s="136"/>
      <c r="U172" s="136"/>
      <c r="V172" s="136"/>
      <c r="W172" s="136"/>
      <c r="X172" s="43"/>
      <c r="Y172" s="173"/>
      <c r="Z172" s="43" t="s">
        <v>512</v>
      </c>
      <c r="AA172" s="43" t="s">
        <v>501</v>
      </c>
      <c r="AB172" s="172" t="s">
        <v>234</v>
      </c>
      <c r="AC172" s="43"/>
      <c r="AD172" s="43" t="s">
        <v>236</v>
      </c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  <c r="AT172" s="43"/>
      <c r="AU172" s="43"/>
      <c r="AV172" s="43"/>
    </row>
    <row r="173" ht="14.25" customHeight="1">
      <c r="A173" s="198"/>
      <c r="B173" s="43"/>
      <c r="C173" s="43"/>
      <c r="D173" s="132"/>
      <c r="E173" s="133"/>
      <c r="F173" s="136"/>
      <c r="G173" s="132"/>
      <c r="H173" s="132"/>
      <c r="I173" s="133"/>
      <c r="J173" s="132"/>
      <c r="K173" s="132"/>
      <c r="L173" s="136"/>
      <c r="M173" s="136"/>
      <c r="N173" s="136"/>
      <c r="O173" s="136"/>
      <c r="P173" s="136"/>
      <c r="Q173" s="136"/>
      <c r="R173" s="132"/>
      <c r="S173" s="136"/>
      <c r="T173" s="136"/>
      <c r="U173" s="136"/>
      <c r="V173" s="136"/>
      <c r="W173" s="136"/>
      <c r="X173" s="43"/>
      <c r="Y173" s="173"/>
      <c r="Z173" s="43"/>
      <c r="AA173" s="43"/>
      <c r="AB173" s="172" t="s">
        <v>234</v>
      </c>
      <c r="AC173" s="43"/>
      <c r="AD173" s="43" t="s">
        <v>236</v>
      </c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43"/>
      <c r="AV173" s="43"/>
    </row>
    <row r="174" ht="14.25" customHeight="1">
      <c r="A174" s="198" t="s">
        <v>513</v>
      </c>
      <c r="B174" s="43" t="s">
        <v>514</v>
      </c>
      <c r="C174" s="43" t="s">
        <v>251</v>
      </c>
      <c r="D174" s="132"/>
      <c r="E174" s="133"/>
      <c r="F174" s="136"/>
      <c r="G174" s="132"/>
      <c r="H174" s="132"/>
      <c r="I174" s="133"/>
      <c r="J174" s="132"/>
      <c r="K174" s="132"/>
      <c r="L174" s="136"/>
      <c r="M174" s="136">
        <v>1912.0</v>
      </c>
      <c r="N174" s="136"/>
      <c r="O174" s="136"/>
      <c r="P174" s="136"/>
      <c r="Q174" s="136"/>
      <c r="R174" s="132">
        <v>1700.0</v>
      </c>
      <c r="S174" s="136"/>
      <c r="T174" s="136"/>
      <c r="U174" s="136"/>
      <c r="V174" s="136"/>
      <c r="W174" s="136"/>
      <c r="X174" s="43"/>
      <c r="Y174" s="173"/>
      <c r="Z174" s="43" t="s">
        <v>514</v>
      </c>
      <c r="AA174" s="43" t="s">
        <v>513</v>
      </c>
      <c r="AB174" s="172" t="s">
        <v>234</v>
      </c>
      <c r="AC174" s="43"/>
      <c r="AD174" s="43" t="s">
        <v>236</v>
      </c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  <c r="AT174" s="43"/>
      <c r="AU174" s="43"/>
      <c r="AV174" s="43"/>
    </row>
    <row r="175" ht="14.25" customHeight="1">
      <c r="A175" s="198" t="s">
        <v>513</v>
      </c>
      <c r="B175" s="43" t="s">
        <v>515</v>
      </c>
      <c r="C175" s="43" t="s">
        <v>251</v>
      </c>
      <c r="D175" s="132"/>
      <c r="E175" s="133"/>
      <c r="F175" s="136"/>
      <c r="G175" s="132"/>
      <c r="H175" s="132"/>
      <c r="I175" s="133"/>
      <c r="J175" s="132"/>
      <c r="K175" s="132"/>
      <c r="L175" s="136"/>
      <c r="M175" s="136">
        <v>2058.0</v>
      </c>
      <c r="N175" s="136"/>
      <c r="O175" s="136"/>
      <c r="P175" s="136"/>
      <c r="Q175" s="136"/>
      <c r="R175" s="132">
        <v>1850.0</v>
      </c>
      <c r="S175" s="136"/>
      <c r="T175" s="136"/>
      <c r="U175" s="136"/>
      <c r="V175" s="136"/>
      <c r="W175" s="136"/>
      <c r="X175" s="43"/>
      <c r="Y175" s="173"/>
      <c r="Z175" s="43" t="s">
        <v>515</v>
      </c>
      <c r="AA175" s="43" t="s">
        <v>513</v>
      </c>
      <c r="AB175" s="172" t="s">
        <v>234</v>
      </c>
      <c r="AC175" s="43"/>
      <c r="AD175" s="43" t="s">
        <v>236</v>
      </c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43"/>
      <c r="AV175" s="43"/>
    </row>
    <row r="176" ht="14.25" customHeight="1">
      <c r="A176" s="198" t="s">
        <v>513</v>
      </c>
      <c r="B176" s="43" t="s">
        <v>516</v>
      </c>
      <c r="C176" s="43" t="s">
        <v>251</v>
      </c>
      <c r="D176" s="132"/>
      <c r="E176" s="133"/>
      <c r="F176" s="136"/>
      <c r="G176" s="132"/>
      <c r="H176" s="132"/>
      <c r="I176" s="133"/>
      <c r="J176" s="132"/>
      <c r="K176" s="132"/>
      <c r="L176" s="136"/>
      <c r="M176" s="136">
        <v>2345.0</v>
      </c>
      <c r="N176" s="136"/>
      <c r="O176" s="136"/>
      <c r="P176" s="136"/>
      <c r="Q176" s="136"/>
      <c r="R176" s="132">
        <v>2100.0</v>
      </c>
      <c r="S176" s="136"/>
      <c r="T176" s="136"/>
      <c r="U176" s="136"/>
      <c r="V176" s="136"/>
      <c r="W176" s="136"/>
      <c r="X176" s="43"/>
      <c r="Y176" s="173"/>
      <c r="Z176" s="43" t="s">
        <v>516</v>
      </c>
      <c r="AA176" s="43" t="s">
        <v>513</v>
      </c>
      <c r="AB176" s="172" t="s">
        <v>234</v>
      </c>
      <c r="AC176" s="43"/>
      <c r="AD176" s="43" t="s">
        <v>236</v>
      </c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  <c r="AU176" s="43"/>
      <c r="AV176" s="43"/>
    </row>
    <row r="177" ht="14.25" customHeight="1">
      <c r="A177" s="198" t="s">
        <v>513</v>
      </c>
      <c r="B177" s="43" t="s">
        <v>517</v>
      </c>
      <c r="C177" s="43" t="s">
        <v>251</v>
      </c>
      <c r="D177" s="132"/>
      <c r="E177" s="133"/>
      <c r="F177" s="136"/>
      <c r="G177" s="132"/>
      <c r="H177" s="132"/>
      <c r="I177" s="133"/>
      <c r="J177" s="132"/>
      <c r="K177" s="132"/>
      <c r="L177" s="136"/>
      <c r="M177" s="136">
        <v>2638.0</v>
      </c>
      <c r="N177" s="136"/>
      <c r="O177" s="136"/>
      <c r="P177" s="136"/>
      <c r="Q177" s="136"/>
      <c r="R177" s="132">
        <v>2350.0</v>
      </c>
      <c r="S177" s="136"/>
      <c r="T177" s="136"/>
      <c r="U177" s="136"/>
      <c r="V177" s="136"/>
      <c r="W177" s="136"/>
      <c r="X177" s="43"/>
      <c r="Y177" s="173"/>
      <c r="Z177" s="43" t="s">
        <v>517</v>
      </c>
      <c r="AA177" s="43" t="s">
        <v>513</v>
      </c>
      <c r="AB177" s="172" t="s">
        <v>234</v>
      </c>
      <c r="AC177" s="43"/>
      <c r="AD177" s="43" t="s">
        <v>236</v>
      </c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43"/>
      <c r="AV177" s="43"/>
    </row>
    <row r="178" ht="14.25" customHeight="1">
      <c r="A178" s="198" t="s">
        <v>513</v>
      </c>
      <c r="B178" s="43" t="s">
        <v>518</v>
      </c>
      <c r="C178" s="43" t="s">
        <v>326</v>
      </c>
      <c r="D178" s="132"/>
      <c r="E178" s="133"/>
      <c r="F178" s="136"/>
      <c r="G178" s="132"/>
      <c r="H178" s="132"/>
      <c r="I178" s="133"/>
      <c r="J178" s="132"/>
      <c r="K178" s="132"/>
      <c r="L178" s="136"/>
      <c r="M178" s="136">
        <v>562.0</v>
      </c>
      <c r="N178" s="136"/>
      <c r="O178" s="136"/>
      <c r="P178" s="136"/>
      <c r="Q178" s="136"/>
      <c r="R178" s="132">
        <v>519.0</v>
      </c>
      <c r="S178" s="136"/>
      <c r="T178" s="136"/>
      <c r="U178" s="136"/>
      <c r="V178" s="136"/>
      <c r="W178" s="136"/>
      <c r="X178" s="43"/>
      <c r="Y178" s="173"/>
      <c r="Z178" s="43" t="s">
        <v>518</v>
      </c>
      <c r="AA178" s="43" t="s">
        <v>513</v>
      </c>
      <c r="AB178" s="172" t="s">
        <v>234</v>
      </c>
      <c r="AC178" s="43"/>
      <c r="AD178" s="43" t="s">
        <v>236</v>
      </c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43"/>
      <c r="AS178" s="43"/>
      <c r="AT178" s="43"/>
      <c r="AU178" s="43"/>
      <c r="AV178" s="43"/>
    </row>
    <row r="179" ht="14.25" customHeight="1">
      <c r="A179" s="198" t="s">
        <v>513</v>
      </c>
      <c r="B179" s="43" t="s">
        <v>519</v>
      </c>
      <c r="C179" s="43" t="s">
        <v>326</v>
      </c>
      <c r="D179" s="132"/>
      <c r="E179" s="133"/>
      <c r="F179" s="136"/>
      <c r="G179" s="132"/>
      <c r="H179" s="132"/>
      <c r="I179" s="133"/>
      <c r="J179" s="132"/>
      <c r="K179" s="132"/>
      <c r="L179" s="136"/>
      <c r="M179" s="136">
        <v>728.0</v>
      </c>
      <c r="N179" s="136"/>
      <c r="O179" s="136"/>
      <c r="P179" s="136"/>
      <c r="Q179" s="136"/>
      <c r="R179" s="132">
        <v>756.0</v>
      </c>
      <c r="S179" s="136"/>
      <c r="T179" s="136"/>
      <c r="U179" s="136"/>
      <c r="V179" s="136"/>
      <c r="W179" s="136"/>
      <c r="X179" s="43"/>
      <c r="Y179" s="173"/>
      <c r="Z179" s="43" t="s">
        <v>519</v>
      </c>
      <c r="AA179" s="43" t="s">
        <v>513</v>
      </c>
      <c r="AB179" s="172" t="s">
        <v>234</v>
      </c>
      <c r="AC179" s="43"/>
      <c r="AD179" s="43" t="s">
        <v>236</v>
      </c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</row>
    <row r="180" ht="14.25" customHeight="1">
      <c r="A180" s="198" t="s">
        <v>513</v>
      </c>
      <c r="B180" s="43" t="s">
        <v>520</v>
      </c>
      <c r="C180" s="43" t="s">
        <v>326</v>
      </c>
      <c r="D180" s="132"/>
      <c r="E180" s="133">
        <v>1395.0</v>
      </c>
      <c r="F180" s="219">
        <f t="shared" ref="F180:F183" si="12">E180-(E180*$F$4)</f>
        <v>837</v>
      </c>
      <c r="G180" s="132"/>
      <c r="H180" s="132"/>
      <c r="I180" s="133"/>
      <c r="J180" s="132"/>
      <c r="K180" s="132"/>
      <c r="L180" s="136"/>
      <c r="M180" s="136">
        <v>813.0</v>
      </c>
      <c r="N180" s="136"/>
      <c r="O180" s="136"/>
      <c r="P180" s="136"/>
      <c r="Q180" s="136"/>
      <c r="R180" s="132">
        <v>845.0</v>
      </c>
      <c r="S180" s="136"/>
      <c r="T180" s="136"/>
      <c r="U180" s="136"/>
      <c r="V180" s="136"/>
      <c r="W180" s="136"/>
      <c r="X180" s="43"/>
      <c r="Y180" s="173"/>
      <c r="Z180" s="43" t="s">
        <v>520</v>
      </c>
      <c r="AA180" s="43" t="s">
        <v>513</v>
      </c>
      <c r="AB180" s="172" t="s">
        <v>234</v>
      </c>
      <c r="AC180" s="43"/>
      <c r="AD180" s="43" t="s">
        <v>236</v>
      </c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  <c r="AR180" s="43"/>
      <c r="AS180" s="43"/>
      <c r="AT180" s="43"/>
      <c r="AU180" s="43"/>
      <c r="AV180" s="43"/>
    </row>
    <row r="181" ht="14.25" customHeight="1">
      <c r="A181" s="198" t="s">
        <v>513</v>
      </c>
      <c r="B181" s="43" t="s">
        <v>521</v>
      </c>
      <c r="C181" s="43" t="s">
        <v>326</v>
      </c>
      <c r="D181" s="132"/>
      <c r="E181" s="133">
        <v>1486.0</v>
      </c>
      <c r="F181" s="219">
        <f t="shared" si="12"/>
        <v>891.6</v>
      </c>
      <c r="G181" s="132"/>
      <c r="H181" s="132"/>
      <c r="I181" s="133"/>
      <c r="J181" s="132"/>
      <c r="K181" s="132"/>
      <c r="L181" s="136"/>
      <c r="M181" s="136">
        <v>866.0</v>
      </c>
      <c r="N181" s="136"/>
      <c r="O181" s="136"/>
      <c r="P181" s="136"/>
      <c r="Q181" s="136"/>
      <c r="R181" s="132">
        <v>900.0</v>
      </c>
      <c r="S181" s="136"/>
      <c r="T181" s="136"/>
      <c r="U181" s="136"/>
      <c r="V181" s="136"/>
      <c r="W181" s="136"/>
      <c r="X181" s="43"/>
      <c r="Y181" s="173"/>
      <c r="Z181" s="43" t="s">
        <v>521</v>
      </c>
      <c r="AA181" s="43" t="s">
        <v>513</v>
      </c>
      <c r="AB181" s="172" t="s">
        <v>234</v>
      </c>
      <c r="AC181" s="43"/>
      <c r="AD181" s="43" t="s">
        <v>236</v>
      </c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43"/>
      <c r="AV181" s="43"/>
    </row>
    <row r="182" ht="14.25" customHeight="1">
      <c r="A182" s="198" t="s">
        <v>513</v>
      </c>
      <c r="B182" s="43" t="s">
        <v>522</v>
      </c>
      <c r="C182" s="43" t="s">
        <v>326</v>
      </c>
      <c r="D182" s="132"/>
      <c r="E182" s="133">
        <v>1558.0</v>
      </c>
      <c r="F182" s="219">
        <f t="shared" si="12"/>
        <v>934.8</v>
      </c>
      <c r="G182" s="132"/>
      <c r="H182" s="132"/>
      <c r="I182" s="133"/>
      <c r="J182" s="132"/>
      <c r="K182" s="132"/>
      <c r="L182" s="136"/>
      <c r="M182" s="136">
        <v>908.0</v>
      </c>
      <c r="N182" s="136"/>
      <c r="O182" s="136"/>
      <c r="P182" s="136"/>
      <c r="Q182" s="136"/>
      <c r="R182" s="132">
        <v>944.0</v>
      </c>
      <c r="S182" s="136"/>
      <c r="T182" s="136"/>
      <c r="U182" s="136"/>
      <c r="V182" s="136"/>
      <c r="W182" s="136"/>
      <c r="X182" s="43"/>
      <c r="Y182" s="173"/>
      <c r="Z182" s="43" t="s">
        <v>522</v>
      </c>
      <c r="AA182" s="43" t="s">
        <v>513</v>
      </c>
      <c r="AB182" s="172" t="s">
        <v>234</v>
      </c>
      <c r="AC182" s="43"/>
      <c r="AD182" s="43" t="s">
        <v>236</v>
      </c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  <c r="AS182" s="43"/>
      <c r="AT182" s="43"/>
      <c r="AU182" s="43"/>
      <c r="AV182" s="43"/>
    </row>
    <row r="183" ht="14.25" customHeight="1">
      <c r="A183" s="198" t="s">
        <v>513</v>
      </c>
      <c r="B183" s="43" t="s">
        <v>523</v>
      </c>
      <c r="C183" s="43" t="s">
        <v>326</v>
      </c>
      <c r="D183" s="132"/>
      <c r="E183" s="133">
        <v>1671.0</v>
      </c>
      <c r="F183" s="219">
        <f t="shared" si="12"/>
        <v>1002.6</v>
      </c>
      <c r="G183" s="132"/>
      <c r="H183" s="132"/>
      <c r="I183" s="133"/>
      <c r="J183" s="132"/>
      <c r="K183" s="132"/>
      <c r="L183" s="136"/>
      <c r="M183" s="136">
        <v>975.0</v>
      </c>
      <c r="N183" s="136"/>
      <c r="O183" s="136"/>
      <c r="P183" s="136"/>
      <c r="Q183" s="136"/>
      <c r="R183" s="132">
        <v>1013.0</v>
      </c>
      <c r="S183" s="136"/>
      <c r="T183" s="136"/>
      <c r="U183" s="136"/>
      <c r="V183" s="136"/>
      <c r="W183" s="136"/>
      <c r="X183" s="43"/>
      <c r="Y183" s="173"/>
      <c r="Z183" s="43" t="s">
        <v>523</v>
      </c>
      <c r="AA183" s="43" t="s">
        <v>513</v>
      </c>
      <c r="AB183" s="172" t="s">
        <v>234</v>
      </c>
      <c r="AC183" s="43"/>
      <c r="AD183" s="43" t="s">
        <v>236</v>
      </c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</row>
    <row r="184" ht="14.25" customHeight="1">
      <c r="A184" s="198" t="s">
        <v>513</v>
      </c>
      <c r="B184" s="43" t="s">
        <v>524</v>
      </c>
      <c r="C184" s="43" t="s">
        <v>339</v>
      </c>
      <c r="D184" s="132"/>
      <c r="E184" s="230"/>
      <c r="F184" s="135"/>
      <c r="G184" s="132"/>
      <c r="H184" s="132"/>
      <c r="I184" s="133"/>
      <c r="J184" s="132"/>
      <c r="K184" s="132"/>
      <c r="L184" s="136"/>
      <c r="M184" s="136">
        <v>1061.0</v>
      </c>
      <c r="N184" s="136"/>
      <c r="O184" s="136"/>
      <c r="P184" s="136"/>
      <c r="Q184" s="136"/>
      <c r="R184" s="132">
        <v>1058.0</v>
      </c>
      <c r="S184" s="136"/>
      <c r="T184" s="136"/>
      <c r="U184" s="136"/>
      <c r="V184" s="136"/>
      <c r="W184" s="136"/>
      <c r="X184" s="43"/>
      <c r="Y184" s="173"/>
      <c r="Z184" s="43" t="s">
        <v>524</v>
      </c>
      <c r="AA184" s="43" t="s">
        <v>513</v>
      </c>
      <c r="AB184" s="172" t="s">
        <v>234</v>
      </c>
      <c r="AC184" s="43"/>
      <c r="AD184" s="43" t="s">
        <v>236</v>
      </c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3"/>
      <c r="AP184" s="43"/>
      <c r="AQ184" s="43"/>
      <c r="AR184" s="43"/>
      <c r="AS184" s="43"/>
      <c r="AT184" s="43"/>
      <c r="AU184" s="43"/>
      <c r="AV184" s="43"/>
    </row>
    <row r="185" ht="14.25" customHeight="1">
      <c r="A185" s="198" t="s">
        <v>513</v>
      </c>
      <c r="B185" s="43" t="s">
        <v>525</v>
      </c>
      <c r="C185" s="43" t="s">
        <v>339</v>
      </c>
      <c r="D185" s="132"/>
      <c r="E185" s="133">
        <v>1750.0</v>
      </c>
      <c r="F185" s="219">
        <f t="shared" ref="F185:F189" si="13">E185-(E185*$F$4)</f>
        <v>1050</v>
      </c>
      <c r="G185" s="132"/>
      <c r="H185" s="132"/>
      <c r="I185" s="133"/>
      <c r="J185" s="132"/>
      <c r="K185" s="132"/>
      <c r="L185" s="136"/>
      <c r="M185" s="136">
        <v>1143.0</v>
      </c>
      <c r="N185" s="136"/>
      <c r="O185" s="136"/>
      <c r="P185" s="136"/>
      <c r="Q185" s="136"/>
      <c r="R185" s="132"/>
      <c r="S185" s="136"/>
      <c r="T185" s="136"/>
      <c r="U185" s="136"/>
      <c r="V185" s="136"/>
      <c r="W185" s="136"/>
      <c r="X185" s="43"/>
      <c r="Y185" s="173"/>
      <c r="Z185" s="43" t="s">
        <v>525</v>
      </c>
      <c r="AA185" s="43" t="s">
        <v>513</v>
      </c>
      <c r="AB185" s="172" t="s">
        <v>234</v>
      </c>
      <c r="AC185" s="43"/>
      <c r="AD185" s="43" t="s">
        <v>236</v>
      </c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  <c r="AR185" s="43"/>
      <c r="AS185" s="43"/>
      <c r="AT185" s="43"/>
      <c r="AU185" s="43"/>
      <c r="AV185" s="43"/>
    </row>
    <row r="186" ht="14.25" customHeight="1">
      <c r="A186" s="198" t="s">
        <v>513</v>
      </c>
      <c r="B186" s="43" t="s">
        <v>526</v>
      </c>
      <c r="C186" s="43" t="s">
        <v>339</v>
      </c>
      <c r="D186" s="132"/>
      <c r="E186" s="133">
        <v>2008.0</v>
      </c>
      <c r="F186" s="219">
        <f t="shared" si="13"/>
        <v>1204.8</v>
      </c>
      <c r="G186" s="132"/>
      <c r="H186" s="132"/>
      <c r="I186" s="133"/>
      <c r="J186" s="132"/>
      <c r="K186" s="132"/>
      <c r="L186" s="136"/>
      <c r="M186" s="136">
        <v>1218.0</v>
      </c>
      <c r="N186" s="136"/>
      <c r="O186" s="136"/>
      <c r="P186" s="136"/>
      <c r="Q186" s="136"/>
      <c r="R186" s="132">
        <v>1215.0</v>
      </c>
      <c r="S186" s="136"/>
      <c r="T186" s="136"/>
      <c r="U186" s="136"/>
      <c r="V186" s="136"/>
      <c r="W186" s="136"/>
      <c r="X186" s="43"/>
      <c r="Y186" s="173"/>
      <c r="Z186" s="43" t="s">
        <v>526</v>
      </c>
      <c r="AA186" s="43" t="s">
        <v>513</v>
      </c>
      <c r="AB186" s="172" t="s">
        <v>234</v>
      </c>
      <c r="AC186" s="43"/>
      <c r="AD186" s="43" t="s">
        <v>236</v>
      </c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3"/>
      <c r="AP186" s="43"/>
      <c r="AQ186" s="43"/>
      <c r="AR186" s="43"/>
      <c r="AS186" s="43"/>
      <c r="AT186" s="43"/>
      <c r="AU186" s="43"/>
      <c r="AV186" s="43"/>
    </row>
    <row r="187" ht="14.25" customHeight="1">
      <c r="A187" s="198" t="s">
        <v>513</v>
      </c>
      <c r="B187" s="43" t="s">
        <v>527</v>
      </c>
      <c r="C187" s="43" t="s">
        <v>339</v>
      </c>
      <c r="D187" s="132"/>
      <c r="E187" s="133">
        <v>2244.0</v>
      </c>
      <c r="F187" s="219">
        <f t="shared" si="13"/>
        <v>1346.4</v>
      </c>
      <c r="G187" s="132"/>
      <c r="H187" s="132"/>
      <c r="I187" s="133"/>
      <c r="J187" s="132"/>
      <c r="K187" s="132"/>
      <c r="L187" s="136"/>
      <c r="M187" s="136">
        <v>1361.0</v>
      </c>
      <c r="N187" s="136"/>
      <c r="O187" s="136"/>
      <c r="P187" s="136"/>
      <c r="Q187" s="136"/>
      <c r="R187" s="132">
        <v>1359.0</v>
      </c>
      <c r="S187" s="136"/>
      <c r="T187" s="136"/>
      <c r="U187" s="136"/>
      <c r="V187" s="136"/>
      <c r="W187" s="136"/>
      <c r="X187" s="43"/>
      <c r="Y187" s="173"/>
      <c r="Z187" s="43" t="s">
        <v>527</v>
      </c>
      <c r="AA187" s="43" t="s">
        <v>513</v>
      </c>
      <c r="AB187" s="172" t="s">
        <v>234</v>
      </c>
      <c r="AC187" s="43"/>
      <c r="AD187" s="43" t="s">
        <v>236</v>
      </c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  <c r="AS187" s="43"/>
      <c r="AT187" s="43"/>
      <c r="AU187" s="43"/>
      <c r="AV187" s="43"/>
    </row>
    <row r="188" ht="14.25" customHeight="1">
      <c r="A188" s="198" t="s">
        <v>513</v>
      </c>
      <c r="B188" s="43" t="s">
        <v>528</v>
      </c>
      <c r="C188" s="43" t="s">
        <v>339</v>
      </c>
      <c r="D188" s="132"/>
      <c r="E188" s="133"/>
      <c r="F188" s="219">
        <f t="shared" si="13"/>
        <v>0</v>
      </c>
      <c r="G188" s="132"/>
      <c r="H188" s="132"/>
      <c r="I188" s="133"/>
      <c r="J188" s="132"/>
      <c r="K188" s="132"/>
      <c r="L188" s="136"/>
      <c r="M188" s="136">
        <v>1633.0</v>
      </c>
      <c r="N188" s="136"/>
      <c r="O188" s="136"/>
      <c r="P188" s="136"/>
      <c r="Q188" s="136"/>
      <c r="R188" s="132">
        <v>1630.0</v>
      </c>
      <c r="S188" s="136"/>
      <c r="T188" s="136"/>
      <c r="U188" s="136"/>
      <c r="V188" s="136"/>
      <c r="W188" s="136"/>
      <c r="X188" s="43"/>
      <c r="Y188" s="173"/>
      <c r="Z188" s="43" t="s">
        <v>528</v>
      </c>
      <c r="AA188" s="43" t="s">
        <v>513</v>
      </c>
      <c r="AB188" s="172" t="s">
        <v>234</v>
      </c>
      <c r="AC188" s="43"/>
      <c r="AD188" s="43" t="s">
        <v>236</v>
      </c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  <c r="AR188" s="43"/>
      <c r="AS188" s="43"/>
      <c r="AT188" s="43"/>
      <c r="AU188" s="43"/>
      <c r="AV188" s="43"/>
    </row>
    <row r="189" ht="14.25" customHeight="1">
      <c r="A189" s="198" t="s">
        <v>513</v>
      </c>
      <c r="B189" s="43" t="s">
        <v>529</v>
      </c>
      <c r="C189" s="43" t="s">
        <v>339</v>
      </c>
      <c r="D189" s="132"/>
      <c r="E189" s="133">
        <v>3022.0</v>
      </c>
      <c r="F189" s="219">
        <f t="shared" si="13"/>
        <v>1813.2</v>
      </c>
      <c r="G189" s="132"/>
      <c r="H189" s="132"/>
      <c r="I189" s="133"/>
      <c r="J189" s="132"/>
      <c r="K189" s="132"/>
      <c r="L189" s="136"/>
      <c r="M189" s="136">
        <v>1836.0</v>
      </c>
      <c r="N189" s="136"/>
      <c r="O189" s="136"/>
      <c r="P189" s="136"/>
      <c r="Q189" s="136"/>
      <c r="R189" s="132">
        <v>1832.0</v>
      </c>
      <c r="S189" s="136"/>
      <c r="T189" s="136"/>
      <c r="U189" s="136"/>
      <c r="V189" s="136"/>
      <c r="W189" s="136"/>
      <c r="X189" s="43"/>
      <c r="Y189" s="173"/>
      <c r="Z189" s="43" t="s">
        <v>529</v>
      </c>
      <c r="AA189" s="43" t="s">
        <v>513</v>
      </c>
      <c r="AB189" s="172" t="s">
        <v>234</v>
      </c>
      <c r="AC189" s="43"/>
      <c r="AD189" s="43" t="s">
        <v>236</v>
      </c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  <c r="AS189" s="43"/>
      <c r="AT189" s="43"/>
      <c r="AU189" s="43"/>
      <c r="AV189" s="43"/>
    </row>
    <row r="190" ht="14.25" customHeight="1">
      <c r="A190" s="198" t="s">
        <v>513</v>
      </c>
      <c r="B190" s="43" t="s">
        <v>530</v>
      </c>
      <c r="C190" s="43" t="s">
        <v>339</v>
      </c>
      <c r="D190" s="132"/>
      <c r="E190" s="133"/>
      <c r="F190" s="136"/>
      <c r="G190" s="132"/>
      <c r="H190" s="132"/>
      <c r="I190" s="133"/>
      <c r="J190" s="132"/>
      <c r="K190" s="132"/>
      <c r="L190" s="136"/>
      <c r="M190" s="136">
        <v>2089.0</v>
      </c>
      <c r="N190" s="136"/>
      <c r="O190" s="136"/>
      <c r="P190" s="136"/>
      <c r="Q190" s="136"/>
      <c r="R190" s="132">
        <v>1954.0</v>
      </c>
      <c r="S190" s="136"/>
      <c r="T190" s="136"/>
      <c r="U190" s="136"/>
      <c r="V190" s="136"/>
      <c r="W190" s="136"/>
      <c r="X190" s="43"/>
      <c r="Y190" s="173"/>
      <c r="Z190" s="43" t="s">
        <v>530</v>
      </c>
      <c r="AA190" s="43" t="s">
        <v>513</v>
      </c>
      <c r="AB190" s="172" t="s">
        <v>234</v>
      </c>
      <c r="AC190" s="43"/>
      <c r="AD190" s="43" t="s">
        <v>236</v>
      </c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  <c r="AR190" s="43"/>
      <c r="AS190" s="43"/>
      <c r="AT190" s="43"/>
      <c r="AU190" s="43"/>
      <c r="AV190" s="43"/>
    </row>
    <row r="191" ht="14.25" customHeight="1">
      <c r="A191" s="198" t="s">
        <v>513</v>
      </c>
      <c r="B191" s="43" t="s">
        <v>531</v>
      </c>
      <c r="C191" s="43" t="s">
        <v>339</v>
      </c>
      <c r="D191" s="132"/>
      <c r="E191" s="133"/>
      <c r="F191" s="136"/>
      <c r="G191" s="132"/>
      <c r="H191" s="132"/>
      <c r="I191" s="133"/>
      <c r="J191" s="132"/>
      <c r="K191" s="132"/>
      <c r="L191" s="136"/>
      <c r="M191" s="136">
        <v>2229.0</v>
      </c>
      <c r="N191" s="136"/>
      <c r="O191" s="136"/>
      <c r="P191" s="136"/>
      <c r="Q191" s="136"/>
      <c r="R191" s="132">
        <v>2088.0</v>
      </c>
      <c r="S191" s="136"/>
      <c r="T191" s="136"/>
      <c r="U191" s="136"/>
      <c r="V191" s="136"/>
      <c r="W191" s="136"/>
      <c r="X191" s="43"/>
      <c r="Y191" s="173"/>
      <c r="Z191" s="43" t="s">
        <v>531</v>
      </c>
      <c r="AA191" s="43" t="s">
        <v>513</v>
      </c>
      <c r="AB191" s="172" t="s">
        <v>234</v>
      </c>
      <c r="AC191" s="43"/>
      <c r="AD191" s="43" t="s">
        <v>236</v>
      </c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  <c r="AR191" s="43"/>
      <c r="AS191" s="43"/>
      <c r="AT191" s="43"/>
      <c r="AU191" s="43"/>
      <c r="AV191" s="43"/>
    </row>
    <row r="192" ht="14.25" customHeight="1">
      <c r="A192" s="198" t="s">
        <v>513</v>
      </c>
      <c r="B192" s="43" t="s">
        <v>532</v>
      </c>
      <c r="C192" s="43" t="s">
        <v>339</v>
      </c>
      <c r="D192" s="132"/>
      <c r="E192" s="133"/>
      <c r="F192" s="136"/>
      <c r="G192" s="132"/>
      <c r="H192" s="132"/>
      <c r="I192" s="133"/>
      <c r="J192" s="132"/>
      <c r="K192" s="132"/>
      <c r="L192" s="136"/>
      <c r="M192" s="136">
        <v>2382.0</v>
      </c>
      <c r="N192" s="136"/>
      <c r="O192" s="136"/>
      <c r="P192" s="136"/>
      <c r="Q192" s="136"/>
      <c r="R192" s="132">
        <v>2230.0</v>
      </c>
      <c r="S192" s="136"/>
      <c r="T192" s="136"/>
      <c r="U192" s="136"/>
      <c r="V192" s="136"/>
      <c r="W192" s="136"/>
      <c r="X192" s="43"/>
      <c r="Y192" s="173"/>
      <c r="Z192" s="43" t="s">
        <v>532</v>
      </c>
      <c r="AA192" s="43" t="s">
        <v>513</v>
      </c>
      <c r="AB192" s="172" t="s">
        <v>234</v>
      </c>
      <c r="AC192" s="43"/>
      <c r="AD192" s="43" t="s">
        <v>236</v>
      </c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3"/>
      <c r="AP192" s="43"/>
      <c r="AQ192" s="43"/>
      <c r="AR192" s="43"/>
      <c r="AS192" s="43"/>
      <c r="AT192" s="43"/>
      <c r="AU192" s="43"/>
      <c r="AV192" s="43"/>
    </row>
    <row r="193" ht="14.25" customHeight="1">
      <c r="A193" s="198" t="s">
        <v>513</v>
      </c>
      <c r="B193" s="43" t="s">
        <v>533</v>
      </c>
      <c r="C193" s="43" t="s">
        <v>339</v>
      </c>
      <c r="D193" s="132"/>
      <c r="E193" s="133"/>
      <c r="F193" s="136"/>
      <c r="G193" s="132"/>
      <c r="H193" s="132"/>
      <c r="I193" s="133"/>
      <c r="J193" s="132"/>
      <c r="K193" s="132"/>
      <c r="L193" s="136"/>
      <c r="M193" s="136">
        <v>2495.0</v>
      </c>
      <c r="N193" s="136"/>
      <c r="O193" s="136"/>
      <c r="P193" s="136"/>
      <c r="Q193" s="136"/>
      <c r="R193" s="132">
        <v>2334.0</v>
      </c>
      <c r="S193" s="136"/>
      <c r="T193" s="136"/>
      <c r="U193" s="136"/>
      <c r="V193" s="136"/>
      <c r="W193" s="136"/>
      <c r="X193" s="43"/>
      <c r="Y193" s="173"/>
      <c r="Z193" s="43" t="s">
        <v>533</v>
      </c>
      <c r="AA193" s="43" t="s">
        <v>513</v>
      </c>
      <c r="AB193" s="172" t="s">
        <v>234</v>
      </c>
      <c r="AC193" s="43"/>
      <c r="AD193" s="43" t="s">
        <v>236</v>
      </c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  <c r="AS193" s="43"/>
      <c r="AT193" s="43"/>
      <c r="AU193" s="43"/>
      <c r="AV193" s="43"/>
    </row>
    <row r="194" ht="14.25" customHeight="1">
      <c r="A194" s="198" t="s">
        <v>513</v>
      </c>
      <c r="B194" s="43" t="s">
        <v>534</v>
      </c>
      <c r="C194" s="43" t="s">
        <v>339</v>
      </c>
      <c r="D194" s="132"/>
      <c r="E194" s="133"/>
      <c r="F194" s="136"/>
      <c r="G194" s="132"/>
      <c r="H194" s="132"/>
      <c r="I194" s="133"/>
      <c r="J194" s="132"/>
      <c r="K194" s="132"/>
      <c r="L194" s="136"/>
      <c r="M194" s="136">
        <v>4590.0</v>
      </c>
      <c r="N194" s="136"/>
      <c r="O194" s="136"/>
      <c r="P194" s="136"/>
      <c r="Q194" s="136"/>
      <c r="R194" s="132"/>
      <c r="S194" s="136"/>
      <c r="T194" s="136"/>
      <c r="U194" s="136"/>
      <c r="V194" s="136"/>
      <c r="W194" s="136"/>
      <c r="X194" s="43"/>
      <c r="Y194" s="173"/>
      <c r="Z194" s="43" t="s">
        <v>534</v>
      </c>
      <c r="AA194" s="43" t="s">
        <v>513</v>
      </c>
      <c r="AB194" s="172" t="s">
        <v>234</v>
      </c>
      <c r="AC194" s="43"/>
      <c r="AD194" s="43" t="s">
        <v>236</v>
      </c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  <c r="AR194" s="43"/>
      <c r="AS194" s="43"/>
      <c r="AT194" s="43"/>
      <c r="AU194" s="43"/>
      <c r="AV194" s="43"/>
    </row>
    <row r="195" ht="14.25" customHeight="1">
      <c r="A195" s="198" t="s">
        <v>513</v>
      </c>
      <c r="B195" s="43" t="s">
        <v>535</v>
      </c>
      <c r="C195" s="43" t="s">
        <v>339</v>
      </c>
      <c r="D195" s="132"/>
      <c r="E195" s="133"/>
      <c r="F195" s="136"/>
      <c r="G195" s="132"/>
      <c r="H195" s="132"/>
      <c r="I195" s="133"/>
      <c r="J195" s="132"/>
      <c r="K195" s="132"/>
      <c r="L195" s="136"/>
      <c r="M195" s="136">
        <v>5350.0</v>
      </c>
      <c r="N195" s="136"/>
      <c r="O195" s="136"/>
      <c r="P195" s="136"/>
      <c r="Q195" s="136"/>
      <c r="R195" s="132"/>
      <c r="S195" s="136"/>
      <c r="T195" s="136"/>
      <c r="U195" s="136"/>
      <c r="V195" s="136"/>
      <c r="W195" s="136"/>
      <c r="X195" s="43"/>
      <c r="Y195" s="173"/>
      <c r="Z195" s="43" t="s">
        <v>535</v>
      </c>
      <c r="AA195" s="43" t="s">
        <v>513</v>
      </c>
      <c r="AB195" s="172" t="s">
        <v>234</v>
      </c>
      <c r="AC195" s="43"/>
      <c r="AD195" s="43" t="s">
        <v>236</v>
      </c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  <c r="AS195" s="43"/>
      <c r="AT195" s="43"/>
      <c r="AU195" s="43"/>
      <c r="AV195" s="43"/>
    </row>
    <row r="196" ht="14.25" customHeight="1">
      <c r="A196" s="198" t="s">
        <v>513</v>
      </c>
      <c r="B196" s="43" t="s">
        <v>536</v>
      </c>
      <c r="C196" s="43" t="s">
        <v>251</v>
      </c>
      <c r="D196" s="132"/>
      <c r="E196" s="133"/>
      <c r="F196" s="136"/>
      <c r="G196" s="132"/>
      <c r="H196" s="132"/>
      <c r="I196" s="133"/>
      <c r="J196" s="132"/>
      <c r="K196" s="132"/>
      <c r="L196" s="136"/>
      <c r="M196" s="136">
        <v>2005.0</v>
      </c>
      <c r="N196" s="136"/>
      <c r="O196" s="136"/>
      <c r="P196" s="136"/>
      <c r="Q196" s="136"/>
      <c r="R196" s="132">
        <v>2046.0</v>
      </c>
      <c r="S196" s="136"/>
      <c r="T196" s="136"/>
      <c r="U196" s="136"/>
      <c r="V196" s="136"/>
      <c r="W196" s="136"/>
      <c r="X196" s="43"/>
      <c r="Y196" s="173"/>
      <c r="Z196" s="43" t="s">
        <v>536</v>
      </c>
      <c r="AA196" s="43" t="s">
        <v>513</v>
      </c>
      <c r="AB196" s="172" t="s">
        <v>234</v>
      </c>
      <c r="AC196" s="43"/>
      <c r="AD196" s="43" t="s">
        <v>236</v>
      </c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  <c r="AQ196" s="43"/>
      <c r="AR196" s="43"/>
      <c r="AS196" s="43"/>
      <c r="AT196" s="43"/>
      <c r="AU196" s="43"/>
      <c r="AV196" s="43"/>
    </row>
    <row r="197" ht="14.25" customHeight="1">
      <c r="A197" s="198" t="s">
        <v>513</v>
      </c>
      <c r="B197" s="43" t="s">
        <v>537</v>
      </c>
      <c r="C197" s="43" t="s">
        <v>251</v>
      </c>
      <c r="D197" s="132"/>
      <c r="E197" s="133"/>
      <c r="F197" s="136"/>
      <c r="G197" s="132"/>
      <c r="H197" s="132"/>
      <c r="I197" s="133"/>
      <c r="J197" s="132"/>
      <c r="K197" s="132"/>
      <c r="L197" s="136"/>
      <c r="M197" s="136">
        <v>2415.0</v>
      </c>
      <c r="N197" s="136"/>
      <c r="O197" s="136"/>
      <c r="P197" s="136"/>
      <c r="Q197" s="136"/>
      <c r="R197" s="132">
        <v>2467.0</v>
      </c>
      <c r="S197" s="136"/>
      <c r="T197" s="136"/>
      <c r="U197" s="136"/>
      <c r="V197" s="136"/>
      <c r="W197" s="136"/>
      <c r="X197" s="43"/>
      <c r="Y197" s="173"/>
      <c r="Z197" s="43" t="s">
        <v>537</v>
      </c>
      <c r="AA197" s="43" t="s">
        <v>513</v>
      </c>
      <c r="AB197" s="172" t="s">
        <v>234</v>
      </c>
      <c r="AC197" s="43"/>
      <c r="AD197" s="43" t="s">
        <v>236</v>
      </c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  <c r="AS197" s="43"/>
      <c r="AT197" s="43"/>
      <c r="AU197" s="43"/>
      <c r="AV197" s="43"/>
    </row>
    <row r="198" ht="14.25" customHeight="1">
      <c r="A198" s="198" t="s">
        <v>513</v>
      </c>
      <c r="B198" s="43" t="s">
        <v>538</v>
      </c>
      <c r="C198" s="43" t="s">
        <v>251</v>
      </c>
      <c r="D198" s="132"/>
      <c r="E198" s="133"/>
      <c r="F198" s="136"/>
      <c r="G198" s="132"/>
      <c r="H198" s="132"/>
      <c r="I198" s="133"/>
      <c r="J198" s="132"/>
      <c r="K198" s="132"/>
      <c r="L198" s="136"/>
      <c r="M198" s="136">
        <v>2649.0</v>
      </c>
      <c r="N198" s="136"/>
      <c r="O198" s="136"/>
      <c r="P198" s="136"/>
      <c r="Q198" s="136"/>
      <c r="R198" s="132">
        <v>2706.0</v>
      </c>
      <c r="S198" s="136"/>
      <c r="T198" s="136"/>
      <c r="U198" s="136"/>
      <c r="V198" s="136"/>
      <c r="W198" s="136"/>
      <c r="X198" s="43"/>
      <c r="Y198" s="173"/>
      <c r="Z198" s="43" t="s">
        <v>538</v>
      </c>
      <c r="AA198" s="43" t="s">
        <v>513</v>
      </c>
      <c r="AB198" s="172" t="s">
        <v>234</v>
      </c>
      <c r="AC198" s="43"/>
      <c r="AD198" s="43" t="s">
        <v>236</v>
      </c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  <c r="AR198" s="43"/>
      <c r="AS198" s="43"/>
      <c r="AT198" s="43"/>
      <c r="AU198" s="43"/>
      <c r="AV198" s="43"/>
    </row>
    <row r="199" ht="14.25" customHeight="1">
      <c r="A199" s="198" t="s">
        <v>513</v>
      </c>
      <c r="B199" s="43" t="s">
        <v>539</v>
      </c>
      <c r="C199" s="43" t="s">
        <v>540</v>
      </c>
      <c r="D199" s="132"/>
      <c r="E199" s="133"/>
      <c r="F199" s="136"/>
      <c r="G199" s="132"/>
      <c r="H199" s="132"/>
      <c r="I199" s="133"/>
      <c r="J199" s="132"/>
      <c r="K199" s="132"/>
      <c r="L199" s="136"/>
      <c r="M199" s="136">
        <v>6997.0</v>
      </c>
      <c r="N199" s="136"/>
      <c r="O199" s="136"/>
      <c r="P199" s="136"/>
      <c r="Q199" s="136"/>
      <c r="R199" s="132"/>
      <c r="S199" s="136"/>
      <c r="T199" s="136"/>
      <c r="U199" s="136"/>
      <c r="V199" s="136"/>
      <c r="W199" s="136"/>
      <c r="X199" s="43"/>
      <c r="Y199" s="173"/>
      <c r="Z199" s="43" t="s">
        <v>539</v>
      </c>
      <c r="AA199" s="43" t="s">
        <v>513</v>
      </c>
      <c r="AB199" s="172" t="s">
        <v>234</v>
      </c>
      <c r="AC199" s="43"/>
      <c r="AD199" s="43" t="s">
        <v>236</v>
      </c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  <c r="AR199" s="43"/>
      <c r="AS199" s="43"/>
      <c r="AT199" s="43"/>
      <c r="AU199" s="43"/>
      <c r="AV199" s="43"/>
    </row>
    <row r="200" ht="14.25" customHeight="1">
      <c r="A200" s="198" t="s">
        <v>513</v>
      </c>
      <c r="B200" s="43" t="s">
        <v>541</v>
      </c>
      <c r="C200" s="43" t="s">
        <v>540</v>
      </c>
      <c r="D200" s="132"/>
      <c r="E200" s="133"/>
      <c r="F200" s="136"/>
      <c r="G200" s="132"/>
      <c r="H200" s="132"/>
      <c r="I200" s="133"/>
      <c r="J200" s="132"/>
      <c r="K200" s="132"/>
      <c r="L200" s="136"/>
      <c r="M200" s="136">
        <v>8269.0</v>
      </c>
      <c r="N200" s="136"/>
      <c r="O200" s="136"/>
      <c r="P200" s="136"/>
      <c r="Q200" s="136"/>
      <c r="R200" s="132"/>
      <c r="S200" s="136"/>
      <c r="T200" s="136"/>
      <c r="U200" s="136"/>
      <c r="V200" s="136"/>
      <c r="W200" s="136"/>
      <c r="X200" s="43"/>
      <c r="Y200" s="173"/>
      <c r="Z200" s="43" t="s">
        <v>541</v>
      </c>
      <c r="AA200" s="43" t="s">
        <v>513</v>
      </c>
      <c r="AB200" s="172" t="s">
        <v>234</v>
      </c>
      <c r="AC200" s="43"/>
      <c r="AD200" s="43" t="s">
        <v>236</v>
      </c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/>
      <c r="AQ200" s="43"/>
      <c r="AR200" s="43"/>
      <c r="AS200" s="43"/>
      <c r="AT200" s="43"/>
      <c r="AU200" s="43"/>
      <c r="AV200" s="43"/>
    </row>
    <row r="201" ht="14.25" customHeight="1">
      <c r="A201" s="198" t="s">
        <v>513</v>
      </c>
      <c r="B201" s="43" t="s">
        <v>542</v>
      </c>
      <c r="C201" s="43" t="s">
        <v>540</v>
      </c>
      <c r="D201" s="132"/>
      <c r="E201" s="133"/>
      <c r="F201" s="136"/>
      <c r="G201" s="132"/>
      <c r="H201" s="132"/>
      <c r="I201" s="133"/>
      <c r="J201" s="132"/>
      <c r="K201" s="132"/>
      <c r="L201" s="136"/>
      <c r="M201" s="136">
        <v>8989.0</v>
      </c>
      <c r="N201" s="136"/>
      <c r="O201" s="136"/>
      <c r="P201" s="136"/>
      <c r="Q201" s="136"/>
      <c r="R201" s="132"/>
      <c r="S201" s="136"/>
      <c r="T201" s="136"/>
      <c r="U201" s="136"/>
      <c r="V201" s="136"/>
      <c r="W201" s="136"/>
      <c r="X201" s="43"/>
      <c r="Y201" s="173"/>
      <c r="Z201" s="43" t="s">
        <v>542</v>
      </c>
      <c r="AA201" s="43" t="s">
        <v>513</v>
      </c>
      <c r="AB201" s="172" t="s">
        <v>234</v>
      </c>
      <c r="AC201" s="43"/>
      <c r="AD201" s="43" t="s">
        <v>236</v>
      </c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  <c r="AQ201" s="43"/>
      <c r="AR201" s="43"/>
      <c r="AS201" s="43"/>
      <c r="AT201" s="43"/>
      <c r="AU201" s="43"/>
      <c r="AV201" s="43"/>
    </row>
    <row r="202" ht="14.25" customHeight="1">
      <c r="A202" s="198" t="s">
        <v>513</v>
      </c>
      <c r="B202" s="43" t="s">
        <v>543</v>
      </c>
      <c r="C202" s="43" t="s">
        <v>544</v>
      </c>
      <c r="D202" s="132"/>
      <c r="E202" s="133"/>
      <c r="F202" s="136"/>
      <c r="G202" s="132"/>
      <c r="H202" s="132"/>
      <c r="I202" s="133"/>
      <c r="J202" s="132"/>
      <c r="K202" s="132"/>
      <c r="L202" s="136"/>
      <c r="M202" s="136">
        <v>968.0</v>
      </c>
      <c r="N202" s="136"/>
      <c r="O202" s="136"/>
      <c r="P202" s="136"/>
      <c r="Q202" s="136"/>
      <c r="R202" s="132"/>
      <c r="S202" s="136"/>
      <c r="T202" s="136"/>
      <c r="U202" s="136"/>
      <c r="V202" s="136"/>
      <c r="W202" s="136"/>
      <c r="X202" s="43"/>
      <c r="Y202" s="173"/>
      <c r="Z202" s="43" t="s">
        <v>543</v>
      </c>
      <c r="AA202" s="43" t="s">
        <v>513</v>
      </c>
      <c r="AB202" s="172" t="s">
        <v>234</v>
      </c>
      <c r="AC202" s="43"/>
      <c r="AD202" s="43" t="s">
        <v>236</v>
      </c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  <c r="AO202" s="43"/>
      <c r="AP202" s="43"/>
      <c r="AQ202" s="43"/>
      <c r="AR202" s="43"/>
      <c r="AS202" s="43"/>
      <c r="AT202" s="43"/>
      <c r="AU202" s="43"/>
      <c r="AV202" s="43"/>
    </row>
    <row r="203" ht="14.25" customHeight="1">
      <c r="A203" s="198" t="s">
        <v>513</v>
      </c>
      <c r="B203" s="43" t="s">
        <v>545</v>
      </c>
      <c r="C203" s="43" t="s">
        <v>544</v>
      </c>
      <c r="D203" s="132"/>
      <c r="E203" s="133"/>
      <c r="F203" s="136"/>
      <c r="G203" s="132"/>
      <c r="H203" s="132"/>
      <c r="I203" s="133"/>
      <c r="J203" s="132"/>
      <c r="K203" s="132"/>
      <c r="L203" s="136"/>
      <c r="M203" s="136">
        <v>1548.0</v>
      </c>
      <c r="N203" s="136"/>
      <c r="O203" s="136"/>
      <c r="P203" s="136"/>
      <c r="Q203" s="136"/>
      <c r="R203" s="132"/>
      <c r="S203" s="136"/>
      <c r="T203" s="136"/>
      <c r="U203" s="136"/>
      <c r="V203" s="136"/>
      <c r="W203" s="136"/>
      <c r="X203" s="43"/>
      <c r="Y203" s="173"/>
      <c r="Z203" s="43" t="s">
        <v>545</v>
      </c>
      <c r="AA203" s="43" t="s">
        <v>513</v>
      </c>
      <c r="AB203" s="172" t="s">
        <v>234</v>
      </c>
      <c r="AC203" s="43"/>
      <c r="AD203" s="43" t="s">
        <v>236</v>
      </c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  <c r="AO203" s="43"/>
      <c r="AP203" s="43"/>
      <c r="AQ203" s="43"/>
      <c r="AR203" s="43"/>
      <c r="AS203" s="43"/>
      <c r="AT203" s="43"/>
      <c r="AU203" s="43"/>
      <c r="AV203" s="43"/>
    </row>
    <row r="204" ht="14.25" customHeight="1">
      <c r="A204" s="198" t="s">
        <v>513</v>
      </c>
      <c r="B204" s="43" t="s">
        <v>546</v>
      </c>
      <c r="C204" s="43" t="s">
        <v>544</v>
      </c>
      <c r="D204" s="132"/>
      <c r="E204" s="133"/>
      <c r="F204" s="136"/>
      <c r="G204" s="132"/>
      <c r="H204" s="132"/>
      <c r="I204" s="133"/>
      <c r="J204" s="132"/>
      <c r="K204" s="132"/>
      <c r="L204" s="136"/>
      <c r="M204" s="136">
        <v>1755.0</v>
      </c>
      <c r="N204" s="136"/>
      <c r="O204" s="136"/>
      <c r="P204" s="136"/>
      <c r="Q204" s="136"/>
      <c r="R204" s="132">
        <v>1751.0</v>
      </c>
      <c r="S204" s="136"/>
      <c r="T204" s="136"/>
      <c r="U204" s="136"/>
      <c r="V204" s="136"/>
      <c r="W204" s="136"/>
      <c r="X204" s="43"/>
      <c r="Y204" s="173"/>
      <c r="Z204" s="43" t="s">
        <v>546</v>
      </c>
      <c r="AA204" s="43" t="s">
        <v>513</v>
      </c>
      <c r="AB204" s="172" t="s">
        <v>234</v>
      </c>
      <c r="AC204" s="43"/>
      <c r="AD204" s="43" t="s">
        <v>236</v>
      </c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  <c r="AO204" s="43"/>
      <c r="AP204" s="43"/>
      <c r="AQ204" s="43"/>
      <c r="AR204" s="43"/>
      <c r="AS204" s="43"/>
      <c r="AT204" s="43"/>
      <c r="AU204" s="43"/>
      <c r="AV204" s="43"/>
    </row>
    <row r="205" ht="14.25" customHeight="1">
      <c r="A205" s="198" t="s">
        <v>513</v>
      </c>
      <c r="B205" s="43" t="s">
        <v>547</v>
      </c>
      <c r="C205" s="43" t="s">
        <v>544</v>
      </c>
      <c r="D205" s="132"/>
      <c r="E205" s="133"/>
      <c r="F205" s="136"/>
      <c r="G205" s="132"/>
      <c r="H205" s="132"/>
      <c r="I205" s="133"/>
      <c r="J205" s="132"/>
      <c r="K205" s="132"/>
      <c r="L205" s="136"/>
      <c r="M205" s="136">
        <v>1960.0</v>
      </c>
      <c r="N205" s="136"/>
      <c r="O205" s="136"/>
      <c r="P205" s="136"/>
      <c r="Q205" s="136"/>
      <c r="R205" s="132">
        <v>1956.0</v>
      </c>
      <c r="S205" s="136"/>
      <c r="T205" s="136"/>
      <c r="U205" s="136"/>
      <c r="V205" s="136"/>
      <c r="W205" s="136"/>
      <c r="X205" s="43"/>
      <c r="Y205" s="173"/>
      <c r="Z205" s="43" t="s">
        <v>547</v>
      </c>
      <c r="AA205" s="43" t="s">
        <v>513</v>
      </c>
      <c r="AB205" s="172" t="s">
        <v>234</v>
      </c>
      <c r="AC205" s="43"/>
      <c r="AD205" s="43" t="s">
        <v>236</v>
      </c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  <c r="AO205" s="43"/>
      <c r="AP205" s="43"/>
      <c r="AQ205" s="43"/>
      <c r="AR205" s="43"/>
      <c r="AS205" s="43"/>
      <c r="AT205" s="43"/>
      <c r="AU205" s="43"/>
      <c r="AV205" s="43"/>
    </row>
    <row r="206" ht="14.25" customHeight="1">
      <c r="A206" s="198" t="s">
        <v>513</v>
      </c>
      <c r="B206" s="43" t="s">
        <v>548</v>
      </c>
      <c r="C206" s="43" t="s">
        <v>544</v>
      </c>
      <c r="D206" s="132"/>
      <c r="E206" s="133"/>
      <c r="F206" s="136"/>
      <c r="G206" s="132"/>
      <c r="H206" s="132"/>
      <c r="I206" s="133"/>
      <c r="J206" s="132"/>
      <c r="K206" s="132"/>
      <c r="L206" s="136"/>
      <c r="M206" s="136">
        <v>666.0</v>
      </c>
      <c r="N206" s="136"/>
      <c r="O206" s="136"/>
      <c r="P206" s="136"/>
      <c r="Q206" s="136"/>
      <c r="R206" s="132"/>
      <c r="S206" s="136"/>
      <c r="T206" s="136"/>
      <c r="U206" s="136"/>
      <c r="V206" s="136"/>
      <c r="W206" s="136"/>
      <c r="X206" s="43"/>
      <c r="Y206" s="173"/>
      <c r="Z206" s="43" t="s">
        <v>548</v>
      </c>
      <c r="AA206" s="43" t="s">
        <v>513</v>
      </c>
      <c r="AB206" s="172" t="s">
        <v>234</v>
      </c>
      <c r="AC206" s="43"/>
      <c r="AD206" s="43" t="s">
        <v>236</v>
      </c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  <c r="AO206" s="43"/>
      <c r="AP206" s="43"/>
      <c r="AQ206" s="43"/>
      <c r="AR206" s="43"/>
      <c r="AS206" s="43"/>
      <c r="AT206" s="43"/>
      <c r="AU206" s="43"/>
      <c r="AV206" s="43"/>
    </row>
    <row r="207" ht="14.25" customHeight="1">
      <c r="A207" s="198" t="s">
        <v>513</v>
      </c>
      <c r="B207" s="43" t="s">
        <v>549</v>
      </c>
      <c r="C207" s="43" t="s">
        <v>544</v>
      </c>
      <c r="D207" s="132"/>
      <c r="E207" s="133"/>
      <c r="F207" s="136"/>
      <c r="G207" s="132"/>
      <c r="H207" s="132"/>
      <c r="I207" s="133"/>
      <c r="J207" s="132"/>
      <c r="K207" s="132"/>
      <c r="L207" s="136"/>
      <c r="M207" s="136">
        <v>895.0</v>
      </c>
      <c r="N207" s="136"/>
      <c r="O207" s="136"/>
      <c r="P207" s="136"/>
      <c r="Q207" s="136"/>
      <c r="R207" s="132"/>
      <c r="S207" s="136"/>
      <c r="T207" s="136"/>
      <c r="U207" s="136"/>
      <c r="V207" s="136"/>
      <c r="W207" s="136"/>
      <c r="X207" s="43"/>
      <c r="Y207" s="173"/>
      <c r="Z207" s="43" t="s">
        <v>549</v>
      </c>
      <c r="AA207" s="43" t="s">
        <v>513</v>
      </c>
      <c r="AB207" s="172" t="s">
        <v>234</v>
      </c>
      <c r="AC207" s="43"/>
      <c r="AD207" s="43" t="s">
        <v>236</v>
      </c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  <c r="AR207" s="43"/>
      <c r="AS207" s="43"/>
      <c r="AT207" s="43"/>
      <c r="AU207" s="43"/>
      <c r="AV207" s="43"/>
    </row>
    <row r="208" ht="14.25" customHeight="1">
      <c r="A208" s="198" t="s">
        <v>513</v>
      </c>
      <c r="B208" s="43" t="s">
        <v>550</v>
      </c>
      <c r="C208" s="43" t="s">
        <v>544</v>
      </c>
      <c r="D208" s="132"/>
      <c r="E208" s="133"/>
      <c r="F208" s="136"/>
      <c r="G208" s="132"/>
      <c r="H208" s="132"/>
      <c r="I208" s="133"/>
      <c r="J208" s="132"/>
      <c r="K208" s="132"/>
      <c r="L208" s="136"/>
      <c r="M208" s="136">
        <v>1250.0</v>
      </c>
      <c r="N208" s="136"/>
      <c r="O208" s="136"/>
      <c r="P208" s="136"/>
      <c r="Q208" s="136"/>
      <c r="R208" s="132"/>
      <c r="S208" s="136"/>
      <c r="T208" s="136"/>
      <c r="U208" s="136"/>
      <c r="V208" s="136"/>
      <c r="W208" s="136"/>
      <c r="X208" s="43"/>
      <c r="Y208" s="173"/>
      <c r="Z208" s="43" t="s">
        <v>550</v>
      </c>
      <c r="AA208" s="43" t="s">
        <v>513</v>
      </c>
      <c r="AB208" s="172" t="s">
        <v>234</v>
      </c>
      <c r="AC208" s="43"/>
      <c r="AD208" s="43" t="s">
        <v>236</v>
      </c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  <c r="AO208" s="43"/>
      <c r="AP208" s="43"/>
      <c r="AQ208" s="43"/>
      <c r="AR208" s="43"/>
      <c r="AS208" s="43"/>
      <c r="AT208" s="43"/>
      <c r="AU208" s="43"/>
      <c r="AV208" s="43"/>
    </row>
    <row r="209" ht="14.25" customHeight="1">
      <c r="A209" s="198" t="s">
        <v>513</v>
      </c>
      <c r="B209" s="43" t="s">
        <v>551</v>
      </c>
      <c r="C209" s="43" t="s">
        <v>544</v>
      </c>
      <c r="D209" s="132"/>
      <c r="E209" s="133"/>
      <c r="F209" s="136"/>
      <c r="G209" s="132"/>
      <c r="H209" s="132"/>
      <c r="I209" s="133"/>
      <c r="J209" s="132"/>
      <c r="K209" s="132"/>
      <c r="L209" s="136"/>
      <c r="M209" s="136">
        <v>1311.0</v>
      </c>
      <c r="N209" s="136"/>
      <c r="O209" s="136"/>
      <c r="P209" s="136"/>
      <c r="Q209" s="136"/>
      <c r="R209" s="132"/>
      <c r="S209" s="136"/>
      <c r="T209" s="136"/>
      <c r="U209" s="136"/>
      <c r="V209" s="136"/>
      <c r="W209" s="136"/>
      <c r="X209" s="43"/>
      <c r="Y209" s="173"/>
      <c r="Z209" s="43" t="s">
        <v>551</v>
      </c>
      <c r="AA209" s="43" t="s">
        <v>513</v>
      </c>
      <c r="AB209" s="172" t="s">
        <v>234</v>
      </c>
      <c r="AC209" s="43"/>
      <c r="AD209" s="43" t="s">
        <v>236</v>
      </c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  <c r="AR209" s="43"/>
      <c r="AS209" s="43"/>
      <c r="AT209" s="43"/>
      <c r="AU209" s="43"/>
      <c r="AV209" s="43"/>
    </row>
    <row r="210" ht="14.25" customHeight="1">
      <c r="A210" s="198" t="s">
        <v>513</v>
      </c>
      <c r="B210" s="43" t="s">
        <v>552</v>
      </c>
      <c r="C210" s="43" t="s">
        <v>544</v>
      </c>
      <c r="D210" s="132"/>
      <c r="E210" s="133"/>
      <c r="F210" s="136"/>
      <c r="G210" s="132"/>
      <c r="H210" s="132"/>
      <c r="I210" s="133"/>
      <c r="J210" s="132"/>
      <c r="K210" s="132"/>
      <c r="L210" s="136"/>
      <c r="M210" s="136">
        <v>1406.0</v>
      </c>
      <c r="N210" s="136"/>
      <c r="O210" s="136"/>
      <c r="P210" s="136"/>
      <c r="Q210" s="136"/>
      <c r="R210" s="132"/>
      <c r="S210" s="136"/>
      <c r="T210" s="136"/>
      <c r="U210" s="136"/>
      <c r="V210" s="136"/>
      <c r="W210" s="136"/>
      <c r="X210" s="43"/>
      <c r="Y210" s="173"/>
      <c r="Z210" s="43" t="s">
        <v>552</v>
      </c>
      <c r="AA210" s="43" t="s">
        <v>513</v>
      </c>
      <c r="AB210" s="172" t="s">
        <v>234</v>
      </c>
      <c r="AC210" s="43"/>
      <c r="AD210" s="43" t="s">
        <v>236</v>
      </c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  <c r="AO210" s="43"/>
      <c r="AP210" s="43"/>
      <c r="AQ210" s="43"/>
      <c r="AR210" s="43"/>
      <c r="AS210" s="43"/>
      <c r="AT210" s="43"/>
      <c r="AU210" s="43"/>
      <c r="AV210" s="43"/>
    </row>
    <row r="211" ht="14.25" customHeight="1">
      <c r="A211" s="198" t="s">
        <v>513</v>
      </c>
      <c r="B211" s="43" t="s">
        <v>553</v>
      </c>
      <c r="C211" s="43" t="s">
        <v>544</v>
      </c>
      <c r="D211" s="132"/>
      <c r="E211" s="133"/>
      <c r="F211" s="136"/>
      <c r="G211" s="132"/>
      <c r="H211" s="132"/>
      <c r="I211" s="133"/>
      <c r="J211" s="132"/>
      <c r="K211" s="132"/>
      <c r="L211" s="136"/>
      <c r="M211" s="136">
        <v>1548.0</v>
      </c>
      <c r="N211" s="136"/>
      <c r="O211" s="136"/>
      <c r="P211" s="136"/>
      <c r="Q211" s="136"/>
      <c r="R211" s="132"/>
      <c r="S211" s="136"/>
      <c r="T211" s="136"/>
      <c r="U211" s="136"/>
      <c r="V211" s="136"/>
      <c r="W211" s="136"/>
      <c r="X211" s="43"/>
      <c r="Y211" s="173"/>
      <c r="Z211" s="43" t="s">
        <v>553</v>
      </c>
      <c r="AA211" s="43" t="s">
        <v>513</v>
      </c>
      <c r="AB211" s="172" t="s">
        <v>234</v>
      </c>
      <c r="AC211" s="43"/>
      <c r="AD211" s="43" t="s">
        <v>236</v>
      </c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  <c r="AO211" s="43"/>
      <c r="AP211" s="43"/>
      <c r="AQ211" s="43"/>
      <c r="AR211" s="43"/>
      <c r="AS211" s="43"/>
      <c r="AT211" s="43"/>
      <c r="AU211" s="43"/>
      <c r="AV211" s="43"/>
    </row>
    <row r="212" ht="14.25" customHeight="1">
      <c r="A212" s="198" t="s">
        <v>513</v>
      </c>
      <c r="B212" s="43" t="s">
        <v>554</v>
      </c>
      <c r="C212" s="43" t="s">
        <v>544</v>
      </c>
      <c r="D212" s="132"/>
      <c r="E212" s="133"/>
      <c r="F212" s="136"/>
      <c r="G212" s="132"/>
      <c r="H212" s="132"/>
      <c r="I212" s="133"/>
      <c r="J212" s="132"/>
      <c r="K212" s="132"/>
      <c r="L212" s="136"/>
      <c r="M212" s="136">
        <v>7468.0</v>
      </c>
      <c r="N212" s="136"/>
      <c r="O212" s="136"/>
      <c r="P212" s="136"/>
      <c r="Q212" s="136"/>
      <c r="R212" s="132"/>
      <c r="S212" s="136"/>
      <c r="T212" s="136"/>
      <c r="U212" s="136"/>
      <c r="V212" s="136"/>
      <c r="W212" s="136"/>
      <c r="X212" s="43"/>
      <c r="Y212" s="173"/>
      <c r="Z212" s="43" t="s">
        <v>554</v>
      </c>
      <c r="AA212" s="43" t="s">
        <v>513</v>
      </c>
      <c r="AB212" s="172" t="s">
        <v>234</v>
      </c>
      <c r="AC212" s="43"/>
      <c r="AD212" s="43" t="s">
        <v>236</v>
      </c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  <c r="AO212" s="43"/>
      <c r="AP212" s="43"/>
      <c r="AQ212" s="43"/>
      <c r="AR212" s="43"/>
      <c r="AS212" s="43"/>
      <c r="AT212" s="43"/>
      <c r="AU212" s="43"/>
      <c r="AV212" s="43"/>
    </row>
    <row r="213" ht="14.25" customHeight="1">
      <c r="A213" s="198" t="s">
        <v>513</v>
      </c>
      <c r="B213" s="43" t="s">
        <v>555</v>
      </c>
      <c r="C213" s="43" t="s">
        <v>544</v>
      </c>
      <c r="D213" s="132"/>
      <c r="E213" s="133"/>
      <c r="F213" s="136"/>
      <c r="G213" s="132"/>
      <c r="H213" s="132"/>
      <c r="I213" s="133"/>
      <c r="J213" s="132"/>
      <c r="K213" s="132"/>
      <c r="L213" s="136"/>
      <c r="M213" s="136">
        <v>8410.0</v>
      </c>
      <c r="N213" s="136"/>
      <c r="O213" s="136"/>
      <c r="P213" s="136"/>
      <c r="Q213" s="136"/>
      <c r="R213" s="132"/>
      <c r="S213" s="136"/>
      <c r="T213" s="136"/>
      <c r="U213" s="136"/>
      <c r="V213" s="136"/>
      <c r="W213" s="136"/>
      <c r="X213" s="43"/>
      <c r="Y213" s="173"/>
      <c r="Z213" s="43" t="s">
        <v>555</v>
      </c>
      <c r="AA213" s="43" t="s">
        <v>513</v>
      </c>
      <c r="AB213" s="172" t="s">
        <v>234</v>
      </c>
      <c r="AC213" s="43"/>
      <c r="AD213" s="43" t="s">
        <v>236</v>
      </c>
      <c r="AE213" s="43"/>
      <c r="AF213" s="43"/>
      <c r="AG213" s="43"/>
      <c r="AH213" s="43"/>
      <c r="AI213" s="43"/>
      <c r="AJ213" s="43"/>
      <c r="AK213" s="43"/>
      <c r="AL213" s="43"/>
      <c r="AM213" s="43"/>
      <c r="AN213" s="43"/>
      <c r="AO213" s="43"/>
      <c r="AP213" s="43"/>
      <c r="AQ213" s="43"/>
      <c r="AR213" s="43"/>
      <c r="AS213" s="43"/>
      <c r="AT213" s="43"/>
      <c r="AU213" s="43"/>
      <c r="AV213" s="43"/>
    </row>
    <row r="214" ht="14.25" customHeight="1">
      <c r="A214" s="198" t="s">
        <v>513</v>
      </c>
      <c r="B214" s="43" t="s">
        <v>556</v>
      </c>
      <c r="C214" s="43" t="s">
        <v>544</v>
      </c>
      <c r="D214" s="132"/>
      <c r="E214" s="133"/>
      <c r="F214" s="136"/>
      <c r="G214" s="132"/>
      <c r="H214" s="132"/>
      <c r="I214" s="133"/>
      <c r="J214" s="132"/>
      <c r="K214" s="132"/>
      <c r="L214" s="136"/>
      <c r="M214" s="136">
        <v>8765.0</v>
      </c>
      <c r="N214" s="136"/>
      <c r="O214" s="136"/>
      <c r="P214" s="136"/>
      <c r="Q214" s="136"/>
      <c r="R214" s="132"/>
      <c r="S214" s="136"/>
      <c r="T214" s="136"/>
      <c r="U214" s="136"/>
      <c r="V214" s="136"/>
      <c r="W214" s="136"/>
      <c r="X214" s="43"/>
      <c r="Y214" s="173"/>
      <c r="Z214" s="43" t="s">
        <v>556</v>
      </c>
      <c r="AA214" s="43" t="s">
        <v>513</v>
      </c>
      <c r="AB214" s="172" t="s">
        <v>234</v>
      </c>
      <c r="AC214" s="43"/>
      <c r="AD214" s="43" t="s">
        <v>236</v>
      </c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  <c r="AR214" s="43"/>
      <c r="AS214" s="43"/>
      <c r="AT214" s="43"/>
      <c r="AU214" s="43"/>
      <c r="AV214" s="43"/>
    </row>
    <row r="215" ht="14.25" customHeight="1">
      <c r="A215" s="198"/>
      <c r="B215" s="43"/>
      <c r="C215" s="43"/>
      <c r="D215" s="132"/>
      <c r="E215" s="133"/>
      <c r="F215" s="136"/>
      <c r="G215" s="132"/>
      <c r="H215" s="132"/>
      <c r="I215" s="133"/>
      <c r="J215" s="132"/>
      <c r="K215" s="132"/>
      <c r="L215" s="136"/>
      <c r="M215" s="136"/>
      <c r="N215" s="136"/>
      <c r="O215" s="136"/>
      <c r="P215" s="136"/>
      <c r="Q215" s="136"/>
      <c r="R215" s="132"/>
      <c r="S215" s="136"/>
      <c r="T215" s="136"/>
      <c r="U215" s="136"/>
      <c r="V215" s="136"/>
      <c r="W215" s="136"/>
      <c r="X215" s="43"/>
      <c r="Y215" s="173"/>
      <c r="Z215" s="43"/>
      <c r="AA215" s="43"/>
      <c r="AB215" s="172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  <c r="AQ215" s="43"/>
      <c r="AR215" s="43"/>
      <c r="AS215" s="43"/>
      <c r="AT215" s="43"/>
      <c r="AU215" s="43"/>
      <c r="AV215" s="43"/>
    </row>
    <row r="216" ht="14.25" customHeight="1">
      <c r="A216" s="198"/>
      <c r="B216" s="43"/>
      <c r="C216" s="43"/>
      <c r="D216" s="132"/>
      <c r="E216" s="133"/>
      <c r="F216" s="136"/>
      <c r="G216" s="132"/>
      <c r="H216" s="132"/>
      <c r="I216" s="133"/>
      <c r="J216" s="132"/>
      <c r="K216" s="132"/>
      <c r="L216" s="136"/>
      <c r="M216" s="136"/>
      <c r="N216" s="136"/>
      <c r="O216" s="136"/>
      <c r="P216" s="136"/>
      <c r="Q216" s="136"/>
      <c r="R216" s="132"/>
      <c r="S216" s="136"/>
      <c r="T216" s="136"/>
      <c r="U216" s="136"/>
      <c r="V216" s="136"/>
      <c r="W216" s="136"/>
      <c r="X216" s="43"/>
      <c r="Y216" s="173"/>
      <c r="Z216" s="43"/>
      <c r="AA216" s="43"/>
      <c r="AB216" s="172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3"/>
      <c r="AO216" s="43"/>
      <c r="AP216" s="43"/>
      <c r="AQ216" s="43"/>
      <c r="AR216" s="43"/>
      <c r="AS216" s="43"/>
      <c r="AT216" s="43"/>
      <c r="AU216" s="43"/>
      <c r="AV216" s="43"/>
    </row>
    <row r="217" ht="14.25" customHeight="1">
      <c r="A217" s="198"/>
      <c r="B217" s="43"/>
      <c r="C217" s="43"/>
      <c r="D217" s="132"/>
      <c r="E217" s="133"/>
      <c r="F217" s="136"/>
      <c r="G217" s="132"/>
      <c r="H217" s="132"/>
      <c r="I217" s="133"/>
      <c r="J217" s="132"/>
      <c r="K217" s="132"/>
      <c r="L217" s="136"/>
      <c r="M217" s="136"/>
      <c r="N217" s="136"/>
      <c r="O217" s="136"/>
      <c r="P217" s="136"/>
      <c r="Q217" s="136"/>
      <c r="R217" s="132"/>
      <c r="S217" s="136"/>
      <c r="T217" s="136"/>
      <c r="U217" s="136"/>
      <c r="V217" s="136"/>
      <c r="W217" s="136"/>
      <c r="X217" s="43"/>
      <c r="Y217" s="173"/>
      <c r="Z217" s="43"/>
      <c r="AA217" s="43"/>
      <c r="AB217" s="172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3"/>
      <c r="AO217" s="43"/>
      <c r="AP217" s="43"/>
      <c r="AQ217" s="43"/>
      <c r="AR217" s="43"/>
      <c r="AS217" s="43"/>
      <c r="AT217" s="43"/>
      <c r="AU217" s="43"/>
      <c r="AV217" s="43"/>
    </row>
    <row r="218" ht="14.25" customHeight="1">
      <c r="A218" s="198"/>
      <c r="B218" s="43"/>
      <c r="C218" s="43"/>
      <c r="D218" s="132"/>
      <c r="E218" s="133"/>
      <c r="F218" s="136"/>
      <c r="G218" s="132"/>
      <c r="H218" s="132"/>
      <c r="I218" s="133"/>
      <c r="J218" s="132"/>
      <c r="K218" s="132"/>
      <c r="L218" s="136"/>
      <c r="M218" s="136"/>
      <c r="N218" s="136"/>
      <c r="O218" s="136"/>
      <c r="P218" s="136"/>
      <c r="Q218" s="136"/>
      <c r="R218" s="132"/>
      <c r="S218" s="136"/>
      <c r="T218" s="136"/>
      <c r="U218" s="136"/>
      <c r="V218" s="136"/>
      <c r="W218" s="136"/>
      <c r="X218" s="43"/>
      <c r="Y218" s="173"/>
      <c r="Z218" s="43"/>
      <c r="AA218" s="43"/>
      <c r="AB218" s="172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  <c r="AO218" s="43"/>
      <c r="AP218" s="43"/>
      <c r="AQ218" s="43"/>
      <c r="AR218" s="43"/>
      <c r="AS218" s="43"/>
      <c r="AT218" s="43"/>
      <c r="AU218" s="43"/>
      <c r="AV218" s="43"/>
    </row>
    <row r="219" ht="14.25" customHeight="1">
      <c r="A219" s="198"/>
      <c r="B219" s="43"/>
      <c r="C219" s="43"/>
      <c r="D219" s="132"/>
      <c r="E219" s="133"/>
      <c r="F219" s="136"/>
      <c r="G219" s="132"/>
      <c r="H219" s="132"/>
      <c r="I219" s="133"/>
      <c r="J219" s="132"/>
      <c r="K219" s="132"/>
      <c r="L219" s="136"/>
      <c r="M219" s="136"/>
      <c r="N219" s="136"/>
      <c r="O219" s="136"/>
      <c r="P219" s="136"/>
      <c r="Q219" s="136"/>
      <c r="R219" s="132"/>
      <c r="S219" s="136"/>
      <c r="T219" s="136"/>
      <c r="U219" s="136"/>
      <c r="V219" s="136"/>
      <c r="W219" s="136"/>
      <c r="X219" s="43"/>
      <c r="Y219" s="173"/>
      <c r="Z219" s="43"/>
      <c r="AA219" s="43"/>
      <c r="AB219" s="172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  <c r="AQ219" s="43"/>
      <c r="AR219" s="43"/>
      <c r="AS219" s="43"/>
      <c r="AT219" s="43"/>
      <c r="AU219" s="43"/>
      <c r="AV219" s="43"/>
    </row>
    <row r="220" ht="14.25" customHeight="1">
      <c r="A220" s="153" t="s">
        <v>557</v>
      </c>
      <c r="B220" s="154"/>
      <c r="C220" s="154"/>
      <c r="D220" s="154"/>
      <c r="E220" s="188"/>
      <c r="F220" s="154"/>
      <c r="G220" s="156"/>
      <c r="H220" s="159"/>
      <c r="I220" s="194"/>
      <c r="J220" s="159"/>
      <c r="K220" s="159"/>
      <c r="L220" s="195"/>
      <c r="M220" s="195"/>
      <c r="N220" s="195"/>
      <c r="O220" s="195"/>
      <c r="P220" s="195"/>
      <c r="Q220" s="195"/>
      <c r="R220" s="159"/>
      <c r="S220" s="43"/>
      <c r="T220" s="43"/>
      <c r="U220" s="43"/>
      <c r="V220" s="43"/>
      <c r="W220" s="43"/>
      <c r="X220" s="43"/>
      <c r="Y220" s="173"/>
      <c r="Z220" s="154"/>
      <c r="AA220" s="158" t="s">
        <v>557</v>
      </c>
      <c r="AB220" s="172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  <c r="AO220" s="43"/>
      <c r="AP220" s="43"/>
      <c r="AQ220" s="43"/>
      <c r="AR220" s="43"/>
      <c r="AS220" s="43"/>
      <c r="AT220" s="43"/>
      <c r="AU220" s="43"/>
      <c r="AV220" s="43"/>
    </row>
    <row r="221" ht="14.25" customHeight="1">
      <c r="A221" s="231"/>
      <c r="B221" s="232"/>
      <c r="C221" s="232"/>
      <c r="D221" s="232"/>
      <c r="E221" s="188"/>
      <c r="F221" s="233">
        <v>0.34</v>
      </c>
      <c r="G221" s="234"/>
      <c r="H221" s="159"/>
      <c r="I221" s="194"/>
      <c r="J221" s="159"/>
      <c r="K221" s="159"/>
      <c r="L221" s="43"/>
      <c r="M221" s="43"/>
      <c r="N221" s="43"/>
      <c r="O221" s="43"/>
      <c r="P221" s="43"/>
      <c r="Q221" s="43"/>
      <c r="R221" s="173"/>
      <c r="S221" s="43"/>
      <c r="T221" s="43"/>
      <c r="U221" s="43"/>
      <c r="V221" s="43"/>
      <c r="W221" s="43"/>
      <c r="X221" s="43"/>
      <c r="Y221" s="173"/>
      <c r="Z221" s="232"/>
      <c r="AA221" s="235"/>
      <c r="AB221" s="172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43"/>
      <c r="AO221" s="43"/>
      <c r="AP221" s="43"/>
      <c r="AQ221" s="43"/>
      <c r="AR221" s="43"/>
      <c r="AS221" s="43"/>
      <c r="AT221" s="43"/>
      <c r="AU221" s="43"/>
      <c r="AV221" s="43"/>
    </row>
    <row r="222" ht="14.25" customHeight="1">
      <c r="A222" s="198" t="s">
        <v>66</v>
      </c>
      <c r="B222" s="199" t="s">
        <v>67</v>
      </c>
      <c r="C222" s="199"/>
      <c r="D222" s="132">
        <v>799.0</v>
      </c>
      <c r="E222" s="133">
        <f>1135-1135*0.37</f>
        <v>715.05</v>
      </c>
      <c r="F222" s="136">
        <f>1135-1135*0.4</f>
        <v>681</v>
      </c>
      <c r="G222" s="132"/>
      <c r="H222" s="132"/>
      <c r="I222" s="133">
        <v>744.0</v>
      </c>
      <c r="J222" s="132">
        <v>710.0</v>
      </c>
      <c r="K222" s="132">
        <v>698.0</v>
      </c>
      <c r="L222" s="136"/>
      <c r="M222" s="136"/>
      <c r="N222" s="136">
        <v>733.0</v>
      </c>
      <c r="O222" s="136"/>
      <c r="P222" s="136"/>
      <c r="Q222" s="136"/>
      <c r="R222" s="132"/>
      <c r="S222" s="136"/>
      <c r="T222" s="136"/>
      <c r="U222" s="136"/>
      <c r="V222" s="136"/>
      <c r="W222" s="136"/>
      <c r="X222" s="136"/>
      <c r="Y222" s="132"/>
      <c r="Z222" s="199" t="s">
        <v>67</v>
      </c>
      <c r="AA222" s="43" t="s">
        <v>66</v>
      </c>
      <c r="AB222" s="172" t="s">
        <v>558</v>
      </c>
      <c r="AC222" s="172" t="s">
        <v>559</v>
      </c>
      <c r="AD222" s="43" t="s">
        <v>236</v>
      </c>
      <c r="AE222" s="136"/>
      <c r="AF222" s="43"/>
      <c r="AG222" s="204" t="s">
        <v>560</v>
      </c>
      <c r="AH222" s="43">
        <v>1.0</v>
      </c>
      <c r="AI222" s="43"/>
      <c r="AJ222" s="43"/>
      <c r="AK222" s="43"/>
      <c r="AL222" s="43"/>
      <c r="AM222" s="43"/>
      <c r="AN222" s="43"/>
      <c r="AO222" s="43"/>
      <c r="AP222" s="43"/>
      <c r="AQ222" s="136"/>
      <c r="AR222" s="136"/>
      <c r="AS222" s="136"/>
      <c r="AT222" s="136"/>
      <c r="AU222" s="136"/>
      <c r="AV222" s="136"/>
    </row>
    <row r="223" ht="14.25" customHeight="1">
      <c r="A223" s="198" t="s">
        <v>66</v>
      </c>
      <c r="B223" s="199" t="s">
        <v>68</v>
      </c>
      <c r="C223" s="199"/>
      <c r="D223" s="132">
        <v>1905.0</v>
      </c>
      <c r="E223" s="133">
        <f>2777-2777*0.37</f>
        <v>1749.51</v>
      </c>
      <c r="F223" s="136">
        <f>2777-2777*0.4</f>
        <v>1666.2</v>
      </c>
      <c r="G223" s="132"/>
      <c r="H223" s="132"/>
      <c r="I223" s="133">
        <v>1841.0</v>
      </c>
      <c r="J223" s="132">
        <v>1765.0</v>
      </c>
      <c r="K223" s="132">
        <v>1725.0</v>
      </c>
      <c r="L223" s="136"/>
      <c r="M223" s="136"/>
      <c r="N223" s="136">
        <v>1805.0</v>
      </c>
      <c r="O223" s="136"/>
      <c r="P223" s="136"/>
      <c r="Q223" s="136"/>
      <c r="R223" s="132"/>
      <c r="S223" s="136"/>
      <c r="T223" s="136"/>
      <c r="U223" s="136"/>
      <c r="V223" s="136"/>
      <c r="W223" s="136"/>
      <c r="X223" s="136"/>
      <c r="Y223" s="132"/>
      <c r="Z223" s="199" t="s">
        <v>68</v>
      </c>
      <c r="AA223" s="43" t="s">
        <v>66</v>
      </c>
      <c r="AB223" s="172" t="s">
        <v>561</v>
      </c>
      <c r="AC223" s="172" t="s">
        <v>562</v>
      </c>
      <c r="AD223" s="43" t="s">
        <v>236</v>
      </c>
      <c r="AE223" s="136"/>
      <c r="AF223" s="43" t="s">
        <v>563</v>
      </c>
      <c r="AG223" s="204" t="s">
        <v>560</v>
      </c>
      <c r="AH223" s="43">
        <v>1.0</v>
      </c>
      <c r="AI223" s="43"/>
      <c r="AJ223" s="43"/>
      <c r="AK223" s="43"/>
      <c r="AL223" s="43"/>
      <c r="AM223" s="43"/>
      <c r="AN223" s="43"/>
      <c r="AO223" s="43"/>
      <c r="AP223" s="43"/>
      <c r="AQ223" s="136"/>
      <c r="AR223" s="136"/>
      <c r="AS223" s="136"/>
      <c r="AT223" s="136"/>
      <c r="AU223" s="136"/>
      <c r="AV223" s="136"/>
    </row>
    <row r="224" ht="14.25" customHeight="1">
      <c r="A224" s="198" t="s">
        <v>66</v>
      </c>
      <c r="B224" s="199" t="s">
        <v>69</v>
      </c>
      <c r="C224" s="199"/>
      <c r="D224" s="132"/>
      <c r="E224" s="133">
        <v>104.0</v>
      </c>
      <c r="F224" s="136">
        <f>E224-(E224*$F$221)</f>
        <v>68.64</v>
      </c>
      <c r="G224" s="132"/>
      <c r="H224" s="132"/>
      <c r="I224" s="133"/>
      <c r="J224" s="132"/>
      <c r="K224" s="132">
        <v>70.0</v>
      </c>
      <c r="L224" s="136"/>
      <c r="M224" s="136"/>
      <c r="N224" s="136"/>
      <c r="O224" s="136"/>
      <c r="P224" s="136"/>
      <c r="Q224" s="136"/>
      <c r="R224" s="132"/>
      <c r="S224" s="136"/>
      <c r="T224" s="136"/>
      <c r="U224" s="136"/>
      <c r="V224" s="136"/>
      <c r="W224" s="136"/>
      <c r="X224" s="136"/>
      <c r="Y224" s="132"/>
      <c r="Z224" s="199" t="s">
        <v>69</v>
      </c>
      <c r="AA224" s="43" t="s">
        <v>66</v>
      </c>
      <c r="AB224" s="43" t="s">
        <v>564</v>
      </c>
      <c r="AC224" s="43" t="s">
        <v>565</v>
      </c>
      <c r="AD224" s="43" t="s">
        <v>236</v>
      </c>
      <c r="AE224" s="136"/>
      <c r="AF224" s="43"/>
      <c r="AG224" s="204" t="s">
        <v>566</v>
      </c>
      <c r="AH224" s="43">
        <v>1.0</v>
      </c>
      <c r="AI224" s="43"/>
      <c r="AJ224" s="43"/>
      <c r="AK224" s="43"/>
      <c r="AL224" s="43"/>
      <c r="AM224" s="43"/>
      <c r="AN224" s="43"/>
      <c r="AO224" s="43"/>
      <c r="AP224" s="43"/>
      <c r="AQ224" s="136"/>
      <c r="AR224" s="136"/>
      <c r="AS224" s="136"/>
      <c r="AT224" s="136"/>
      <c r="AU224" s="136"/>
      <c r="AV224" s="136"/>
    </row>
    <row r="225" ht="14.25" customHeight="1">
      <c r="A225" s="198" t="s">
        <v>66</v>
      </c>
      <c r="B225" s="199" t="s">
        <v>70</v>
      </c>
      <c r="C225" s="199"/>
      <c r="D225" s="132"/>
      <c r="E225" s="133">
        <v>175.0</v>
      </c>
      <c r="F225" s="136">
        <f>E225-(E225*0.38)</f>
        <v>108.5</v>
      </c>
      <c r="G225" s="132"/>
      <c r="H225" s="132"/>
      <c r="I225" s="133"/>
      <c r="J225" s="132"/>
      <c r="K225" s="132">
        <v>88.0</v>
      </c>
      <c r="L225" s="136"/>
      <c r="M225" s="136"/>
      <c r="N225" s="136"/>
      <c r="O225" s="136"/>
      <c r="P225" s="136"/>
      <c r="Q225" s="136"/>
      <c r="R225" s="132"/>
      <c r="S225" s="136"/>
      <c r="T225" s="136"/>
      <c r="U225" s="136"/>
      <c r="V225" s="136"/>
      <c r="W225" s="136"/>
      <c r="X225" s="136"/>
      <c r="Y225" s="132"/>
      <c r="Z225" s="199" t="s">
        <v>567</v>
      </c>
      <c r="AA225" s="43" t="s">
        <v>66</v>
      </c>
      <c r="AB225" s="43" t="s">
        <v>564</v>
      </c>
      <c r="AC225" s="43" t="s">
        <v>568</v>
      </c>
      <c r="AD225" s="43" t="s">
        <v>236</v>
      </c>
      <c r="AE225" s="136"/>
      <c r="AF225" s="43">
        <v>24.0</v>
      </c>
      <c r="AG225" s="204" t="s">
        <v>569</v>
      </c>
      <c r="AH225" s="43">
        <v>1.0</v>
      </c>
      <c r="AI225" s="43"/>
      <c r="AJ225" s="43"/>
      <c r="AK225" s="43"/>
      <c r="AL225" s="43"/>
      <c r="AM225" s="43"/>
      <c r="AN225" s="43"/>
      <c r="AO225" s="43"/>
      <c r="AP225" s="43"/>
      <c r="AQ225" s="136"/>
      <c r="AR225" s="136"/>
      <c r="AS225" s="136"/>
      <c r="AT225" s="136"/>
      <c r="AU225" s="136"/>
      <c r="AV225" s="136"/>
    </row>
    <row r="226" ht="14.25" customHeight="1">
      <c r="A226" s="198" t="s">
        <v>66</v>
      </c>
      <c r="B226" s="199" t="s">
        <v>71</v>
      </c>
      <c r="C226" s="199"/>
      <c r="D226" s="132">
        <v>406.0</v>
      </c>
      <c r="E226" s="133">
        <v>552.0</v>
      </c>
      <c r="F226" s="136">
        <f t="shared" ref="F226:F227" si="14">E226-(E226*$F$221)</f>
        <v>364.32</v>
      </c>
      <c r="G226" s="132"/>
      <c r="H226" s="132"/>
      <c r="I226" s="133">
        <v>363.0</v>
      </c>
      <c r="J226" s="203">
        <v>377.0</v>
      </c>
      <c r="K226" s="132">
        <v>340.0</v>
      </c>
      <c r="L226" s="136"/>
      <c r="M226" s="136"/>
      <c r="N226" s="136">
        <v>399.0</v>
      </c>
      <c r="O226" s="136"/>
      <c r="P226" s="136"/>
      <c r="Q226" s="136"/>
      <c r="R226" s="132"/>
      <c r="S226" s="136"/>
      <c r="T226" s="136"/>
      <c r="U226" s="136"/>
      <c r="V226" s="136"/>
      <c r="W226" s="136"/>
      <c r="X226" s="136"/>
      <c r="Y226" s="132"/>
      <c r="Z226" s="199" t="s">
        <v>71</v>
      </c>
      <c r="AA226" s="43" t="s">
        <v>66</v>
      </c>
      <c r="AB226" s="43" t="s">
        <v>564</v>
      </c>
      <c r="AC226" s="43" t="s">
        <v>570</v>
      </c>
      <c r="AD226" s="43" t="s">
        <v>236</v>
      </c>
      <c r="AE226" s="136"/>
      <c r="AF226" s="43">
        <v>24.0</v>
      </c>
      <c r="AG226" s="205" t="s">
        <v>571</v>
      </c>
      <c r="AH226" s="43">
        <v>1.0</v>
      </c>
      <c r="AI226" s="43"/>
      <c r="AJ226" s="43"/>
      <c r="AK226" s="43"/>
      <c r="AL226" s="43"/>
      <c r="AM226" s="43"/>
      <c r="AN226" s="43"/>
      <c r="AO226" s="43"/>
      <c r="AP226" s="43"/>
      <c r="AQ226" s="136"/>
      <c r="AR226" s="136"/>
      <c r="AS226" s="136"/>
      <c r="AT226" s="136"/>
      <c r="AU226" s="136"/>
      <c r="AV226" s="136"/>
    </row>
    <row r="227" ht="14.25" customHeight="1">
      <c r="A227" s="198" t="s">
        <v>66</v>
      </c>
      <c r="B227" s="199" t="s">
        <v>72</v>
      </c>
      <c r="C227" s="199"/>
      <c r="D227" s="132">
        <v>651.0</v>
      </c>
      <c r="E227" s="133">
        <v>878.0</v>
      </c>
      <c r="F227" s="136">
        <f t="shared" si="14"/>
        <v>579.48</v>
      </c>
      <c r="G227" s="132"/>
      <c r="H227" s="132"/>
      <c r="I227" s="133">
        <v>580.0</v>
      </c>
      <c r="J227" s="203">
        <v>605.0</v>
      </c>
      <c r="K227" s="132">
        <v>544.0</v>
      </c>
      <c r="L227" s="136"/>
      <c r="M227" s="136"/>
      <c r="N227" s="136">
        <v>633.0</v>
      </c>
      <c r="O227" s="136"/>
      <c r="P227" s="136">
        <v>999.0</v>
      </c>
      <c r="Q227" s="136"/>
      <c r="R227" s="132"/>
      <c r="S227" s="136"/>
      <c r="T227" s="136"/>
      <c r="U227" s="136"/>
      <c r="V227" s="136"/>
      <c r="W227" s="136"/>
      <c r="X227" s="136"/>
      <c r="Y227" s="132"/>
      <c r="Z227" s="199" t="s">
        <v>72</v>
      </c>
      <c r="AA227" s="43" t="s">
        <v>66</v>
      </c>
      <c r="AB227" s="43" t="s">
        <v>564</v>
      </c>
      <c r="AC227" s="43" t="s">
        <v>572</v>
      </c>
      <c r="AD227" s="43" t="s">
        <v>236</v>
      </c>
      <c r="AE227" s="136"/>
      <c r="AF227" s="43">
        <v>24.0</v>
      </c>
      <c r="AG227" s="205" t="s">
        <v>571</v>
      </c>
      <c r="AH227" s="43">
        <v>1.0</v>
      </c>
      <c r="AI227" s="43"/>
      <c r="AJ227" s="43"/>
      <c r="AK227" s="43"/>
      <c r="AL227" s="43"/>
      <c r="AM227" s="43"/>
      <c r="AN227" s="43"/>
      <c r="AO227" s="43"/>
      <c r="AP227" s="43"/>
      <c r="AQ227" s="136"/>
      <c r="AR227" s="136"/>
      <c r="AS227" s="136"/>
      <c r="AT227" s="136"/>
      <c r="AU227" s="136"/>
      <c r="AV227" s="136"/>
    </row>
    <row r="228" ht="14.25" customHeight="1">
      <c r="A228" s="43"/>
      <c r="B228" s="199"/>
      <c r="C228" s="199"/>
      <c r="D228" s="132"/>
      <c r="E228" s="133"/>
      <c r="F228" s="136"/>
      <c r="G228" s="132"/>
      <c r="H228" s="132"/>
      <c r="I228" s="133"/>
      <c r="J228" s="132"/>
      <c r="K228" s="132"/>
      <c r="L228" s="136"/>
      <c r="M228" s="136"/>
      <c r="N228" s="136"/>
      <c r="O228" s="136"/>
      <c r="P228" s="136"/>
      <c r="Q228" s="136"/>
      <c r="R228" s="132"/>
      <c r="S228" s="136"/>
      <c r="T228" s="136"/>
      <c r="U228" s="136"/>
      <c r="V228" s="136"/>
      <c r="W228" s="136"/>
      <c r="X228" s="136"/>
      <c r="Y228" s="132"/>
      <c r="Z228" s="199"/>
      <c r="AA228" s="43"/>
      <c r="AB228" s="136"/>
      <c r="AC228" s="43"/>
      <c r="AD228" s="43" t="s">
        <v>236</v>
      </c>
      <c r="AE228" s="136"/>
      <c r="AF228" s="43"/>
      <c r="AG228" s="136"/>
      <c r="AH228" s="43"/>
      <c r="AI228" s="43"/>
      <c r="AJ228" s="43"/>
      <c r="AK228" s="43"/>
      <c r="AL228" s="43"/>
      <c r="AM228" s="43"/>
      <c r="AN228" s="43"/>
      <c r="AO228" s="43"/>
      <c r="AP228" s="43"/>
      <c r="AQ228" s="136"/>
      <c r="AR228" s="136"/>
      <c r="AS228" s="136"/>
      <c r="AT228" s="136"/>
      <c r="AU228" s="136"/>
      <c r="AV228" s="136"/>
    </row>
    <row r="229" ht="14.25" customHeight="1">
      <c r="A229" s="43" t="s">
        <v>63</v>
      </c>
      <c r="B229" s="199" t="s">
        <v>64</v>
      </c>
      <c r="C229" s="199"/>
      <c r="D229" s="132"/>
      <c r="E229" s="133">
        <v>555.0</v>
      </c>
      <c r="F229" s="136">
        <f t="shared" ref="F229:F231" si="15">E229-(E229*$F$221)</f>
        <v>366.3</v>
      </c>
      <c r="G229" s="132"/>
      <c r="H229" s="132"/>
      <c r="I229" s="133"/>
      <c r="J229" s="132"/>
      <c r="K229" s="132"/>
      <c r="L229" s="136"/>
      <c r="M229" s="136"/>
      <c r="N229" s="136"/>
      <c r="O229" s="136"/>
      <c r="P229" s="136"/>
      <c r="Q229" s="136"/>
      <c r="R229" s="132"/>
      <c r="S229" s="136"/>
      <c r="T229" s="136"/>
      <c r="U229" s="136"/>
      <c r="V229" s="136"/>
      <c r="W229" s="136"/>
      <c r="X229" s="136"/>
      <c r="Y229" s="132"/>
      <c r="Z229" s="199" t="s">
        <v>64</v>
      </c>
      <c r="AA229" s="43" t="s">
        <v>63</v>
      </c>
      <c r="AB229" s="136"/>
      <c r="AC229" s="43"/>
      <c r="AD229" s="43" t="s">
        <v>236</v>
      </c>
      <c r="AE229" s="136"/>
      <c r="AF229" s="43"/>
      <c r="AG229" s="43"/>
      <c r="AH229" s="43"/>
      <c r="AI229" s="43"/>
      <c r="AJ229" s="43"/>
      <c r="AK229" s="43"/>
      <c r="AL229" s="43"/>
      <c r="AM229" s="43"/>
      <c r="AN229" s="43"/>
      <c r="AO229" s="43"/>
      <c r="AP229" s="43"/>
      <c r="AQ229" s="136"/>
      <c r="AR229" s="136"/>
      <c r="AS229" s="136"/>
      <c r="AT229" s="136"/>
      <c r="AU229" s="136"/>
      <c r="AV229" s="136"/>
    </row>
    <row r="230" ht="14.25" customHeight="1">
      <c r="A230" s="43" t="s">
        <v>63</v>
      </c>
      <c r="B230" s="199" t="s">
        <v>65</v>
      </c>
      <c r="C230" s="199"/>
      <c r="D230" s="132"/>
      <c r="E230" s="133">
        <v>1670.0</v>
      </c>
      <c r="F230" s="136">
        <f t="shared" si="15"/>
        <v>1102.2</v>
      </c>
      <c r="G230" s="132"/>
      <c r="H230" s="132"/>
      <c r="I230" s="133"/>
      <c r="J230" s="132"/>
      <c r="K230" s="132"/>
      <c r="L230" s="136"/>
      <c r="M230" s="136"/>
      <c r="N230" s="136"/>
      <c r="O230" s="136"/>
      <c r="P230" s="136"/>
      <c r="Q230" s="136"/>
      <c r="R230" s="132"/>
      <c r="S230" s="136"/>
      <c r="T230" s="136"/>
      <c r="U230" s="136"/>
      <c r="V230" s="136"/>
      <c r="W230" s="136"/>
      <c r="X230" s="136"/>
      <c r="Y230" s="132"/>
      <c r="Z230" s="199" t="s">
        <v>65</v>
      </c>
      <c r="AA230" s="43" t="s">
        <v>63</v>
      </c>
      <c r="AB230" s="136"/>
      <c r="AC230" s="43"/>
      <c r="AD230" s="43" t="s">
        <v>236</v>
      </c>
      <c r="AE230" s="136"/>
      <c r="AF230" s="43"/>
      <c r="AG230" s="43"/>
      <c r="AH230" s="43"/>
      <c r="AI230" s="43"/>
      <c r="AJ230" s="43"/>
      <c r="AK230" s="43"/>
      <c r="AL230" s="43"/>
      <c r="AM230" s="43"/>
      <c r="AN230" s="43"/>
      <c r="AO230" s="43"/>
      <c r="AP230" s="43"/>
      <c r="AQ230" s="136"/>
      <c r="AR230" s="136"/>
      <c r="AS230" s="136"/>
      <c r="AT230" s="136"/>
      <c r="AU230" s="136"/>
      <c r="AV230" s="136"/>
    </row>
    <row r="231" ht="14.25" customHeight="1">
      <c r="A231" s="43" t="s">
        <v>63</v>
      </c>
      <c r="B231" s="199" t="s">
        <v>573</v>
      </c>
      <c r="C231" s="199"/>
      <c r="D231" s="132"/>
      <c r="E231" s="133">
        <v>3710.0</v>
      </c>
      <c r="F231" s="136">
        <f t="shared" si="15"/>
        <v>2448.6</v>
      </c>
      <c r="G231" s="132"/>
      <c r="H231" s="132"/>
      <c r="I231" s="133"/>
      <c r="J231" s="132"/>
      <c r="K231" s="132"/>
      <c r="L231" s="136"/>
      <c r="M231" s="136"/>
      <c r="N231" s="136"/>
      <c r="O231" s="136"/>
      <c r="P231" s="136"/>
      <c r="Q231" s="136"/>
      <c r="R231" s="132"/>
      <c r="S231" s="136"/>
      <c r="T231" s="136"/>
      <c r="U231" s="136"/>
      <c r="V231" s="136"/>
      <c r="W231" s="136"/>
      <c r="X231" s="136"/>
      <c r="Y231" s="132"/>
      <c r="Z231" s="199" t="s">
        <v>573</v>
      </c>
      <c r="AA231" s="43" t="s">
        <v>63</v>
      </c>
      <c r="AB231" s="136"/>
      <c r="AC231" s="43"/>
      <c r="AD231" s="43" t="s">
        <v>236</v>
      </c>
      <c r="AE231" s="136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136"/>
      <c r="AR231" s="136"/>
      <c r="AS231" s="136"/>
      <c r="AT231" s="136"/>
      <c r="AU231" s="136"/>
      <c r="AV231" s="136"/>
    </row>
    <row r="232" ht="14.25" customHeight="1">
      <c r="A232" s="43"/>
      <c r="B232" s="199"/>
      <c r="C232" s="199"/>
      <c r="D232" s="132"/>
      <c r="E232" s="133"/>
      <c r="F232" s="136"/>
      <c r="G232" s="132"/>
      <c r="H232" s="132"/>
      <c r="I232" s="133"/>
      <c r="J232" s="132"/>
      <c r="K232" s="132"/>
      <c r="L232" s="136"/>
      <c r="M232" s="136"/>
      <c r="N232" s="136"/>
      <c r="O232" s="136"/>
      <c r="P232" s="136"/>
      <c r="Q232" s="136"/>
      <c r="R232" s="132"/>
      <c r="S232" s="136"/>
      <c r="T232" s="136"/>
      <c r="U232" s="136"/>
      <c r="V232" s="136"/>
      <c r="W232" s="136"/>
      <c r="X232" s="136"/>
      <c r="Y232" s="132"/>
      <c r="Z232" s="199"/>
      <c r="AA232" s="43"/>
      <c r="AB232" s="136"/>
      <c r="AC232" s="43"/>
      <c r="AD232" s="43"/>
      <c r="AE232" s="136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  <c r="AQ232" s="136"/>
      <c r="AR232" s="136"/>
      <c r="AS232" s="136"/>
      <c r="AT232" s="136"/>
      <c r="AU232" s="136"/>
      <c r="AV232" s="136"/>
    </row>
    <row r="233" ht="14.25" customHeight="1">
      <c r="A233" s="43" t="s">
        <v>574</v>
      </c>
      <c r="B233" s="199" t="s">
        <v>575</v>
      </c>
      <c r="C233" s="199"/>
      <c r="D233" s="132"/>
      <c r="E233" s="133">
        <v>552.0</v>
      </c>
      <c r="F233" s="136">
        <f t="shared" ref="F233:F238" si="16">E233-(E233*$F$221)</f>
        <v>364.32</v>
      </c>
      <c r="G233" s="132"/>
      <c r="H233" s="132"/>
      <c r="I233" s="133">
        <v>515.0</v>
      </c>
      <c r="J233" s="132">
        <v>490.0</v>
      </c>
      <c r="K233" s="132"/>
      <c r="L233" s="136"/>
      <c r="M233" s="136"/>
      <c r="N233" s="136"/>
      <c r="O233" s="136"/>
      <c r="P233" s="136"/>
      <c r="Q233" s="136"/>
      <c r="R233" s="132"/>
      <c r="S233" s="136"/>
      <c r="T233" s="136"/>
      <c r="U233" s="136"/>
      <c r="V233" s="136"/>
      <c r="W233" s="136"/>
      <c r="X233" s="136"/>
      <c r="Y233" s="132"/>
      <c r="Z233" s="199" t="s">
        <v>575</v>
      </c>
      <c r="AA233" s="43" t="s">
        <v>574</v>
      </c>
      <c r="AB233" s="172" t="s">
        <v>558</v>
      </c>
      <c r="AC233" s="43" t="s">
        <v>576</v>
      </c>
      <c r="AD233" s="43" t="s">
        <v>236</v>
      </c>
      <c r="AE233" s="136"/>
      <c r="AF233" s="43">
        <v>120.0</v>
      </c>
      <c r="AG233" s="204" t="s">
        <v>577</v>
      </c>
      <c r="AH233" s="43">
        <v>1.0</v>
      </c>
      <c r="AI233" s="43" t="s">
        <v>578</v>
      </c>
      <c r="AJ233" s="43">
        <v>19.0</v>
      </c>
      <c r="AK233" s="43"/>
      <c r="AL233" s="43"/>
      <c r="AM233" s="43"/>
      <c r="AN233" s="43"/>
      <c r="AO233" s="43"/>
      <c r="AP233" s="43"/>
      <c r="AQ233" s="136"/>
      <c r="AR233" s="136"/>
      <c r="AS233" s="136"/>
      <c r="AT233" s="136"/>
      <c r="AU233" s="136"/>
      <c r="AV233" s="136"/>
    </row>
    <row r="234" ht="14.25" customHeight="1">
      <c r="A234" s="43" t="s">
        <v>574</v>
      </c>
      <c r="B234" s="199" t="s">
        <v>579</v>
      </c>
      <c r="C234" s="199"/>
      <c r="D234" s="132"/>
      <c r="E234" s="133">
        <v>190.0</v>
      </c>
      <c r="F234" s="136">
        <f t="shared" si="16"/>
        <v>125.4</v>
      </c>
      <c r="G234" s="132"/>
      <c r="H234" s="132"/>
      <c r="I234" s="133"/>
      <c r="J234" s="132"/>
      <c r="K234" s="132"/>
      <c r="L234" s="136"/>
      <c r="M234" s="136"/>
      <c r="N234" s="136"/>
      <c r="O234" s="136"/>
      <c r="P234" s="136"/>
      <c r="Q234" s="136"/>
      <c r="R234" s="132"/>
      <c r="S234" s="136"/>
      <c r="T234" s="136"/>
      <c r="U234" s="136"/>
      <c r="V234" s="136"/>
      <c r="W234" s="136"/>
      <c r="X234" s="136"/>
      <c r="Y234" s="132"/>
      <c r="Z234" s="199" t="s">
        <v>580</v>
      </c>
      <c r="AA234" s="43" t="s">
        <v>574</v>
      </c>
      <c r="AB234" s="136" t="s">
        <v>558</v>
      </c>
      <c r="AC234" s="43" t="s">
        <v>581</v>
      </c>
      <c r="AD234" s="43" t="s">
        <v>236</v>
      </c>
      <c r="AE234" s="136"/>
      <c r="AF234" s="43">
        <v>120.0</v>
      </c>
      <c r="AG234" s="204" t="s">
        <v>582</v>
      </c>
      <c r="AH234" s="43">
        <v>1.0</v>
      </c>
      <c r="AI234" s="43" t="s">
        <v>583</v>
      </c>
      <c r="AJ234" s="43">
        <v>2.0</v>
      </c>
      <c r="AK234" s="43"/>
      <c r="AL234" s="43"/>
      <c r="AM234" s="43"/>
      <c r="AN234" s="43"/>
      <c r="AO234" s="43"/>
      <c r="AP234" s="43"/>
      <c r="AQ234" s="136"/>
      <c r="AR234" s="136"/>
      <c r="AS234" s="136"/>
      <c r="AT234" s="136"/>
      <c r="AU234" s="136"/>
      <c r="AV234" s="136"/>
    </row>
    <row r="235" ht="14.25" customHeight="1">
      <c r="A235" s="43" t="s">
        <v>574</v>
      </c>
      <c r="B235" s="199" t="s">
        <v>584</v>
      </c>
      <c r="C235" s="199"/>
      <c r="D235" s="132"/>
      <c r="E235" s="133">
        <v>2490.0</v>
      </c>
      <c r="F235" s="136">
        <f t="shared" si="16"/>
        <v>1643.4</v>
      </c>
      <c r="G235" s="132"/>
      <c r="H235" s="132"/>
      <c r="I235" s="133"/>
      <c r="J235" s="132"/>
      <c r="K235" s="132"/>
      <c r="L235" s="136"/>
      <c r="M235" s="136"/>
      <c r="N235" s="136"/>
      <c r="O235" s="136"/>
      <c r="P235" s="136"/>
      <c r="Q235" s="136"/>
      <c r="R235" s="132"/>
      <c r="S235" s="136"/>
      <c r="T235" s="136"/>
      <c r="U235" s="136"/>
      <c r="V235" s="136"/>
      <c r="W235" s="136"/>
      <c r="X235" s="136"/>
      <c r="Y235" s="132"/>
      <c r="Z235" s="199" t="s">
        <v>584</v>
      </c>
      <c r="AA235" s="43" t="s">
        <v>574</v>
      </c>
      <c r="AB235" s="172" t="s">
        <v>561</v>
      </c>
      <c r="AC235" s="43" t="s">
        <v>585</v>
      </c>
      <c r="AD235" s="43" t="s">
        <v>236</v>
      </c>
      <c r="AE235" s="136"/>
      <c r="AF235" s="43">
        <v>120.0</v>
      </c>
      <c r="AG235" s="204" t="s">
        <v>577</v>
      </c>
      <c r="AH235" s="43">
        <v>1.0</v>
      </c>
      <c r="AI235" s="43"/>
      <c r="AJ235" s="43">
        <v>45.0</v>
      </c>
      <c r="AK235" s="43"/>
      <c r="AL235" s="43"/>
      <c r="AM235" s="43"/>
      <c r="AN235" s="43"/>
      <c r="AO235" s="43"/>
      <c r="AP235" s="43"/>
      <c r="AQ235" s="136"/>
      <c r="AR235" s="136"/>
      <c r="AS235" s="136"/>
      <c r="AT235" s="136"/>
      <c r="AU235" s="136"/>
      <c r="AV235" s="136"/>
    </row>
    <row r="236" ht="14.25" customHeight="1">
      <c r="A236" s="43" t="s">
        <v>574</v>
      </c>
      <c r="B236" s="199" t="s">
        <v>586</v>
      </c>
      <c r="C236" s="199"/>
      <c r="D236" s="132"/>
      <c r="E236" s="133">
        <v>780.0</v>
      </c>
      <c r="F236" s="136">
        <f t="shared" si="16"/>
        <v>514.8</v>
      </c>
      <c r="G236" s="132"/>
      <c r="H236" s="132"/>
      <c r="I236" s="133"/>
      <c r="J236" s="132"/>
      <c r="K236" s="132"/>
      <c r="L236" s="136"/>
      <c r="M236" s="136"/>
      <c r="N236" s="136"/>
      <c r="O236" s="136"/>
      <c r="P236" s="136"/>
      <c r="Q236" s="136"/>
      <c r="R236" s="132"/>
      <c r="S236" s="136"/>
      <c r="T236" s="136"/>
      <c r="U236" s="136"/>
      <c r="V236" s="136"/>
      <c r="W236" s="136"/>
      <c r="X236" s="136"/>
      <c r="Y236" s="132"/>
      <c r="Z236" s="199" t="s">
        <v>586</v>
      </c>
      <c r="AA236" s="43" t="s">
        <v>574</v>
      </c>
      <c r="AB236" s="172" t="s">
        <v>558</v>
      </c>
      <c r="AC236" s="43" t="s">
        <v>576</v>
      </c>
      <c r="AD236" s="43" t="s">
        <v>236</v>
      </c>
      <c r="AE236" s="136"/>
      <c r="AF236" s="43">
        <v>120.0</v>
      </c>
      <c r="AG236" s="204" t="s">
        <v>587</v>
      </c>
      <c r="AH236" s="43">
        <v>1.0</v>
      </c>
      <c r="AI236" s="43" t="s">
        <v>588</v>
      </c>
      <c r="AJ236" s="43">
        <v>16.66</v>
      </c>
      <c r="AK236" s="43"/>
      <c r="AL236" s="43"/>
      <c r="AM236" s="43"/>
      <c r="AN236" s="43"/>
      <c r="AO236" s="43"/>
      <c r="AP236" s="43"/>
      <c r="AQ236" s="136"/>
      <c r="AR236" s="136"/>
      <c r="AS236" s="136"/>
      <c r="AT236" s="136"/>
      <c r="AU236" s="136"/>
      <c r="AV236" s="136"/>
    </row>
    <row r="237" ht="14.25" customHeight="1">
      <c r="A237" s="43" t="s">
        <v>574</v>
      </c>
      <c r="B237" s="199" t="s">
        <v>589</v>
      </c>
      <c r="C237" s="199"/>
      <c r="D237" s="132"/>
      <c r="E237" s="133">
        <v>1800.0</v>
      </c>
      <c r="F237" s="136">
        <f t="shared" si="16"/>
        <v>1188</v>
      </c>
      <c r="G237" s="132"/>
      <c r="H237" s="132"/>
      <c r="I237" s="133">
        <v>1085.0</v>
      </c>
      <c r="J237" s="132">
        <v>1050.0</v>
      </c>
      <c r="K237" s="132"/>
      <c r="L237" s="136"/>
      <c r="M237" s="136"/>
      <c r="N237" s="136"/>
      <c r="O237" s="136"/>
      <c r="P237" s="136"/>
      <c r="Q237" s="136"/>
      <c r="R237" s="132"/>
      <c r="S237" s="136"/>
      <c r="T237" s="136"/>
      <c r="U237" s="136"/>
      <c r="V237" s="136"/>
      <c r="W237" s="136"/>
      <c r="X237" s="136"/>
      <c r="Y237" s="132"/>
      <c r="Z237" s="199" t="s">
        <v>589</v>
      </c>
      <c r="AA237" s="43" t="s">
        <v>574</v>
      </c>
      <c r="AB237" s="136" t="s">
        <v>561</v>
      </c>
      <c r="AC237" s="43" t="s">
        <v>590</v>
      </c>
      <c r="AD237" s="43" t="s">
        <v>236</v>
      </c>
      <c r="AE237" s="136"/>
      <c r="AF237" s="43">
        <v>120.0</v>
      </c>
      <c r="AG237" s="204" t="s">
        <v>587</v>
      </c>
      <c r="AH237" s="43">
        <v>1.0</v>
      </c>
      <c r="AI237" s="43" t="s">
        <v>591</v>
      </c>
      <c r="AJ237" s="43">
        <v>38.0</v>
      </c>
      <c r="AK237" s="43"/>
      <c r="AL237" s="43"/>
      <c r="AM237" s="43"/>
      <c r="AN237" s="43"/>
      <c r="AO237" s="43"/>
      <c r="AP237" s="43"/>
      <c r="AQ237" s="136"/>
      <c r="AR237" s="136"/>
      <c r="AS237" s="136"/>
      <c r="AT237" s="136"/>
      <c r="AU237" s="136"/>
      <c r="AV237" s="136"/>
    </row>
    <row r="238" ht="14.25" customHeight="1">
      <c r="A238" s="43" t="s">
        <v>574</v>
      </c>
      <c r="B238" s="199" t="s">
        <v>592</v>
      </c>
      <c r="C238" s="199"/>
      <c r="D238" s="132"/>
      <c r="E238" s="133">
        <v>1820.0</v>
      </c>
      <c r="F238" s="136">
        <f t="shared" si="16"/>
        <v>1201.2</v>
      </c>
      <c r="G238" s="132"/>
      <c r="H238" s="132"/>
      <c r="I238" s="133">
        <v>1095.0</v>
      </c>
      <c r="J238" s="132">
        <v>1060.0</v>
      </c>
      <c r="K238" s="132"/>
      <c r="L238" s="136"/>
      <c r="M238" s="136"/>
      <c r="N238" s="136"/>
      <c r="O238" s="136"/>
      <c r="P238" s="136"/>
      <c r="Q238" s="136"/>
      <c r="R238" s="132"/>
      <c r="S238" s="136"/>
      <c r="T238" s="136"/>
      <c r="U238" s="136"/>
      <c r="V238" s="136"/>
      <c r="W238" s="136"/>
      <c r="X238" s="136"/>
      <c r="Y238" s="132"/>
      <c r="Z238" s="199" t="s">
        <v>592</v>
      </c>
      <c r="AA238" s="43" t="s">
        <v>574</v>
      </c>
      <c r="AB238" s="136" t="s">
        <v>561</v>
      </c>
      <c r="AC238" s="43" t="s">
        <v>593</v>
      </c>
      <c r="AD238" s="43" t="s">
        <v>236</v>
      </c>
      <c r="AE238" s="136"/>
      <c r="AF238" s="43">
        <v>120.0</v>
      </c>
      <c r="AG238" s="204" t="s">
        <v>587</v>
      </c>
      <c r="AH238" s="43">
        <v>1.0</v>
      </c>
      <c r="AI238" s="43" t="s">
        <v>591</v>
      </c>
      <c r="AJ238" s="43">
        <v>38.0</v>
      </c>
      <c r="AK238" s="43"/>
      <c r="AL238" s="43"/>
      <c r="AM238" s="43"/>
      <c r="AN238" s="43"/>
      <c r="AO238" s="43"/>
      <c r="AP238" s="43"/>
      <c r="AQ238" s="136"/>
      <c r="AR238" s="136"/>
      <c r="AS238" s="136"/>
      <c r="AT238" s="136"/>
      <c r="AU238" s="136"/>
      <c r="AV238" s="136"/>
    </row>
    <row r="239" ht="14.25" customHeight="1">
      <c r="A239" s="43"/>
      <c r="B239" s="199"/>
      <c r="C239" s="199"/>
      <c r="D239" s="132"/>
      <c r="E239" s="133"/>
      <c r="F239" s="136"/>
      <c r="G239" s="132"/>
      <c r="H239" s="132"/>
      <c r="I239" s="133"/>
      <c r="J239" s="132"/>
      <c r="K239" s="132"/>
      <c r="L239" s="136"/>
      <c r="M239" s="136"/>
      <c r="N239" s="136"/>
      <c r="O239" s="136"/>
      <c r="P239" s="136"/>
      <c r="Q239" s="136"/>
      <c r="R239" s="132"/>
      <c r="S239" s="136"/>
      <c r="T239" s="136"/>
      <c r="U239" s="136"/>
      <c r="V239" s="136"/>
      <c r="W239" s="136"/>
      <c r="X239" s="136"/>
      <c r="Y239" s="132"/>
      <c r="Z239" s="199"/>
      <c r="AA239" s="43"/>
      <c r="AB239" s="136"/>
      <c r="AC239" s="43"/>
      <c r="AD239" s="43"/>
      <c r="AE239" s="136"/>
      <c r="AF239" s="43"/>
      <c r="AG239" s="43"/>
      <c r="AH239" s="43"/>
      <c r="AI239" s="43"/>
      <c r="AJ239" s="43"/>
      <c r="AK239" s="43"/>
      <c r="AL239" s="43"/>
      <c r="AM239" s="43"/>
      <c r="AN239" s="43"/>
      <c r="AO239" s="43"/>
      <c r="AP239" s="43"/>
      <c r="AQ239" s="136"/>
      <c r="AR239" s="136"/>
      <c r="AS239" s="136"/>
      <c r="AT239" s="136"/>
      <c r="AU239" s="136"/>
      <c r="AV239" s="136"/>
    </row>
    <row r="240" ht="14.25" customHeight="1">
      <c r="A240" s="43"/>
      <c r="B240" s="199"/>
      <c r="C240" s="199"/>
      <c r="D240" s="132"/>
      <c r="E240" s="133"/>
      <c r="F240" s="136"/>
      <c r="G240" s="132"/>
      <c r="H240" s="132"/>
      <c r="I240" s="133"/>
      <c r="J240" s="132"/>
      <c r="K240" s="132"/>
      <c r="L240" s="136"/>
      <c r="M240" s="136"/>
      <c r="N240" s="136"/>
      <c r="O240" s="136"/>
      <c r="P240" s="136"/>
      <c r="Q240" s="136"/>
      <c r="R240" s="132"/>
      <c r="S240" s="136"/>
      <c r="T240" s="136"/>
      <c r="U240" s="136"/>
      <c r="V240" s="136"/>
      <c r="W240" s="136"/>
      <c r="X240" s="136"/>
      <c r="Y240" s="132"/>
      <c r="Z240" s="199"/>
      <c r="AA240" s="43"/>
      <c r="AB240" s="136"/>
      <c r="AC240" s="43"/>
      <c r="AD240" s="43"/>
      <c r="AE240" s="136"/>
      <c r="AF240" s="43"/>
      <c r="AG240" s="43"/>
      <c r="AH240" s="43"/>
      <c r="AI240" s="43"/>
      <c r="AJ240" s="43"/>
      <c r="AK240" s="43"/>
      <c r="AL240" s="43"/>
      <c r="AM240" s="43"/>
      <c r="AN240" s="43"/>
      <c r="AO240" s="43"/>
      <c r="AP240" s="43"/>
      <c r="AQ240" s="136"/>
      <c r="AR240" s="136"/>
      <c r="AS240" s="136"/>
      <c r="AT240" s="136"/>
      <c r="AU240" s="136"/>
      <c r="AV240" s="136"/>
    </row>
    <row r="241" ht="14.25" customHeight="1">
      <c r="A241" s="43"/>
      <c r="B241" s="199"/>
      <c r="C241" s="199"/>
      <c r="D241" s="132"/>
      <c r="E241" s="133"/>
      <c r="F241" s="136"/>
      <c r="G241" s="132"/>
      <c r="H241" s="132"/>
      <c r="I241" s="133"/>
      <c r="J241" s="132"/>
      <c r="K241" s="132"/>
      <c r="L241" s="136"/>
      <c r="M241" s="136"/>
      <c r="N241" s="136"/>
      <c r="O241" s="136"/>
      <c r="P241" s="136"/>
      <c r="Q241" s="136"/>
      <c r="R241" s="132"/>
      <c r="S241" s="136"/>
      <c r="T241" s="136"/>
      <c r="U241" s="136"/>
      <c r="V241" s="136"/>
      <c r="W241" s="136"/>
      <c r="X241" s="136"/>
      <c r="Y241" s="132"/>
      <c r="Z241" s="199"/>
      <c r="AA241" s="43"/>
      <c r="AB241" s="136"/>
      <c r="AC241" s="43"/>
      <c r="AD241" s="43"/>
      <c r="AE241" s="136"/>
      <c r="AF241" s="43"/>
      <c r="AG241" s="43"/>
      <c r="AH241" s="43"/>
      <c r="AI241" s="43"/>
      <c r="AJ241" s="43"/>
      <c r="AK241" s="43"/>
      <c r="AL241" s="43"/>
      <c r="AM241" s="43"/>
      <c r="AN241" s="43"/>
      <c r="AO241" s="43"/>
      <c r="AP241" s="43"/>
      <c r="AQ241" s="136"/>
      <c r="AR241" s="136"/>
      <c r="AS241" s="136"/>
      <c r="AT241" s="136"/>
      <c r="AU241" s="136"/>
      <c r="AV241" s="136"/>
    </row>
    <row r="242" ht="14.25" customHeight="1">
      <c r="A242" s="153" t="s">
        <v>594</v>
      </c>
      <c r="B242" s="154"/>
      <c r="C242" s="154"/>
      <c r="D242" s="236"/>
      <c r="E242" s="237" t="s">
        <v>595</v>
      </c>
      <c r="F242" s="238" t="s">
        <v>595</v>
      </c>
      <c r="G242" s="239"/>
      <c r="H242" s="238"/>
      <c r="I242" s="237"/>
      <c r="J242" s="238"/>
      <c r="K242" s="238"/>
      <c r="L242" s="240"/>
      <c r="M242" s="240"/>
      <c r="N242" s="240"/>
      <c r="O242" s="240"/>
      <c r="P242" s="240"/>
      <c r="Q242" s="240"/>
      <c r="R242" s="238"/>
      <c r="S242" s="136"/>
      <c r="T242" s="136"/>
      <c r="U242" s="136"/>
      <c r="V242" s="136"/>
      <c r="W242" s="136"/>
      <c r="X242" s="136"/>
      <c r="Y242" s="132"/>
      <c r="Z242" s="154"/>
      <c r="AA242" s="158" t="s">
        <v>594</v>
      </c>
      <c r="AB242" s="136"/>
      <c r="AC242" s="43"/>
      <c r="AD242" s="43"/>
      <c r="AE242" s="136"/>
      <c r="AF242" s="43"/>
      <c r="AG242" s="43"/>
      <c r="AH242" s="43"/>
      <c r="AI242" s="43"/>
      <c r="AJ242" s="43"/>
      <c r="AK242" s="43"/>
      <c r="AL242" s="43"/>
      <c r="AM242" s="43"/>
      <c r="AN242" s="43"/>
      <c r="AO242" s="43"/>
      <c r="AP242" s="43"/>
      <c r="AQ242" s="136"/>
      <c r="AR242" s="136"/>
      <c r="AS242" s="136"/>
      <c r="AT242" s="136"/>
      <c r="AU242" s="136"/>
      <c r="AV242" s="136"/>
    </row>
    <row r="243" ht="14.25" customHeight="1">
      <c r="A243" s="198" t="s">
        <v>66</v>
      </c>
      <c r="B243" s="199" t="s">
        <v>596</v>
      </c>
      <c r="C243" s="199"/>
      <c r="D243" s="132"/>
      <c r="E243" s="133">
        <v>945.0</v>
      </c>
      <c r="F243" s="136">
        <f t="shared" ref="F243:F244" si="17">E243-E243*$F$221</f>
        <v>623.7</v>
      </c>
      <c r="G243" s="132"/>
      <c r="H243" s="132"/>
      <c r="I243" s="133"/>
      <c r="J243" s="132">
        <v>600.0</v>
      </c>
      <c r="K243" s="132">
        <v>579.0</v>
      </c>
      <c r="L243" s="136"/>
      <c r="M243" s="136"/>
      <c r="N243" s="136">
        <v>635.0</v>
      </c>
      <c r="O243" s="136"/>
      <c r="P243" s="136"/>
      <c r="Q243" s="136"/>
      <c r="R243" s="132"/>
      <c r="S243" s="136"/>
      <c r="T243" s="136"/>
      <c r="U243" s="136"/>
      <c r="V243" s="136"/>
      <c r="W243" s="136"/>
      <c r="X243" s="136"/>
      <c r="Y243" s="132"/>
      <c r="Z243" s="199" t="s">
        <v>596</v>
      </c>
      <c r="AA243" s="43" t="s">
        <v>66</v>
      </c>
      <c r="AB243" s="172" t="s">
        <v>597</v>
      </c>
      <c r="AC243" s="43" t="s">
        <v>598</v>
      </c>
      <c r="AD243" s="43" t="s">
        <v>236</v>
      </c>
      <c r="AE243" s="136"/>
      <c r="AF243" s="43"/>
      <c r="AG243" s="204" t="s">
        <v>599</v>
      </c>
      <c r="AH243" s="43">
        <v>1.0</v>
      </c>
      <c r="AI243" s="43" t="s">
        <v>600</v>
      </c>
      <c r="AJ243" s="43">
        <v>3.0</v>
      </c>
      <c r="AK243" s="43"/>
      <c r="AL243" s="43"/>
      <c r="AM243" s="43"/>
      <c r="AN243" s="43"/>
      <c r="AO243" s="43"/>
      <c r="AP243" s="43"/>
      <c r="AQ243" s="136"/>
      <c r="AR243" s="136"/>
      <c r="AS243" s="136"/>
      <c r="AT243" s="136"/>
      <c r="AU243" s="136"/>
      <c r="AV243" s="136"/>
    </row>
    <row r="244" ht="14.25" customHeight="1">
      <c r="A244" s="198" t="s">
        <v>66</v>
      </c>
      <c r="B244" s="199" t="s">
        <v>601</v>
      </c>
      <c r="C244" s="199"/>
      <c r="D244" s="132"/>
      <c r="E244" s="133">
        <v>1000.0</v>
      </c>
      <c r="F244" s="136">
        <f t="shared" si="17"/>
        <v>660</v>
      </c>
      <c r="G244" s="132"/>
      <c r="H244" s="132"/>
      <c r="I244" s="133"/>
      <c r="J244" s="132">
        <v>640.0</v>
      </c>
      <c r="K244" s="132">
        <v>617.0</v>
      </c>
      <c r="L244" s="136"/>
      <c r="M244" s="136"/>
      <c r="N244" s="136">
        <v>671.0</v>
      </c>
      <c r="O244" s="136"/>
      <c r="P244" s="136"/>
      <c r="Q244" s="136"/>
      <c r="R244" s="132"/>
      <c r="S244" s="136"/>
      <c r="T244" s="136"/>
      <c r="U244" s="136"/>
      <c r="V244" s="136"/>
      <c r="W244" s="136"/>
      <c r="X244" s="136"/>
      <c r="Y244" s="132"/>
      <c r="Z244" s="199" t="s">
        <v>601</v>
      </c>
      <c r="AA244" s="43" t="s">
        <v>66</v>
      </c>
      <c r="AB244" s="172" t="s">
        <v>597</v>
      </c>
      <c r="AC244" s="43" t="s">
        <v>602</v>
      </c>
      <c r="AD244" s="43" t="s">
        <v>236</v>
      </c>
      <c r="AE244" s="136"/>
      <c r="AF244" s="43"/>
      <c r="AG244" s="204" t="s">
        <v>599</v>
      </c>
      <c r="AH244" s="43">
        <v>1.0</v>
      </c>
      <c r="AI244" s="43" t="s">
        <v>600</v>
      </c>
      <c r="AJ244" s="43">
        <v>3.1</v>
      </c>
      <c r="AK244" s="43"/>
      <c r="AL244" s="43"/>
      <c r="AM244" s="43"/>
      <c r="AN244" s="43"/>
      <c r="AO244" s="43"/>
      <c r="AP244" s="43"/>
      <c r="AQ244" s="136"/>
      <c r="AR244" s="136"/>
      <c r="AS244" s="136"/>
      <c r="AT244" s="136"/>
      <c r="AU244" s="136"/>
      <c r="AV244" s="136"/>
    </row>
    <row r="245" ht="14.25" customHeight="1">
      <c r="A245" s="43"/>
      <c r="B245" s="199"/>
      <c r="C245" s="199"/>
      <c r="D245" s="132"/>
      <c r="E245" s="133"/>
      <c r="F245" s="136"/>
      <c r="G245" s="132"/>
      <c r="H245" s="132"/>
      <c r="I245" s="133"/>
      <c r="J245" s="132"/>
      <c r="K245" s="132"/>
      <c r="L245" s="136"/>
      <c r="M245" s="136"/>
      <c r="N245" s="136"/>
      <c r="O245" s="136"/>
      <c r="P245" s="136"/>
      <c r="Q245" s="136"/>
      <c r="R245" s="132"/>
      <c r="S245" s="136"/>
      <c r="T245" s="136"/>
      <c r="U245" s="136"/>
      <c r="V245" s="136"/>
      <c r="W245" s="136"/>
      <c r="X245" s="136"/>
      <c r="Y245" s="132"/>
      <c r="Z245" s="199"/>
      <c r="AA245" s="43"/>
      <c r="AB245" s="172"/>
      <c r="AC245" s="43"/>
      <c r="AD245" s="43"/>
      <c r="AE245" s="136"/>
      <c r="AF245" s="43"/>
      <c r="AG245" s="43"/>
      <c r="AH245" s="43"/>
      <c r="AI245" s="43"/>
      <c r="AJ245" s="43"/>
      <c r="AK245" s="43"/>
      <c r="AL245" s="43"/>
      <c r="AM245" s="43"/>
      <c r="AN245" s="43"/>
      <c r="AO245" s="43"/>
      <c r="AP245" s="43"/>
      <c r="AQ245" s="136"/>
      <c r="AR245" s="136"/>
      <c r="AS245" s="136"/>
      <c r="AT245" s="136"/>
      <c r="AU245" s="136"/>
      <c r="AV245" s="136"/>
    </row>
    <row r="246" ht="14.25" customHeight="1">
      <c r="A246" s="43" t="s">
        <v>63</v>
      </c>
      <c r="B246" s="199" t="s">
        <v>603</v>
      </c>
      <c r="C246" s="199"/>
      <c r="D246" s="132"/>
      <c r="E246" s="133">
        <v>965.0</v>
      </c>
      <c r="F246" s="136">
        <f>E246-E246*$F$221</f>
        <v>636.9</v>
      </c>
      <c r="G246" s="132"/>
      <c r="H246" s="132"/>
      <c r="I246" s="133"/>
      <c r="J246" s="132"/>
      <c r="K246" s="132"/>
      <c r="L246" s="136"/>
      <c r="M246" s="136"/>
      <c r="N246" s="136"/>
      <c r="O246" s="136"/>
      <c r="P246" s="136"/>
      <c r="Q246" s="136"/>
      <c r="R246" s="132"/>
      <c r="S246" s="136"/>
      <c r="T246" s="136"/>
      <c r="U246" s="136"/>
      <c r="V246" s="136"/>
      <c r="W246" s="136"/>
      <c r="X246" s="136"/>
      <c r="Y246" s="132"/>
      <c r="Z246" s="199" t="s">
        <v>604</v>
      </c>
      <c r="AA246" s="43" t="s">
        <v>63</v>
      </c>
      <c r="AB246" s="172" t="s">
        <v>597</v>
      </c>
      <c r="AC246" s="43" t="s">
        <v>605</v>
      </c>
      <c r="AD246" s="43" t="s">
        <v>236</v>
      </c>
      <c r="AE246" s="136"/>
      <c r="AF246" s="43"/>
      <c r="AG246" s="204" t="s">
        <v>606</v>
      </c>
      <c r="AH246" s="43">
        <v>1.0</v>
      </c>
      <c r="AI246" s="43" t="s">
        <v>607</v>
      </c>
      <c r="AJ246" s="43">
        <v>3.8</v>
      </c>
      <c r="AK246" s="43"/>
      <c r="AL246" s="43"/>
      <c r="AM246" s="43"/>
      <c r="AN246" s="43"/>
      <c r="AO246" s="43"/>
      <c r="AP246" s="43"/>
      <c r="AQ246" s="136"/>
      <c r="AR246" s="136"/>
      <c r="AS246" s="136"/>
      <c r="AT246" s="136"/>
      <c r="AU246" s="136"/>
      <c r="AV246" s="136"/>
    </row>
    <row r="247" ht="14.25" customHeight="1">
      <c r="A247" s="43"/>
      <c r="B247" s="199"/>
      <c r="C247" s="199"/>
      <c r="D247" s="132"/>
      <c r="E247" s="133"/>
      <c r="F247" s="136"/>
      <c r="G247" s="132"/>
      <c r="H247" s="132"/>
      <c r="I247" s="133"/>
      <c r="J247" s="132"/>
      <c r="K247" s="132"/>
      <c r="L247" s="136"/>
      <c r="M247" s="136"/>
      <c r="N247" s="136"/>
      <c r="O247" s="136"/>
      <c r="P247" s="136"/>
      <c r="Q247" s="136"/>
      <c r="R247" s="132"/>
      <c r="S247" s="136"/>
      <c r="T247" s="136"/>
      <c r="U247" s="136"/>
      <c r="V247" s="136"/>
      <c r="W247" s="136"/>
      <c r="X247" s="136"/>
      <c r="Y247" s="132"/>
      <c r="Z247" s="199"/>
      <c r="AA247" s="43"/>
      <c r="AB247" s="172"/>
      <c r="AC247" s="43"/>
      <c r="AD247" s="43"/>
      <c r="AE247" s="136"/>
      <c r="AF247" s="43"/>
      <c r="AG247" s="43"/>
      <c r="AH247" s="43"/>
      <c r="AI247" s="43"/>
      <c r="AJ247" s="43"/>
      <c r="AK247" s="43"/>
      <c r="AL247" s="43"/>
      <c r="AM247" s="43"/>
      <c r="AN247" s="43"/>
      <c r="AO247" s="43"/>
      <c r="AP247" s="43"/>
      <c r="AQ247" s="136"/>
      <c r="AR247" s="136"/>
      <c r="AS247" s="136"/>
      <c r="AT247" s="136"/>
      <c r="AU247" s="136"/>
      <c r="AV247" s="136"/>
    </row>
    <row r="248" ht="14.25" customHeight="1">
      <c r="A248" s="43" t="s">
        <v>381</v>
      </c>
      <c r="B248" s="199" t="s">
        <v>608</v>
      </c>
      <c r="C248" s="199"/>
      <c r="D248" s="132"/>
      <c r="E248" s="133"/>
      <c r="F248" s="136"/>
      <c r="G248" s="132">
        <f>1315-1315*0.42</f>
        <v>762.7</v>
      </c>
      <c r="H248" s="132"/>
      <c r="I248" s="133"/>
      <c r="J248" s="132">
        <v>694.0</v>
      </c>
      <c r="K248" s="132"/>
      <c r="L248" s="136"/>
      <c r="M248" s="136"/>
      <c r="N248" s="136">
        <v>733.0</v>
      </c>
      <c r="O248" s="136"/>
      <c r="P248" s="136"/>
      <c r="Q248" s="136"/>
      <c r="R248" s="132"/>
      <c r="S248" s="136"/>
      <c r="T248" s="136"/>
      <c r="U248" s="136"/>
      <c r="V248" s="136"/>
      <c r="W248" s="136"/>
      <c r="X248" s="136"/>
      <c r="Y248" s="132"/>
      <c r="Z248" s="199" t="s">
        <v>608</v>
      </c>
      <c r="AA248" s="43" t="s">
        <v>381</v>
      </c>
      <c r="AB248" s="172" t="s">
        <v>597</v>
      </c>
      <c r="AC248" s="43" t="s">
        <v>609</v>
      </c>
      <c r="AD248" s="43" t="s">
        <v>236</v>
      </c>
      <c r="AE248" s="136"/>
      <c r="AF248" s="43"/>
      <c r="AG248" s="204" t="s">
        <v>610</v>
      </c>
      <c r="AH248" s="43">
        <v>1.0</v>
      </c>
      <c r="AI248" s="43" t="s">
        <v>611</v>
      </c>
      <c r="AJ248" s="43">
        <v>2.3</v>
      </c>
      <c r="AK248" s="43"/>
      <c r="AL248" s="43"/>
      <c r="AM248" s="43"/>
      <c r="AN248" s="43"/>
      <c r="AO248" s="43"/>
      <c r="AP248" s="43"/>
      <c r="AQ248" s="136"/>
      <c r="AR248" s="136"/>
      <c r="AS248" s="136"/>
      <c r="AT248" s="136"/>
      <c r="AU248" s="136"/>
      <c r="AV248" s="136"/>
    </row>
    <row r="249" ht="14.25" customHeight="1">
      <c r="A249" s="43" t="s">
        <v>381</v>
      </c>
      <c r="B249" s="199" t="s">
        <v>612</v>
      </c>
      <c r="C249" s="199"/>
      <c r="D249" s="132"/>
      <c r="E249" s="133"/>
      <c r="F249" s="136"/>
      <c r="G249" s="132"/>
      <c r="H249" s="132"/>
      <c r="I249" s="133"/>
      <c r="J249" s="132">
        <v>675.0</v>
      </c>
      <c r="K249" s="132"/>
      <c r="L249" s="136"/>
      <c r="M249" s="136"/>
      <c r="N249" s="136">
        <v>648.0</v>
      </c>
      <c r="O249" s="136"/>
      <c r="P249" s="136"/>
      <c r="Q249" s="136"/>
      <c r="R249" s="132"/>
      <c r="S249" s="136"/>
      <c r="T249" s="136"/>
      <c r="U249" s="136"/>
      <c r="V249" s="136"/>
      <c r="W249" s="136"/>
      <c r="X249" s="136"/>
      <c r="Y249" s="132"/>
      <c r="Z249" s="199" t="s">
        <v>612</v>
      </c>
      <c r="AA249" s="43" t="s">
        <v>381</v>
      </c>
      <c r="AB249" s="172" t="s">
        <v>597</v>
      </c>
      <c r="AC249" s="43" t="s">
        <v>613</v>
      </c>
      <c r="AD249" s="43" t="s">
        <v>236</v>
      </c>
      <c r="AE249" s="136"/>
      <c r="AF249" s="43"/>
      <c r="AG249" s="204" t="s">
        <v>610</v>
      </c>
      <c r="AH249" s="43">
        <v>1.0</v>
      </c>
      <c r="AI249" s="43" t="s">
        <v>611</v>
      </c>
      <c r="AJ249" s="43">
        <v>1.8</v>
      </c>
      <c r="AK249" s="43"/>
      <c r="AL249" s="43"/>
      <c r="AM249" s="43"/>
      <c r="AN249" s="43"/>
      <c r="AO249" s="43"/>
      <c r="AP249" s="43"/>
      <c r="AQ249" s="136"/>
      <c r="AR249" s="136"/>
      <c r="AS249" s="136"/>
      <c r="AT249" s="136"/>
      <c r="AU249" s="136"/>
      <c r="AV249" s="136"/>
    </row>
    <row r="250" ht="14.25" customHeight="1">
      <c r="A250" s="43"/>
      <c r="B250" s="199"/>
      <c r="C250" s="199"/>
      <c r="D250" s="132"/>
      <c r="E250" s="133"/>
      <c r="F250" s="136"/>
      <c r="G250" s="132"/>
      <c r="H250" s="132"/>
      <c r="I250" s="133"/>
      <c r="J250" s="132"/>
      <c r="K250" s="132"/>
      <c r="L250" s="136"/>
      <c r="M250" s="136"/>
      <c r="N250" s="136"/>
      <c r="O250" s="136"/>
      <c r="P250" s="136"/>
      <c r="Q250" s="136"/>
      <c r="R250" s="132"/>
      <c r="S250" s="136"/>
      <c r="T250" s="136"/>
      <c r="U250" s="136"/>
      <c r="V250" s="136"/>
      <c r="W250" s="136"/>
      <c r="X250" s="136"/>
      <c r="Y250" s="132"/>
      <c r="Z250" s="136"/>
      <c r="AA250" s="136"/>
      <c r="AB250" s="136"/>
      <c r="AC250" s="43"/>
      <c r="AD250" s="136"/>
      <c r="AE250" s="136"/>
      <c r="AF250" s="43"/>
      <c r="AG250" s="43"/>
      <c r="AH250" s="43"/>
      <c r="AI250" s="43"/>
      <c r="AJ250" s="43"/>
      <c r="AK250" s="43"/>
      <c r="AL250" s="43"/>
      <c r="AM250" s="43"/>
      <c r="AN250" s="43"/>
      <c r="AO250" s="43"/>
      <c r="AP250" s="43"/>
      <c r="AQ250" s="136"/>
      <c r="AR250" s="136"/>
      <c r="AS250" s="136"/>
      <c r="AT250" s="136"/>
      <c r="AU250" s="136"/>
      <c r="AV250" s="136"/>
    </row>
    <row r="251" ht="14.25" customHeight="1">
      <c r="A251" s="241" t="s">
        <v>614</v>
      </c>
      <c r="B251" s="66"/>
      <c r="C251" s="242" t="s">
        <v>615</v>
      </c>
      <c r="D251" s="238"/>
      <c r="E251" s="243" t="s">
        <v>616</v>
      </c>
      <c r="F251" s="244" t="s">
        <v>617</v>
      </c>
      <c r="G251" s="238"/>
      <c r="H251" s="238"/>
      <c r="I251" s="237"/>
      <c r="J251" s="238"/>
      <c r="K251" s="238"/>
      <c r="L251" s="240"/>
      <c r="M251" s="240"/>
      <c r="N251" s="240"/>
      <c r="O251" s="240"/>
      <c r="P251" s="240"/>
      <c r="Q251" s="240"/>
      <c r="R251" s="238"/>
      <c r="S251" s="136"/>
      <c r="T251" s="136"/>
      <c r="U251" s="136"/>
      <c r="V251" s="136"/>
      <c r="W251" s="136"/>
      <c r="X251" s="136"/>
      <c r="Y251" s="132"/>
      <c r="Z251" s="136"/>
      <c r="AA251" s="136"/>
      <c r="AB251" s="136"/>
      <c r="AC251" s="43"/>
      <c r="AD251" s="136"/>
      <c r="AE251" s="136"/>
      <c r="AF251" s="43"/>
      <c r="AG251" s="43"/>
      <c r="AH251" s="43"/>
      <c r="AI251" s="43"/>
      <c r="AJ251" s="43"/>
      <c r="AK251" s="43"/>
      <c r="AL251" s="43"/>
      <c r="AM251" s="43"/>
      <c r="AN251" s="43"/>
      <c r="AO251" s="43"/>
      <c r="AP251" s="43"/>
      <c r="AQ251" s="136"/>
      <c r="AR251" s="136"/>
      <c r="AS251" s="136"/>
      <c r="AT251" s="136"/>
      <c r="AU251" s="136"/>
      <c r="AV251" s="136"/>
    </row>
    <row r="252" ht="14.25" customHeight="1">
      <c r="A252" s="43" t="s">
        <v>618</v>
      </c>
      <c r="B252" s="199" t="s">
        <v>619</v>
      </c>
      <c r="C252" s="199">
        <v>430.0</v>
      </c>
      <c r="D252" s="132"/>
      <c r="E252" s="133">
        <v>0.235</v>
      </c>
      <c r="F252" s="136">
        <v>0.2</v>
      </c>
      <c r="G252" s="132"/>
      <c r="H252" s="132"/>
      <c r="I252" s="133"/>
      <c r="J252" s="132"/>
      <c r="K252" s="132"/>
      <c r="L252" s="136"/>
      <c r="M252" s="136"/>
      <c r="N252" s="136"/>
      <c r="O252" s="136"/>
      <c r="P252" s="136"/>
      <c r="Q252" s="136"/>
      <c r="R252" s="132"/>
      <c r="S252" s="136"/>
      <c r="T252" s="136"/>
      <c r="U252" s="136"/>
      <c r="V252" s="136"/>
      <c r="W252" s="136"/>
      <c r="X252" s="136"/>
      <c r="Y252" s="132"/>
      <c r="Z252" s="136"/>
      <c r="AA252" s="136"/>
      <c r="AB252" s="136"/>
      <c r="AC252" s="43"/>
      <c r="AD252" s="136"/>
      <c r="AE252" s="136"/>
      <c r="AF252" s="43"/>
      <c r="AG252" s="43"/>
      <c r="AH252" s="43"/>
      <c r="AI252" s="43"/>
      <c r="AJ252" s="43"/>
      <c r="AK252" s="43"/>
      <c r="AL252" s="43"/>
      <c r="AM252" s="43"/>
      <c r="AN252" s="43"/>
      <c r="AO252" s="43"/>
      <c r="AP252" s="43"/>
      <c r="AQ252" s="136"/>
      <c r="AR252" s="136"/>
      <c r="AS252" s="136"/>
      <c r="AT252" s="136"/>
      <c r="AU252" s="136"/>
      <c r="AV252" s="136"/>
    </row>
    <row r="253" ht="14.25" customHeight="1">
      <c r="A253" s="43" t="s">
        <v>618</v>
      </c>
      <c r="B253" s="199" t="s">
        <v>620</v>
      </c>
      <c r="C253" s="199">
        <v>570.0</v>
      </c>
      <c r="D253" s="132"/>
      <c r="E253" s="133">
        <v>0.235</v>
      </c>
      <c r="F253" s="136">
        <v>0.2</v>
      </c>
      <c r="G253" s="132"/>
      <c r="H253" s="132"/>
      <c r="I253" s="133"/>
      <c r="J253" s="132"/>
      <c r="K253" s="132"/>
      <c r="L253" s="136"/>
      <c r="M253" s="136"/>
      <c r="N253" s="136"/>
      <c r="O253" s="136"/>
      <c r="P253" s="136"/>
      <c r="Q253" s="136"/>
      <c r="R253" s="132"/>
      <c r="S253" s="136"/>
      <c r="T253" s="136"/>
      <c r="U253" s="136"/>
      <c r="V253" s="136"/>
      <c r="W253" s="136"/>
      <c r="X253" s="136"/>
      <c r="Y253" s="132"/>
      <c r="Z253" s="136"/>
      <c r="AA253" s="136"/>
      <c r="AB253" s="136"/>
      <c r="AC253" s="43"/>
      <c r="AD253" s="136"/>
      <c r="AE253" s="136"/>
      <c r="AF253" s="43"/>
      <c r="AG253" s="43"/>
      <c r="AH253" s="43"/>
      <c r="AI253" s="43"/>
      <c r="AJ253" s="43"/>
      <c r="AK253" s="43"/>
      <c r="AL253" s="43"/>
      <c r="AM253" s="43"/>
      <c r="AN253" s="43"/>
      <c r="AO253" s="43"/>
      <c r="AP253" s="43"/>
      <c r="AQ253" s="136"/>
      <c r="AR253" s="136"/>
      <c r="AS253" s="136"/>
      <c r="AT253" s="136"/>
      <c r="AU253" s="136"/>
      <c r="AV253" s="136"/>
    </row>
    <row r="254" ht="14.25" customHeight="1">
      <c r="A254" s="43" t="s">
        <v>621</v>
      </c>
      <c r="B254" s="199" t="s">
        <v>622</v>
      </c>
      <c r="C254" s="199">
        <v>410.0</v>
      </c>
      <c r="D254" s="132"/>
      <c r="E254" s="133"/>
      <c r="F254" s="136"/>
      <c r="G254" s="132"/>
      <c r="H254" s="132"/>
      <c r="I254" s="133"/>
      <c r="J254" s="132"/>
      <c r="K254" s="132"/>
      <c r="L254" s="136">
        <v>0.17</v>
      </c>
      <c r="M254" s="136"/>
      <c r="N254" s="136"/>
      <c r="O254" s="136"/>
      <c r="P254" s="136"/>
      <c r="Q254" s="136"/>
      <c r="R254" s="132"/>
      <c r="S254" s="136"/>
      <c r="T254" s="136"/>
      <c r="U254" s="136"/>
      <c r="V254" s="136"/>
      <c r="W254" s="136"/>
      <c r="X254" s="136"/>
      <c r="Y254" s="132"/>
      <c r="Z254" s="136"/>
      <c r="AA254" s="136"/>
      <c r="AB254" s="136"/>
      <c r="AC254" s="43"/>
      <c r="AD254" s="136"/>
      <c r="AE254" s="136"/>
      <c r="AF254" s="43"/>
      <c r="AG254" s="43"/>
      <c r="AH254" s="43"/>
      <c r="AI254" s="43"/>
      <c r="AJ254" s="43"/>
      <c r="AK254" s="43"/>
      <c r="AL254" s="43"/>
      <c r="AM254" s="43"/>
      <c r="AN254" s="43"/>
      <c r="AO254" s="43"/>
      <c r="AP254" s="43"/>
      <c r="AQ254" s="136"/>
      <c r="AR254" s="136"/>
      <c r="AS254" s="136"/>
      <c r="AT254" s="136"/>
      <c r="AU254" s="136"/>
      <c r="AV254" s="136"/>
    </row>
    <row r="255" ht="14.25" customHeight="1">
      <c r="A255" s="43" t="s">
        <v>123</v>
      </c>
      <c r="B255" s="199" t="s">
        <v>623</v>
      </c>
      <c r="C255" s="199">
        <v>375.0</v>
      </c>
      <c r="D255" s="132"/>
      <c r="E255" s="133"/>
      <c r="F255" s="136"/>
      <c r="G255" s="132"/>
      <c r="H255" s="132"/>
      <c r="I255" s="133"/>
      <c r="J255" s="132"/>
      <c r="K255" s="132"/>
      <c r="L255" s="136">
        <v>0.18</v>
      </c>
      <c r="M255" s="136"/>
      <c r="N255" s="136"/>
      <c r="O255" s="136"/>
      <c r="P255" s="136"/>
      <c r="Q255" s="136"/>
      <c r="R255" s="132"/>
      <c r="S255" s="136"/>
      <c r="T255" s="136"/>
      <c r="U255" s="136"/>
      <c r="V255" s="136"/>
      <c r="W255" s="136"/>
      <c r="X255" s="136"/>
      <c r="Y255" s="132"/>
      <c r="Z255" s="136"/>
      <c r="AA255" s="136"/>
      <c r="AB255" s="136"/>
      <c r="AC255" s="43"/>
      <c r="AD255" s="136"/>
      <c r="AE255" s="136"/>
      <c r="AF255" s="43"/>
      <c r="AG255" s="43"/>
      <c r="AH255" s="43"/>
      <c r="AI255" s="43"/>
      <c r="AJ255" s="43"/>
      <c r="AK255" s="43"/>
      <c r="AL255" s="43"/>
      <c r="AM255" s="43"/>
      <c r="AN255" s="43"/>
      <c r="AO255" s="43"/>
      <c r="AP255" s="43"/>
      <c r="AQ255" s="136"/>
      <c r="AR255" s="136"/>
      <c r="AS255" s="136"/>
      <c r="AT255" s="136"/>
      <c r="AU255" s="136"/>
      <c r="AV255" s="136"/>
    </row>
    <row r="256" ht="14.25" customHeight="1">
      <c r="A256" s="43" t="s">
        <v>123</v>
      </c>
      <c r="B256" s="199" t="s">
        <v>624</v>
      </c>
      <c r="C256" s="199">
        <v>415.0</v>
      </c>
      <c r="D256" s="132"/>
      <c r="E256" s="133"/>
      <c r="F256" s="136"/>
      <c r="G256" s="132"/>
      <c r="H256" s="132"/>
      <c r="I256" s="133"/>
      <c r="J256" s="132"/>
      <c r="K256" s="132"/>
      <c r="L256" s="136">
        <v>0.27</v>
      </c>
      <c r="M256" s="136"/>
      <c r="N256" s="136"/>
      <c r="O256" s="136"/>
      <c r="P256" s="136"/>
      <c r="Q256" s="136"/>
      <c r="R256" s="132"/>
      <c r="S256" s="136"/>
      <c r="T256" s="136"/>
      <c r="U256" s="136"/>
      <c r="V256" s="136"/>
      <c r="W256" s="136"/>
      <c r="X256" s="136"/>
      <c r="Y256" s="132"/>
      <c r="Z256" s="136"/>
      <c r="AA256" s="136"/>
      <c r="AB256" s="136"/>
      <c r="AC256" s="43"/>
      <c r="AD256" s="136"/>
      <c r="AE256" s="136"/>
      <c r="AF256" s="43"/>
      <c r="AG256" s="43"/>
      <c r="AH256" s="43"/>
      <c r="AI256" s="43"/>
      <c r="AJ256" s="43"/>
      <c r="AK256" s="43"/>
      <c r="AL256" s="43"/>
      <c r="AM256" s="43"/>
      <c r="AN256" s="43"/>
      <c r="AO256" s="43"/>
      <c r="AP256" s="43"/>
      <c r="AQ256" s="136"/>
      <c r="AR256" s="136"/>
      <c r="AS256" s="136"/>
      <c r="AT256" s="136"/>
      <c r="AU256" s="136"/>
      <c r="AV256" s="136"/>
    </row>
    <row r="257" ht="14.25" customHeight="1">
      <c r="A257" s="43" t="s">
        <v>123</v>
      </c>
      <c r="B257" s="199" t="s">
        <v>625</v>
      </c>
      <c r="C257" s="199">
        <v>415.0</v>
      </c>
      <c r="D257" s="132"/>
      <c r="E257" s="133"/>
      <c r="F257" s="136"/>
      <c r="G257" s="132"/>
      <c r="H257" s="132"/>
      <c r="I257" s="133"/>
      <c r="J257" s="132"/>
      <c r="K257" s="132"/>
      <c r="L257" s="136">
        <v>0.2</v>
      </c>
      <c r="M257" s="136"/>
      <c r="N257" s="136"/>
      <c r="O257" s="136"/>
      <c r="P257" s="136"/>
      <c r="Q257" s="136"/>
      <c r="R257" s="132"/>
      <c r="S257" s="136"/>
      <c r="T257" s="136"/>
      <c r="U257" s="136"/>
      <c r="V257" s="136"/>
      <c r="W257" s="136"/>
      <c r="X257" s="136"/>
      <c r="Y257" s="132"/>
      <c r="Z257" s="136"/>
      <c r="AA257" s="136"/>
      <c r="AB257" s="136"/>
      <c r="AC257" s="43"/>
      <c r="AD257" s="136"/>
      <c r="AE257" s="136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  <c r="AQ257" s="136"/>
      <c r="AR257" s="136"/>
      <c r="AS257" s="136"/>
      <c r="AT257" s="136"/>
      <c r="AU257" s="136"/>
      <c r="AV257" s="136"/>
    </row>
    <row r="258" ht="14.25" customHeight="1">
      <c r="A258" s="43" t="s">
        <v>123</v>
      </c>
      <c r="B258" s="199" t="s">
        <v>626</v>
      </c>
      <c r="C258" s="199">
        <v>425.0</v>
      </c>
      <c r="D258" s="132"/>
      <c r="E258" s="133">
        <v>0.22</v>
      </c>
      <c r="F258" s="136">
        <v>0.18</v>
      </c>
      <c r="G258" s="132"/>
      <c r="H258" s="132"/>
      <c r="I258" s="133"/>
      <c r="J258" s="132"/>
      <c r="K258" s="132"/>
      <c r="L258" s="136"/>
      <c r="M258" s="136"/>
      <c r="N258" s="136"/>
      <c r="O258" s="136"/>
      <c r="P258" s="136"/>
      <c r="Q258" s="136"/>
      <c r="R258" s="132"/>
      <c r="S258" s="136"/>
      <c r="T258" s="136"/>
      <c r="U258" s="136"/>
      <c r="V258" s="136"/>
      <c r="W258" s="136"/>
      <c r="X258" s="136"/>
      <c r="Y258" s="132"/>
      <c r="Z258" s="136"/>
      <c r="AA258" s="136"/>
      <c r="AB258" s="136"/>
      <c r="AC258" s="43"/>
      <c r="AD258" s="136"/>
      <c r="AE258" s="136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136"/>
      <c r="AR258" s="136"/>
      <c r="AS258" s="136"/>
      <c r="AT258" s="136"/>
      <c r="AU258" s="136"/>
      <c r="AV258" s="136"/>
    </row>
    <row r="259" ht="14.25" customHeight="1">
      <c r="A259" s="43" t="s">
        <v>123</v>
      </c>
      <c r="B259" s="199" t="s">
        <v>627</v>
      </c>
      <c r="C259" s="199">
        <v>430.0</v>
      </c>
      <c r="D259" s="132"/>
      <c r="E259" s="133">
        <v>0.225</v>
      </c>
      <c r="F259" s="132">
        <v>0.185</v>
      </c>
      <c r="G259" s="132"/>
      <c r="H259" s="132"/>
      <c r="I259" s="133"/>
      <c r="J259" s="132"/>
      <c r="K259" s="132"/>
      <c r="L259" s="136"/>
      <c r="M259" s="136"/>
      <c r="N259" s="136"/>
      <c r="O259" s="136"/>
      <c r="P259" s="136"/>
      <c r="Q259" s="136"/>
      <c r="R259" s="132"/>
      <c r="S259" s="136"/>
      <c r="T259" s="136"/>
      <c r="U259" s="136"/>
      <c r="V259" s="136"/>
      <c r="W259" s="136"/>
      <c r="X259" s="136"/>
      <c r="Y259" s="132"/>
      <c r="Z259" s="136"/>
      <c r="AA259" s="136"/>
      <c r="AB259" s="136"/>
      <c r="AC259" s="43"/>
      <c r="AD259" s="136"/>
      <c r="AE259" s="136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  <c r="AQ259" s="136"/>
      <c r="AR259" s="136"/>
      <c r="AS259" s="136"/>
      <c r="AT259" s="136"/>
      <c r="AU259" s="136"/>
      <c r="AV259" s="136"/>
    </row>
    <row r="260" ht="14.25" customHeight="1">
      <c r="A260" s="43" t="s">
        <v>123</v>
      </c>
      <c r="B260" s="199" t="s">
        <v>628</v>
      </c>
      <c r="C260" s="199">
        <v>430.0</v>
      </c>
      <c r="D260" s="132"/>
      <c r="E260" s="133">
        <v>0.215</v>
      </c>
      <c r="F260" s="136">
        <v>0.155</v>
      </c>
      <c r="G260" s="132"/>
      <c r="H260" s="132"/>
      <c r="I260" s="133"/>
      <c r="J260" s="132"/>
      <c r="K260" s="132"/>
      <c r="L260" s="136"/>
      <c r="M260" s="136"/>
      <c r="N260" s="136"/>
      <c r="O260" s="136"/>
      <c r="P260" s="136"/>
      <c r="Q260" s="136"/>
      <c r="R260" s="132"/>
      <c r="S260" s="136" t="s">
        <v>629</v>
      </c>
      <c r="T260" s="136"/>
      <c r="U260" s="136"/>
      <c r="V260" s="136"/>
      <c r="W260" s="136"/>
      <c r="X260" s="136"/>
      <c r="Y260" s="132"/>
      <c r="Z260" s="136"/>
      <c r="AA260" s="136"/>
      <c r="AB260" s="136"/>
      <c r="AC260" s="43"/>
      <c r="AD260" s="136"/>
      <c r="AE260" s="136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136"/>
      <c r="AR260" s="136"/>
      <c r="AS260" s="136"/>
      <c r="AT260" s="136"/>
      <c r="AU260" s="136"/>
      <c r="AV260" s="136"/>
    </row>
    <row r="261" ht="14.25" customHeight="1">
      <c r="A261" s="43" t="s">
        <v>123</v>
      </c>
      <c r="B261" s="199" t="s">
        <v>630</v>
      </c>
      <c r="C261" s="199">
        <v>540.0</v>
      </c>
      <c r="D261" s="132"/>
      <c r="E261" s="133">
        <v>0.215</v>
      </c>
      <c r="F261" s="136">
        <v>0.16</v>
      </c>
      <c r="G261" s="132"/>
      <c r="H261" s="132"/>
      <c r="I261" s="133"/>
      <c r="J261" s="132"/>
      <c r="K261" s="132"/>
      <c r="L261" s="136"/>
      <c r="M261" s="136"/>
      <c r="N261" s="136"/>
      <c r="O261" s="136"/>
      <c r="P261" s="136"/>
      <c r="Q261" s="136"/>
      <c r="R261" s="132"/>
      <c r="S261" s="136"/>
      <c r="T261" s="136"/>
      <c r="U261" s="136"/>
      <c r="V261" s="136"/>
      <c r="W261" s="136"/>
      <c r="X261" s="136"/>
      <c r="Y261" s="132"/>
      <c r="Z261" s="136"/>
      <c r="AA261" s="136"/>
      <c r="AB261" s="136"/>
      <c r="AC261" s="43"/>
      <c r="AD261" s="136"/>
      <c r="AE261" s="136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  <c r="AQ261" s="136"/>
      <c r="AR261" s="136"/>
      <c r="AS261" s="136"/>
      <c r="AT261" s="136"/>
      <c r="AU261" s="136"/>
      <c r="AV261" s="136"/>
    </row>
    <row r="262" ht="14.25" customHeight="1">
      <c r="A262" s="43" t="s">
        <v>123</v>
      </c>
      <c r="B262" s="199" t="s">
        <v>631</v>
      </c>
      <c r="C262" s="199">
        <v>565.0</v>
      </c>
      <c r="D262" s="132"/>
      <c r="E262" s="133">
        <v>0.215</v>
      </c>
      <c r="F262" s="136">
        <v>0.18</v>
      </c>
      <c r="G262" s="132"/>
      <c r="H262" s="132"/>
      <c r="I262" s="133"/>
      <c r="J262" s="132"/>
      <c r="K262" s="132"/>
      <c r="L262" s="136"/>
      <c r="M262" s="136"/>
      <c r="N262" s="136"/>
      <c r="O262" s="136"/>
      <c r="P262" s="136"/>
      <c r="Q262" s="136"/>
      <c r="R262" s="132"/>
      <c r="S262" s="136"/>
      <c r="T262" s="136"/>
      <c r="U262" s="136"/>
      <c r="V262" s="136"/>
      <c r="W262" s="136"/>
      <c r="X262" s="136"/>
      <c r="Y262" s="132"/>
      <c r="Z262" s="136"/>
      <c r="AA262" s="136"/>
      <c r="AB262" s="136"/>
      <c r="AC262" s="43"/>
      <c r="AD262" s="136"/>
      <c r="AE262" s="136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136"/>
      <c r="AR262" s="136"/>
      <c r="AS262" s="136"/>
      <c r="AT262" s="136"/>
      <c r="AU262" s="136"/>
      <c r="AV262" s="136"/>
    </row>
    <row r="263" ht="14.25" customHeight="1">
      <c r="A263" s="43" t="s">
        <v>123</v>
      </c>
      <c r="B263" s="199" t="s">
        <v>632</v>
      </c>
      <c r="C263" s="199">
        <v>565.0</v>
      </c>
      <c r="D263" s="132"/>
      <c r="E263" s="133">
        <v>0.225</v>
      </c>
      <c r="F263" s="136">
        <v>0.185</v>
      </c>
      <c r="G263" s="132"/>
      <c r="H263" s="132"/>
      <c r="I263" s="133"/>
      <c r="J263" s="132"/>
      <c r="K263" s="132"/>
      <c r="L263" s="136"/>
      <c r="M263" s="136"/>
      <c r="N263" s="136"/>
      <c r="O263" s="136"/>
      <c r="P263" s="136"/>
      <c r="Q263" s="136"/>
      <c r="R263" s="132"/>
      <c r="S263" s="136"/>
      <c r="T263" s="136"/>
      <c r="U263" s="136"/>
      <c r="V263" s="136"/>
      <c r="W263" s="136"/>
      <c r="X263" s="136"/>
      <c r="Y263" s="132"/>
      <c r="Z263" s="136"/>
      <c r="AA263" s="136"/>
      <c r="AB263" s="136"/>
      <c r="AC263" s="43"/>
      <c r="AD263" s="136"/>
      <c r="AE263" s="136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136"/>
      <c r="AR263" s="136"/>
      <c r="AS263" s="136"/>
      <c r="AT263" s="136"/>
      <c r="AU263" s="136"/>
      <c r="AV263" s="136"/>
    </row>
    <row r="264" ht="14.25" customHeight="1">
      <c r="A264" s="43" t="s">
        <v>123</v>
      </c>
      <c r="B264" s="199" t="s">
        <v>633</v>
      </c>
      <c r="C264" s="199">
        <v>570.0</v>
      </c>
      <c r="D264" s="132"/>
      <c r="E264" s="133">
        <v>0.23</v>
      </c>
      <c r="F264" s="136">
        <v>0.185</v>
      </c>
      <c r="G264" s="132"/>
      <c r="H264" s="132"/>
      <c r="I264" s="133"/>
      <c r="J264" s="132"/>
      <c r="K264" s="132"/>
      <c r="L264" s="136"/>
      <c r="M264" s="136"/>
      <c r="N264" s="136"/>
      <c r="O264" s="136"/>
      <c r="P264" s="136"/>
      <c r="Q264" s="136"/>
      <c r="R264" s="132"/>
      <c r="S264" s="136"/>
      <c r="T264" s="136"/>
      <c r="U264" s="136"/>
      <c r="V264" s="136"/>
      <c r="W264" s="136"/>
      <c r="X264" s="136"/>
      <c r="Y264" s="132"/>
      <c r="Z264" s="136"/>
      <c r="AA264" s="136"/>
      <c r="AB264" s="136"/>
      <c r="AC264" s="43"/>
      <c r="AD264" s="136"/>
      <c r="AE264" s="136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136"/>
      <c r="AR264" s="136"/>
      <c r="AS264" s="136"/>
      <c r="AT264" s="136"/>
      <c r="AU264" s="136"/>
      <c r="AV264" s="136"/>
    </row>
    <row r="265" ht="14.25" customHeight="1">
      <c r="A265" s="43" t="s">
        <v>123</v>
      </c>
      <c r="B265" s="199" t="s">
        <v>634</v>
      </c>
      <c r="C265" s="199">
        <v>570.0</v>
      </c>
      <c r="D265" s="132"/>
      <c r="E265" s="133">
        <v>0.23</v>
      </c>
      <c r="F265" s="136">
        <v>0.19</v>
      </c>
      <c r="G265" s="132"/>
      <c r="H265" s="132"/>
      <c r="I265" s="133"/>
      <c r="J265" s="132"/>
      <c r="K265" s="132"/>
      <c r="L265" s="136"/>
      <c r="M265" s="136"/>
      <c r="N265" s="136"/>
      <c r="O265" s="136"/>
      <c r="P265" s="136"/>
      <c r="Q265" s="136"/>
      <c r="R265" s="132"/>
      <c r="S265" s="136"/>
      <c r="T265" s="136"/>
      <c r="U265" s="136"/>
      <c r="V265" s="136"/>
      <c r="W265" s="136"/>
      <c r="X265" s="136"/>
      <c r="Y265" s="132"/>
      <c r="Z265" s="136"/>
      <c r="AA265" s="136"/>
      <c r="AB265" s="136"/>
      <c r="AC265" s="43"/>
      <c r="AD265" s="136"/>
      <c r="AE265" s="136"/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136"/>
      <c r="AR265" s="136"/>
      <c r="AS265" s="136"/>
      <c r="AT265" s="136"/>
      <c r="AU265" s="136"/>
      <c r="AV265" s="136"/>
    </row>
    <row r="266" ht="14.25" customHeight="1">
      <c r="A266" s="43" t="s">
        <v>123</v>
      </c>
      <c r="B266" s="199" t="s">
        <v>635</v>
      </c>
      <c r="C266" s="199">
        <v>575.0</v>
      </c>
      <c r="D266" s="132"/>
      <c r="E266" s="133">
        <v>0.23</v>
      </c>
      <c r="F266" s="217">
        <v>0.155</v>
      </c>
      <c r="G266" s="132"/>
      <c r="H266" s="132"/>
      <c r="I266" s="133"/>
      <c r="J266" s="132"/>
      <c r="K266" s="132"/>
      <c r="L266" s="136"/>
      <c r="M266" s="136"/>
      <c r="N266" s="136"/>
      <c r="O266" s="136"/>
      <c r="P266" s="136"/>
      <c r="Q266" s="136"/>
      <c r="R266" s="132"/>
      <c r="S266" s="136"/>
      <c r="T266" s="136"/>
      <c r="U266" s="136"/>
      <c r="V266" s="136"/>
      <c r="W266" s="136"/>
      <c r="X266" s="136"/>
      <c r="Y266" s="132"/>
      <c r="Z266" s="199" t="s">
        <v>636</v>
      </c>
      <c r="AA266" s="136"/>
      <c r="AB266" s="136"/>
      <c r="AC266" s="43" t="s">
        <v>637</v>
      </c>
      <c r="AD266" s="136" t="s">
        <v>638</v>
      </c>
      <c r="AE266" s="136"/>
      <c r="AF266" s="43">
        <v>360.0</v>
      </c>
      <c r="AG266" s="245" t="s">
        <v>126</v>
      </c>
      <c r="AH266" s="43">
        <v>31.0</v>
      </c>
      <c r="AI266" s="62" t="s">
        <v>127</v>
      </c>
      <c r="AJ266" s="62" t="s">
        <v>128</v>
      </c>
      <c r="AK266" s="43"/>
      <c r="AL266" s="43"/>
      <c r="AM266" s="43"/>
      <c r="AN266" s="43"/>
      <c r="AO266" s="43"/>
      <c r="AP266" s="43"/>
      <c r="AQ266" s="136"/>
      <c r="AR266" s="136"/>
      <c r="AS266" s="136"/>
      <c r="AT266" s="136"/>
      <c r="AU266" s="136"/>
      <c r="AV266" s="136"/>
    </row>
    <row r="267" ht="14.25" customHeight="1">
      <c r="A267" s="43" t="s">
        <v>123</v>
      </c>
      <c r="B267" s="199" t="s">
        <v>639</v>
      </c>
      <c r="C267" s="199">
        <v>670.0</v>
      </c>
      <c r="D267" s="132"/>
      <c r="E267" s="133">
        <v>0.22</v>
      </c>
      <c r="F267" s="136">
        <v>0.18</v>
      </c>
      <c r="G267" s="132"/>
      <c r="H267" s="132"/>
      <c r="I267" s="133"/>
      <c r="J267" s="132"/>
      <c r="K267" s="132"/>
      <c r="L267" s="136"/>
      <c r="M267" s="136"/>
      <c r="N267" s="136"/>
      <c r="O267" s="136"/>
      <c r="P267" s="136"/>
      <c r="Q267" s="136"/>
      <c r="R267" s="132"/>
      <c r="S267" s="136"/>
      <c r="T267" s="136"/>
      <c r="U267" s="136"/>
      <c r="V267" s="136"/>
      <c r="W267" s="136"/>
      <c r="X267" s="136"/>
      <c r="Y267" s="132"/>
      <c r="Z267" s="136"/>
      <c r="AA267" s="136"/>
      <c r="AB267" s="136"/>
      <c r="AC267" s="43"/>
      <c r="AD267" s="136"/>
      <c r="AE267" s="136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136"/>
      <c r="AR267" s="136"/>
      <c r="AS267" s="136"/>
      <c r="AT267" s="136"/>
      <c r="AU267" s="136"/>
      <c r="AV267" s="136"/>
    </row>
    <row r="268" ht="14.25" customHeight="1">
      <c r="A268" s="43" t="s">
        <v>123</v>
      </c>
      <c r="B268" s="199" t="s">
        <v>640</v>
      </c>
      <c r="C268" s="199">
        <v>700.0</v>
      </c>
      <c r="D268" s="132"/>
      <c r="E268" s="133">
        <v>0.22</v>
      </c>
      <c r="F268" s="136">
        <v>0.19</v>
      </c>
      <c r="G268" s="132"/>
      <c r="H268" s="132"/>
      <c r="I268" s="133"/>
      <c r="J268" s="132"/>
      <c r="K268" s="132"/>
      <c r="L268" s="136"/>
      <c r="M268" s="136"/>
      <c r="N268" s="136"/>
      <c r="O268" s="136"/>
      <c r="P268" s="136"/>
      <c r="Q268" s="136"/>
      <c r="R268" s="132"/>
      <c r="S268" s="136"/>
      <c r="T268" s="136"/>
      <c r="U268" s="136"/>
      <c r="V268" s="136"/>
      <c r="W268" s="136"/>
      <c r="X268" s="136"/>
      <c r="Y268" s="132"/>
      <c r="Z268" s="136"/>
      <c r="AA268" s="136"/>
      <c r="AB268" s="136"/>
      <c r="AC268" s="43"/>
      <c r="AD268" s="136"/>
      <c r="AE268" s="136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136"/>
      <c r="AR268" s="136"/>
      <c r="AS268" s="136"/>
      <c r="AT268" s="136"/>
      <c r="AU268" s="136"/>
      <c r="AV268" s="136"/>
    </row>
    <row r="269" ht="14.25" customHeight="1">
      <c r="A269" s="43"/>
      <c r="B269" s="199"/>
      <c r="C269" s="199"/>
      <c r="D269" s="132"/>
      <c r="E269" s="133"/>
      <c r="F269" s="136"/>
      <c r="G269" s="132"/>
      <c r="H269" s="132"/>
      <c r="I269" s="133"/>
      <c r="J269" s="132"/>
      <c r="K269" s="132"/>
      <c r="L269" s="136"/>
      <c r="M269" s="136"/>
      <c r="N269" s="136"/>
      <c r="O269" s="136"/>
      <c r="P269" s="136"/>
      <c r="Q269" s="136"/>
      <c r="R269" s="132"/>
      <c r="S269" s="136"/>
      <c r="T269" s="136"/>
      <c r="U269" s="136"/>
      <c r="V269" s="136"/>
      <c r="W269" s="136"/>
      <c r="X269" s="136"/>
      <c r="Y269" s="132"/>
      <c r="Z269" s="136"/>
      <c r="AA269" s="136"/>
      <c r="AB269" s="136"/>
      <c r="AC269" s="43"/>
      <c r="AD269" s="136"/>
      <c r="AE269" s="136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136"/>
      <c r="AR269" s="136"/>
      <c r="AS269" s="136"/>
      <c r="AT269" s="136"/>
      <c r="AU269" s="136"/>
      <c r="AV269" s="136"/>
    </row>
    <row r="270" ht="14.25" customHeight="1">
      <c r="A270" s="43" t="s">
        <v>641</v>
      </c>
      <c r="B270" s="43" t="s">
        <v>642</v>
      </c>
      <c r="C270" s="246" t="s">
        <v>643</v>
      </c>
      <c r="D270" s="132"/>
      <c r="E270" s="133"/>
      <c r="F270" s="136"/>
      <c r="G270" s="132">
        <f>0.355-0.1</f>
        <v>0.255</v>
      </c>
      <c r="H270" s="132"/>
      <c r="I270" s="133"/>
      <c r="J270" s="132"/>
      <c r="K270" s="132"/>
      <c r="L270" s="136"/>
      <c r="M270" s="136"/>
      <c r="N270" s="136"/>
      <c r="O270" s="136"/>
      <c r="P270" s="136"/>
      <c r="Q270" s="136"/>
      <c r="R270" s="132"/>
      <c r="S270" s="136"/>
      <c r="T270" s="136"/>
      <c r="U270" s="136"/>
      <c r="V270" s="136"/>
      <c r="W270" s="136"/>
      <c r="X270" s="43"/>
      <c r="Y270" s="17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  <c r="AS270" s="43"/>
      <c r="AT270" s="43"/>
      <c r="AU270" s="43"/>
      <c r="AV270" s="43"/>
    </row>
    <row r="271" ht="14.25" customHeight="1">
      <c r="A271" s="43" t="s">
        <v>641</v>
      </c>
      <c r="B271" s="43" t="s">
        <v>642</v>
      </c>
      <c r="C271" s="246" t="s">
        <v>644</v>
      </c>
      <c r="D271" s="132"/>
      <c r="E271" s="133"/>
      <c r="F271" s="136"/>
      <c r="G271" s="132">
        <f>0.36-0.1</f>
        <v>0.26</v>
      </c>
      <c r="H271" s="132"/>
      <c r="I271" s="133"/>
      <c r="J271" s="132"/>
      <c r="K271" s="132"/>
      <c r="L271" s="136"/>
      <c r="M271" s="136"/>
      <c r="N271" s="136"/>
      <c r="O271" s="136"/>
      <c r="P271" s="136"/>
      <c r="Q271" s="136"/>
      <c r="R271" s="132"/>
      <c r="S271" s="136"/>
      <c r="T271" s="136"/>
      <c r="U271" s="136"/>
      <c r="V271" s="136"/>
      <c r="W271" s="136"/>
      <c r="X271" s="43"/>
      <c r="Y271" s="17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  <c r="AS271" s="43"/>
      <c r="AT271" s="43"/>
      <c r="AU271" s="43"/>
      <c r="AV271" s="43"/>
    </row>
    <row r="272" ht="14.25" customHeight="1">
      <c r="A272" s="43"/>
      <c r="B272" s="43"/>
      <c r="C272" s="43"/>
      <c r="D272" s="132"/>
      <c r="E272" s="133"/>
      <c r="F272" s="136"/>
      <c r="G272" s="132"/>
      <c r="H272" s="132"/>
      <c r="I272" s="133"/>
      <c r="J272" s="132"/>
      <c r="K272" s="132"/>
      <c r="L272" s="136"/>
      <c r="M272" s="136"/>
      <c r="N272" s="136"/>
      <c r="O272" s="136"/>
      <c r="P272" s="136"/>
      <c r="Q272" s="136"/>
      <c r="R272" s="132"/>
      <c r="S272" s="136"/>
      <c r="T272" s="136"/>
      <c r="U272" s="136"/>
      <c r="V272" s="136"/>
      <c r="W272" s="136"/>
      <c r="X272" s="43"/>
      <c r="Y272" s="173"/>
      <c r="Z272" s="43"/>
      <c r="AA272" s="43"/>
      <c r="AB272" s="43"/>
      <c r="AC272" s="43"/>
      <c r="AD272" s="43"/>
      <c r="AE272" s="43"/>
      <c r="AF272" s="62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  <c r="AS272" s="43"/>
      <c r="AT272" s="43"/>
      <c r="AU272" s="43"/>
      <c r="AV272" s="43"/>
    </row>
    <row r="273" ht="14.25" customHeight="1">
      <c r="A273" s="43" t="s">
        <v>645</v>
      </c>
      <c r="B273" s="43" t="s">
        <v>646</v>
      </c>
      <c r="C273" s="43">
        <v>415.0</v>
      </c>
      <c r="D273" s="132"/>
      <c r="E273" s="133"/>
      <c r="F273" s="136"/>
      <c r="G273" s="132">
        <f>0.315-0.1</f>
        <v>0.215</v>
      </c>
      <c r="H273" s="132"/>
      <c r="I273" s="133"/>
      <c r="J273" s="132"/>
      <c r="K273" s="132"/>
      <c r="L273" s="136"/>
      <c r="M273" s="136"/>
      <c r="N273" s="136"/>
      <c r="O273" s="136"/>
      <c r="P273" s="136"/>
      <c r="Q273" s="136"/>
      <c r="R273" s="132"/>
      <c r="S273" s="136"/>
      <c r="T273" s="136"/>
      <c r="U273" s="136"/>
      <c r="V273" s="136"/>
      <c r="W273" s="136"/>
      <c r="X273" s="43"/>
      <c r="Y273" s="17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  <c r="AR273" s="43"/>
      <c r="AS273" s="43"/>
      <c r="AT273" s="43"/>
      <c r="AU273" s="43"/>
      <c r="AV273" s="43"/>
    </row>
    <row r="274" ht="14.25" customHeight="1">
      <c r="A274" s="43"/>
      <c r="B274" s="43"/>
      <c r="C274" s="43"/>
      <c r="D274" s="132"/>
      <c r="E274" s="133"/>
      <c r="F274" s="136"/>
      <c r="G274" s="132"/>
      <c r="H274" s="132"/>
      <c r="I274" s="133"/>
      <c r="J274" s="132"/>
      <c r="K274" s="132"/>
      <c r="L274" s="136"/>
      <c r="M274" s="136"/>
      <c r="N274" s="136"/>
      <c r="O274" s="136"/>
      <c r="P274" s="136"/>
      <c r="Q274" s="136"/>
      <c r="R274" s="132"/>
      <c r="S274" s="136"/>
      <c r="T274" s="136"/>
      <c r="U274" s="136"/>
      <c r="V274" s="136"/>
      <c r="W274" s="136"/>
      <c r="X274" s="43"/>
      <c r="Y274" s="17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  <c r="AQ274" s="43"/>
      <c r="AR274" s="43"/>
      <c r="AS274" s="43"/>
      <c r="AT274" s="43"/>
      <c r="AU274" s="43"/>
      <c r="AV274" s="43"/>
    </row>
    <row r="275" ht="14.25" customHeight="1">
      <c r="A275" s="43" t="s">
        <v>647</v>
      </c>
      <c r="B275" s="43" t="s">
        <v>648</v>
      </c>
      <c r="C275" s="43">
        <v>550.0</v>
      </c>
      <c r="D275" s="132"/>
      <c r="E275" s="133"/>
      <c r="F275" s="136"/>
      <c r="G275" s="132">
        <f>0.31-0.1</f>
        <v>0.21</v>
      </c>
      <c r="H275" s="132"/>
      <c r="I275" s="133"/>
      <c r="J275" s="132"/>
      <c r="K275" s="132"/>
      <c r="L275" s="136"/>
      <c r="M275" s="136"/>
      <c r="N275" s="136"/>
      <c r="O275" s="136"/>
      <c r="P275" s="136"/>
      <c r="Q275" s="136"/>
      <c r="R275" s="132"/>
      <c r="S275" s="136"/>
      <c r="T275" s="136"/>
      <c r="U275" s="136"/>
      <c r="V275" s="136"/>
      <c r="W275" s="136"/>
      <c r="X275" s="43"/>
      <c r="Y275" s="17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  <c r="AQ275" s="43"/>
      <c r="AR275" s="43"/>
      <c r="AS275" s="43"/>
      <c r="AT275" s="43"/>
      <c r="AU275" s="43"/>
      <c r="AV275" s="43"/>
    </row>
    <row r="276" ht="14.25" customHeight="1">
      <c r="A276" s="43" t="s">
        <v>647</v>
      </c>
      <c r="B276" s="43" t="s">
        <v>649</v>
      </c>
      <c r="C276" s="43">
        <v>460.0</v>
      </c>
      <c r="D276" s="132"/>
      <c r="E276" s="133"/>
      <c r="F276" s="136"/>
      <c r="G276" s="132">
        <f>0.305-0.1</f>
        <v>0.205</v>
      </c>
      <c r="H276" s="132"/>
      <c r="I276" s="133"/>
      <c r="J276" s="132"/>
      <c r="K276" s="132"/>
      <c r="L276" s="136"/>
      <c r="M276" s="136"/>
      <c r="N276" s="136"/>
      <c r="O276" s="136"/>
      <c r="P276" s="136"/>
      <c r="Q276" s="136"/>
      <c r="R276" s="132"/>
      <c r="S276" s="136"/>
      <c r="T276" s="136"/>
      <c r="U276" s="136"/>
      <c r="V276" s="136"/>
      <c r="W276" s="136"/>
      <c r="X276" s="43"/>
      <c r="Y276" s="17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  <c r="AQ276" s="43"/>
      <c r="AR276" s="43"/>
      <c r="AS276" s="43"/>
      <c r="AT276" s="43"/>
      <c r="AU276" s="43"/>
      <c r="AV276" s="43"/>
    </row>
    <row r="277" ht="14.25" customHeight="1">
      <c r="A277" s="43" t="s">
        <v>647</v>
      </c>
      <c r="B277" s="43" t="s">
        <v>650</v>
      </c>
      <c r="C277" s="246" t="s">
        <v>643</v>
      </c>
      <c r="D277" s="132"/>
      <c r="E277" s="133"/>
      <c r="F277" s="136"/>
      <c r="G277" s="132">
        <f>0.31-0.1</f>
        <v>0.21</v>
      </c>
      <c r="H277" s="132"/>
      <c r="I277" s="133"/>
      <c r="J277" s="132"/>
      <c r="K277" s="132"/>
      <c r="L277" s="136"/>
      <c r="M277" s="136"/>
      <c r="N277" s="136"/>
      <c r="O277" s="136"/>
      <c r="P277" s="136"/>
      <c r="Q277" s="136"/>
      <c r="R277" s="132"/>
      <c r="S277" s="136"/>
      <c r="T277" s="136"/>
      <c r="U277" s="136"/>
      <c r="V277" s="136"/>
      <c r="W277" s="136"/>
      <c r="X277" s="43"/>
      <c r="Y277" s="17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  <c r="AR277" s="43"/>
      <c r="AS277" s="43"/>
      <c r="AT277" s="43"/>
      <c r="AU277" s="43"/>
      <c r="AV277" s="43"/>
    </row>
    <row r="278" ht="14.25" customHeight="1">
      <c r="A278" s="43"/>
      <c r="B278" s="43"/>
      <c r="C278" s="246"/>
      <c r="D278" s="132"/>
      <c r="E278" s="133"/>
      <c r="F278" s="136"/>
      <c r="G278" s="132"/>
      <c r="H278" s="132"/>
      <c r="I278" s="133"/>
      <c r="J278" s="132"/>
      <c r="K278" s="132"/>
      <c r="L278" s="136"/>
      <c r="M278" s="136" t="s">
        <v>3</v>
      </c>
      <c r="N278" s="136"/>
      <c r="O278" s="136"/>
      <c r="P278" s="136"/>
      <c r="Q278" s="136"/>
      <c r="R278" s="132"/>
      <c r="S278" s="136"/>
      <c r="T278" s="136"/>
      <c r="U278" s="136"/>
      <c r="V278" s="136"/>
      <c r="W278" s="136"/>
      <c r="X278" s="43"/>
      <c r="Y278" s="17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  <c r="AS278" s="43"/>
      <c r="AT278" s="43"/>
      <c r="AU278" s="43"/>
      <c r="AV278" s="43"/>
    </row>
    <row r="279" ht="14.25" customHeight="1">
      <c r="A279" s="43" t="s">
        <v>651</v>
      </c>
      <c r="B279" s="43" t="s">
        <v>652</v>
      </c>
      <c r="C279" s="246">
        <v>420.0</v>
      </c>
      <c r="D279" s="132"/>
      <c r="E279" s="133"/>
      <c r="F279" s="136"/>
      <c r="G279" s="132"/>
      <c r="H279" s="132">
        <f>71.4/420</f>
        <v>0.17</v>
      </c>
      <c r="I279" s="133"/>
      <c r="J279" s="132"/>
      <c r="K279" s="132"/>
      <c r="L279" s="136"/>
      <c r="M279" s="136"/>
      <c r="N279" s="136"/>
      <c r="O279" s="136"/>
      <c r="P279" s="136"/>
      <c r="Q279" s="136"/>
      <c r="R279" s="132"/>
      <c r="S279" s="136"/>
      <c r="T279" s="136"/>
      <c r="U279" s="136"/>
      <c r="V279" s="136"/>
      <c r="W279" s="136"/>
      <c r="X279" s="43"/>
      <c r="Y279" s="17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  <c r="AR279" s="43"/>
      <c r="AS279" s="43"/>
      <c r="AT279" s="43"/>
      <c r="AU279" s="43"/>
      <c r="AV279" s="43"/>
    </row>
    <row r="280" ht="14.25" customHeight="1">
      <c r="A280" s="43" t="s">
        <v>651</v>
      </c>
      <c r="B280" s="43" t="s">
        <v>653</v>
      </c>
      <c r="C280" s="246">
        <v>575.0</v>
      </c>
      <c r="D280" s="132"/>
      <c r="E280" s="133"/>
      <c r="F280" s="136"/>
      <c r="G280" s="132"/>
      <c r="H280" s="132">
        <f>108/C280</f>
        <v>0.187826087</v>
      </c>
      <c r="I280" s="133"/>
      <c r="J280" s="132"/>
      <c r="K280" s="132"/>
      <c r="L280" s="136"/>
      <c r="M280" s="136"/>
      <c r="N280" s="136"/>
      <c r="O280" s="136"/>
      <c r="P280" s="136"/>
      <c r="Q280" s="136"/>
      <c r="R280" s="132"/>
      <c r="S280" s="136"/>
      <c r="T280" s="136"/>
      <c r="U280" s="136"/>
      <c r="V280" s="136"/>
      <c r="W280" s="136"/>
      <c r="X280" s="43"/>
      <c r="Y280" s="17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  <c r="AQ280" s="43"/>
      <c r="AR280" s="43"/>
      <c r="AS280" s="43"/>
      <c r="AT280" s="43"/>
      <c r="AU280" s="43"/>
      <c r="AV280" s="43"/>
    </row>
    <row r="281" ht="14.25" customHeight="1">
      <c r="A281" s="43"/>
      <c r="B281" s="43"/>
      <c r="C281" s="246"/>
      <c r="D281" s="132"/>
      <c r="E281" s="133"/>
      <c r="F281" s="136"/>
      <c r="G281" s="132"/>
      <c r="H281" s="132"/>
      <c r="I281" s="133"/>
      <c r="J281" s="132"/>
      <c r="K281" s="132"/>
      <c r="L281" s="136"/>
      <c r="M281" s="136"/>
      <c r="N281" s="136"/>
      <c r="O281" s="136"/>
      <c r="P281" s="136"/>
      <c r="Q281" s="136"/>
      <c r="R281" s="132"/>
      <c r="S281" s="136"/>
      <c r="T281" s="136"/>
      <c r="U281" s="136"/>
      <c r="V281" s="136"/>
      <c r="W281" s="136"/>
      <c r="X281" s="43"/>
      <c r="Y281" s="17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  <c r="AR281" s="43"/>
      <c r="AS281" s="43"/>
      <c r="AT281" s="43"/>
      <c r="AU281" s="43"/>
      <c r="AV281" s="43"/>
    </row>
    <row r="282" ht="14.25" customHeight="1">
      <c r="A282" s="43" t="s">
        <v>654</v>
      </c>
      <c r="B282" s="43" t="s">
        <v>655</v>
      </c>
      <c r="C282" s="246">
        <v>415.0</v>
      </c>
      <c r="D282" s="132"/>
      <c r="E282" s="133"/>
      <c r="F282" s="136"/>
      <c r="G282" s="132"/>
      <c r="H282" s="132">
        <f t="shared" ref="H282:H283" si="18">108/C282</f>
        <v>0.2602409639</v>
      </c>
      <c r="I282" s="133"/>
      <c r="J282" s="132"/>
      <c r="K282" s="132"/>
      <c r="L282" s="136"/>
      <c r="M282" s="136"/>
      <c r="N282" s="136"/>
      <c r="O282" s="136"/>
      <c r="P282" s="136"/>
      <c r="Q282" s="136"/>
      <c r="R282" s="132"/>
      <c r="S282" s="136"/>
      <c r="T282" s="136"/>
      <c r="U282" s="136"/>
      <c r="V282" s="136"/>
      <c r="W282" s="136"/>
      <c r="X282" s="43"/>
      <c r="Y282" s="17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  <c r="AN282" s="43"/>
      <c r="AO282" s="43"/>
      <c r="AP282" s="43"/>
      <c r="AQ282" s="43"/>
      <c r="AR282" s="43"/>
      <c r="AS282" s="43"/>
      <c r="AT282" s="43"/>
      <c r="AU282" s="43"/>
      <c r="AV282" s="43"/>
    </row>
    <row r="283" ht="14.25" customHeight="1">
      <c r="A283" s="43" t="s">
        <v>654</v>
      </c>
      <c r="B283" s="43" t="s">
        <v>656</v>
      </c>
      <c r="C283" s="246">
        <v>420.0</v>
      </c>
      <c r="D283" s="132"/>
      <c r="E283" s="133"/>
      <c r="F283" s="136"/>
      <c r="G283" s="132"/>
      <c r="H283" s="132">
        <f t="shared" si="18"/>
        <v>0.2571428571</v>
      </c>
      <c r="I283" s="133"/>
      <c r="J283" s="132"/>
      <c r="K283" s="132"/>
      <c r="L283" s="136"/>
      <c r="M283" s="136"/>
      <c r="N283" s="136"/>
      <c r="O283" s="136"/>
      <c r="P283" s="136"/>
      <c r="Q283" s="136"/>
      <c r="R283" s="132"/>
      <c r="S283" s="136"/>
      <c r="T283" s="136"/>
      <c r="U283" s="136"/>
      <c r="V283" s="136"/>
      <c r="W283" s="136"/>
      <c r="X283" s="43"/>
      <c r="Y283" s="17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  <c r="AM283" s="43"/>
      <c r="AN283" s="43"/>
      <c r="AO283" s="43"/>
      <c r="AP283" s="43"/>
      <c r="AQ283" s="43"/>
      <c r="AR283" s="43"/>
      <c r="AS283" s="43"/>
      <c r="AT283" s="43"/>
      <c r="AU283" s="43"/>
      <c r="AV283" s="43"/>
    </row>
    <row r="284" ht="14.25" customHeight="1">
      <c r="A284" s="43" t="s">
        <v>654</v>
      </c>
      <c r="B284" s="43" t="s">
        <v>657</v>
      </c>
      <c r="C284" s="246">
        <v>575.0</v>
      </c>
      <c r="D284" s="132"/>
      <c r="E284" s="133"/>
      <c r="F284" s="136"/>
      <c r="G284" s="132"/>
      <c r="H284" s="132"/>
      <c r="I284" s="133"/>
      <c r="J284" s="132"/>
      <c r="K284" s="132"/>
      <c r="L284" s="136"/>
      <c r="M284" s="136"/>
      <c r="N284" s="136"/>
      <c r="O284" s="136"/>
      <c r="P284" s="136"/>
      <c r="Q284" s="136"/>
      <c r="R284" s="132">
        <v>0.12</v>
      </c>
      <c r="S284" s="136" t="s">
        <v>658</v>
      </c>
      <c r="T284" s="136"/>
      <c r="U284" s="136"/>
      <c r="V284" s="136"/>
      <c r="W284" s="136"/>
      <c r="X284" s="43"/>
      <c r="Y284" s="17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  <c r="AJ284" s="43"/>
      <c r="AK284" s="43"/>
      <c r="AL284" s="43"/>
      <c r="AM284" s="43"/>
      <c r="AN284" s="43"/>
      <c r="AO284" s="43"/>
      <c r="AP284" s="43"/>
      <c r="AQ284" s="43"/>
      <c r="AR284" s="43"/>
      <c r="AS284" s="43"/>
      <c r="AT284" s="43"/>
      <c r="AU284" s="43"/>
      <c r="AV284" s="43"/>
    </row>
    <row r="285" ht="14.25" customHeight="1">
      <c r="A285" s="43" t="s">
        <v>654</v>
      </c>
      <c r="B285" s="43" t="s">
        <v>659</v>
      </c>
      <c r="C285" s="246">
        <v>580.0</v>
      </c>
      <c r="D285" s="132"/>
      <c r="E285" s="133"/>
      <c r="F285" s="136"/>
      <c r="G285" s="132"/>
      <c r="H285" s="132"/>
      <c r="I285" s="133"/>
      <c r="J285" s="132"/>
      <c r="K285" s="132"/>
      <c r="L285" s="136"/>
      <c r="M285" s="136"/>
      <c r="N285" s="136"/>
      <c r="O285" s="136"/>
      <c r="P285" s="136"/>
      <c r="Q285" s="136"/>
      <c r="R285" s="132">
        <v>0.119</v>
      </c>
      <c r="S285" s="136" t="s">
        <v>660</v>
      </c>
      <c r="T285" s="136"/>
      <c r="U285" s="136"/>
      <c r="V285" s="136"/>
      <c r="W285" s="136"/>
      <c r="X285" s="43"/>
      <c r="Y285" s="17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3"/>
      <c r="AK285" s="43"/>
      <c r="AL285" s="43"/>
      <c r="AM285" s="43"/>
      <c r="AN285" s="43"/>
      <c r="AO285" s="43"/>
      <c r="AP285" s="43"/>
      <c r="AQ285" s="43"/>
      <c r="AR285" s="43"/>
      <c r="AS285" s="43"/>
      <c r="AT285" s="43"/>
      <c r="AU285" s="43"/>
      <c r="AV285" s="43"/>
    </row>
    <row r="286" ht="14.25" customHeight="1">
      <c r="A286" s="43"/>
      <c r="B286" s="43"/>
      <c r="C286" s="246"/>
      <c r="D286" s="132"/>
      <c r="E286" s="133"/>
      <c r="F286" s="136"/>
      <c r="G286" s="132"/>
      <c r="H286" s="132"/>
      <c r="I286" s="133" t="s">
        <v>661</v>
      </c>
      <c r="J286" s="132" t="s">
        <v>662</v>
      </c>
      <c r="K286" s="132"/>
      <c r="L286" s="136"/>
      <c r="M286" s="136"/>
      <c r="N286" s="136"/>
      <c r="O286" s="136"/>
      <c r="P286" s="136"/>
      <c r="Q286" s="136"/>
      <c r="R286" s="132"/>
      <c r="S286" s="136"/>
      <c r="T286" s="136"/>
      <c r="U286" s="136"/>
      <c r="V286" s="136"/>
      <c r="W286" s="136"/>
      <c r="X286" s="43"/>
      <c r="Y286" s="17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43"/>
      <c r="AK286" s="43"/>
      <c r="AL286" s="43"/>
      <c r="AM286" s="43"/>
      <c r="AN286" s="43"/>
      <c r="AO286" s="43"/>
      <c r="AP286" s="43"/>
      <c r="AQ286" s="43"/>
      <c r="AR286" s="43"/>
      <c r="AS286" s="43"/>
      <c r="AT286" s="43"/>
      <c r="AU286" s="43"/>
      <c r="AV286" s="43"/>
    </row>
    <row r="287" ht="14.25" customHeight="1">
      <c r="A287" s="43" t="s">
        <v>108</v>
      </c>
      <c r="B287" s="43" t="s">
        <v>663</v>
      </c>
      <c r="C287" s="246">
        <v>440.0</v>
      </c>
      <c r="D287" s="132"/>
      <c r="E287" s="133"/>
      <c r="F287" s="136"/>
      <c r="G287" s="132"/>
      <c r="H287" s="132"/>
      <c r="I287" s="134">
        <v>0.14</v>
      </c>
      <c r="J287" s="247">
        <v>0.145</v>
      </c>
      <c r="K287" s="132"/>
      <c r="L287" s="136"/>
      <c r="M287" s="136"/>
      <c r="N287" s="136"/>
      <c r="O287" s="136"/>
      <c r="P287" s="136"/>
      <c r="Q287" s="136"/>
      <c r="R287" s="132"/>
      <c r="S287" s="132">
        <f t="shared" ref="S287:S288" si="19">J287*C287</f>
        <v>63.8</v>
      </c>
      <c r="T287" s="136"/>
      <c r="U287" s="136"/>
      <c r="V287" s="136"/>
      <c r="W287" s="136"/>
      <c r="X287" s="43"/>
      <c r="Y287" s="43"/>
      <c r="Z287" s="43" t="s">
        <v>663</v>
      </c>
      <c r="AA287" s="43" t="s">
        <v>108</v>
      </c>
      <c r="AB287" s="43" t="s">
        <v>664</v>
      </c>
      <c r="AC287" s="43" t="s">
        <v>665</v>
      </c>
      <c r="AD287" s="43"/>
      <c r="AE287" s="43"/>
      <c r="AF287" s="43">
        <v>180.0</v>
      </c>
      <c r="AG287" s="245" t="s">
        <v>36</v>
      </c>
      <c r="AH287" s="43">
        <v>36.0</v>
      </c>
      <c r="AI287" s="43" t="s">
        <v>666</v>
      </c>
      <c r="AJ287" s="43">
        <v>22.0</v>
      </c>
      <c r="AK287" s="43"/>
      <c r="AL287" s="43"/>
      <c r="AM287" s="43"/>
      <c r="AN287" s="43"/>
      <c r="AO287" s="43"/>
      <c r="AP287" s="43"/>
      <c r="AQ287" s="43"/>
      <c r="AR287" s="43"/>
      <c r="AS287" s="43"/>
      <c r="AT287" s="43"/>
      <c r="AU287" s="43"/>
      <c r="AV287" s="43"/>
    </row>
    <row r="288" ht="14.25" customHeight="1">
      <c r="A288" s="43" t="s">
        <v>38</v>
      </c>
      <c r="B288" s="43" t="s">
        <v>667</v>
      </c>
      <c r="C288" s="43">
        <v>585.0</v>
      </c>
      <c r="D288" s="132"/>
      <c r="E288" s="133"/>
      <c r="F288" s="136"/>
      <c r="G288" s="132"/>
      <c r="H288" s="132"/>
      <c r="I288" s="134">
        <v>0.15</v>
      </c>
      <c r="J288" s="247">
        <v>0.15</v>
      </c>
      <c r="K288" s="132"/>
      <c r="L288" s="136"/>
      <c r="M288" s="136"/>
      <c r="N288" s="136"/>
      <c r="O288" s="136"/>
      <c r="P288" s="136"/>
      <c r="Q288" s="136"/>
      <c r="R288" s="132">
        <v>0.14</v>
      </c>
      <c r="S288" s="132">
        <f t="shared" si="19"/>
        <v>87.75</v>
      </c>
      <c r="T288" s="136"/>
      <c r="U288" s="136"/>
      <c r="V288" s="136"/>
      <c r="W288" s="136"/>
      <c r="X288" s="43"/>
      <c r="Y288" s="43"/>
      <c r="Z288" s="43" t="s">
        <v>668</v>
      </c>
      <c r="AA288" s="43" t="s">
        <v>38</v>
      </c>
      <c r="AB288" s="43" t="s">
        <v>664</v>
      </c>
      <c r="AC288" s="43" t="s">
        <v>669</v>
      </c>
      <c r="AD288" s="43"/>
      <c r="AE288" s="43"/>
      <c r="AF288" s="43">
        <v>180.0</v>
      </c>
      <c r="AG288" s="245" t="s">
        <v>40</v>
      </c>
      <c r="AH288" s="43">
        <v>31.0</v>
      </c>
      <c r="AI288" s="43" t="s">
        <v>670</v>
      </c>
      <c r="AJ288" s="43">
        <v>27.5</v>
      </c>
      <c r="AK288" s="43"/>
      <c r="AL288" s="43"/>
      <c r="AM288" s="43"/>
      <c r="AN288" s="43"/>
      <c r="AO288" s="43"/>
      <c r="AP288" s="43"/>
      <c r="AQ288" s="43"/>
      <c r="AR288" s="43"/>
      <c r="AS288" s="43"/>
      <c r="AT288" s="43"/>
      <c r="AU288" s="43"/>
      <c r="AV288" s="43"/>
    </row>
    <row r="289" ht="14.25" customHeight="1">
      <c r="A289" s="43"/>
      <c r="B289" s="43"/>
      <c r="C289" s="43"/>
      <c r="D289" s="132"/>
      <c r="E289" s="133"/>
      <c r="F289" s="136"/>
      <c r="G289" s="132"/>
      <c r="H289" s="132"/>
      <c r="I289" s="134"/>
      <c r="J289" s="247"/>
      <c r="K289" s="132"/>
      <c r="L289" s="136"/>
      <c r="M289" s="136"/>
      <c r="N289" s="136"/>
      <c r="O289" s="136"/>
      <c r="P289" s="136"/>
      <c r="Q289" s="136"/>
      <c r="R289" s="132"/>
      <c r="S289" s="136"/>
      <c r="T289" s="136"/>
      <c r="U289" s="136"/>
      <c r="V289" s="136"/>
      <c r="W289" s="136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3"/>
      <c r="AK289" s="43"/>
      <c r="AL289" s="43"/>
      <c r="AM289" s="43"/>
      <c r="AN289" s="43"/>
      <c r="AO289" s="43"/>
      <c r="AP289" s="43"/>
      <c r="AQ289" s="43"/>
      <c r="AR289" s="43"/>
      <c r="AS289" s="43"/>
      <c r="AT289" s="43"/>
      <c r="AU289" s="43"/>
      <c r="AV289" s="43"/>
    </row>
    <row r="290" ht="14.25" customHeight="1">
      <c r="A290" s="43" t="s">
        <v>131</v>
      </c>
      <c r="B290" s="43" t="s">
        <v>132</v>
      </c>
      <c r="C290" s="43">
        <v>405.0</v>
      </c>
      <c r="D290" s="132"/>
      <c r="E290" s="133"/>
      <c r="F290" s="136"/>
      <c r="G290" s="132"/>
      <c r="H290" s="132"/>
      <c r="I290" s="134">
        <v>0.145</v>
      </c>
      <c r="J290" s="247">
        <v>0.155</v>
      </c>
      <c r="K290" s="132"/>
      <c r="L290" s="136"/>
      <c r="M290" s="136"/>
      <c r="N290" s="136"/>
      <c r="O290" s="136"/>
      <c r="P290" s="136"/>
      <c r="Q290" s="136"/>
      <c r="R290" s="132"/>
      <c r="S290" s="136"/>
      <c r="T290" s="136"/>
      <c r="U290" s="136"/>
      <c r="V290" s="136"/>
      <c r="W290" s="136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3"/>
      <c r="AK290" s="43"/>
      <c r="AL290" s="43"/>
      <c r="AM290" s="43"/>
      <c r="AN290" s="43"/>
      <c r="AO290" s="43"/>
      <c r="AP290" s="43"/>
      <c r="AQ290" s="43"/>
      <c r="AR290" s="43"/>
      <c r="AS290" s="43"/>
      <c r="AT290" s="43"/>
      <c r="AU290" s="43"/>
      <c r="AV290" s="43"/>
    </row>
    <row r="291" ht="14.25" customHeight="1">
      <c r="A291" s="43"/>
      <c r="B291" s="43"/>
      <c r="C291" s="43"/>
      <c r="D291" s="132"/>
      <c r="E291" s="133"/>
      <c r="F291" s="136"/>
      <c r="G291" s="132"/>
      <c r="H291" s="132"/>
      <c r="I291" s="133"/>
      <c r="J291" s="132"/>
      <c r="K291" s="132"/>
      <c r="L291" s="136"/>
      <c r="M291" s="136"/>
      <c r="N291" s="136"/>
      <c r="O291" s="136"/>
      <c r="P291" s="136"/>
      <c r="Q291" s="136"/>
      <c r="R291" s="132"/>
      <c r="S291" s="136"/>
      <c r="T291" s="136"/>
      <c r="U291" s="136"/>
      <c r="V291" s="136"/>
      <c r="W291" s="136"/>
      <c r="X291" s="43"/>
      <c r="Y291" s="17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  <c r="AQ291" s="43"/>
      <c r="AR291" s="43"/>
      <c r="AS291" s="43"/>
      <c r="AT291" s="43"/>
      <c r="AU291" s="43"/>
      <c r="AV291" s="43"/>
    </row>
    <row r="292" ht="14.25" customHeight="1">
      <c r="A292" s="43" t="s">
        <v>671</v>
      </c>
      <c r="B292" s="43" t="s">
        <v>672</v>
      </c>
      <c r="C292" s="43">
        <v>405.0</v>
      </c>
      <c r="D292" s="132"/>
      <c r="E292" s="133"/>
      <c r="F292" s="136"/>
      <c r="G292" s="132"/>
      <c r="H292" s="132"/>
      <c r="I292" s="133"/>
      <c r="J292" s="132"/>
      <c r="K292" s="132"/>
      <c r="L292" s="136"/>
      <c r="M292" s="136">
        <f t="shared" ref="M292:M295" si="20">Y292/C292</f>
        <v>0.1450123457</v>
      </c>
      <c r="N292" s="136"/>
      <c r="O292" s="136"/>
      <c r="P292" s="136"/>
      <c r="Q292" s="136"/>
      <c r="R292" s="132"/>
      <c r="S292" s="136"/>
      <c r="T292" s="136"/>
      <c r="U292" s="136"/>
      <c r="V292" s="136"/>
      <c r="W292" s="136"/>
      <c r="X292" s="43"/>
      <c r="Y292" s="173">
        <v>58.73</v>
      </c>
      <c r="Z292" s="43"/>
      <c r="AA292" s="43"/>
      <c r="AB292" s="43"/>
      <c r="AC292" s="43"/>
      <c r="AD292" s="43"/>
      <c r="AE292" s="43"/>
      <c r="AF292" s="43"/>
      <c r="AG292" s="43"/>
      <c r="AH292" s="43"/>
      <c r="AI292" s="43"/>
      <c r="AJ292" s="43"/>
      <c r="AK292" s="43"/>
      <c r="AL292" s="43"/>
      <c r="AM292" s="43"/>
      <c r="AN292" s="43"/>
      <c r="AO292" s="43"/>
      <c r="AP292" s="43"/>
      <c r="AQ292" s="43"/>
      <c r="AR292" s="43"/>
      <c r="AS292" s="43"/>
      <c r="AT292" s="43"/>
      <c r="AU292" s="43"/>
      <c r="AV292" s="43"/>
    </row>
    <row r="293" ht="14.25" customHeight="1">
      <c r="A293" s="43" t="s">
        <v>671</v>
      </c>
      <c r="B293" s="43" t="s">
        <v>673</v>
      </c>
      <c r="C293" s="43">
        <v>410.0</v>
      </c>
      <c r="D293" s="132"/>
      <c r="E293" s="133"/>
      <c r="F293" s="136"/>
      <c r="G293" s="132"/>
      <c r="H293" s="132"/>
      <c r="I293" s="133"/>
      <c r="J293" s="132"/>
      <c r="K293" s="132"/>
      <c r="L293" s="136"/>
      <c r="M293" s="136">
        <f t="shared" si="20"/>
        <v>0.15</v>
      </c>
      <c r="N293" s="136"/>
      <c r="O293" s="136"/>
      <c r="P293" s="136"/>
      <c r="Q293" s="136">
        <v>0.141</v>
      </c>
      <c r="R293" s="132">
        <f>50.43/410</f>
        <v>0.123</v>
      </c>
      <c r="S293" s="136" t="s">
        <v>674</v>
      </c>
      <c r="T293" s="136"/>
      <c r="U293" s="136"/>
      <c r="V293" s="136"/>
      <c r="W293" s="136"/>
      <c r="X293" s="43"/>
      <c r="Y293" s="173">
        <v>61.5</v>
      </c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  <c r="AN293" s="43"/>
      <c r="AO293" s="43"/>
      <c r="AP293" s="43"/>
      <c r="AQ293" s="43"/>
      <c r="AR293" s="43"/>
      <c r="AS293" s="43"/>
      <c r="AT293" s="43"/>
      <c r="AU293" s="43"/>
      <c r="AV293" s="43"/>
    </row>
    <row r="294" ht="14.25" customHeight="1">
      <c r="A294" s="43" t="s">
        <v>671</v>
      </c>
      <c r="B294" s="43" t="s">
        <v>675</v>
      </c>
      <c r="C294" s="43">
        <v>430.0</v>
      </c>
      <c r="D294" s="132"/>
      <c r="E294" s="133"/>
      <c r="F294" s="136"/>
      <c r="G294" s="132"/>
      <c r="H294" s="132"/>
      <c r="I294" s="133"/>
      <c r="J294" s="132"/>
      <c r="K294" s="132"/>
      <c r="L294" s="136"/>
      <c r="M294" s="136">
        <f t="shared" si="20"/>
        <v>0.19</v>
      </c>
      <c r="N294" s="136">
        <v>0.175</v>
      </c>
      <c r="O294" s="136"/>
      <c r="P294" s="136"/>
      <c r="Q294" s="136">
        <v>0.158</v>
      </c>
      <c r="R294" s="132">
        <f>64.63/430</f>
        <v>0.1503023256</v>
      </c>
      <c r="S294" s="136"/>
      <c r="T294" s="136"/>
      <c r="U294" s="136"/>
      <c r="V294" s="136"/>
      <c r="W294" s="136"/>
      <c r="X294" s="43"/>
      <c r="Y294" s="173">
        <v>81.7</v>
      </c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3"/>
      <c r="AK294" s="43"/>
      <c r="AL294" s="43"/>
      <c r="AM294" s="43"/>
      <c r="AN294" s="43"/>
      <c r="AO294" s="43"/>
      <c r="AP294" s="43"/>
      <c r="AQ294" s="43"/>
      <c r="AR294" s="43"/>
      <c r="AS294" s="43"/>
      <c r="AT294" s="43"/>
      <c r="AU294" s="43"/>
      <c r="AV294" s="43"/>
    </row>
    <row r="295" ht="14.25" customHeight="1">
      <c r="A295" s="43" t="s">
        <v>671</v>
      </c>
      <c r="B295" s="43" t="s">
        <v>676</v>
      </c>
      <c r="C295" s="43">
        <v>435.0</v>
      </c>
      <c r="D295" s="132"/>
      <c r="E295" s="133"/>
      <c r="F295" s="136"/>
      <c r="G295" s="132"/>
      <c r="H295" s="132"/>
      <c r="I295" s="133"/>
      <c r="J295" s="132"/>
      <c r="K295" s="132"/>
      <c r="L295" s="136"/>
      <c r="M295" s="136">
        <f t="shared" si="20"/>
        <v>0.19</v>
      </c>
      <c r="N295" s="136"/>
      <c r="O295" s="136"/>
      <c r="P295" s="136"/>
      <c r="Q295" s="136"/>
      <c r="R295" s="132">
        <f>60.77/435</f>
        <v>0.1397011494</v>
      </c>
      <c r="S295" s="136"/>
      <c r="T295" s="136"/>
      <c r="U295" s="136"/>
      <c r="V295" s="136"/>
      <c r="W295" s="136"/>
      <c r="X295" s="43"/>
      <c r="Y295" s="173">
        <v>82.65</v>
      </c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  <c r="AJ295" s="43"/>
      <c r="AK295" s="43"/>
      <c r="AL295" s="43"/>
      <c r="AM295" s="43"/>
      <c r="AN295" s="43"/>
      <c r="AO295" s="43"/>
      <c r="AP295" s="43"/>
      <c r="AQ295" s="43"/>
      <c r="AR295" s="43"/>
      <c r="AS295" s="43"/>
      <c r="AT295" s="43"/>
      <c r="AU295" s="43"/>
      <c r="AV295" s="43"/>
    </row>
    <row r="296" ht="14.25" customHeight="1">
      <c r="A296" s="43" t="s">
        <v>671</v>
      </c>
      <c r="B296" s="43" t="s">
        <v>677</v>
      </c>
      <c r="C296" s="43">
        <v>410.0</v>
      </c>
      <c r="D296" s="136"/>
      <c r="E296" s="133"/>
      <c r="F296" s="136"/>
      <c r="G296" s="136"/>
      <c r="H296" s="136"/>
      <c r="I296" s="248"/>
      <c r="J296" s="136"/>
      <c r="K296" s="136"/>
      <c r="L296" s="136"/>
      <c r="M296" s="136"/>
      <c r="N296" s="136"/>
      <c r="O296" s="136"/>
      <c r="P296" s="136"/>
      <c r="Q296" s="136"/>
      <c r="R296" s="203">
        <v>0.116</v>
      </c>
      <c r="S296" s="136"/>
      <c r="T296" s="136"/>
      <c r="U296" s="136"/>
      <c r="V296" s="136"/>
      <c r="W296" s="136"/>
      <c r="X296" s="43"/>
      <c r="Y296" s="17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3"/>
      <c r="AK296" s="43"/>
      <c r="AL296" s="43"/>
      <c r="AM296" s="43"/>
      <c r="AN296" s="43"/>
      <c r="AO296" s="43"/>
      <c r="AP296" s="43"/>
      <c r="AQ296" s="43"/>
      <c r="AR296" s="43"/>
      <c r="AS296" s="43"/>
      <c r="AT296" s="43"/>
      <c r="AU296" s="43"/>
      <c r="AV296" s="43"/>
    </row>
    <row r="297" ht="14.25" customHeight="1">
      <c r="A297" s="43" t="s">
        <v>671</v>
      </c>
      <c r="B297" s="43" t="s">
        <v>678</v>
      </c>
      <c r="C297" s="43">
        <v>350.0</v>
      </c>
      <c r="D297" s="136"/>
      <c r="E297" s="133"/>
      <c r="F297" s="136"/>
      <c r="G297" s="136"/>
      <c r="H297" s="136"/>
      <c r="I297" s="248"/>
      <c r="J297" s="136"/>
      <c r="K297" s="136"/>
      <c r="L297" s="136"/>
      <c r="M297" s="136"/>
      <c r="N297" s="136"/>
      <c r="O297" s="136"/>
      <c r="P297" s="136"/>
      <c r="Q297" s="136"/>
      <c r="R297" s="203">
        <v>0.078</v>
      </c>
      <c r="S297" s="136"/>
      <c r="T297" s="136"/>
      <c r="U297" s="136"/>
      <c r="V297" s="136"/>
      <c r="W297" s="136"/>
      <c r="X297" s="43"/>
      <c r="Y297" s="17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43"/>
      <c r="AK297" s="43"/>
      <c r="AL297" s="43"/>
      <c r="AM297" s="43"/>
      <c r="AN297" s="43"/>
      <c r="AO297" s="43"/>
      <c r="AP297" s="43"/>
      <c r="AQ297" s="43"/>
      <c r="AR297" s="43"/>
      <c r="AS297" s="43"/>
      <c r="AT297" s="43"/>
      <c r="AU297" s="43"/>
      <c r="AV297" s="43"/>
    </row>
    <row r="298" ht="14.25" customHeight="1">
      <c r="A298" s="43" t="s">
        <v>671</v>
      </c>
      <c r="B298" s="43" t="s">
        <v>679</v>
      </c>
      <c r="C298" s="43">
        <v>400.0</v>
      </c>
      <c r="D298" s="136"/>
      <c r="E298" s="133"/>
      <c r="F298" s="136"/>
      <c r="G298" s="136"/>
      <c r="H298" s="136"/>
      <c r="I298" s="248"/>
      <c r="J298" s="136"/>
      <c r="K298" s="136"/>
      <c r="L298" s="136"/>
      <c r="M298" s="136"/>
      <c r="N298" s="136"/>
      <c r="O298" s="136"/>
      <c r="P298" s="136"/>
      <c r="Q298" s="136"/>
      <c r="R298" s="203">
        <v>0.11</v>
      </c>
      <c r="S298" s="136"/>
      <c r="T298" s="136"/>
      <c r="U298" s="136"/>
      <c r="V298" s="136"/>
      <c r="W298" s="136"/>
      <c r="X298" s="43"/>
      <c r="Y298" s="173"/>
      <c r="Z298" s="43"/>
      <c r="AA298" s="43"/>
      <c r="AB298" s="43"/>
      <c r="AC298" s="43"/>
      <c r="AD298" s="43"/>
      <c r="AE298" s="43"/>
      <c r="AF298" s="43"/>
      <c r="AG298" s="43"/>
      <c r="AH298" s="43"/>
      <c r="AI298" s="43"/>
      <c r="AJ298" s="43"/>
      <c r="AK298" s="43"/>
      <c r="AL298" s="43"/>
      <c r="AM298" s="43"/>
      <c r="AN298" s="43"/>
      <c r="AO298" s="43"/>
      <c r="AP298" s="43"/>
      <c r="AQ298" s="43"/>
      <c r="AR298" s="43"/>
      <c r="AS298" s="43"/>
      <c r="AT298" s="43"/>
      <c r="AU298" s="43"/>
      <c r="AV298" s="43"/>
    </row>
    <row r="299" ht="14.25" customHeight="1">
      <c r="A299" s="43" t="s">
        <v>671</v>
      </c>
      <c r="B299" s="43" t="s">
        <v>680</v>
      </c>
      <c r="C299" s="43">
        <v>425.0</v>
      </c>
      <c r="D299" s="136"/>
      <c r="E299" s="133"/>
      <c r="F299" s="136"/>
      <c r="G299" s="136"/>
      <c r="H299" s="136"/>
      <c r="I299" s="248"/>
      <c r="J299" s="136"/>
      <c r="K299" s="136"/>
      <c r="L299" s="136"/>
      <c r="M299" s="136"/>
      <c r="N299" s="136"/>
      <c r="O299" s="136"/>
      <c r="P299" s="136"/>
      <c r="Q299" s="136"/>
      <c r="R299" s="203">
        <v>0.126</v>
      </c>
      <c r="S299" s="136"/>
      <c r="T299" s="136"/>
      <c r="U299" s="136"/>
      <c r="V299" s="136"/>
      <c r="W299" s="136"/>
      <c r="X299" s="43"/>
      <c r="Y299" s="17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43"/>
      <c r="AK299" s="43"/>
      <c r="AL299" s="43"/>
      <c r="AM299" s="43"/>
      <c r="AN299" s="43"/>
      <c r="AO299" s="43"/>
      <c r="AP299" s="43"/>
      <c r="AQ299" s="43"/>
      <c r="AR299" s="43"/>
      <c r="AS299" s="43"/>
      <c r="AT299" s="43"/>
      <c r="AU299" s="43"/>
      <c r="AV299" s="43"/>
    </row>
    <row r="300" ht="14.25" customHeight="1">
      <c r="A300" s="43" t="s">
        <v>671</v>
      </c>
      <c r="B300" s="43" t="s">
        <v>681</v>
      </c>
      <c r="C300" s="43">
        <v>440.0</v>
      </c>
      <c r="D300" s="136"/>
      <c r="E300" s="133"/>
      <c r="F300" s="136"/>
      <c r="G300" s="136"/>
      <c r="H300" s="136"/>
      <c r="I300" s="248"/>
      <c r="J300" s="136"/>
      <c r="K300" s="136"/>
      <c r="L300" s="136"/>
      <c r="M300" s="136"/>
      <c r="N300" s="136"/>
      <c r="O300" s="136"/>
      <c r="P300" s="136"/>
      <c r="Q300" s="136"/>
      <c r="R300" s="203">
        <v>0.136</v>
      </c>
      <c r="S300" s="136"/>
      <c r="T300" s="136"/>
      <c r="U300" s="136"/>
      <c r="V300" s="136"/>
      <c r="W300" s="136"/>
      <c r="X300" s="43"/>
      <c r="Y300" s="17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  <c r="AJ300" s="43"/>
      <c r="AK300" s="43"/>
      <c r="AL300" s="43"/>
      <c r="AM300" s="43"/>
      <c r="AN300" s="43"/>
      <c r="AO300" s="43"/>
      <c r="AP300" s="43"/>
      <c r="AQ300" s="43"/>
      <c r="AR300" s="43"/>
      <c r="AS300" s="43"/>
      <c r="AT300" s="43"/>
      <c r="AU300" s="43"/>
      <c r="AV300" s="43"/>
    </row>
    <row r="301" ht="14.25" customHeight="1">
      <c r="A301" s="43" t="s">
        <v>671</v>
      </c>
      <c r="B301" s="43" t="s">
        <v>682</v>
      </c>
      <c r="C301" s="43">
        <v>525.0</v>
      </c>
      <c r="D301" s="136"/>
      <c r="E301" s="133"/>
      <c r="F301" s="136"/>
      <c r="G301" s="136"/>
      <c r="H301" s="136"/>
      <c r="I301" s="248"/>
      <c r="J301" s="136"/>
      <c r="K301" s="136"/>
      <c r="L301" s="136"/>
      <c r="M301" s="136"/>
      <c r="N301" s="136"/>
      <c r="O301" s="136"/>
      <c r="P301" s="136"/>
      <c r="Q301" s="136"/>
      <c r="R301" s="203">
        <v>0.132</v>
      </c>
      <c r="S301" s="136"/>
      <c r="T301" s="136"/>
      <c r="U301" s="136"/>
      <c r="V301" s="136"/>
      <c r="W301" s="136"/>
      <c r="X301" s="43"/>
      <c r="Y301" s="17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3"/>
      <c r="AK301" s="43"/>
      <c r="AL301" s="43"/>
      <c r="AM301" s="43"/>
      <c r="AN301" s="43"/>
      <c r="AO301" s="43"/>
      <c r="AP301" s="43"/>
      <c r="AQ301" s="43"/>
      <c r="AR301" s="43"/>
      <c r="AS301" s="43"/>
      <c r="AT301" s="43"/>
      <c r="AU301" s="43"/>
      <c r="AV301" s="43"/>
    </row>
    <row r="302" ht="14.25" customHeight="1">
      <c r="A302" s="43" t="s">
        <v>671</v>
      </c>
      <c r="B302" s="43" t="s">
        <v>683</v>
      </c>
      <c r="C302" s="43">
        <v>575.0</v>
      </c>
      <c r="D302" s="136"/>
      <c r="E302" s="133"/>
      <c r="F302" s="136"/>
      <c r="G302" s="136"/>
      <c r="H302" s="136"/>
      <c r="I302" s="248"/>
      <c r="J302" s="136"/>
      <c r="K302" s="136"/>
      <c r="L302" s="136"/>
      <c r="M302" s="136"/>
      <c r="N302" s="136"/>
      <c r="O302" s="136"/>
      <c r="P302" s="136"/>
      <c r="Q302" s="136"/>
      <c r="R302" s="203">
        <v>0.133</v>
      </c>
      <c r="S302" s="136"/>
      <c r="T302" s="136"/>
      <c r="U302" s="136"/>
      <c r="V302" s="136"/>
      <c r="W302" s="136"/>
      <c r="X302" s="43"/>
      <c r="Y302" s="17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  <c r="AJ302" s="43"/>
      <c r="AK302" s="43"/>
      <c r="AL302" s="43"/>
      <c r="AM302" s="43"/>
      <c r="AN302" s="43"/>
      <c r="AO302" s="43"/>
      <c r="AP302" s="43"/>
      <c r="AQ302" s="43"/>
      <c r="AR302" s="43"/>
      <c r="AS302" s="43"/>
      <c r="AT302" s="43"/>
      <c r="AU302" s="43"/>
      <c r="AV302" s="43"/>
    </row>
    <row r="303" ht="14.25" customHeight="1">
      <c r="A303" s="43" t="s">
        <v>671</v>
      </c>
      <c r="B303" s="43" t="s">
        <v>684</v>
      </c>
      <c r="C303" s="43">
        <v>580.0</v>
      </c>
      <c r="D303" s="136"/>
      <c r="E303" s="133"/>
      <c r="F303" s="136"/>
      <c r="G303" s="136"/>
      <c r="H303" s="136"/>
      <c r="I303" s="248"/>
      <c r="J303" s="136"/>
      <c r="K303" s="136"/>
      <c r="L303" s="136"/>
      <c r="M303" s="136"/>
      <c r="N303" s="136"/>
      <c r="O303" s="136"/>
      <c r="P303" s="136"/>
      <c r="Q303" s="136"/>
      <c r="R303" s="203">
        <v>0.133</v>
      </c>
      <c r="S303" s="136"/>
      <c r="T303" s="136"/>
      <c r="U303" s="136"/>
      <c r="V303" s="136"/>
      <c r="W303" s="136"/>
      <c r="X303" s="43"/>
      <c r="Y303" s="17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43"/>
      <c r="AO303" s="43"/>
      <c r="AP303" s="43"/>
      <c r="AQ303" s="43"/>
      <c r="AR303" s="43"/>
      <c r="AS303" s="43"/>
      <c r="AT303" s="43"/>
      <c r="AU303" s="43"/>
      <c r="AV303" s="43"/>
    </row>
    <row r="304" ht="14.25" customHeight="1">
      <c r="A304" s="43" t="s">
        <v>671</v>
      </c>
      <c r="B304" s="43" t="s">
        <v>685</v>
      </c>
      <c r="C304" s="43">
        <v>585.0</v>
      </c>
      <c r="D304" s="136"/>
      <c r="E304" s="133"/>
      <c r="F304" s="136"/>
      <c r="G304" s="136"/>
      <c r="H304" s="136"/>
      <c r="I304" s="248"/>
      <c r="J304" s="136"/>
      <c r="K304" s="136"/>
      <c r="L304" s="136"/>
      <c r="M304" s="136"/>
      <c r="N304" s="136"/>
      <c r="O304" s="136"/>
      <c r="P304" s="136"/>
      <c r="Q304" s="136"/>
      <c r="R304" s="203">
        <v>0.135</v>
      </c>
      <c r="S304" s="136"/>
      <c r="T304" s="136"/>
      <c r="U304" s="136"/>
      <c r="V304" s="136"/>
      <c r="W304" s="136"/>
      <c r="X304" s="43"/>
      <c r="Y304" s="17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  <c r="AL304" s="43"/>
      <c r="AM304" s="43"/>
      <c r="AN304" s="43"/>
      <c r="AO304" s="43"/>
      <c r="AP304" s="43"/>
      <c r="AQ304" s="43"/>
      <c r="AR304" s="43"/>
      <c r="AS304" s="43"/>
      <c r="AT304" s="43"/>
      <c r="AU304" s="43"/>
      <c r="AV304" s="43"/>
    </row>
    <row r="305" ht="14.25" customHeight="1">
      <c r="A305" s="43"/>
      <c r="B305" s="43"/>
      <c r="C305" s="43"/>
      <c r="D305" s="136"/>
      <c r="E305" s="133"/>
      <c r="F305" s="136"/>
      <c r="G305" s="136"/>
      <c r="H305" s="136"/>
      <c r="I305" s="248"/>
      <c r="J305" s="136"/>
      <c r="K305" s="136"/>
      <c r="L305" s="136"/>
      <c r="M305" s="136"/>
      <c r="N305" s="136"/>
      <c r="O305" s="136"/>
      <c r="P305" s="136"/>
      <c r="Q305" s="136"/>
      <c r="R305" s="132"/>
      <c r="S305" s="136"/>
      <c r="T305" s="136"/>
      <c r="U305" s="136"/>
      <c r="V305" s="136"/>
      <c r="W305" s="136"/>
      <c r="X305" s="43"/>
      <c r="Y305" s="17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  <c r="AK305" s="43"/>
      <c r="AL305" s="43"/>
      <c r="AM305" s="43"/>
      <c r="AN305" s="43"/>
      <c r="AO305" s="43"/>
      <c r="AP305" s="43"/>
      <c r="AQ305" s="43"/>
      <c r="AR305" s="43"/>
      <c r="AS305" s="43"/>
      <c r="AT305" s="43"/>
      <c r="AU305" s="43"/>
      <c r="AV305" s="43"/>
    </row>
    <row r="306" ht="14.25" customHeight="1">
      <c r="A306" s="43"/>
      <c r="B306" s="43"/>
      <c r="C306" s="43"/>
      <c r="D306" s="136"/>
      <c r="E306" s="133"/>
      <c r="F306" s="136"/>
      <c r="G306" s="136"/>
      <c r="H306" s="136"/>
      <c r="I306" s="248"/>
      <c r="J306" s="136"/>
      <c r="K306" s="136"/>
      <c r="L306" s="136"/>
      <c r="M306" s="136"/>
      <c r="N306" s="136"/>
      <c r="O306" s="136"/>
      <c r="P306" s="136"/>
      <c r="Q306" s="136"/>
      <c r="R306" s="132"/>
      <c r="S306" s="136"/>
      <c r="T306" s="136"/>
      <c r="U306" s="136"/>
      <c r="V306" s="136"/>
      <c r="W306" s="136"/>
      <c r="X306" s="43"/>
      <c r="Y306" s="173"/>
      <c r="Z306" s="43"/>
      <c r="AA306" s="43"/>
      <c r="AB306" s="43"/>
      <c r="AC306" s="43"/>
      <c r="AD306" s="43"/>
      <c r="AE306" s="43"/>
      <c r="AF306" s="43"/>
      <c r="AG306" s="43"/>
      <c r="AH306" s="43"/>
      <c r="AI306" s="43"/>
      <c r="AJ306" s="43"/>
      <c r="AK306" s="43"/>
      <c r="AL306" s="43"/>
      <c r="AM306" s="43"/>
      <c r="AN306" s="43"/>
      <c r="AO306" s="43"/>
      <c r="AP306" s="43"/>
      <c r="AQ306" s="43"/>
      <c r="AR306" s="43"/>
      <c r="AS306" s="43"/>
      <c r="AT306" s="43"/>
      <c r="AU306" s="43"/>
      <c r="AV306" s="43"/>
    </row>
    <row r="307" ht="14.25" customHeight="1">
      <c r="A307" s="43" t="s">
        <v>686</v>
      </c>
      <c r="B307" s="43" t="s">
        <v>687</v>
      </c>
      <c r="C307" s="43">
        <v>400.0</v>
      </c>
      <c r="D307" s="136"/>
      <c r="E307" s="133"/>
      <c r="F307" s="136"/>
      <c r="G307" s="136"/>
      <c r="H307" s="136"/>
      <c r="I307" s="248"/>
      <c r="J307" s="136"/>
      <c r="K307" s="136"/>
      <c r="L307" s="136"/>
      <c r="M307" s="136">
        <f t="shared" ref="M307:M319" si="21">Y307/C307</f>
        <v>0.14</v>
      </c>
      <c r="N307" s="136"/>
      <c r="O307" s="136"/>
      <c r="P307" s="136"/>
      <c r="Q307" s="136"/>
      <c r="R307" s="132"/>
      <c r="S307" s="136"/>
      <c r="T307" s="136"/>
      <c r="U307" s="136"/>
      <c r="V307" s="136"/>
      <c r="W307" s="136"/>
      <c r="X307" s="43"/>
      <c r="Y307" s="173">
        <v>56.0</v>
      </c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43"/>
      <c r="AM307" s="43"/>
      <c r="AN307" s="43"/>
      <c r="AO307" s="43"/>
      <c r="AP307" s="43"/>
      <c r="AQ307" s="43"/>
      <c r="AR307" s="43"/>
      <c r="AS307" s="43"/>
      <c r="AT307" s="43"/>
      <c r="AU307" s="43"/>
      <c r="AV307" s="43"/>
    </row>
    <row r="308" ht="14.25" customHeight="1">
      <c r="A308" s="43" t="s">
        <v>686</v>
      </c>
      <c r="B308" s="43" t="s">
        <v>688</v>
      </c>
      <c r="C308" s="43">
        <v>390.0</v>
      </c>
      <c r="D308" s="136"/>
      <c r="E308" s="133"/>
      <c r="F308" s="136"/>
      <c r="G308" s="136"/>
      <c r="H308" s="136"/>
      <c r="I308" s="248"/>
      <c r="J308" s="136"/>
      <c r="K308" s="136"/>
      <c r="L308" s="136"/>
      <c r="M308" s="136">
        <f t="shared" si="21"/>
        <v>0.23</v>
      </c>
      <c r="N308" s="136"/>
      <c r="O308" s="136"/>
      <c r="P308" s="136"/>
      <c r="Q308" s="136"/>
      <c r="R308" s="132"/>
      <c r="S308" s="136"/>
      <c r="T308" s="136"/>
      <c r="U308" s="136"/>
      <c r="V308" s="136"/>
      <c r="W308" s="136"/>
      <c r="X308" s="43"/>
      <c r="Y308" s="173">
        <v>89.7</v>
      </c>
      <c r="Z308" s="43"/>
      <c r="AA308" s="43"/>
      <c r="AB308" s="43"/>
      <c r="AC308" s="43"/>
      <c r="AD308" s="43"/>
      <c r="AE308" s="43"/>
      <c r="AF308" s="43"/>
      <c r="AG308" s="43"/>
      <c r="AH308" s="43"/>
      <c r="AI308" s="43"/>
      <c r="AJ308" s="43"/>
      <c r="AK308" s="43"/>
      <c r="AL308" s="43"/>
      <c r="AM308" s="43"/>
      <c r="AN308" s="43"/>
      <c r="AO308" s="43"/>
      <c r="AP308" s="43"/>
      <c r="AQ308" s="43"/>
      <c r="AR308" s="43"/>
      <c r="AS308" s="43"/>
      <c r="AT308" s="43"/>
      <c r="AU308" s="43"/>
      <c r="AV308" s="43"/>
    </row>
    <row r="309" ht="14.25" customHeight="1">
      <c r="A309" s="43" t="s">
        <v>686</v>
      </c>
      <c r="B309" s="43" t="s">
        <v>687</v>
      </c>
      <c r="C309" s="43">
        <v>400.0</v>
      </c>
      <c r="D309" s="136"/>
      <c r="E309" s="133"/>
      <c r="F309" s="136"/>
      <c r="G309" s="136"/>
      <c r="H309" s="136"/>
      <c r="I309" s="248"/>
      <c r="J309" s="136"/>
      <c r="K309" s="136"/>
      <c r="L309" s="136"/>
      <c r="M309" s="136">
        <f t="shared" si="21"/>
        <v>0.27</v>
      </c>
      <c r="N309" s="136"/>
      <c r="O309" s="136"/>
      <c r="P309" s="136"/>
      <c r="Q309" s="136"/>
      <c r="R309" s="132"/>
      <c r="S309" s="136"/>
      <c r="T309" s="136"/>
      <c r="U309" s="136"/>
      <c r="V309" s="136"/>
      <c r="W309" s="136"/>
      <c r="X309" s="43"/>
      <c r="Y309" s="173">
        <v>108.0</v>
      </c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3"/>
      <c r="AK309" s="43"/>
      <c r="AL309" s="43"/>
      <c r="AM309" s="43"/>
      <c r="AN309" s="43"/>
      <c r="AO309" s="43"/>
      <c r="AP309" s="43"/>
      <c r="AQ309" s="43"/>
      <c r="AR309" s="43"/>
      <c r="AS309" s="43"/>
      <c r="AT309" s="43"/>
      <c r="AU309" s="43"/>
      <c r="AV309" s="43"/>
    </row>
    <row r="310" ht="14.25" customHeight="1">
      <c r="A310" s="43" t="s">
        <v>686</v>
      </c>
      <c r="B310" s="43" t="s">
        <v>689</v>
      </c>
      <c r="C310" s="43">
        <v>420.0</v>
      </c>
      <c r="D310" s="136"/>
      <c r="E310" s="133"/>
      <c r="F310" s="136"/>
      <c r="G310" s="136"/>
      <c r="H310" s="136"/>
      <c r="I310" s="248"/>
      <c r="J310" s="136"/>
      <c r="K310" s="136"/>
      <c r="L310" s="136"/>
      <c r="M310" s="136">
        <f t="shared" si="21"/>
        <v>0.145</v>
      </c>
      <c r="N310" s="136"/>
      <c r="O310" s="136"/>
      <c r="P310" s="136"/>
      <c r="Q310" s="136">
        <v>0.138</v>
      </c>
      <c r="R310" s="132"/>
      <c r="S310" s="136"/>
      <c r="T310" s="136"/>
      <c r="U310" s="136"/>
      <c r="V310" s="136"/>
      <c r="W310" s="136"/>
      <c r="X310" s="43"/>
      <c r="Y310" s="173">
        <v>60.9</v>
      </c>
      <c r="Z310" s="43"/>
      <c r="AA310" s="43"/>
      <c r="AB310" s="43"/>
      <c r="AC310" s="43"/>
      <c r="AD310" s="43"/>
      <c r="AE310" s="43"/>
      <c r="AF310" s="43"/>
      <c r="AG310" s="43"/>
      <c r="AH310" s="43"/>
      <c r="AI310" s="43"/>
      <c r="AJ310" s="43"/>
      <c r="AK310" s="43"/>
      <c r="AL310" s="43"/>
      <c r="AM310" s="43"/>
      <c r="AN310" s="43"/>
      <c r="AO310" s="43"/>
      <c r="AP310" s="43"/>
      <c r="AQ310" s="43"/>
      <c r="AR310" s="43"/>
      <c r="AS310" s="43"/>
      <c r="AT310" s="43"/>
      <c r="AU310" s="43"/>
      <c r="AV310" s="43"/>
    </row>
    <row r="311" ht="14.25" customHeight="1">
      <c r="A311" s="43" t="s">
        <v>686</v>
      </c>
      <c r="B311" s="43" t="s">
        <v>689</v>
      </c>
      <c r="C311" s="43">
        <v>420.0</v>
      </c>
      <c r="D311" s="136"/>
      <c r="E311" s="133"/>
      <c r="F311" s="136"/>
      <c r="G311" s="136"/>
      <c r="H311" s="136"/>
      <c r="I311" s="248"/>
      <c r="J311" s="136"/>
      <c r="K311" s="136"/>
      <c r="L311" s="136"/>
      <c r="M311" s="136">
        <f t="shared" si="21"/>
        <v>0.142</v>
      </c>
      <c r="N311" s="136"/>
      <c r="O311" s="136"/>
      <c r="P311" s="136"/>
      <c r="Q311" s="136"/>
      <c r="R311" s="132"/>
      <c r="S311" s="136"/>
      <c r="T311" s="136"/>
      <c r="U311" s="136"/>
      <c r="V311" s="136"/>
      <c r="W311" s="136"/>
      <c r="X311" s="43"/>
      <c r="Y311" s="173">
        <v>59.64</v>
      </c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3"/>
      <c r="AK311" s="43"/>
      <c r="AL311" s="43"/>
      <c r="AM311" s="43"/>
      <c r="AN311" s="43"/>
      <c r="AO311" s="43"/>
      <c r="AP311" s="43"/>
      <c r="AQ311" s="43"/>
      <c r="AR311" s="43"/>
      <c r="AS311" s="43"/>
      <c r="AT311" s="43"/>
      <c r="AU311" s="43"/>
      <c r="AV311" s="43"/>
    </row>
    <row r="312" ht="14.25" customHeight="1">
      <c r="A312" s="43" t="s">
        <v>686</v>
      </c>
      <c r="B312" s="43" t="s">
        <v>690</v>
      </c>
      <c r="C312" s="43">
        <v>425.0</v>
      </c>
      <c r="D312" s="136"/>
      <c r="E312" s="133"/>
      <c r="F312" s="136"/>
      <c r="G312" s="136"/>
      <c r="H312" s="136"/>
      <c r="I312" s="248"/>
      <c r="J312" s="136"/>
      <c r="K312" s="136"/>
      <c r="L312" s="136"/>
      <c r="M312" s="136">
        <f t="shared" si="21"/>
        <v>0.1470117647</v>
      </c>
      <c r="N312" s="136"/>
      <c r="O312" s="136"/>
      <c r="P312" s="136"/>
      <c r="Q312" s="136">
        <v>0.138</v>
      </c>
      <c r="R312" s="132"/>
      <c r="S312" s="136"/>
      <c r="T312" s="136"/>
      <c r="U312" s="136"/>
      <c r="V312" s="136"/>
      <c r="W312" s="136"/>
      <c r="X312" s="43"/>
      <c r="Y312" s="173">
        <v>62.48</v>
      </c>
      <c r="Z312" s="43"/>
      <c r="AA312" s="43"/>
      <c r="AB312" s="43"/>
      <c r="AC312" s="43"/>
      <c r="AD312" s="43"/>
      <c r="AE312" s="43"/>
      <c r="AF312" s="43"/>
      <c r="AG312" s="43"/>
      <c r="AH312" s="43"/>
      <c r="AI312" s="43"/>
      <c r="AJ312" s="43"/>
      <c r="AK312" s="43"/>
      <c r="AL312" s="43"/>
      <c r="AM312" s="43"/>
      <c r="AN312" s="43"/>
      <c r="AO312" s="43"/>
      <c r="AP312" s="43"/>
      <c r="AQ312" s="43"/>
      <c r="AR312" s="43"/>
      <c r="AS312" s="43"/>
      <c r="AT312" s="43"/>
      <c r="AU312" s="43"/>
      <c r="AV312" s="43"/>
    </row>
    <row r="313" ht="14.25" customHeight="1">
      <c r="A313" s="43" t="s">
        <v>686</v>
      </c>
      <c r="B313" s="43" t="s">
        <v>691</v>
      </c>
      <c r="C313" s="43">
        <v>430.0</v>
      </c>
      <c r="D313" s="136"/>
      <c r="E313" s="133"/>
      <c r="F313" s="136"/>
      <c r="G313" s="136"/>
      <c r="H313" s="136"/>
      <c r="I313" s="248"/>
      <c r="J313" s="136"/>
      <c r="K313" s="136"/>
      <c r="L313" s="136"/>
      <c r="M313" s="136">
        <f t="shared" si="21"/>
        <v>0.15</v>
      </c>
      <c r="N313" s="136"/>
      <c r="O313" s="136"/>
      <c r="P313" s="136"/>
      <c r="Q313" s="136"/>
      <c r="R313" s="132"/>
      <c r="S313" s="136"/>
      <c r="T313" s="136"/>
      <c r="U313" s="136"/>
      <c r="V313" s="136"/>
      <c r="W313" s="136"/>
      <c r="X313" s="43"/>
      <c r="Y313" s="173">
        <v>64.5</v>
      </c>
      <c r="Z313" s="43"/>
      <c r="AA313" s="43"/>
      <c r="AB313" s="43"/>
      <c r="AC313" s="43"/>
      <c r="AD313" s="43"/>
      <c r="AE313" s="43"/>
      <c r="AF313" s="43"/>
      <c r="AG313" s="43"/>
      <c r="AH313" s="43"/>
      <c r="AI313" s="43"/>
      <c r="AJ313" s="43"/>
      <c r="AK313" s="43"/>
      <c r="AL313" s="43"/>
      <c r="AM313" s="43"/>
      <c r="AN313" s="43"/>
      <c r="AO313" s="43"/>
      <c r="AP313" s="43"/>
      <c r="AQ313" s="43"/>
      <c r="AR313" s="43"/>
      <c r="AS313" s="43"/>
      <c r="AT313" s="43"/>
      <c r="AU313" s="43"/>
      <c r="AV313" s="43"/>
    </row>
    <row r="314" ht="14.25" customHeight="1">
      <c r="A314" s="43" t="s">
        <v>686</v>
      </c>
      <c r="B314" s="43" t="s">
        <v>692</v>
      </c>
      <c r="C314" s="43">
        <v>430.0</v>
      </c>
      <c r="D314" s="136"/>
      <c r="E314" s="133"/>
      <c r="F314" s="136"/>
      <c r="G314" s="136"/>
      <c r="H314" s="136"/>
      <c r="I314" s="248"/>
      <c r="J314" s="136"/>
      <c r="K314" s="136"/>
      <c r="L314" s="136"/>
      <c r="M314" s="136">
        <f t="shared" si="21"/>
        <v>0.175</v>
      </c>
      <c r="N314" s="136"/>
      <c r="O314" s="136"/>
      <c r="P314" s="136"/>
      <c r="Q314" s="136">
        <v>0.157</v>
      </c>
      <c r="R314" s="132">
        <v>0.132</v>
      </c>
      <c r="S314" s="136"/>
      <c r="T314" s="136"/>
      <c r="U314" s="136"/>
      <c r="V314" s="136"/>
      <c r="W314" s="136"/>
      <c r="X314" s="43"/>
      <c r="Y314" s="173">
        <v>75.25</v>
      </c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43"/>
      <c r="AK314" s="43"/>
      <c r="AL314" s="43"/>
      <c r="AM314" s="43"/>
      <c r="AN314" s="43"/>
      <c r="AO314" s="43"/>
      <c r="AP314" s="43"/>
      <c r="AQ314" s="43"/>
      <c r="AR314" s="43"/>
      <c r="AS314" s="43"/>
      <c r="AT314" s="43"/>
      <c r="AU314" s="43"/>
      <c r="AV314" s="43"/>
    </row>
    <row r="315" ht="14.25" customHeight="1">
      <c r="A315" s="43" t="s">
        <v>686</v>
      </c>
      <c r="B315" s="43" t="s">
        <v>693</v>
      </c>
      <c r="C315" s="43">
        <v>435.0</v>
      </c>
      <c r="D315" s="136"/>
      <c r="E315" s="133"/>
      <c r="F315" s="136"/>
      <c r="G315" s="136"/>
      <c r="H315" s="136"/>
      <c r="I315" s="248"/>
      <c r="J315" s="136"/>
      <c r="K315" s="136"/>
      <c r="L315" s="136"/>
      <c r="M315" s="136">
        <f t="shared" si="21"/>
        <v>0.1849885057</v>
      </c>
      <c r="N315" s="136"/>
      <c r="O315" s="136"/>
      <c r="P315" s="136"/>
      <c r="Q315" s="136"/>
      <c r="R315" s="132"/>
      <c r="S315" s="136"/>
      <c r="T315" s="136"/>
      <c r="U315" s="136"/>
      <c r="V315" s="136"/>
      <c r="W315" s="136"/>
      <c r="X315" s="43"/>
      <c r="Y315" s="173">
        <v>80.47</v>
      </c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  <c r="AK315" s="43"/>
      <c r="AL315" s="43"/>
      <c r="AM315" s="43"/>
      <c r="AN315" s="43"/>
      <c r="AO315" s="43"/>
      <c r="AP315" s="43"/>
      <c r="AQ315" s="43"/>
      <c r="AR315" s="43"/>
      <c r="AS315" s="43"/>
      <c r="AT315" s="43"/>
      <c r="AU315" s="43"/>
      <c r="AV315" s="43"/>
    </row>
    <row r="316" ht="14.25" customHeight="1">
      <c r="A316" s="43" t="s">
        <v>686</v>
      </c>
      <c r="B316" s="43" t="s">
        <v>694</v>
      </c>
      <c r="C316" s="43">
        <v>440.0</v>
      </c>
      <c r="D316" s="136"/>
      <c r="E316" s="133"/>
      <c r="F316" s="136"/>
      <c r="G316" s="136"/>
      <c r="H316" s="136"/>
      <c r="I316" s="248"/>
      <c r="J316" s="136"/>
      <c r="K316" s="136"/>
      <c r="L316" s="136"/>
      <c r="M316" s="136">
        <f t="shared" si="21"/>
        <v>0.195</v>
      </c>
      <c r="N316" s="136"/>
      <c r="O316" s="136"/>
      <c r="P316" s="136"/>
      <c r="Q316" s="136"/>
      <c r="R316" s="132"/>
      <c r="S316" s="136"/>
      <c r="T316" s="136"/>
      <c r="U316" s="136"/>
      <c r="V316" s="136"/>
      <c r="W316" s="136"/>
      <c r="X316" s="43"/>
      <c r="Y316" s="173">
        <v>85.8</v>
      </c>
      <c r="Z316" s="43"/>
      <c r="AA316" s="43"/>
      <c r="AB316" s="43"/>
      <c r="AC316" s="43"/>
      <c r="AD316" s="43"/>
      <c r="AE316" s="43"/>
      <c r="AF316" s="43"/>
      <c r="AG316" s="43"/>
      <c r="AH316" s="43"/>
      <c r="AI316" s="43"/>
      <c r="AJ316" s="43"/>
      <c r="AK316" s="43"/>
      <c r="AL316" s="43"/>
      <c r="AM316" s="43"/>
      <c r="AN316" s="43"/>
      <c r="AO316" s="43"/>
      <c r="AP316" s="43"/>
      <c r="AQ316" s="43"/>
      <c r="AR316" s="43"/>
      <c r="AS316" s="43"/>
      <c r="AT316" s="43"/>
      <c r="AU316" s="43"/>
      <c r="AV316" s="43"/>
    </row>
    <row r="317" ht="14.25" customHeight="1">
      <c r="A317" s="43" t="s">
        <v>686</v>
      </c>
      <c r="B317" s="43" t="s">
        <v>695</v>
      </c>
      <c r="C317" s="43">
        <v>445.0</v>
      </c>
      <c r="D317" s="136"/>
      <c r="E317" s="133"/>
      <c r="F317" s="136"/>
      <c r="G317" s="136"/>
      <c r="H317" s="136"/>
      <c r="I317" s="248"/>
      <c r="J317" s="136"/>
      <c r="K317" s="136"/>
      <c r="L317" s="136"/>
      <c r="M317" s="136">
        <f t="shared" si="21"/>
        <v>0.204988764</v>
      </c>
      <c r="N317" s="136"/>
      <c r="O317" s="136"/>
      <c r="P317" s="136"/>
      <c r="Q317" s="136">
        <v>0.161</v>
      </c>
      <c r="R317" s="132">
        <v>0.141</v>
      </c>
      <c r="S317" s="136"/>
      <c r="T317" s="136"/>
      <c r="U317" s="136"/>
      <c r="V317" s="136"/>
      <c r="W317" s="136"/>
      <c r="X317" s="43"/>
      <c r="Y317" s="173">
        <v>91.22</v>
      </c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  <c r="AN317" s="43"/>
      <c r="AO317" s="43"/>
      <c r="AP317" s="43"/>
      <c r="AQ317" s="43"/>
      <c r="AR317" s="43"/>
      <c r="AS317" s="43"/>
      <c r="AT317" s="43"/>
      <c r="AU317" s="43"/>
      <c r="AV317" s="43"/>
    </row>
    <row r="318" ht="14.25" customHeight="1">
      <c r="A318" s="43" t="s">
        <v>686</v>
      </c>
      <c r="B318" s="43" t="s">
        <v>696</v>
      </c>
      <c r="C318" s="43">
        <v>500.0</v>
      </c>
      <c r="D318" s="136"/>
      <c r="E318" s="133"/>
      <c r="F318" s="136"/>
      <c r="G318" s="136"/>
      <c r="H318" s="136"/>
      <c r="I318" s="248"/>
      <c r="J318" s="136"/>
      <c r="K318" s="136"/>
      <c r="L318" s="136"/>
      <c r="M318" s="136">
        <f t="shared" si="21"/>
        <v>0.166</v>
      </c>
      <c r="N318" s="136"/>
      <c r="O318" s="136"/>
      <c r="P318" s="136"/>
      <c r="Q318" s="136"/>
      <c r="R318" s="132"/>
      <c r="S318" s="136"/>
      <c r="T318" s="136"/>
      <c r="U318" s="136"/>
      <c r="V318" s="136"/>
      <c r="W318" s="136"/>
      <c r="X318" s="43"/>
      <c r="Y318" s="173">
        <v>83.0</v>
      </c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3"/>
      <c r="AK318" s="43"/>
      <c r="AL318" s="43"/>
      <c r="AM318" s="43"/>
      <c r="AN318" s="43"/>
      <c r="AO318" s="43"/>
      <c r="AP318" s="43"/>
      <c r="AQ318" s="43"/>
      <c r="AR318" s="43"/>
      <c r="AS318" s="43"/>
      <c r="AT318" s="43"/>
      <c r="AU318" s="43"/>
      <c r="AV318" s="43"/>
    </row>
    <row r="319" ht="14.25" customHeight="1">
      <c r="A319" s="43" t="s">
        <v>686</v>
      </c>
      <c r="B319" s="43" t="s">
        <v>697</v>
      </c>
      <c r="C319" s="43">
        <v>510.0</v>
      </c>
      <c r="D319" s="136"/>
      <c r="E319" s="133"/>
      <c r="F319" s="136"/>
      <c r="G319" s="136"/>
      <c r="H319" s="136"/>
      <c r="I319" s="248"/>
      <c r="J319" s="136"/>
      <c r="K319" s="136"/>
      <c r="L319" s="136"/>
      <c r="M319" s="136">
        <f t="shared" si="21"/>
        <v>0.31</v>
      </c>
      <c r="N319" s="136"/>
      <c r="O319" s="136"/>
      <c r="P319" s="136"/>
      <c r="Q319" s="136"/>
      <c r="R319" s="132"/>
      <c r="S319" s="136"/>
      <c r="T319" s="136"/>
      <c r="U319" s="136"/>
      <c r="V319" s="136"/>
      <c r="W319" s="136"/>
      <c r="X319" s="43"/>
      <c r="Y319" s="173">
        <v>158.1</v>
      </c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3"/>
      <c r="AK319" s="43"/>
      <c r="AL319" s="43"/>
      <c r="AM319" s="43"/>
      <c r="AN319" s="43"/>
      <c r="AO319" s="43"/>
      <c r="AP319" s="43"/>
      <c r="AQ319" s="43"/>
      <c r="AR319" s="43"/>
      <c r="AS319" s="43"/>
      <c r="AT319" s="43"/>
      <c r="AU319" s="43"/>
      <c r="AV319" s="43"/>
    </row>
    <row r="320" ht="14.25" customHeight="1">
      <c r="A320" s="43" t="s">
        <v>686</v>
      </c>
      <c r="B320" s="43" t="s">
        <v>698</v>
      </c>
      <c r="C320" s="43">
        <v>550.0</v>
      </c>
      <c r="D320" s="136"/>
      <c r="E320" s="133"/>
      <c r="F320" s="136"/>
      <c r="G320" s="136"/>
      <c r="H320" s="136"/>
      <c r="I320" s="248"/>
      <c r="J320" s="136"/>
      <c r="K320" s="136"/>
      <c r="L320" s="136"/>
      <c r="M320" s="136"/>
      <c r="N320" s="136"/>
      <c r="O320" s="136"/>
      <c r="P320" s="136"/>
      <c r="Q320" s="136"/>
      <c r="R320" s="132">
        <v>0.121</v>
      </c>
      <c r="S320" s="136"/>
      <c r="T320" s="136"/>
      <c r="U320" s="136"/>
      <c r="V320" s="136"/>
      <c r="W320" s="136"/>
      <c r="X320" s="43"/>
      <c r="Y320" s="173"/>
      <c r="Z320" s="43"/>
      <c r="AA320" s="43"/>
      <c r="AB320" s="43"/>
      <c r="AC320" s="43"/>
      <c r="AD320" s="43"/>
      <c r="AE320" s="43"/>
      <c r="AF320" s="43"/>
      <c r="AG320" s="43"/>
      <c r="AH320" s="43"/>
      <c r="AI320" s="43"/>
      <c r="AJ320" s="43"/>
      <c r="AK320" s="43"/>
      <c r="AL320" s="43"/>
      <c r="AM320" s="43"/>
      <c r="AN320" s="43"/>
      <c r="AO320" s="43"/>
      <c r="AP320" s="43"/>
      <c r="AQ320" s="43"/>
      <c r="AR320" s="43"/>
      <c r="AS320" s="43"/>
      <c r="AT320" s="43"/>
      <c r="AU320" s="43"/>
      <c r="AV320" s="43"/>
    </row>
    <row r="321" ht="14.25" customHeight="1">
      <c r="A321" s="43" t="s">
        <v>686</v>
      </c>
      <c r="B321" s="43" t="s">
        <v>699</v>
      </c>
      <c r="C321" s="43">
        <v>575.0</v>
      </c>
      <c r="D321" s="136"/>
      <c r="E321" s="133"/>
      <c r="F321" s="136"/>
      <c r="G321" s="136"/>
      <c r="H321" s="136"/>
      <c r="I321" s="248"/>
      <c r="J321" s="136"/>
      <c r="K321" s="136"/>
      <c r="L321" s="136"/>
      <c r="M321" s="136"/>
      <c r="N321" s="136"/>
      <c r="O321" s="136"/>
      <c r="P321" s="136"/>
      <c r="Q321" s="136"/>
      <c r="R321" s="132">
        <v>0.127</v>
      </c>
      <c r="S321" s="136"/>
      <c r="T321" s="136"/>
      <c r="U321" s="136"/>
      <c r="V321" s="136"/>
      <c r="W321" s="136"/>
      <c r="X321" s="43"/>
      <c r="Y321" s="173"/>
      <c r="Z321" s="43"/>
      <c r="AA321" s="43"/>
      <c r="AB321" s="43"/>
      <c r="AC321" s="43"/>
      <c r="AD321" s="43"/>
      <c r="AE321" s="43"/>
      <c r="AF321" s="43"/>
      <c r="AG321" s="43"/>
      <c r="AH321" s="43"/>
      <c r="AI321" s="43"/>
      <c r="AJ321" s="43"/>
      <c r="AK321" s="43"/>
      <c r="AL321" s="43"/>
      <c r="AM321" s="43"/>
      <c r="AN321" s="43"/>
      <c r="AO321" s="43"/>
      <c r="AP321" s="43"/>
      <c r="AQ321" s="43"/>
      <c r="AR321" s="43"/>
      <c r="AS321" s="43"/>
      <c r="AT321" s="43"/>
      <c r="AU321" s="43"/>
      <c r="AV321" s="43"/>
    </row>
    <row r="322" ht="14.25" customHeight="1">
      <c r="A322" s="43" t="s">
        <v>686</v>
      </c>
      <c r="B322" s="43" t="s">
        <v>700</v>
      </c>
      <c r="C322" s="43">
        <v>580.0</v>
      </c>
      <c r="D322" s="136"/>
      <c r="E322" s="133"/>
      <c r="F322" s="136"/>
      <c r="G322" s="136"/>
      <c r="H322" s="136"/>
      <c r="I322" s="248"/>
      <c r="J322" s="136"/>
      <c r="K322" s="136"/>
      <c r="L322" s="136"/>
      <c r="M322" s="136"/>
      <c r="N322" s="136"/>
      <c r="O322" s="136"/>
      <c r="P322" s="136"/>
      <c r="Q322" s="136"/>
      <c r="R322" s="132">
        <v>0.127</v>
      </c>
      <c r="S322" s="136"/>
      <c r="T322" s="136"/>
      <c r="U322" s="136"/>
      <c r="V322" s="136"/>
      <c r="W322" s="136"/>
      <c r="X322" s="43"/>
      <c r="Y322" s="173"/>
      <c r="Z322" s="43"/>
      <c r="AA322" s="43"/>
      <c r="AB322" s="43"/>
      <c r="AC322" s="43"/>
      <c r="AD322" s="43"/>
      <c r="AE322" s="43"/>
      <c r="AF322" s="43"/>
      <c r="AG322" s="43"/>
      <c r="AH322" s="43"/>
      <c r="AI322" s="43"/>
      <c r="AJ322" s="43"/>
      <c r="AK322" s="43"/>
      <c r="AL322" s="43"/>
      <c r="AM322" s="43"/>
      <c r="AN322" s="43"/>
      <c r="AO322" s="43"/>
      <c r="AP322" s="43"/>
      <c r="AQ322" s="43"/>
      <c r="AR322" s="43"/>
      <c r="AS322" s="43"/>
      <c r="AT322" s="43"/>
      <c r="AU322" s="43"/>
      <c r="AV322" s="43"/>
    </row>
    <row r="323" ht="14.25" customHeight="1">
      <c r="A323" s="43" t="s">
        <v>686</v>
      </c>
      <c r="B323" s="43" t="s">
        <v>701</v>
      </c>
      <c r="C323" s="43">
        <v>580.0</v>
      </c>
      <c r="D323" s="136"/>
      <c r="E323" s="133"/>
      <c r="F323" s="136"/>
      <c r="G323" s="136"/>
      <c r="H323" s="136"/>
      <c r="I323" s="248"/>
      <c r="J323" s="136"/>
      <c r="K323" s="136"/>
      <c r="L323" s="136"/>
      <c r="M323" s="136"/>
      <c r="N323" s="136"/>
      <c r="O323" s="136"/>
      <c r="P323" s="136"/>
      <c r="Q323" s="136"/>
      <c r="R323" s="132">
        <v>0.128</v>
      </c>
      <c r="S323" s="136"/>
      <c r="T323" s="136"/>
      <c r="U323" s="136"/>
      <c r="V323" s="136"/>
      <c r="W323" s="136"/>
      <c r="X323" s="43"/>
      <c r="Y323" s="173"/>
      <c r="Z323" s="43"/>
      <c r="AA323" s="43"/>
      <c r="AB323" s="43"/>
      <c r="AC323" s="43"/>
      <c r="AD323" s="43"/>
      <c r="AE323" s="43"/>
      <c r="AF323" s="43"/>
      <c r="AG323" s="43"/>
      <c r="AH323" s="43"/>
      <c r="AI323" s="43"/>
      <c r="AJ323" s="43"/>
      <c r="AK323" s="43"/>
      <c r="AL323" s="43"/>
      <c r="AM323" s="43"/>
      <c r="AN323" s="43"/>
      <c r="AO323" s="43"/>
      <c r="AP323" s="43"/>
      <c r="AQ323" s="43"/>
      <c r="AR323" s="43"/>
      <c r="AS323" s="43"/>
      <c r="AT323" s="43"/>
      <c r="AU323" s="43"/>
      <c r="AV323" s="43"/>
    </row>
    <row r="324" ht="14.25" customHeight="1">
      <c r="A324" s="43" t="s">
        <v>686</v>
      </c>
      <c r="B324" s="43" t="s">
        <v>702</v>
      </c>
      <c r="C324" s="43">
        <v>585.0</v>
      </c>
      <c r="D324" s="136"/>
      <c r="E324" s="133"/>
      <c r="F324" s="136"/>
      <c r="G324" s="136"/>
      <c r="H324" s="136"/>
      <c r="I324" s="248"/>
      <c r="J324" s="136"/>
      <c r="K324" s="136"/>
      <c r="L324" s="136"/>
      <c r="M324" s="136"/>
      <c r="N324" s="136"/>
      <c r="O324" s="136"/>
      <c r="P324" s="136"/>
      <c r="Q324" s="136"/>
      <c r="R324" s="132">
        <v>0.128</v>
      </c>
      <c r="S324" s="136"/>
      <c r="T324" s="136"/>
      <c r="U324" s="136"/>
      <c r="V324" s="136"/>
      <c r="W324" s="136"/>
      <c r="X324" s="43"/>
      <c r="Y324" s="173"/>
      <c r="Z324" s="43"/>
      <c r="AA324" s="43"/>
      <c r="AB324" s="43"/>
      <c r="AC324" s="43"/>
      <c r="AD324" s="43"/>
      <c r="AE324" s="43"/>
      <c r="AF324" s="43"/>
      <c r="AG324" s="43"/>
      <c r="AH324" s="43"/>
      <c r="AI324" s="43"/>
      <c r="AJ324" s="43"/>
      <c r="AK324" s="43"/>
      <c r="AL324" s="43"/>
      <c r="AM324" s="43"/>
      <c r="AN324" s="43"/>
      <c r="AO324" s="43"/>
      <c r="AP324" s="43"/>
      <c r="AQ324" s="43"/>
      <c r="AR324" s="43"/>
      <c r="AS324" s="43"/>
      <c r="AT324" s="43"/>
      <c r="AU324" s="43"/>
      <c r="AV324" s="43"/>
    </row>
    <row r="325" ht="14.25" customHeight="1">
      <c r="A325" s="43" t="s">
        <v>686</v>
      </c>
      <c r="B325" s="43" t="s">
        <v>703</v>
      </c>
      <c r="C325" s="43">
        <v>590.0</v>
      </c>
      <c r="D325" s="136"/>
      <c r="E325" s="133"/>
      <c r="F325" s="136"/>
      <c r="G325" s="136"/>
      <c r="H325" s="136"/>
      <c r="I325" s="248"/>
      <c r="J325" s="136"/>
      <c r="K325" s="136"/>
      <c r="L325" s="136"/>
      <c r="M325" s="136"/>
      <c r="N325" s="136"/>
      <c r="O325" s="136"/>
      <c r="P325" s="136"/>
      <c r="Q325" s="136"/>
      <c r="R325" s="132">
        <v>0.128</v>
      </c>
      <c r="S325" s="136"/>
      <c r="T325" s="136"/>
      <c r="U325" s="136"/>
      <c r="V325" s="136"/>
      <c r="W325" s="136"/>
      <c r="X325" s="43"/>
      <c r="Y325" s="17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  <c r="AK325" s="43"/>
      <c r="AL325" s="43"/>
      <c r="AM325" s="43"/>
      <c r="AN325" s="43"/>
      <c r="AO325" s="43"/>
      <c r="AP325" s="43"/>
      <c r="AQ325" s="43"/>
      <c r="AR325" s="43"/>
      <c r="AS325" s="43"/>
      <c r="AT325" s="43"/>
      <c r="AU325" s="43"/>
      <c r="AV325" s="43"/>
    </row>
    <row r="326" ht="14.25" customHeight="1">
      <c r="A326" s="43"/>
      <c r="B326" s="43"/>
      <c r="C326" s="43"/>
      <c r="D326" s="136"/>
      <c r="E326" s="133"/>
      <c r="F326" s="136"/>
      <c r="G326" s="136"/>
      <c r="H326" s="136"/>
      <c r="I326" s="248"/>
      <c r="J326" s="136"/>
      <c r="K326" s="136"/>
      <c r="L326" s="136"/>
      <c r="M326" s="136"/>
      <c r="N326" s="136"/>
      <c r="O326" s="136"/>
      <c r="P326" s="136"/>
      <c r="Q326" s="136"/>
      <c r="R326" s="132"/>
      <c r="S326" s="136"/>
      <c r="T326" s="136"/>
      <c r="U326" s="136"/>
      <c r="V326" s="136"/>
      <c r="W326" s="136"/>
      <c r="X326" s="43"/>
      <c r="Y326" s="173"/>
      <c r="Z326" s="43"/>
      <c r="AA326" s="43"/>
      <c r="AB326" s="43"/>
      <c r="AC326" s="43"/>
      <c r="AD326" s="43"/>
      <c r="AE326" s="43"/>
      <c r="AF326" s="43"/>
      <c r="AG326" s="43"/>
      <c r="AH326" s="43"/>
      <c r="AI326" s="43"/>
      <c r="AJ326" s="43"/>
      <c r="AK326" s="43"/>
      <c r="AL326" s="43"/>
      <c r="AM326" s="43"/>
      <c r="AN326" s="43"/>
      <c r="AO326" s="43"/>
      <c r="AP326" s="43"/>
      <c r="AQ326" s="43"/>
      <c r="AR326" s="43"/>
      <c r="AS326" s="43"/>
      <c r="AT326" s="43"/>
      <c r="AU326" s="43"/>
      <c r="AV326" s="43"/>
    </row>
    <row r="327" ht="14.25" customHeight="1">
      <c r="A327" s="43" t="s">
        <v>704</v>
      </c>
      <c r="B327" s="43" t="s">
        <v>705</v>
      </c>
      <c r="C327" s="43">
        <v>430.0</v>
      </c>
      <c r="D327" s="136"/>
      <c r="E327" s="133"/>
      <c r="F327" s="136"/>
      <c r="G327" s="136"/>
      <c r="H327" s="136"/>
      <c r="I327" s="248"/>
      <c r="J327" s="136"/>
      <c r="K327" s="136"/>
      <c r="L327" s="136"/>
      <c r="M327" s="136"/>
      <c r="N327" s="136"/>
      <c r="O327" s="136"/>
      <c r="P327" s="136"/>
      <c r="Q327" s="136"/>
      <c r="R327" s="132">
        <v>0.123</v>
      </c>
      <c r="S327" s="136"/>
      <c r="T327" s="136"/>
      <c r="U327" s="136"/>
      <c r="V327" s="136"/>
      <c r="W327" s="136"/>
      <c r="X327" s="43"/>
      <c r="Y327" s="17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  <c r="AK327" s="43"/>
      <c r="AL327" s="43"/>
      <c r="AM327" s="43"/>
      <c r="AN327" s="43"/>
      <c r="AO327" s="43"/>
      <c r="AP327" s="43"/>
      <c r="AQ327" s="43"/>
      <c r="AR327" s="43"/>
      <c r="AS327" s="43"/>
      <c r="AT327" s="43"/>
      <c r="AU327" s="43"/>
      <c r="AV327" s="43"/>
    </row>
    <row r="328" ht="14.25" customHeight="1">
      <c r="A328" s="43" t="s">
        <v>704</v>
      </c>
      <c r="B328" s="43" t="s">
        <v>706</v>
      </c>
      <c r="C328" s="43">
        <v>480.0</v>
      </c>
      <c r="D328" s="136"/>
      <c r="E328" s="133"/>
      <c r="F328" s="136"/>
      <c r="G328" s="136"/>
      <c r="H328" s="136"/>
      <c r="I328" s="248"/>
      <c r="J328" s="136"/>
      <c r="K328" s="136"/>
      <c r="L328" s="136"/>
      <c r="M328" s="136"/>
      <c r="N328" s="136"/>
      <c r="O328" s="136"/>
      <c r="P328" s="136"/>
      <c r="Q328" s="136"/>
      <c r="R328" s="132">
        <v>0.127</v>
      </c>
      <c r="S328" s="136"/>
      <c r="T328" s="136"/>
      <c r="U328" s="136"/>
      <c r="V328" s="136"/>
      <c r="W328" s="136"/>
      <c r="X328" s="43"/>
      <c r="Y328" s="173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43"/>
      <c r="AK328" s="43"/>
      <c r="AL328" s="43"/>
      <c r="AM328" s="43"/>
      <c r="AN328" s="43"/>
      <c r="AO328" s="43"/>
      <c r="AP328" s="43"/>
      <c r="AQ328" s="43"/>
      <c r="AR328" s="43"/>
      <c r="AS328" s="43"/>
      <c r="AT328" s="43"/>
      <c r="AU328" s="43"/>
      <c r="AV328" s="43"/>
    </row>
    <row r="329" ht="14.25" customHeight="1">
      <c r="A329" s="43" t="s">
        <v>704</v>
      </c>
      <c r="B329" s="43" t="s">
        <v>707</v>
      </c>
      <c r="C329" s="43">
        <v>485.0</v>
      </c>
      <c r="D329" s="136"/>
      <c r="E329" s="133"/>
      <c r="F329" s="136"/>
      <c r="G329" s="136"/>
      <c r="H329" s="136"/>
      <c r="I329" s="248"/>
      <c r="J329" s="136"/>
      <c r="K329" s="136"/>
      <c r="L329" s="136"/>
      <c r="M329" s="136"/>
      <c r="N329" s="136"/>
      <c r="O329" s="136"/>
      <c r="P329" s="136"/>
      <c r="Q329" s="136"/>
      <c r="R329" s="132">
        <v>0.127</v>
      </c>
      <c r="S329" s="136"/>
      <c r="T329" s="136"/>
      <c r="U329" s="136"/>
      <c r="V329" s="136"/>
      <c r="W329" s="136"/>
      <c r="X329" s="43"/>
      <c r="Y329" s="173"/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  <c r="AO329" s="43"/>
      <c r="AP329" s="43"/>
      <c r="AQ329" s="43"/>
      <c r="AR329" s="43"/>
      <c r="AS329" s="43"/>
      <c r="AT329" s="43"/>
      <c r="AU329" s="43"/>
      <c r="AV329" s="43"/>
    </row>
    <row r="330" ht="14.25" customHeight="1">
      <c r="A330" s="43"/>
      <c r="B330" s="43"/>
      <c r="C330" s="43"/>
      <c r="D330" s="136"/>
      <c r="E330" s="133"/>
      <c r="F330" s="136"/>
      <c r="G330" s="136"/>
      <c r="H330" s="136"/>
      <c r="I330" s="248"/>
      <c r="J330" s="136"/>
      <c r="K330" s="136"/>
      <c r="L330" s="136"/>
      <c r="M330" s="136"/>
      <c r="N330" s="136"/>
      <c r="O330" s="136"/>
      <c r="P330" s="136"/>
      <c r="Q330" s="136"/>
      <c r="R330" s="132"/>
      <c r="S330" s="136"/>
      <c r="T330" s="136"/>
      <c r="U330" s="136"/>
      <c r="V330" s="136"/>
      <c r="W330" s="136"/>
      <c r="X330" s="43"/>
      <c r="Y330" s="173"/>
      <c r="Z330" s="43"/>
      <c r="AA330" s="43"/>
      <c r="AB330" s="43"/>
      <c r="AC330" s="43"/>
      <c r="AD330" s="43"/>
      <c r="AE330" s="43"/>
      <c r="AF330" s="43"/>
      <c r="AG330" s="43"/>
      <c r="AH330" s="43"/>
      <c r="AI330" s="43"/>
      <c r="AJ330" s="43"/>
      <c r="AK330" s="43"/>
      <c r="AL330" s="43"/>
      <c r="AM330" s="43"/>
      <c r="AN330" s="43"/>
      <c r="AO330" s="43"/>
      <c r="AP330" s="43"/>
      <c r="AQ330" s="43"/>
      <c r="AR330" s="43"/>
      <c r="AS330" s="43"/>
      <c r="AT330" s="43"/>
      <c r="AU330" s="43"/>
      <c r="AV330" s="43"/>
    </row>
    <row r="331" ht="14.25" customHeight="1">
      <c r="A331" s="43" t="s">
        <v>708</v>
      </c>
      <c r="B331" s="249" t="s">
        <v>709</v>
      </c>
      <c r="C331" s="43">
        <v>605.0</v>
      </c>
      <c r="D331" s="136"/>
      <c r="E331" s="133"/>
      <c r="F331" s="136"/>
      <c r="G331" s="136"/>
      <c r="H331" s="136"/>
      <c r="I331" s="248"/>
      <c r="J331" s="136"/>
      <c r="K331" s="136"/>
      <c r="L331" s="136"/>
      <c r="M331" s="136"/>
      <c r="N331" s="136"/>
      <c r="O331" s="136"/>
      <c r="P331" s="136"/>
      <c r="Q331" s="136"/>
      <c r="R331" s="132">
        <v>0.13</v>
      </c>
      <c r="S331" s="136"/>
      <c r="T331" s="136"/>
      <c r="U331" s="136"/>
      <c r="V331" s="136"/>
      <c r="W331" s="136"/>
      <c r="X331" s="43"/>
      <c r="Y331" s="173"/>
      <c r="Z331" s="43"/>
      <c r="AA331" s="43"/>
      <c r="AB331" s="43"/>
      <c r="AC331" s="43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  <c r="AN331" s="43"/>
      <c r="AO331" s="43"/>
      <c r="AP331" s="43"/>
      <c r="AQ331" s="43"/>
      <c r="AR331" s="43"/>
      <c r="AS331" s="43"/>
      <c r="AT331" s="43"/>
      <c r="AU331" s="43"/>
      <c r="AV331" s="43"/>
    </row>
    <row r="332" ht="14.25" customHeight="1">
      <c r="A332" s="43"/>
      <c r="B332" s="43"/>
      <c r="C332" s="43"/>
      <c r="D332" s="136"/>
      <c r="E332" s="133"/>
      <c r="F332" s="136"/>
      <c r="G332" s="136"/>
      <c r="H332" s="136"/>
      <c r="I332" s="248"/>
      <c r="J332" s="136"/>
      <c r="K332" s="136"/>
      <c r="L332" s="136"/>
      <c r="M332" s="136"/>
      <c r="N332" s="136"/>
      <c r="O332" s="136"/>
      <c r="P332" s="136"/>
      <c r="Q332" s="136"/>
      <c r="R332" s="132"/>
      <c r="S332" s="136"/>
      <c r="T332" s="136"/>
      <c r="U332" s="136"/>
      <c r="V332" s="136"/>
      <c r="W332" s="136"/>
      <c r="X332" s="43"/>
      <c r="Y332" s="173"/>
      <c r="Z332" s="43"/>
      <c r="AA332" s="43"/>
      <c r="AB332" s="43"/>
      <c r="AC332" s="43"/>
      <c r="AD332" s="43"/>
      <c r="AE332" s="43"/>
      <c r="AF332" s="43"/>
      <c r="AG332" s="43"/>
      <c r="AH332" s="43"/>
      <c r="AI332" s="43"/>
      <c r="AJ332" s="43"/>
      <c r="AK332" s="43"/>
      <c r="AL332" s="43"/>
      <c r="AM332" s="43"/>
      <c r="AN332" s="43"/>
      <c r="AO332" s="43"/>
      <c r="AP332" s="43"/>
      <c r="AQ332" s="43"/>
      <c r="AR332" s="43"/>
      <c r="AS332" s="43"/>
      <c r="AT332" s="43"/>
      <c r="AU332" s="43"/>
      <c r="AV332" s="43"/>
    </row>
    <row r="333" ht="14.25" customHeight="1">
      <c r="A333" s="43" t="s">
        <v>710</v>
      </c>
      <c r="B333" s="43" t="s">
        <v>711</v>
      </c>
      <c r="C333" s="43">
        <v>400.0</v>
      </c>
      <c r="D333" s="136"/>
      <c r="E333" s="133"/>
      <c r="F333" s="136"/>
      <c r="G333" s="136"/>
      <c r="H333" s="136"/>
      <c r="I333" s="248"/>
      <c r="J333" s="136"/>
      <c r="K333" s="136"/>
      <c r="L333" s="136"/>
      <c r="M333" s="136">
        <f t="shared" ref="M333:M344" si="22">Y333/C333</f>
        <v>0.156</v>
      </c>
      <c r="N333" s="136"/>
      <c r="O333" s="136"/>
      <c r="P333" s="136"/>
      <c r="Q333" s="136"/>
      <c r="R333" s="132"/>
      <c r="S333" s="136"/>
      <c r="T333" s="136"/>
      <c r="U333" s="136"/>
      <c r="V333" s="136"/>
      <c r="W333" s="136"/>
      <c r="X333" s="43"/>
      <c r="Y333" s="173">
        <v>62.4</v>
      </c>
      <c r="Z333" s="43"/>
      <c r="AA333" s="43"/>
      <c r="AB333" s="43"/>
      <c r="AC333" s="43"/>
      <c r="AD333" s="43"/>
      <c r="AE333" s="43"/>
      <c r="AF333" s="43"/>
      <c r="AG333" s="43"/>
      <c r="AH333" s="43"/>
      <c r="AI333" s="43"/>
      <c r="AJ333" s="43"/>
      <c r="AK333" s="43"/>
      <c r="AL333" s="43"/>
      <c r="AM333" s="43"/>
      <c r="AN333" s="43"/>
      <c r="AO333" s="43"/>
      <c r="AP333" s="43"/>
      <c r="AQ333" s="43"/>
      <c r="AR333" s="43"/>
      <c r="AS333" s="43"/>
      <c r="AT333" s="43"/>
      <c r="AU333" s="43"/>
      <c r="AV333" s="43"/>
    </row>
    <row r="334" ht="14.25" customHeight="1">
      <c r="A334" s="43" t="s">
        <v>710</v>
      </c>
      <c r="B334" s="43" t="s">
        <v>712</v>
      </c>
      <c r="C334" s="43">
        <v>405.0</v>
      </c>
      <c r="D334" s="136"/>
      <c r="E334" s="133"/>
      <c r="F334" s="136"/>
      <c r="G334" s="136"/>
      <c r="H334" s="136"/>
      <c r="I334" s="248"/>
      <c r="J334" s="136"/>
      <c r="K334" s="136"/>
      <c r="L334" s="136"/>
      <c r="M334" s="250">
        <f t="shared" si="22"/>
        <v>0.156</v>
      </c>
      <c r="N334" s="136"/>
      <c r="O334" s="136"/>
      <c r="P334" s="136"/>
      <c r="Q334" s="136"/>
      <c r="R334" s="132"/>
      <c r="S334" s="136"/>
      <c r="T334" s="136"/>
      <c r="U334" s="136"/>
      <c r="V334" s="136"/>
      <c r="W334" s="136"/>
      <c r="X334" s="43"/>
      <c r="Y334" s="173">
        <v>63.18</v>
      </c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43"/>
      <c r="AK334" s="43"/>
      <c r="AL334" s="43"/>
      <c r="AM334" s="43"/>
      <c r="AN334" s="43"/>
      <c r="AO334" s="43"/>
      <c r="AP334" s="43"/>
      <c r="AQ334" s="43"/>
      <c r="AR334" s="43"/>
      <c r="AS334" s="43"/>
      <c r="AT334" s="43"/>
      <c r="AU334" s="43"/>
      <c r="AV334" s="43"/>
    </row>
    <row r="335" ht="14.25" customHeight="1">
      <c r="A335" s="43" t="s">
        <v>710</v>
      </c>
      <c r="B335" s="43" t="s">
        <v>713</v>
      </c>
      <c r="C335" s="43">
        <v>370.0</v>
      </c>
      <c r="D335" s="136"/>
      <c r="E335" s="133"/>
      <c r="F335" s="136"/>
      <c r="G335" s="136"/>
      <c r="H335" s="136"/>
      <c r="I335" s="248"/>
      <c r="J335" s="136"/>
      <c r="K335" s="136"/>
      <c r="L335" s="136"/>
      <c r="M335" s="136">
        <f t="shared" si="22"/>
        <v>0.156</v>
      </c>
      <c r="N335" s="136"/>
      <c r="O335" s="136"/>
      <c r="P335" s="136"/>
      <c r="Q335" s="136"/>
      <c r="R335" s="132"/>
      <c r="S335" s="136"/>
      <c r="T335" s="136"/>
      <c r="U335" s="136"/>
      <c r="V335" s="136"/>
      <c r="W335" s="136"/>
      <c r="X335" s="43"/>
      <c r="Y335" s="173">
        <v>57.72</v>
      </c>
      <c r="Z335" s="43"/>
      <c r="AA335" s="43"/>
      <c r="AB335" s="43"/>
      <c r="AC335" s="43"/>
      <c r="AD335" s="43"/>
      <c r="AE335" s="43"/>
      <c r="AF335" s="43"/>
      <c r="AG335" s="43"/>
      <c r="AH335" s="43"/>
      <c r="AI335" s="43"/>
      <c r="AJ335" s="43"/>
      <c r="AK335" s="43"/>
      <c r="AL335" s="43"/>
      <c r="AM335" s="43"/>
      <c r="AN335" s="43"/>
      <c r="AO335" s="43"/>
      <c r="AP335" s="43"/>
      <c r="AQ335" s="43"/>
      <c r="AR335" s="43"/>
      <c r="AS335" s="43"/>
      <c r="AT335" s="43"/>
      <c r="AU335" s="43"/>
      <c r="AV335" s="43"/>
    </row>
    <row r="336" ht="14.25" customHeight="1">
      <c r="A336" s="43" t="s">
        <v>710</v>
      </c>
      <c r="B336" s="43" t="s">
        <v>714</v>
      </c>
      <c r="C336" s="43">
        <v>375.0</v>
      </c>
      <c r="D336" s="136"/>
      <c r="E336" s="133"/>
      <c r="F336" s="136"/>
      <c r="G336" s="136"/>
      <c r="H336" s="136"/>
      <c r="I336" s="248"/>
      <c r="J336" s="136"/>
      <c r="K336" s="136"/>
      <c r="L336" s="136"/>
      <c r="M336" s="136">
        <f t="shared" si="22"/>
        <v>0.13</v>
      </c>
      <c r="N336" s="136"/>
      <c r="O336" s="136"/>
      <c r="P336" s="136"/>
      <c r="Q336" s="136"/>
      <c r="R336" s="132"/>
      <c r="S336" s="136"/>
      <c r="T336" s="136"/>
      <c r="U336" s="136"/>
      <c r="V336" s="136"/>
      <c r="W336" s="136"/>
      <c r="X336" s="43"/>
      <c r="Y336" s="173">
        <v>48.75</v>
      </c>
      <c r="Z336" s="43"/>
      <c r="AA336" s="43"/>
      <c r="AB336" s="43"/>
      <c r="AC336" s="43"/>
      <c r="AD336" s="43"/>
      <c r="AE336" s="43"/>
      <c r="AF336" s="43"/>
      <c r="AG336" s="43"/>
      <c r="AH336" s="43"/>
      <c r="AI336" s="43"/>
      <c r="AJ336" s="43"/>
      <c r="AK336" s="43"/>
      <c r="AL336" s="43"/>
      <c r="AM336" s="43"/>
      <c r="AN336" s="43"/>
      <c r="AO336" s="43"/>
      <c r="AP336" s="43"/>
      <c r="AQ336" s="43"/>
      <c r="AR336" s="43"/>
      <c r="AS336" s="43"/>
      <c r="AT336" s="43"/>
      <c r="AU336" s="43"/>
      <c r="AV336" s="43"/>
    </row>
    <row r="337" ht="14.25" customHeight="1">
      <c r="A337" s="43" t="s">
        <v>710</v>
      </c>
      <c r="B337" s="43" t="s">
        <v>715</v>
      </c>
      <c r="C337" s="43">
        <v>380.0</v>
      </c>
      <c r="D337" s="136"/>
      <c r="E337" s="133"/>
      <c r="F337" s="136"/>
      <c r="G337" s="136"/>
      <c r="H337" s="136"/>
      <c r="I337" s="248"/>
      <c r="J337" s="136"/>
      <c r="K337" s="136"/>
      <c r="L337" s="136"/>
      <c r="M337" s="136">
        <f t="shared" si="22"/>
        <v>0.156</v>
      </c>
      <c r="N337" s="136"/>
      <c r="O337" s="136"/>
      <c r="P337" s="136"/>
      <c r="Q337" s="136"/>
      <c r="R337" s="132"/>
      <c r="S337" s="136"/>
      <c r="T337" s="136"/>
      <c r="U337" s="136"/>
      <c r="V337" s="136"/>
      <c r="W337" s="136"/>
      <c r="X337" s="43"/>
      <c r="Y337" s="173">
        <v>59.28</v>
      </c>
      <c r="Z337" s="43"/>
      <c r="AA337" s="43"/>
      <c r="AB337" s="43"/>
      <c r="AC337" s="43"/>
      <c r="AD337" s="43"/>
      <c r="AE337" s="43"/>
      <c r="AF337" s="43"/>
      <c r="AG337" s="43"/>
      <c r="AH337" s="43"/>
      <c r="AI337" s="43"/>
      <c r="AJ337" s="43"/>
      <c r="AK337" s="43"/>
      <c r="AL337" s="43"/>
      <c r="AM337" s="43"/>
      <c r="AN337" s="43"/>
      <c r="AO337" s="43"/>
      <c r="AP337" s="43"/>
      <c r="AQ337" s="43"/>
      <c r="AR337" s="43"/>
      <c r="AS337" s="43"/>
      <c r="AT337" s="43"/>
      <c r="AU337" s="43"/>
      <c r="AV337" s="43"/>
    </row>
    <row r="338" ht="14.25" customHeight="1">
      <c r="A338" s="43" t="s">
        <v>710</v>
      </c>
      <c r="B338" s="43" t="s">
        <v>716</v>
      </c>
      <c r="C338" s="43">
        <v>415.0</v>
      </c>
      <c r="D338" s="136"/>
      <c r="E338" s="133"/>
      <c r="F338" s="136"/>
      <c r="G338" s="136"/>
      <c r="H338" s="136"/>
      <c r="I338" s="248"/>
      <c r="J338" s="136"/>
      <c r="K338" s="136"/>
      <c r="L338" s="136"/>
      <c r="M338" s="136">
        <f t="shared" si="22"/>
        <v>0.156</v>
      </c>
      <c r="N338" s="136"/>
      <c r="O338" s="136"/>
      <c r="P338" s="136"/>
      <c r="Q338" s="136">
        <v>0.14</v>
      </c>
      <c r="R338" s="132"/>
      <c r="S338" s="136"/>
      <c r="T338" s="136"/>
      <c r="U338" s="136"/>
      <c r="V338" s="136"/>
      <c r="W338" s="136"/>
      <c r="X338" s="43"/>
      <c r="Y338" s="173">
        <v>64.74</v>
      </c>
      <c r="Z338" s="43"/>
      <c r="AA338" s="43"/>
      <c r="AB338" s="43"/>
      <c r="AC338" s="43"/>
      <c r="AD338" s="43"/>
      <c r="AE338" s="43"/>
      <c r="AF338" s="43"/>
      <c r="AG338" s="43"/>
      <c r="AH338" s="43"/>
      <c r="AI338" s="43"/>
      <c r="AJ338" s="43"/>
      <c r="AK338" s="43"/>
      <c r="AL338" s="43"/>
      <c r="AM338" s="43"/>
      <c r="AN338" s="43"/>
      <c r="AO338" s="43"/>
      <c r="AP338" s="43"/>
      <c r="AQ338" s="43"/>
      <c r="AR338" s="43"/>
      <c r="AS338" s="43"/>
      <c r="AT338" s="43"/>
      <c r="AU338" s="43"/>
      <c r="AV338" s="43"/>
    </row>
    <row r="339" ht="14.25" customHeight="1">
      <c r="A339" s="43" t="s">
        <v>710</v>
      </c>
      <c r="B339" s="43" t="s">
        <v>717</v>
      </c>
      <c r="C339" s="43">
        <v>420.0</v>
      </c>
      <c r="D339" s="136"/>
      <c r="E339" s="133"/>
      <c r="F339" s="136"/>
      <c r="G339" s="136"/>
      <c r="H339" s="136"/>
      <c r="I339" s="248"/>
      <c r="J339" s="136"/>
      <c r="K339" s="136"/>
      <c r="L339" s="136"/>
      <c r="M339" s="136">
        <f t="shared" si="22"/>
        <v>0.145</v>
      </c>
      <c r="N339" s="136"/>
      <c r="O339" s="136"/>
      <c r="P339" s="136"/>
      <c r="Q339" s="136"/>
      <c r="R339" s="132"/>
      <c r="S339" s="136"/>
      <c r="T339" s="136"/>
      <c r="U339" s="136"/>
      <c r="V339" s="136"/>
      <c r="W339" s="136"/>
      <c r="X339" s="43"/>
      <c r="Y339" s="173">
        <v>60.9</v>
      </c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3"/>
      <c r="AK339" s="43"/>
      <c r="AL339" s="43"/>
      <c r="AM339" s="43"/>
      <c r="AN339" s="43"/>
      <c r="AO339" s="43"/>
      <c r="AP339" s="43"/>
      <c r="AQ339" s="43"/>
      <c r="AR339" s="43"/>
      <c r="AS339" s="43"/>
      <c r="AT339" s="43"/>
      <c r="AU339" s="43"/>
      <c r="AV339" s="43"/>
    </row>
    <row r="340" ht="14.25" customHeight="1">
      <c r="A340" s="43" t="s">
        <v>710</v>
      </c>
      <c r="B340" s="43" t="s">
        <v>718</v>
      </c>
      <c r="C340" s="43">
        <v>420.0</v>
      </c>
      <c r="D340" s="136"/>
      <c r="E340" s="133"/>
      <c r="F340" s="136"/>
      <c r="G340" s="136"/>
      <c r="H340" s="136"/>
      <c r="I340" s="248"/>
      <c r="J340" s="136"/>
      <c r="K340" s="136"/>
      <c r="L340" s="136"/>
      <c r="M340" s="136">
        <f t="shared" si="22"/>
        <v>0.145</v>
      </c>
      <c r="N340" s="136"/>
      <c r="O340" s="136"/>
      <c r="P340" s="136"/>
      <c r="Q340" s="136">
        <v>0.141</v>
      </c>
      <c r="R340" s="132"/>
      <c r="S340" s="136"/>
      <c r="T340" s="136"/>
      <c r="U340" s="136"/>
      <c r="V340" s="136"/>
      <c r="W340" s="136"/>
      <c r="X340" s="43"/>
      <c r="Y340" s="173">
        <v>60.9</v>
      </c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3"/>
      <c r="AK340" s="43"/>
      <c r="AL340" s="43"/>
      <c r="AM340" s="43"/>
      <c r="AN340" s="43"/>
      <c r="AO340" s="43"/>
      <c r="AP340" s="43"/>
      <c r="AQ340" s="43"/>
      <c r="AR340" s="43"/>
      <c r="AS340" s="43"/>
      <c r="AT340" s="43"/>
      <c r="AU340" s="43"/>
      <c r="AV340" s="43"/>
    </row>
    <row r="341" ht="14.25" customHeight="1">
      <c r="A341" s="43" t="s">
        <v>710</v>
      </c>
      <c r="B341" s="43" t="s">
        <v>719</v>
      </c>
      <c r="C341" s="43">
        <v>425.0</v>
      </c>
      <c r="D341" s="136"/>
      <c r="E341" s="133"/>
      <c r="F341" s="136"/>
      <c r="G341" s="136"/>
      <c r="H341" s="136"/>
      <c r="I341" s="248"/>
      <c r="J341" s="136"/>
      <c r="K341" s="136"/>
      <c r="L341" s="136"/>
      <c r="M341" s="136">
        <f t="shared" si="22"/>
        <v>0.19</v>
      </c>
      <c r="N341" s="136"/>
      <c r="O341" s="136"/>
      <c r="P341" s="136"/>
      <c r="Q341" s="136"/>
      <c r="R341" s="132"/>
      <c r="S341" s="136"/>
      <c r="T341" s="136"/>
      <c r="U341" s="136"/>
      <c r="V341" s="136"/>
      <c r="W341" s="136"/>
      <c r="X341" s="43"/>
      <c r="Y341" s="173">
        <v>80.75</v>
      </c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3"/>
      <c r="AK341" s="43"/>
      <c r="AL341" s="43"/>
      <c r="AM341" s="43"/>
      <c r="AN341" s="43"/>
      <c r="AO341" s="43"/>
      <c r="AP341" s="43"/>
      <c r="AQ341" s="43"/>
      <c r="AR341" s="43"/>
      <c r="AS341" s="43"/>
      <c r="AT341" s="43"/>
      <c r="AU341" s="43"/>
      <c r="AV341" s="43"/>
    </row>
    <row r="342" ht="14.25" customHeight="1">
      <c r="A342" s="43" t="s">
        <v>710</v>
      </c>
      <c r="B342" s="43" t="s">
        <v>720</v>
      </c>
      <c r="C342" s="43">
        <v>435.0</v>
      </c>
      <c r="D342" s="136"/>
      <c r="E342" s="133"/>
      <c r="F342" s="136"/>
      <c r="G342" s="136"/>
      <c r="H342" s="136"/>
      <c r="I342" s="248"/>
      <c r="J342" s="136"/>
      <c r="K342" s="136"/>
      <c r="L342" s="136"/>
      <c r="M342" s="136">
        <f t="shared" si="22"/>
        <v>0.1950114943</v>
      </c>
      <c r="N342" s="136"/>
      <c r="O342" s="136"/>
      <c r="P342" s="136"/>
      <c r="Q342" s="136"/>
      <c r="R342" s="132"/>
      <c r="S342" s="136"/>
      <c r="T342" s="136"/>
      <c r="U342" s="136"/>
      <c r="V342" s="136"/>
      <c r="W342" s="136"/>
      <c r="X342" s="43"/>
      <c r="Y342" s="173">
        <v>84.83</v>
      </c>
      <c r="Z342" s="43"/>
      <c r="AA342" s="43"/>
      <c r="AB342" s="43"/>
      <c r="AC342" s="43"/>
      <c r="AD342" s="43"/>
      <c r="AE342" s="43"/>
      <c r="AF342" s="43"/>
      <c r="AG342" s="43"/>
      <c r="AH342" s="43"/>
      <c r="AI342" s="43"/>
      <c r="AJ342" s="43"/>
      <c r="AK342" s="43"/>
      <c r="AL342" s="43"/>
      <c r="AM342" s="43"/>
      <c r="AN342" s="43"/>
      <c r="AO342" s="43"/>
      <c r="AP342" s="43"/>
      <c r="AQ342" s="43"/>
      <c r="AR342" s="43"/>
      <c r="AS342" s="43"/>
      <c r="AT342" s="43"/>
      <c r="AU342" s="43"/>
      <c r="AV342" s="43"/>
    </row>
    <row r="343" ht="14.25" customHeight="1">
      <c r="A343" s="43" t="s">
        <v>710</v>
      </c>
      <c r="B343" s="43" t="s">
        <v>721</v>
      </c>
      <c r="C343" s="43">
        <v>435.0</v>
      </c>
      <c r="D343" s="136"/>
      <c r="E343" s="133"/>
      <c r="F343" s="136"/>
      <c r="G343" s="136"/>
      <c r="H343" s="136"/>
      <c r="I343" s="248"/>
      <c r="J343" s="136">
        <f>0.144*435</f>
        <v>62.64</v>
      </c>
      <c r="K343" s="136"/>
      <c r="L343" s="136"/>
      <c r="M343" s="136">
        <f t="shared" si="22"/>
        <v>0.1850114943</v>
      </c>
      <c r="N343" s="136"/>
      <c r="O343" s="136"/>
      <c r="P343" s="136"/>
      <c r="Q343" s="136"/>
      <c r="R343" s="132"/>
      <c r="S343" s="136"/>
      <c r="T343" s="136"/>
      <c r="U343" s="136"/>
      <c r="V343" s="136"/>
      <c r="W343" s="136"/>
      <c r="X343" s="43"/>
      <c r="Y343" s="173">
        <v>80.48</v>
      </c>
      <c r="Z343" s="43"/>
      <c r="AA343" s="43"/>
      <c r="AB343" s="43"/>
      <c r="AC343" s="43"/>
      <c r="AD343" s="43"/>
      <c r="AE343" s="43"/>
      <c r="AF343" s="43"/>
      <c r="AG343" s="43"/>
      <c r="AH343" s="43"/>
      <c r="AI343" s="43"/>
      <c r="AJ343" s="43"/>
      <c r="AK343" s="43"/>
      <c r="AL343" s="43"/>
      <c r="AM343" s="43"/>
      <c r="AN343" s="43"/>
      <c r="AO343" s="43"/>
      <c r="AP343" s="43"/>
      <c r="AQ343" s="43"/>
      <c r="AR343" s="43"/>
      <c r="AS343" s="43"/>
      <c r="AT343" s="43"/>
      <c r="AU343" s="43"/>
      <c r="AV343" s="43"/>
    </row>
    <row r="344" ht="14.25" customHeight="1">
      <c r="A344" s="43" t="s">
        <v>710</v>
      </c>
      <c r="B344" s="43" t="s">
        <v>722</v>
      </c>
      <c r="C344" s="43">
        <v>460.0</v>
      </c>
      <c r="D344" s="136"/>
      <c r="E344" s="133"/>
      <c r="F344" s="136"/>
      <c r="G344" s="136"/>
      <c r="H344" s="136"/>
      <c r="I344" s="248"/>
      <c r="J344" s="136"/>
      <c r="K344" s="136"/>
      <c r="L344" s="136"/>
      <c r="M344" s="136">
        <f t="shared" si="22"/>
        <v>0.14</v>
      </c>
      <c r="N344" s="136"/>
      <c r="O344" s="136"/>
      <c r="P344" s="136"/>
      <c r="Q344" s="136"/>
      <c r="R344" s="132"/>
      <c r="S344" s="136"/>
      <c r="T344" s="136"/>
      <c r="U344" s="136"/>
      <c r="V344" s="136"/>
      <c r="W344" s="136"/>
      <c r="X344" s="43"/>
      <c r="Y344" s="173">
        <v>64.4</v>
      </c>
      <c r="Z344" s="43"/>
      <c r="AA344" s="43"/>
      <c r="AB344" s="43"/>
      <c r="AC344" s="43"/>
      <c r="AD344" s="43"/>
      <c r="AE344" s="43"/>
      <c r="AF344" s="43"/>
      <c r="AG344" s="43"/>
      <c r="AH344" s="43"/>
      <c r="AI344" s="43"/>
      <c r="AJ344" s="43"/>
      <c r="AK344" s="43"/>
      <c r="AL344" s="43"/>
      <c r="AM344" s="43"/>
      <c r="AN344" s="43"/>
      <c r="AO344" s="43"/>
      <c r="AP344" s="43"/>
      <c r="AQ344" s="43"/>
      <c r="AR344" s="43"/>
      <c r="AS344" s="43"/>
      <c r="AT344" s="43"/>
      <c r="AU344" s="43"/>
      <c r="AV344" s="43"/>
    </row>
    <row r="345" ht="14.25" customHeight="1">
      <c r="A345" s="43"/>
      <c r="B345" s="43"/>
      <c r="C345" s="43"/>
      <c r="D345" s="43"/>
      <c r="E345" s="251"/>
      <c r="F345" s="135"/>
      <c r="G345" s="135"/>
      <c r="H345" s="43"/>
      <c r="I345" s="157"/>
      <c r="J345" s="43"/>
      <c r="K345" s="43"/>
      <c r="L345" s="43"/>
      <c r="M345" s="43"/>
      <c r="N345" s="43"/>
      <c r="O345" s="43"/>
      <c r="P345" s="43"/>
      <c r="Q345" s="43"/>
      <c r="R345" s="173"/>
      <c r="S345" s="43"/>
      <c r="T345" s="43"/>
      <c r="U345" s="43"/>
      <c r="V345" s="43"/>
      <c r="W345" s="43"/>
      <c r="X345" s="43"/>
      <c r="Y345" s="173"/>
      <c r="Z345" s="43"/>
      <c r="AA345" s="43"/>
      <c r="AB345" s="43"/>
      <c r="AC345" s="43"/>
      <c r="AD345" s="43"/>
      <c r="AE345" s="43"/>
      <c r="AF345" s="43"/>
      <c r="AG345" s="43"/>
      <c r="AH345" s="43"/>
      <c r="AI345" s="43"/>
      <c r="AJ345" s="43"/>
      <c r="AK345" s="43"/>
      <c r="AL345" s="43"/>
      <c r="AM345" s="43"/>
      <c r="AN345" s="43"/>
      <c r="AO345" s="43"/>
      <c r="AP345" s="43"/>
      <c r="AQ345" s="43"/>
      <c r="AR345" s="43"/>
      <c r="AS345" s="43"/>
      <c r="AT345" s="43"/>
      <c r="AU345" s="43"/>
      <c r="AV345" s="43"/>
    </row>
    <row r="346" ht="14.25" customHeight="1">
      <c r="A346" s="43"/>
      <c r="B346" s="43"/>
      <c r="C346" s="43"/>
      <c r="D346" s="43"/>
      <c r="E346" s="251"/>
      <c r="F346" s="135"/>
      <c r="G346" s="135"/>
      <c r="H346" s="43"/>
      <c r="I346" s="157"/>
      <c r="J346" s="43"/>
      <c r="K346" s="43"/>
      <c r="L346" s="43"/>
      <c r="M346" s="43" t="s">
        <v>723</v>
      </c>
      <c r="N346" s="43"/>
      <c r="O346" s="43"/>
      <c r="P346" s="43"/>
      <c r="Q346" s="43"/>
      <c r="R346" s="173"/>
      <c r="S346" s="43"/>
      <c r="T346" s="43"/>
      <c r="U346" s="43"/>
      <c r="V346" s="43"/>
      <c r="W346" s="43"/>
      <c r="X346" s="43"/>
      <c r="Y346" s="173"/>
      <c r="Z346" s="43"/>
      <c r="AA346" s="43"/>
      <c r="AB346" s="43"/>
      <c r="AC346" s="43"/>
      <c r="AD346" s="43"/>
      <c r="AE346" s="43"/>
      <c r="AF346" s="43"/>
      <c r="AG346" s="43"/>
      <c r="AH346" s="43"/>
      <c r="AI346" s="43"/>
      <c r="AJ346" s="43"/>
      <c r="AK346" s="43"/>
      <c r="AL346" s="43"/>
      <c r="AM346" s="43"/>
      <c r="AN346" s="43"/>
      <c r="AO346" s="43"/>
      <c r="AP346" s="43"/>
      <c r="AQ346" s="43"/>
      <c r="AR346" s="43"/>
      <c r="AS346" s="43"/>
      <c r="AT346" s="43"/>
      <c r="AU346" s="43"/>
      <c r="AV346" s="43"/>
    </row>
    <row r="347" ht="14.25" customHeight="1">
      <c r="A347" s="43"/>
      <c r="B347" s="43"/>
      <c r="C347" s="43"/>
      <c r="D347" s="43"/>
      <c r="E347" s="230"/>
      <c r="F347" s="135"/>
      <c r="G347" s="135"/>
      <c r="H347" s="43"/>
      <c r="I347" s="157"/>
      <c r="J347" s="43"/>
      <c r="K347" s="43"/>
      <c r="L347" s="43"/>
      <c r="M347" s="43"/>
      <c r="N347" s="43"/>
      <c r="O347" s="43"/>
      <c r="P347" s="43"/>
      <c r="Q347" s="43"/>
      <c r="R347" s="173"/>
      <c r="S347" s="43"/>
      <c r="T347" s="43"/>
      <c r="U347" s="43"/>
      <c r="V347" s="43"/>
      <c r="W347" s="43"/>
      <c r="X347" s="43"/>
      <c r="Y347" s="173"/>
      <c r="Z347" s="43"/>
      <c r="AA347" s="43"/>
      <c r="AB347" s="43"/>
      <c r="AC347" s="43"/>
      <c r="AD347" s="43"/>
      <c r="AE347" s="43"/>
      <c r="AF347" s="43"/>
      <c r="AG347" s="43"/>
      <c r="AH347" s="43"/>
      <c r="AI347" s="43"/>
      <c r="AJ347" s="43"/>
      <c r="AK347" s="43"/>
      <c r="AL347" s="43"/>
      <c r="AM347" s="43"/>
      <c r="AN347" s="43"/>
      <c r="AO347" s="43"/>
      <c r="AP347" s="43"/>
      <c r="AQ347" s="43"/>
      <c r="AR347" s="43"/>
      <c r="AS347" s="43"/>
      <c r="AT347" s="43"/>
      <c r="AU347" s="43"/>
      <c r="AV347" s="43"/>
    </row>
    <row r="348" ht="14.25" customHeight="1">
      <c r="A348" s="43"/>
      <c r="B348" s="43"/>
      <c r="C348" s="43"/>
      <c r="D348" s="43"/>
      <c r="E348" s="230"/>
      <c r="F348" s="135"/>
      <c r="G348" s="135"/>
      <c r="H348" s="43"/>
      <c r="I348" s="157"/>
      <c r="J348" s="43"/>
      <c r="K348" s="43"/>
      <c r="L348" s="43"/>
      <c r="M348" s="43"/>
      <c r="N348" s="43"/>
      <c r="O348" s="43"/>
      <c r="P348" s="43"/>
      <c r="Q348" s="43"/>
      <c r="R348" s="173"/>
      <c r="S348" s="43"/>
      <c r="T348" s="43"/>
      <c r="U348" s="43"/>
      <c r="V348" s="43"/>
      <c r="W348" s="43"/>
      <c r="X348" s="43"/>
      <c r="Y348" s="173"/>
      <c r="Z348" s="43"/>
      <c r="AA348" s="43"/>
      <c r="AB348" s="43"/>
      <c r="AC348" s="43"/>
      <c r="AD348" s="43"/>
      <c r="AE348" s="43"/>
      <c r="AF348" s="43"/>
      <c r="AG348" s="43"/>
      <c r="AH348" s="43"/>
      <c r="AI348" s="43"/>
      <c r="AJ348" s="43"/>
      <c r="AK348" s="43"/>
      <c r="AL348" s="43"/>
      <c r="AM348" s="43"/>
      <c r="AN348" s="43"/>
      <c r="AO348" s="43"/>
      <c r="AP348" s="43"/>
      <c r="AQ348" s="43"/>
      <c r="AR348" s="43"/>
      <c r="AS348" s="43"/>
      <c r="AT348" s="43"/>
      <c r="AU348" s="43"/>
      <c r="AV348" s="43"/>
    </row>
    <row r="349" ht="14.25" customHeight="1">
      <c r="A349" s="43"/>
      <c r="B349" s="43"/>
      <c r="C349" s="43"/>
      <c r="D349" s="43"/>
      <c r="E349" s="230"/>
      <c r="F349" s="135"/>
      <c r="G349" s="135"/>
      <c r="H349" s="43"/>
      <c r="I349" s="157"/>
      <c r="J349" s="43"/>
      <c r="K349" s="43"/>
      <c r="L349" s="43"/>
      <c r="M349" s="43"/>
      <c r="N349" s="43"/>
      <c r="O349" s="43"/>
      <c r="P349" s="43"/>
      <c r="Q349" s="43"/>
      <c r="R349" s="173"/>
      <c r="S349" s="43"/>
      <c r="T349" s="43"/>
      <c r="U349" s="43"/>
      <c r="V349" s="43"/>
      <c r="W349" s="43"/>
      <c r="X349" s="43"/>
      <c r="Y349" s="173"/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  <c r="AJ349" s="43"/>
      <c r="AK349" s="43"/>
      <c r="AL349" s="43"/>
      <c r="AM349" s="43"/>
      <c r="AN349" s="43"/>
      <c r="AO349" s="43"/>
      <c r="AP349" s="43"/>
      <c r="AQ349" s="43"/>
      <c r="AR349" s="43"/>
      <c r="AS349" s="43"/>
      <c r="AT349" s="43"/>
      <c r="AU349" s="43"/>
      <c r="AV349" s="43"/>
    </row>
    <row r="350" ht="14.25" customHeight="1">
      <c r="A350" s="43"/>
      <c r="B350" s="43"/>
      <c r="C350" s="43"/>
      <c r="D350" s="43"/>
      <c r="E350" s="230"/>
      <c r="F350" s="135"/>
      <c r="G350" s="135"/>
      <c r="H350" s="43"/>
      <c r="I350" s="157"/>
      <c r="J350" s="43"/>
      <c r="K350" s="43"/>
      <c r="L350" s="43"/>
      <c r="M350" s="43"/>
      <c r="N350" s="43"/>
      <c r="O350" s="43"/>
      <c r="P350" s="43"/>
      <c r="Q350" s="43"/>
      <c r="R350" s="173"/>
      <c r="S350" s="43"/>
      <c r="T350" s="43"/>
      <c r="U350" s="43"/>
      <c r="V350" s="43"/>
      <c r="W350" s="43"/>
      <c r="X350" s="43"/>
      <c r="Y350" s="173"/>
      <c r="Z350" s="43"/>
      <c r="AA350" s="43"/>
      <c r="AB350" s="43"/>
      <c r="AC350" s="43"/>
      <c r="AD350" s="43"/>
      <c r="AE350" s="43"/>
      <c r="AF350" s="43"/>
      <c r="AG350" s="43"/>
      <c r="AH350" s="43"/>
      <c r="AI350" s="43"/>
      <c r="AJ350" s="43"/>
      <c r="AK350" s="43"/>
      <c r="AL350" s="43"/>
      <c r="AM350" s="43"/>
      <c r="AN350" s="43"/>
      <c r="AO350" s="43"/>
      <c r="AP350" s="43"/>
      <c r="AQ350" s="43"/>
      <c r="AR350" s="43"/>
      <c r="AS350" s="43"/>
      <c r="AT350" s="43"/>
      <c r="AU350" s="43"/>
      <c r="AV350" s="43"/>
    </row>
    <row r="351" ht="14.25" customHeight="1">
      <c r="A351" s="43"/>
      <c r="B351" s="43"/>
      <c r="C351" s="43"/>
      <c r="D351" s="43"/>
      <c r="E351" s="230"/>
      <c r="F351" s="135"/>
      <c r="G351" s="135"/>
      <c r="H351" s="43"/>
      <c r="I351" s="157"/>
      <c r="J351" s="43"/>
      <c r="K351" s="43"/>
      <c r="L351" s="43"/>
      <c r="M351" s="43"/>
      <c r="N351" s="43"/>
      <c r="O351" s="43"/>
      <c r="P351" s="43"/>
      <c r="Q351" s="43"/>
      <c r="R351" s="173"/>
      <c r="S351" s="43"/>
      <c r="T351" s="43"/>
      <c r="U351" s="43"/>
      <c r="V351" s="43"/>
      <c r="W351" s="43"/>
      <c r="X351" s="43"/>
      <c r="Y351" s="17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  <c r="AJ351" s="43"/>
      <c r="AK351" s="43"/>
      <c r="AL351" s="43"/>
      <c r="AM351" s="43"/>
      <c r="AN351" s="43"/>
      <c r="AO351" s="43"/>
      <c r="AP351" s="43"/>
      <c r="AQ351" s="43"/>
      <c r="AR351" s="43"/>
      <c r="AS351" s="43"/>
      <c r="AT351" s="43"/>
      <c r="AU351" s="43"/>
      <c r="AV351" s="43"/>
    </row>
    <row r="352" ht="14.25" customHeight="1">
      <c r="A352" s="43"/>
      <c r="B352" s="43"/>
      <c r="C352" s="43"/>
      <c r="D352" s="43"/>
      <c r="E352" s="230"/>
      <c r="F352" s="135"/>
      <c r="G352" s="135"/>
      <c r="H352" s="43"/>
      <c r="I352" s="157"/>
      <c r="J352" s="43"/>
      <c r="K352" s="43"/>
      <c r="L352" s="43"/>
      <c r="M352" s="43"/>
      <c r="N352" s="43"/>
      <c r="O352" s="43"/>
      <c r="P352" s="43"/>
      <c r="Q352" s="43"/>
      <c r="R352" s="173"/>
      <c r="S352" s="43"/>
      <c r="T352" s="43"/>
      <c r="U352" s="43"/>
      <c r="V352" s="43"/>
      <c r="W352" s="43"/>
      <c r="X352" s="43"/>
      <c r="Y352" s="173"/>
      <c r="Z352" s="43"/>
      <c r="AA352" s="43"/>
      <c r="AB352" s="43"/>
      <c r="AC352" s="43"/>
      <c r="AD352" s="43"/>
      <c r="AE352" s="43"/>
      <c r="AF352" s="43"/>
      <c r="AG352" s="43"/>
      <c r="AH352" s="43"/>
      <c r="AI352" s="43"/>
      <c r="AJ352" s="43"/>
      <c r="AK352" s="43"/>
      <c r="AL352" s="43"/>
      <c r="AM352" s="43"/>
      <c r="AN352" s="43"/>
      <c r="AO352" s="43"/>
      <c r="AP352" s="43"/>
      <c r="AQ352" s="43"/>
      <c r="AR352" s="43"/>
      <c r="AS352" s="43"/>
      <c r="AT352" s="43"/>
      <c r="AU352" s="43"/>
      <c r="AV352" s="43"/>
    </row>
    <row r="353" ht="14.25" customHeight="1">
      <c r="A353" s="43"/>
      <c r="B353" s="43"/>
      <c r="C353" s="43"/>
      <c r="D353" s="43"/>
      <c r="E353" s="230"/>
      <c r="F353" s="135"/>
      <c r="G353" s="135"/>
      <c r="H353" s="43"/>
      <c r="I353" s="157"/>
      <c r="J353" s="43"/>
      <c r="K353" s="43"/>
      <c r="L353" s="43"/>
      <c r="M353" s="43"/>
      <c r="N353" s="43"/>
      <c r="O353" s="43"/>
      <c r="P353" s="43"/>
      <c r="Q353" s="43"/>
      <c r="R353" s="173"/>
      <c r="S353" s="43"/>
      <c r="T353" s="43"/>
      <c r="U353" s="43"/>
      <c r="V353" s="43"/>
      <c r="W353" s="43"/>
      <c r="X353" s="43"/>
      <c r="Y353" s="173"/>
      <c r="Z353" s="43"/>
      <c r="AA353" s="43"/>
      <c r="AB353" s="43"/>
      <c r="AC353" s="43"/>
      <c r="AD353" s="43"/>
      <c r="AE353" s="43"/>
      <c r="AF353" s="43"/>
      <c r="AG353" s="43"/>
      <c r="AH353" s="43"/>
      <c r="AI353" s="43"/>
      <c r="AJ353" s="43"/>
      <c r="AK353" s="43"/>
      <c r="AL353" s="43"/>
      <c r="AM353" s="43"/>
      <c r="AN353" s="43"/>
      <c r="AO353" s="43"/>
      <c r="AP353" s="43"/>
      <c r="AQ353" s="43"/>
      <c r="AR353" s="43"/>
      <c r="AS353" s="43"/>
      <c r="AT353" s="43"/>
      <c r="AU353" s="43"/>
      <c r="AV353" s="43"/>
    </row>
    <row r="354" ht="14.25" customHeight="1">
      <c r="A354" s="43"/>
      <c r="B354" s="43"/>
      <c r="C354" s="43"/>
      <c r="D354" s="43"/>
      <c r="E354" s="230"/>
      <c r="F354" s="135"/>
      <c r="G354" s="135"/>
      <c r="H354" s="43"/>
      <c r="I354" s="157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173"/>
      <c r="Z354" s="43"/>
      <c r="AA354" s="43"/>
      <c r="AB354" s="43"/>
      <c r="AC354" s="43"/>
      <c r="AD354" s="43"/>
      <c r="AE354" s="43"/>
      <c r="AF354" s="43"/>
      <c r="AG354" s="43"/>
      <c r="AH354" s="43"/>
      <c r="AI354" s="43"/>
      <c r="AJ354" s="43"/>
      <c r="AK354" s="43"/>
      <c r="AL354" s="43"/>
      <c r="AM354" s="43"/>
      <c r="AN354" s="43"/>
      <c r="AO354" s="43"/>
      <c r="AP354" s="43"/>
      <c r="AQ354" s="43"/>
      <c r="AR354" s="43"/>
      <c r="AS354" s="43"/>
      <c r="AT354" s="43"/>
      <c r="AU354" s="43"/>
      <c r="AV354" s="43"/>
    </row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B5"/>
    <mergeCell ref="A251:B251"/>
  </mergeCells>
  <hyperlinks>
    <hyperlink r:id="rId2" ref="AG6"/>
    <hyperlink r:id="rId3" ref="AG7"/>
    <hyperlink r:id="rId4" ref="AG9"/>
    <hyperlink r:id="rId5" ref="AG11"/>
    <hyperlink r:id="rId6" ref="AG13"/>
    <hyperlink r:id="rId7" ref="AG19"/>
    <hyperlink r:id="rId8" ref="AG24"/>
    <hyperlink r:id="rId9" ref="AG25"/>
    <hyperlink r:id="rId10" ref="AG26"/>
    <hyperlink r:id="rId11" ref="AG27"/>
    <hyperlink r:id="rId12" ref="AG28"/>
    <hyperlink r:id="rId13" ref="AG29"/>
    <hyperlink r:id="rId14" ref="AG30"/>
    <hyperlink r:id="rId15" ref="AG31"/>
    <hyperlink r:id="rId16" ref="AG32"/>
    <hyperlink r:id="rId17" ref="AG35"/>
    <hyperlink r:id="rId18" ref="AG36"/>
    <hyperlink r:id="rId19" ref="AG39"/>
    <hyperlink r:id="rId20" ref="AG40"/>
    <hyperlink r:id="rId21" ref="AG41"/>
    <hyperlink r:id="rId22" ref="AG42"/>
    <hyperlink r:id="rId23" ref="AG43"/>
    <hyperlink r:id="rId24" ref="AG44"/>
    <hyperlink r:id="rId25" ref="AG50"/>
    <hyperlink r:id="rId26" ref="AG51"/>
    <hyperlink r:id="rId27" ref="AG52"/>
    <hyperlink r:id="rId28" ref="AG53"/>
    <hyperlink r:id="rId29" ref="AG55"/>
    <hyperlink r:id="rId30" ref="AG56"/>
    <hyperlink r:id="rId31" ref="AG57"/>
    <hyperlink r:id="rId32" ref="AG58"/>
    <hyperlink r:id="rId33" ref="AG59"/>
    <hyperlink r:id="rId34" ref="AG60"/>
    <hyperlink r:id="rId35" ref="AG63"/>
    <hyperlink r:id="rId36" ref="AG64"/>
    <hyperlink r:id="rId37" ref="AG65"/>
    <hyperlink r:id="rId38" ref="AG66"/>
    <hyperlink r:id="rId39" ref="AG67"/>
    <hyperlink r:id="rId40" ref="AG69"/>
    <hyperlink r:id="rId41" ref="AG70"/>
    <hyperlink r:id="rId42" ref="AG71"/>
    <hyperlink r:id="rId43" ref="AG72"/>
    <hyperlink r:id="rId44" ref="AG73"/>
    <hyperlink r:id="rId45" ref="AG74"/>
    <hyperlink r:id="rId46" ref="AG75"/>
    <hyperlink r:id="rId47" ref="AG76"/>
    <hyperlink r:id="rId48" ref="AG77"/>
    <hyperlink r:id="rId49" ref="AG78"/>
    <hyperlink r:id="rId50" ref="AG79"/>
    <hyperlink r:id="rId51" ref="AG80"/>
    <hyperlink r:id="rId52" ref="AG81"/>
    <hyperlink r:id="rId53" ref="AG82"/>
    <hyperlink r:id="rId54" ref="AG83"/>
    <hyperlink r:id="rId55" ref="AG92"/>
    <hyperlink r:id="rId56" ref="AG93"/>
    <hyperlink r:id="rId57" ref="AG94"/>
    <hyperlink r:id="rId58" ref="AG95"/>
    <hyperlink r:id="rId59" ref="AG96"/>
    <hyperlink r:id="rId60" ref="AG97"/>
    <hyperlink r:id="rId61" ref="AG99"/>
    <hyperlink r:id="rId62" ref="AG222"/>
    <hyperlink r:id="rId63" ref="AG223"/>
    <hyperlink r:id="rId64" ref="AG224"/>
    <hyperlink r:id="rId65" ref="AG225"/>
    <hyperlink r:id="rId66" ref="AG233"/>
    <hyperlink r:id="rId67" ref="AG234"/>
    <hyperlink r:id="rId68" ref="AG235"/>
    <hyperlink r:id="rId69" ref="AG236"/>
    <hyperlink r:id="rId70" ref="AG237"/>
    <hyperlink r:id="rId71" ref="AG238"/>
    <hyperlink r:id="rId72" ref="AG243"/>
    <hyperlink r:id="rId73" ref="AG244"/>
    <hyperlink r:id="rId74" ref="AG246"/>
    <hyperlink r:id="rId75" ref="AG248"/>
    <hyperlink r:id="rId76" ref="AG249"/>
    <hyperlink r:id="rId77" ref="AG266"/>
    <hyperlink r:id="rId78" ref="AG287"/>
    <hyperlink r:id="rId79" ref="AG288"/>
  </hyperlinks>
  <printOptions/>
  <pageMargins bottom="0.75" footer="0.0" header="0.0" left="0.7" right="0.7" top="0.75"/>
  <pageSetup fitToWidth="0" orientation="landscape"/>
  <drawing r:id="rId80"/>
  <legacyDrawing r:id="rId8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0.1" defaultRowHeight="15.0"/>
  <cols>
    <col customWidth="1" min="1" max="1" width="2.9"/>
    <col customWidth="1" min="2" max="2" width="5.7"/>
    <col customWidth="1" min="3" max="3" width="47.9"/>
    <col customWidth="1" min="4" max="4" width="40.1"/>
    <col customWidth="1" min="5" max="5" width="19.4"/>
    <col customWidth="1" min="6" max="6" width="26.7"/>
    <col customWidth="1" min="7" max="7" width="25.6"/>
    <col customWidth="1" min="8" max="8" width="10.7"/>
    <col customWidth="1" min="9" max="9" width="25.6"/>
    <col customWidth="1" min="10" max="10" width="46.6"/>
    <col customWidth="1" min="11" max="11" width="10.9"/>
    <col customWidth="1" min="12" max="14" width="8.6"/>
    <col customWidth="1" min="15" max="26" width="12.6"/>
  </cols>
  <sheetData>
    <row r="1">
      <c r="A1" s="252" t="s">
        <v>724</v>
      </c>
      <c r="E1" s="147" t="s">
        <v>725</v>
      </c>
    </row>
    <row r="2" ht="55.5" customHeight="1">
      <c r="A2" s="253"/>
      <c r="B2" s="253"/>
      <c r="C2" s="253" t="s">
        <v>726</v>
      </c>
      <c r="D2" s="253" t="s">
        <v>727</v>
      </c>
      <c r="E2" s="253" t="s">
        <v>728</v>
      </c>
      <c r="F2" s="253" t="s">
        <v>729</v>
      </c>
      <c r="G2" s="253" t="s">
        <v>730</v>
      </c>
      <c r="H2" s="254" t="s">
        <v>731</v>
      </c>
      <c r="I2" s="253" t="s">
        <v>732</v>
      </c>
      <c r="J2" s="253" t="s">
        <v>733</v>
      </c>
      <c r="K2" s="253" t="s">
        <v>734</v>
      </c>
    </row>
    <row r="3" ht="15.0" customHeight="1">
      <c r="A3" s="255" t="s">
        <v>735</v>
      </c>
      <c r="B3" s="256">
        <f t="shared" ref="B3:B160" si="1">IF(C3="","",COUNTA($C$3:C3))</f>
        <v>1</v>
      </c>
      <c r="C3" s="256" t="s">
        <v>736</v>
      </c>
      <c r="D3" s="256" t="s">
        <v>737</v>
      </c>
      <c r="E3" s="257">
        <v>2.2255605E7</v>
      </c>
      <c r="F3" s="258" t="s">
        <v>738</v>
      </c>
      <c r="G3" s="259" t="s">
        <v>739</v>
      </c>
      <c r="H3" s="256" t="s">
        <v>740</v>
      </c>
      <c r="I3" s="256" t="s">
        <v>741</v>
      </c>
      <c r="J3" s="256"/>
    </row>
    <row r="4">
      <c r="A4" s="260"/>
      <c r="B4" s="147">
        <f t="shared" si="1"/>
        <v>2</v>
      </c>
      <c r="C4" s="147" t="s">
        <v>742</v>
      </c>
      <c r="D4" s="147" t="s">
        <v>743</v>
      </c>
      <c r="E4" s="147" t="s">
        <v>744</v>
      </c>
      <c r="F4" s="147" t="s">
        <v>745</v>
      </c>
      <c r="G4" s="261" t="s">
        <v>746</v>
      </c>
      <c r="H4" s="147" t="s">
        <v>740</v>
      </c>
      <c r="I4" s="147" t="s">
        <v>747</v>
      </c>
    </row>
    <row r="5">
      <c r="A5" s="260"/>
      <c r="B5" s="147">
        <f t="shared" si="1"/>
        <v>3</v>
      </c>
      <c r="C5" s="147" t="s">
        <v>748</v>
      </c>
      <c r="D5" s="147" t="s">
        <v>749</v>
      </c>
      <c r="E5" s="147" t="s">
        <v>750</v>
      </c>
      <c r="F5" s="147" t="s">
        <v>751</v>
      </c>
      <c r="G5" s="261" t="s">
        <v>752</v>
      </c>
      <c r="H5" s="147" t="s">
        <v>740</v>
      </c>
    </row>
    <row r="6">
      <c r="A6" s="260"/>
      <c r="B6" s="262">
        <f t="shared" si="1"/>
        <v>4</v>
      </c>
      <c r="C6" s="262" t="s">
        <v>753</v>
      </c>
      <c r="D6" s="262" t="s">
        <v>754</v>
      </c>
      <c r="E6" s="262" t="s">
        <v>755</v>
      </c>
      <c r="F6" s="262" t="s">
        <v>756</v>
      </c>
      <c r="G6" s="263" t="s">
        <v>757</v>
      </c>
      <c r="H6" s="262" t="s">
        <v>758</v>
      </c>
      <c r="I6" s="262"/>
      <c r="J6" s="262" t="s">
        <v>759</v>
      </c>
    </row>
    <row r="7">
      <c r="A7" s="260"/>
      <c r="B7" s="256">
        <f t="shared" si="1"/>
        <v>5</v>
      </c>
      <c r="C7" s="256" t="s">
        <v>760</v>
      </c>
      <c r="D7" s="256" t="s">
        <v>761</v>
      </c>
      <c r="E7" s="256" t="s">
        <v>762</v>
      </c>
      <c r="F7" s="256" t="s">
        <v>763</v>
      </c>
      <c r="G7" s="259" t="s">
        <v>764</v>
      </c>
      <c r="H7" s="256" t="s">
        <v>740</v>
      </c>
      <c r="I7" s="256"/>
      <c r="J7" s="256" t="s">
        <v>765</v>
      </c>
    </row>
    <row r="8">
      <c r="A8" s="260"/>
      <c r="B8" s="256">
        <f t="shared" si="1"/>
        <v>6</v>
      </c>
      <c r="C8" s="256" t="s">
        <v>766</v>
      </c>
      <c r="D8" s="256" t="s">
        <v>767</v>
      </c>
      <c r="E8" s="256" t="s">
        <v>768</v>
      </c>
      <c r="F8" s="256" t="s">
        <v>769</v>
      </c>
      <c r="G8" s="259" t="s">
        <v>770</v>
      </c>
      <c r="H8" s="256" t="s">
        <v>740</v>
      </c>
      <c r="I8" s="256" t="s">
        <v>771</v>
      </c>
      <c r="J8" s="256" t="s">
        <v>772</v>
      </c>
    </row>
    <row r="9">
      <c r="A9" s="260"/>
      <c r="B9" s="147">
        <f t="shared" si="1"/>
        <v>7</v>
      </c>
      <c r="C9" s="147" t="s">
        <v>773</v>
      </c>
      <c r="D9" s="147" t="s">
        <v>774</v>
      </c>
      <c r="E9" s="147" t="s">
        <v>775</v>
      </c>
      <c r="F9" s="147" t="s">
        <v>776</v>
      </c>
      <c r="G9" s="261" t="s">
        <v>777</v>
      </c>
      <c r="H9" s="147" t="s">
        <v>740</v>
      </c>
    </row>
    <row r="10">
      <c r="A10" s="260"/>
      <c r="B10" s="256">
        <f t="shared" si="1"/>
        <v>8</v>
      </c>
      <c r="C10" s="256" t="s">
        <v>778</v>
      </c>
      <c r="D10" s="256" t="s">
        <v>779</v>
      </c>
      <c r="E10" s="256" t="s">
        <v>780</v>
      </c>
      <c r="F10" s="259" t="s">
        <v>781</v>
      </c>
      <c r="G10" s="259" t="s">
        <v>782</v>
      </c>
      <c r="H10" s="256" t="s">
        <v>740</v>
      </c>
      <c r="I10" s="256" t="s">
        <v>783</v>
      </c>
      <c r="J10" s="147" t="s">
        <v>784</v>
      </c>
    </row>
    <row r="11">
      <c r="A11" s="260"/>
      <c r="B11" s="147">
        <f t="shared" si="1"/>
        <v>9</v>
      </c>
      <c r="C11" s="147" t="s">
        <v>785</v>
      </c>
      <c r="D11" s="147" t="s">
        <v>786</v>
      </c>
      <c r="E11" s="147" t="s">
        <v>787</v>
      </c>
      <c r="F11" s="147" t="s">
        <v>788</v>
      </c>
      <c r="G11" s="261" t="s">
        <v>789</v>
      </c>
      <c r="H11" s="147" t="s">
        <v>740</v>
      </c>
    </row>
    <row r="12">
      <c r="A12" s="260"/>
      <c r="B12" s="147">
        <f t="shared" si="1"/>
        <v>10</v>
      </c>
      <c r="C12" s="147" t="s">
        <v>790</v>
      </c>
      <c r="D12" s="147" t="s">
        <v>791</v>
      </c>
      <c r="E12" s="147" t="s">
        <v>792</v>
      </c>
      <c r="F12" s="147" t="s">
        <v>793</v>
      </c>
      <c r="G12" s="261" t="s">
        <v>794</v>
      </c>
      <c r="H12" s="147" t="s">
        <v>740</v>
      </c>
      <c r="I12" s="147" t="s">
        <v>795</v>
      </c>
      <c r="J12" s="147" t="s">
        <v>796</v>
      </c>
    </row>
    <row r="13">
      <c r="A13" s="260"/>
      <c r="B13" s="256">
        <f t="shared" si="1"/>
        <v>11</v>
      </c>
      <c r="C13" s="256" t="s">
        <v>797</v>
      </c>
      <c r="D13" s="256" t="s">
        <v>798</v>
      </c>
      <c r="E13" s="256" t="s">
        <v>799</v>
      </c>
      <c r="F13" s="256" t="s">
        <v>800</v>
      </c>
      <c r="G13" s="256"/>
      <c r="H13" s="256" t="s">
        <v>740</v>
      </c>
      <c r="I13" s="256" t="s">
        <v>801</v>
      </c>
      <c r="J13" s="256" t="s">
        <v>772</v>
      </c>
      <c r="K13" s="256" t="s">
        <v>802</v>
      </c>
    </row>
    <row r="14">
      <c r="A14" s="260"/>
      <c r="B14" s="256">
        <f t="shared" si="1"/>
        <v>12</v>
      </c>
      <c r="C14" s="147" t="s">
        <v>803</v>
      </c>
      <c r="D14" s="147" t="s">
        <v>804</v>
      </c>
      <c r="E14" s="147" t="s">
        <v>805</v>
      </c>
      <c r="F14" s="147" t="s">
        <v>806</v>
      </c>
      <c r="G14" s="261" t="s">
        <v>807</v>
      </c>
      <c r="H14" s="147" t="s">
        <v>740</v>
      </c>
      <c r="J14" s="147" t="s">
        <v>808</v>
      </c>
      <c r="N14" s="262" t="s">
        <v>809</v>
      </c>
    </row>
    <row r="15">
      <c r="A15" s="260"/>
      <c r="B15" s="147">
        <f t="shared" si="1"/>
        <v>13</v>
      </c>
      <c r="C15" s="147" t="s">
        <v>810</v>
      </c>
      <c r="D15" s="147" t="s">
        <v>811</v>
      </c>
      <c r="E15" s="147" t="s">
        <v>812</v>
      </c>
      <c r="F15" s="147" t="s">
        <v>813</v>
      </c>
      <c r="H15" s="147" t="s">
        <v>740</v>
      </c>
    </row>
    <row r="16">
      <c r="A16" s="260"/>
      <c r="B16" s="147">
        <f t="shared" si="1"/>
        <v>14</v>
      </c>
      <c r="C16" s="147" t="s">
        <v>814</v>
      </c>
      <c r="D16" s="147" t="s">
        <v>815</v>
      </c>
      <c r="E16" s="147" t="s">
        <v>816</v>
      </c>
      <c r="F16" s="147" t="s">
        <v>817</v>
      </c>
      <c r="G16" s="261" t="s">
        <v>818</v>
      </c>
      <c r="H16" s="147" t="s">
        <v>740</v>
      </c>
      <c r="I16" s="147" t="s">
        <v>819</v>
      </c>
    </row>
    <row r="17">
      <c r="A17" s="260"/>
      <c r="B17" s="264" t="str">
        <f t="shared" si="1"/>
        <v/>
      </c>
      <c r="C17" s="264"/>
    </row>
    <row r="18">
      <c r="A18" s="260"/>
      <c r="B18" s="147">
        <f t="shared" si="1"/>
        <v>15</v>
      </c>
      <c r="C18" s="147" t="s">
        <v>820</v>
      </c>
      <c r="D18" s="147" t="s">
        <v>821</v>
      </c>
      <c r="E18" s="147" t="s">
        <v>822</v>
      </c>
      <c r="F18" s="147" t="s">
        <v>823</v>
      </c>
      <c r="G18" s="261" t="s">
        <v>824</v>
      </c>
      <c r="H18" s="147" t="s">
        <v>740</v>
      </c>
      <c r="I18" s="147" t="s">
        <v>825</v>
      </c>
    </row>
    <row r="19">
      <c r="A19" s="260"/>
      <c r="B19" s="256">
        <f t="shared" si="1"/>
        <v>16</v>
      </c>
      <c r="C19" s="256" t="s">
        <v>826</v>
      </c>
      <c r="D19" s="256" t="s">
        <v>827</v>
      </c>
      <c r="E19" s="257" t="s">
        <v>828</v>
      </c>
      <c r="F19" s="256"/>
      <c r="G19" s="259" t="s">
        <v>829</v>
      </c>
      <c r="H19" s="256"/>
      <c r="I19" s="256" t="s">
        <v>830</v>
      </c>
      <c r="J19" s="256" t="s">
        <v>831</v>
      </c>
      <c r="K19" s="256"/>
    </row>
    <row r="20">
      <c r="A20" s="260"/>
      <c r="B20" s="147">
        <f t="shared" si="1"/>
        <v>17</v>
      </c>
      <c r="C20" s="147" t="s">
        <v>832</v>
      </c>
      <c r="D20" s="147" t="s">
        <v>833</v>
      </c>
      <c r="E20" s="265">
        <v>7.0088555E7</v>
      </c>
      <c r="F20" s="147" t="s">
        <v>834</v>
      </c>
      <c r="G20" s="261" t="s">
        <v>835</v>
      </c>
      <c r="I20" s="147" t="s">
        <v>836</v>
      </c>
    </row>
    <row r="21" ht="15.75" customHeight="1">
      <c r="A21" s="260"/>
      <c r="B21" s="147">
        <f t="shared" si="1"/>
        <v>18</v>
      </c>
      <c r="C21" s="147" t="s">
        <v>837</v>
      </c>
      <c r="D21" s="147" t="s">
        <v>838</v>
      </c>
      <c r="E21" s="265">
        <v>2.2499716E7</v>
      </c>
      <c r="F21" s="147" t="s">
        <v>839</v>
      </c>
      <c r="G21" s="261" t="s">
        <v>840</v>
      </c>
      <c r="I21" s="147" t="s">
        <v>841</v>
      </c>
    </row>
    <row r="22" ht="15.75" customHeight="1">
      <c r="A22" s="260"/>
      <c r="B22" s="147">
        <f t="shared" si="1"/>
        <v>19</v>
      </c>
      <c r="C22" s="147" t="s">
        <v>842</v>
      </c>
      <c r="D22" s="147" t="s">
        <v>843</v>
      </c>
      <c r="E22" s="265" t="s">
        <v>844</v>
      </c>
      <c r="F22" s="147" t="s">
        <v>845</v>
      </c>
      <c r="G22" s="261" t="s">
        <v>846</v>
      </c>
      <c r="I22" s="147" t="s">
        <v>847</v>
      </c>
      <c r="J22" s="266" t="s">
        <v>848</v>
      </c>
    </row>
    <row r="23" ht="15.75" customHeight="1">
      <c r="A23" s="260"/>
      <c r="B23" s="147">
        <f t="shared" si="1"/>
        <v>20</v>
      </c>
      <c r="C23" s="147" t="s">
        <v>849</v>
      </c>
      <c r="D23" s="147" t="s">
        <v>850</v>
      </c>
      <c r="E23" s="265" t="s">
        <v>851</v>
      </c>
      <c r="F23" s="147" t="s">
        <v>852</v>
      </c>
      <c r="G23" s="261" t="s">
        <v>853</v>
      </c>
      <c r="H23" s="147" t="s">
        <v>740</v>
      </c>
    </row>
    <row r="24" ht="15.75" customHeight="1">
      <c r="A24" s="260"/>
      <c r="B24" s="147">
        <f t="shared" si="1"/>
        <v>21</v>
      </c>
      <c r="C24" s="147" t="s">
        <v>854</v>
      </c>
      <c r="D24" s="147" t="s">
        <v>855</v>
      </c>
      <c r="E24" s="265">
        <v>2.2380243E7</v>
      </c>
      <c r="F24" s="147" t="s">
        <v>856</v>
      </c>
      <c r="G24" s="267" t="s">
        <v>857</v>
      </c>
      <c r="I24" s="147" t="s">
        <v>858</v>
      </c>
    </row>
    <row r="25" ht="15.75" customHeight="1">
      <c r="A25" s="260"/>
      <c r="B25" s="147">
        <f t="shared" si="1"/>
        <v>22</v>
      </c>
      <c r="C25" s="147" t="s">
        <v>859</v>
      </c>
      <c r="D25" s="147" t="s">
        <v>860</v>
      </c>
      <c r="E25" s="265">
        <v>2.2050819E7</v>
      </c>
      <c r="F25" s="147" t="s">
        <v>861</v>
      </c>
      <c r="G25" s="261" t="s">
        <v>862</v>
      </c>
    </row>
    <row r="26" ht="15.75" customHeight="1">
      <c r="A26" s="260"/>
      <c r="B26" s="147">
        <f t="shared" si="1"/>
        <v>23</v>
      </c>
      <c r="C26" s="147" t="s">
        <v>863</v>
      </c>
      <c r="D26" s="147" t="s">
        <v>864</v>
      </c>
      <c r="E26" s="265">
        <v>2.24265E7</v>
      </c>
      <c r="F26" s="147" t="s">
        <v>865</v>
      </c>
      <c r="G26" s="267"/>
    </row>
    <row r="27" ht="15.75" customHeight="1">
      <c r="A27" s="260"/>
      <c r="B27" s="147">
        <f t="shared" si="1"/>
        <v>24</v>
      </c>
      <c r="C27" s="147" t="s">
        <v>866</v>
      </c>
      <c r="D27" s="147" t="s">
        <v>867</v>
      </c>
      <c r="E27" s="265">
        <v>2.2455582E7</v>
      </c>
      <c r="F27" s="147" t="s">
        <v>868</v>
      </c>
      <c r="G27" s="261" t="s">
        <v>869</v>
      </c>
    </row>
    <row r="28" ht="15.75" customHeight="1">
      <c r="A28" s="260"/>
      <c r="B28" s="147">
        <f t="shared" si="1"/>
        <v>25</v>
      </c>
      <c r="C28" s="147" t="s">
        <v>870</v>
      </c>
      <c r="D28" s="147" t="s">
        <v>871</v>
      </c>
      <c r="E28" s="265">
        <v>9.9440527E7</v>
      </c>
      <c r="F28" s="147" t="s">
        <v>872</v>
      </c>
      <c r="G28" s="267"/>
    </row>
    <row r="29" ht="15.75" customHeight="1">
      <c r="A29" s="260"/>
      <c r="B29" s="268">
        <f t="shared" si="1"/>
        <v>26</v>
      </c>
      <c r="C29" s="268" t="s">
        <v>873</v>
      </c>
      <c r="D29" s="268" t="s">
        <v>874</v>
      </c>
      <c r="E29" s="269" t="s">
        <v>875</v>
      </c>
      <c r="F29" s="268" t="s">
        <v>876</v>
      </c>
      <c r="G29" s="270" t="s">
        <v>877</v>
      </c>
      <c r="H29" s="268"/>
      <c r="I29" s="268" t="s">
        <v>878</v>
      </c>
      <c r="J29" s="268" t="s">
        <v>879</v>
      </c>
      <c r="K29" s="268" t="s">
        <v>880</v>
      </c>
    </row>
    <row r="30" ht="15.75" customHeight="1">
      <c r="A30" s="260"/>
      <c r="B30" s="147">
        <f t="shared" si="1"/>
        <v>27</v>
      </c>
      <c r="C30" s="147" t="s">
        <v>881</v>
      </c>
      <c r="D30" s="147" t="s">
        <v>882</v>
      </c>
      <c r="E30" s="265" t="s">
        <v>883</v>
      </c>
      <c r="F30" s="147" t="s">
        <v>884</v>
      </c>
      <c r="G30" s="267" t="s">
        <v>885</v>
      </c>
    </row>
    <row r="31" ht="15.75" customHeight="1">
      <c r="A31" s="260"/>
      <c r="B31" s="262">
        <f t="shared" si="1"/>
        <v>28</v>
      </c>
      <c r="C31" s="262" t="s">
        <v>886</v>
      </c>
      <c r="D31" s="262" t="s">
        <v>887</v>
      </c>
      <c r="E31" s="271" t="s">
        <v>888</v>
      </c>
      <c r="F31" s="262" t="s">
        <v>889</v>
      </c>
      <c r="G31" s="263" t="s">
        <v>890</v>
      </c>
      <c r="H31" s="262"/>
      <c r="I31" s="262" t="s">
        <v>891</v>
      </c>
      <c r="J31" s="262" t="s">
        <v>892</v>
      </c>
    </row>
    <row r="32" ht="15.75" customHeight="1">
      <c r="A32" s="260"/>
      <c r="B32" s="147">
        <f t="shared" si="1"/>
        <v>29</v>
      </c>
      <c r="C32" s="147" t="s">
        <v>893</v>
      </c>
      <c r="D32" s="147" t="s">
        <v>894</v>
      </c>
      <c r="E32" s="265" t="s">
        <v>895</v>
      </c>
      <c r="F32" s="147" t="s">
        <v>896</v>
      </c>
      <c r="G32" s="267" t="s">
        <v>897</v>
      </c>
      <c r="I32" s="147" t="s">
        <v>898</v>
      </c>
    </row>
    <row r="33" ht="15.75" customHeight="1">
      <c r="A33" s="260"/>
      <c r="B33" s="147">
        <f t="shared" si="1"/>
        <v>30</v>
      </c>
      <c r="C33" s="147" t="s">
        <v>899</v>
      </c>
      <c r="D33" s="147" t="s">
        <v>900</v>
      </c>
      <c r="E33" s="265">
        <v>2.210608E7</v>
      </c>
      <c r="F33" s="147" t="s">
        <v>901</v>
      </c>
      <c r="G33" s="267"/>
      <c r="I33" s="265" t="s">
        <v>902</v>
      </c>
    </row>
    <row r="34" ht="15.75" customHeight="1">
      <c r="A34" s="260"/>
      <c r="B34" s="256">
        <f t="shared" si="1"/>
        <v>31</v>
      </c>
      <c r="C34" s="256" t="s">
        <v>903</v>
      </c>
      <c r="D34" s="256" t="s">
        <v>904</v>
      </c>
      <c r="E34" s="257" t="s">
        <v>905</v>
      </c>
      <c r="F34" s="256" t="s">
        <v>906</v>
      </c>
      <c r="G34" s="272" t="s">
        <v>907</v>
      </c>
      <c r="H34" s="256"/>
      <c r="I34" s="257" t="s">
        <v>908</v>
      </c>
      <c r="J34" s="256" t="s">
        <v>909</v>
      </c>
    </row>
    <row r="35" ht="15.75" customHeight="1">
      <c r="A35" s="260"/>
      <c r="B35" s="147">
        <f t="shared" si="1"/>
        <v>32</v>
      </c>
      <c r="C35" s="147" t="s">
        <v>910</v>
      </c>
      <c r="D35" s="147" t="s">
        <v>911</v>
      </c>
      <c r="E35" s="265" t="s">
        <v>912</v>
      </c>
      <c r="F35" s="147" t="s">
        <v>913</v>
      </c>
      <c r="G35" s="261" t="s">
        <v>914</v>
      </c>
      <c r="I35" s="265" t="s">
        <v>915</v>
      </c>
    </row>
    <row r="36" ht="15.75" customHeight="1">
      <c r="A36" s="260"/>
      <c r="B36" s="256">
        <f t="shared" si="1"/>
        <v>33</v>
      </c>
      <c r="C36" s="147" t="s">
        <v>916</v>
      </c>
      <c r="D36" s="147" t="s">
        <v>917</v>
      </c>
      <c r="E36" s="265" t="s">
        <v>918</v>
      </c>
      <c r="F36" s="147" t="s">
        <v>919</v>
      </c>
      <c r="J36" s="256" t="s">
        <v>920</v>
      </c>
    </row>
    <row r="37" ht="15.75" customHeight="1">
      <c r="A37" s="260"/>
      <c r="B37" s="262">
        <f t="shared" si="1"/>
        <v>34</v>
      </c>
      <c r="C37" s="147" t="s">
        <v>921</v>
      </c>
      <c r="D37" s="147" t="s">
        <v>922</v>
      </c>
      <c r="E37" s="265">
        <v>2.2444166E7</v>
      </c>
      <c r="F37" s="147" t="s">
        <v>923</v>
      </c>
      <c r="G37" s="267" t="s">
        <v>924</v>
      </c>
      <c r="I37" s="147" t="s">
        <v>925</v>
      </c>
      <c r="J37" s="262" t="s">
        <v>926</v>
      </c>
    </row>
    <row r="38" ht="15.75" customHeight="1">
      <c r="A38" s="260"/>
      <c r="B38" s="147">
        <f t="shared" si="1"/>
        <v>35</v>
      </c>
      <c r="C38" s="147" t="s">
        <v>927</v>
      </c>
      <c r="D38" s="147" t="s">
        <v>928</v>
      </c>
      <c r="E38" s="265">
        <v>2.2380707E7</v>
      </c>
      <c r="F38" s="147" t="s">
        <v>929</v>
      </c>
      <c r="G38" s="267" t="s">
        <v>930</v>
      </c>
      <c r="I38" s="265" t="s">
        <v>931</v>
      </c>
    </row>
    <row r="39" ht="15.75" customHeight="1">
      <c r="A39" s="260"/>
      <c r="B39" s="256">
        <f t="shared" si="1"/>
        <v>36</v>
      </c>
      <c r="C39" s="147" t="s">
        <v>932</v>
      </c>
      <c r="D39" s="147" t="s">
        <v>933</v>
      </c>
      <c r="E39" s="265" t="s">
        <v>934</v>
      </c>
      <c r="F39" s="147" t="s">
        <v>935</v>
      </c>
      <c r="G39" s="261" t="s">
        <v>936</v>
      </c>
      <c r="I39" s="265" t="s">
        <v>937</v>
      </c>
      <c r="J39" s="256" t="s">
        <v>938</v>
      </c>
    </row>
    <row r="40" ht="15.75" customHeight="1">
      <c r="A40" s="260"/>
      <c r="B40" s="262">
        <f t="shared" si="1"/>
        <v>37</v>
      </c>
      <c r="C40" s="262" t="s">
        <v>939</v>
      </c>
      <c r="D40" s="262" t="s">
        <v>940</v>
      </c>
      <c r="E40" s="271" t="s">
        <v>941</v>
      </c>
      <c r="F40" s="262" t="s">
        <v>942</v>
      </c>
      <c r="G40" s="273"/>
      <c r="H40" s="262"/>
      <c r="I40" s="271"/>
      <c r="J40" s="262" t="s">
        <v>943</v>
      </c>
    </row>
    <row r="41" ht="15.75" customHeight="1">
      <c r="A41" s="260"/>
      <c r="B41" s="147">
        <f t="shared" si="1"/>
        <v>38</v>
      </c>
      <c r="C41" s="147" t="s">
        <v>944</v>
      </c>
      <c r="D41" s="147" t="s">
        <v>945</v>
      </c>
      <c r="E41" s="265" t="s">
        <v>946</v>
      </c>
      <c r="F41" s="261" t="s">
        <v>947</v>
      </c>
      <c r="G41" s="267" t="s">
        <v>948</v>
      </c>
      <c r="I41" s="265" t="s">
        <v>949</v>
      </c>
    </row>
    <row r="42" ht="15.75" customHeight="1">
      <c r="A42" s="260"/>
      <c r="B42" s="262">
        <f t="shared" si="1"/>
        <v>39</v>
      </c>
      <c r="C42" s="262" t="s">
        <v>950</v>
      </c>
      <c r="D42" s="262" t="s">
        <v>951</v>
      </c>
      <c r="E42" s="271" t="s">
        <v>952</v>
      </c>
      <c r="F42" s="262" t="s">
        <v>953</v>
      </c>
      <c r="G42" s="273"/>
      <c r="H42" s="262"/>
      <c r="I42" s="271" t="s">
        <v>954</v>
      </c>
      <c r="J42" s="262"/>
    </row>
    <row r="43" ht="15.75" customHeight="1">
      <c r="A43" s="260"/>
      <c r="B43" s="147">
        <f t="shared" si="1"/>
        <v>40</v>
      </c>
      <c r="C43" s="147" t="s">
        <v>955</v>
      </c>
      <c r="D43" s="147" t="s">
        <v>956</v>
      </c>
      <c r="E43" s="265">
        <v>9.9414096E7</v>
      </c>
      <c r="F43" s="147" t="s">
        <v>957</v>
      </c>
      <c r="G43" s="267"/>
      <c r="I43" s="265"/>
    </row>
    <row r="44" ht="15.75" customHeight="1">
      <c r="A44" s="260"/>
      <c r="B44" s="256">
        <f t="shared" si="1"/>
        <v>41</v>
      </c>
      <c r="C44" s="147" t="s">
        <v>958</v>
      </c>
      <c r="D44" s="147" t="s">
        <v>959</v>
      </c>
      <c r="E44" s="265" t="s">
        <v>960</v>
      </c>
      <c r="F44" s="147" t="s">
        <v>961</v>
      </c>
      <c r="G44" s="261" t="s">
        <v>962</v>
      </c>
      <c r="I44" s="265" t="s">
        <v>963</v>
      </c>
      <c r="J44" s="256" t="s">
        <v>964</v>
      </c>
    </row>
    <row r="45" ht="15.75" customHeight="1">
      <c r="A45" s="260"/>
      <c r="B45" s="147">
        <f t="shared" si="1"/>
        <v>42</v>
      </c>
      <c r="C45" s="147" t="s">
        <v>965</v>
      </c>
      <c r="D45" s="147" t="s">
        <v>966</v>
      </c>
      <c r="E45" s="265">
        <v>9.9643915E7</v>
      </c>
      <c r="G45" s="267"/>
      <c r="I45" s="265" t="s">
        <v>967</v>
      </c>
    </row>
    <row r="46" ht="15.75" customHeight="1">
      <c r="A46" s="260"/>
      <c r="B46" s="147">
        <f t="shared" si="1"/>
        <v>43</v>
      </c>
      <c r="C46" s="147" t="s">
        <v>968</v>
      </c>
      <c r="D46" s="147" t="s">
        <v>969</v>
      </c>
      <c r="E46" s="265">
        <v>9.9633458E7</v>
      </c>
      <c r="F46" s="261" t="s">
        <v>970</v>
      </c>
      <c r="G46" s="267"/>
      <c r="I46" s="265" t="s">
        <v>971</v>
      </c>
    </row>
    <row r="47" ht="15.75" customHeight="1">
      <c r="A47" s="260"/>
      <c r="B47" s="147">
        <f t="shared" si="1"/>
        <v>44</v>
      </c>
      <c r="C47" s="147" t="s">
        <v>972</v>
      </c>
      <c r="D47" s="147" t="s">
        <v>973</v>
      </c>
      <c r="E47" s="265">
        <v>9.9803342E7</v>
      </c>
      <c r="F47" s="147" t="s">
        <v>974</v>
      </c>
      <c r="G47" s="267" t="s">
        <v>975</v>
      </c>
      <c r="I47" s="265" t="s">
        <v>976</v>
      </c>
    </row>
    <row r="48" ht="15.75" customHeight="1">
      <c r="A48" s="260"/>
      <c r="B48" s="147">
        <f t="shared" si="1"/>
        <v>45</v>
      </c>
      <c r="C48" s="147" t="s">
        <v>977</v>
      </c>
      <c r="D48" s="147" t="s">
        <v>978</v>
      </c>
      <c r="E48" s="265" t="s">
        <v>979</v>
      </c>
      <c r="F48" s="147" t="s">
        <v>980</v>
      </c>
      <c r="G48" s="267" t="s">
        <v>981</v>
      </c>
      <c r="I48" s="265" t="s">
        <v>982</v>
      </c>
    </row>
    <row r="49" ht="15.75" customHeight="1">
      <c r="A49" s="260"/>
      <c r="B49" s="147">
        <f t="shared" si="1"/>
        <v>46</v>
      </c>
      <c r="C49" s="147" t="s">
        <v>983</v>
      </c>
      <c r="D49" s="147" t="s">
        <v>984</v>
      </c>
      <c r="E49" s="265">
        <v>9.9686894E7</v>
      </c>
      <c r="F49" s="265" t="s">
        <v>985</v>
      </c>
      <c r="G49" s="267" t="s">
        <v>986</v>
      </c>
      <c r="I49" s="265" t="s">
        <v>987</v>
      </c>
    </row>
    <row r="50" ht="15.75" customHeight="1">
      <c r="A50" s="260"/>
      <c r="B50" s="147">
        <f t="shared" si="1"/>
        <v>47</v>
      </c>
      <c r="C50" s="147" t="s">
        <v>988</v>
      </c>
      <c r="D50" s="147" t="s">
        <v>989</v>
      </c>
      <c r="E50" s="265" t="s">
        <v>990</v>
      </c>
      <c r="F50" s="147" t="s">
        <v>991</v>
      </c>
      <c r="G50" s="267" t="s">
        <v>992</v>
      </c>
      <c r="I50" s="265" t="s">
        <v>993</v>
      </c>
    </row>
    <row r="51" ht="15.75" customHeight="1">
      <c r="A51" s="260"/>
      <c r="B51" s="147">
        <f t="shared" si="1"/>
        <v>48</v>
      </c>
      <c r="C51" s="147" t="s">
        <v>994</v>
      </c>
      <c r="D51" s="147" t="s">
        <v>995</v>
      </c>
      <c r="E51" s="265" t="s">
        <v>996</v>
      </c>
      <c r="F51" s="147" t="s">
        <v>997</v>
      </c>
      <c r="G51" s="267" t="s">
        <v>998</v>
      </c>
      <c r="I51" s="265" t="s">
        <v>999</v>
      </c>
    </row>
    <row r="52" ht="15.75" customHeight="1">
      <c r="A52" s="260"/>
      <c r="B52" s="147">
        <f t="shared" si="1"/>
        <v>49</v>
      </c>
      <c r="C52" s="147" t="s">
        <v>1000</v>
      </c>
      <c r="D52" s="147" t="s">
        <v>1001</v>
      </c>
      <c r="E52" s="265" t="s">
        <v>1002</v>
      </c>
      <c r="F52" s="147" t="s">
        <v>1003</v>
      </c>
      <c r="G52" s="267" t="s">
        <v>1004</v>
      </c>
      <c r="I52" s="265" t="s">
        <v>1005</v>
      </c>
    </row>
    <row r="53" ht="15.75" customHeight="1">
      <c r="A53" s="260"/>
      <c r="B53" s="147">
        <f t="shared" si="1"/>
        <v>50</v>
      </c>
      <c r="C53" s="147" t="s">
        <v>1006</v>
      </c>
      <c r="D53" s="147" t="s">
        <v>1007</v>
      </c>
      <c r="E53" s="265" t="s">
        <v>1008</v>
      </c>
      <c r="F53" s="261" t="s">
        <v>1009</v>
      </c>
      <c r="G53" s="261" t="s">
        <v>1010</v>
      </c>
      <c r="I53" s="265" t="s">
        <v>1011</v>
      </c>
    </row>
    <row r="54" ht="15.75" customHeight="1">
      <c r="A54" s="260"/>
      <c r="B54" s="147">
        <f t="shared" si="1"/>
        <v>51</v>
      </c>
      <c r="C54" s="147" t="s">
        <v>1012</v>
      </c>
      <c r="D54" s="147" t="s">
        <v>1013</v>
      </c>
      <c r="E54" s="265">
        <v>9.936027E7</v>
      </c>
      <c r="F54" s="147" t="s">
        <v>1014</v>
      </c>
      <c r="G54" s="267"/>
      <c r="I54" s="265" t="s">
        <v>1015</v>
      </c>
    </row>
    <row r="55" ht="15.75" customHeight="1">
      <c r="A55" s="260"/>
      <c r="B55" s="262">
        <f t="shared" si="1"/>
        <v>52</v>
      </c>
      <c r="C55" s="262" t="s">
        <v>1016</v>
      </c>
      <c r="D55" s="262" t="s">
        <v>1017</v>
      </c>
      <c r="E55" s="271" t="s">
        <v>1018</v>
      </c>
      <c r="F55" s="262" t="s">
        <v>1019</v>
      </c>
      <c r="G55" s="273"/>
      <c r="H55" s="262"/>
      <c r="I55" s="271" t="s">
        <v>1020</v>
      </c>
    </row>
    <row r="56" ht="15.75" customHeight="1">
      <c r="A56" s="260"/>
      <c r="B56" s="256">
        <f t="shared" si="1"/>
        <v>53</v>
      </c>
      <c r="C56" s="147" t="s">
        <v>1021</v>
      </c>
      <c r="D56" s="147" t="s">
        <v>1022</v>
      </c>
      <c r="E56" s="265" t="s">
        <v>1023</v>
      </c>
      <c r="F56" s="261" t="s">
        <v>1024</v>
      </c>
      <c r="G56" s="261" t="s">
        <v>1025</v>
      </c>
      <c r="I56" s="265" t="s">
        <v>1026</v>
      </c>
      <c r="J56" s="256" t="s">
        <v>1027</v>
      </c>
    </row>
    <row r="57" ht="15.75" customHeight="1">
      <c r="A57" s="260"/>
      <c r="B57" s="147">
        <f t="shared" si="1"/>
        <v>54</v>
      </c>
      <c r="C57" s="147" t="s">
        <v>1028</v>
      </c>
      <c r="D57" s="147" t="s">
        <v>1029</v>
      </c>
      <c r="E57" s="265" t="s">
        <v>1030</v>
      </c>
      <c r="F57" s="147" t="s">
        <v>1031</v>
      </c>
      <c r="G57" s="147" t="s">
        <v>1032</v>
      </c>
      <c r="I57" s="274"/>
    </row>
    <row r="58" ht="15.75" customHeight="1">
      <c r="A58" s="260"/>
      <c r="B58" s="147">
        <f t="shared" si="1"/>
        <v>55</v>
      </c>
      <c r="C58" s="147" t="s">
        <v>1033</v>
      </c>
      <c r="D58" s="147" t="s">
        <v>1034</v>
      </c>
      <c r="E58" s="265" t="s">
        <v>1035</v>
      </c>
      <c r="F58" s="261" t="s">
        <v>1036</v>
      </c>
      <c r="G58" s="261" t="s">
        <v>1037</v>
      </c>
      <c r="I58" s="265" t="s">
        <v>1038</v>
      </c>
    </row>
    <row r="59" ht="15.75" customHeight="1">
      <c r="A59" s="260"/>
      <c r="B59" s="147">
        <f t="shared" si="1"/>
        <v>56</v>
      </c>
      <c r="C59" s="147" t="s">
        <v>1039</v>
      </c>
      <c r="D59" s="147" t="s">
        <v>1040</v>
      </c>
      <c r="E59" s="265" t="s">
        <v>1041</v>
      </c>
      <c r="F59" s="261" t="s">
        <v>1042</v>
      </c>
      <c r="G59" s="261" t="s">
        <v>1043</v>
      </c>
      <c r="I59" s="265"/>
    </row>
    <row r="60" ht="15.75" customHeight="1">
      <c r="A60" s="260"/>
      <c r="B60" s="262">
        <f t="shared" si="1"/>
        <v>57</v>
      </c>
      <c r="C60" s="262" t="s">
        <v>1044</v>
      </c>
      <c r="D60" s="262" t="s">
        <v>1045</v>
      </c>
      <c r="E60" s="271" t="s">
        <v>1046</v>
      </c>
      <c r="F60" s="263" t="s">
        <v>1047</v>
      </c>
      <c r="G60" s="273"/>
      <c r="H60" s="262"/>
      <c r="I60" s="271" t="s">
        <v>1048</v>
      </c>
      <c r="J60" s="262" t="s">
        <v>1049</v>
      </c>
    </row>
    <row r="61" ht="15.75" customHeight="1">
      <c r="A61" s="260"/>
      <c r="B61" s="147">
        <f t="shared" si="1"/>
        <v>58</v>
      </c>
      <c r="C61" s="147" t="s">
        <v>1050</v>
      </c>
      <c r="D61" s="147" t="s">
        <v>1051</v>
      </c>
      <c r="E61" s="265" t="s">
        <v>1052</v>
      </c>
      <c r="F61" s="261" t="s">
        <v>1053</v>
      </c>
      <c r="G61" s="261" t="s">
        <v>1054</v>
      </c>
      <c r="I61" s="265"/>
    </row>
    <row r="62" ht="15.75" customHeight="1">
      <c r="A62" s="260"/>
      <c r="B62" s="147">
        <f t="shared" si="1"/>
        <v>59</v>
      </c>
      <c r="C62" s="147" t="s">
        <v>1055</v>
      </c>
      <c r="D62" s="147" t="s">
        <v>1056</v>
      </c>
      <c r="E62" s="265">
        <v>9.9651766E7</v>
      </c>
      <c r="F62" s="261" t="s">
        <v>1057</v>
      </c>
      <c r="G62" s="267"/>
      <c r="I62" s="265" t="s">
        <v>1058</v>
      </c>
    </row>
    <row r="63" ht="16.5" customHeight="1">
      <c r="A63" s="260"/>
      <c r="B63" s="147">
        <f t="shared" si="1"/>
        <v>60</v>
      </c>
      <c r="C63" s="147" t="s">
        <v>1059</v>
      </c>
      <c r="D63" s="275" t="s">
        <v>1060</v>
      </c>
      <c r="E63" s="265" t="s">
        <v>1061</v>
      </c>
      <c r="F63" s="261" t="s">
        <v>1062</v>
      </c>
      <c r="G63" s="261" t="s">
        <v>1063</v>
      </c>
      <c r="I63" s="265" t="s">
        <v>1064</v>
      </c>
    </row>
    <row r="64" ht="15.75" customHeight="1">
      <c r="A64" s="260"/>
      <c r="B64" s="256">
        <f t="shared" si="1"/>
        <v>61</v>
      </c>
      <c r="C64" s="147" t="s">
        <v>1065</v>
      </c>
      <c r="D64" s="147" t="s">
        <v>1066</v>
      </c>
      <c r="E64" s="265">
        <v>2.2019314E7</v>
      </c>
      <c r="F64" s="261" t="s">
        <v>1067</v>
      </c>
      <c r="G64" s="267"/>
      <c r="I64" s="265" t="s">
        <v>1068</v>
      </c>
      <c r="J64" s="256" t="s">
        <v>1069</v>
      </c>
    </row>
    <row r="65" ht="15.75" customHeight="1">
      <c r="A65" s="260"/>
      <c r="B65" s="147">
        <f t="shared" si="1"/>
        <v>62</v>
      </c>
      <c r="C65" s="147" t="s">
        <v>1070</v>
      </c>
      <c r="D65" s="147" t="s">
        <v>1071</v>
      </c>
      <c r="E65" s="265" t="s">
        <v>1072</v>
      </c>
      <c r="F65" s="261" t="s">
        <v>1073</v>
      </c>
      <c r="G65" s="261" t="s">
        <v>1074</v>
      </c>
      <c r="I65" s="265" t="s">
        <v>1075</v>
      </c>
      <c r="J65" s="147" t="s">
        <v>1076</v>
      </c>
    </row>
    <row r="66" ht="15.75" customHeight="1">
      <c r="A66" s="260"/>
      <c r="B66" s="147">
        <f t="shared" si="1"/>
        <v>63</v>
      </c>
      <c r="C66" s="147" t="s">
        <v>1077</v>
      </c>
      <c r="D66" s="147" t="s">
        <v>1078</v>
      </c>
      <c r="E66" s="265">
        <v>9.9723525E7</v>
      </c>
      <c r="F66" s="261" t="s">
        <v>1079</v>
      </c>
      <c r="G66" s="267"/>
      <c r="I66" s="265" t="s">
        <v>1080</v>
      </c>
    </row>
    <row r="67" ht="15.75" customHeight="1">
      <c r="A67" s="260"/>
      <c r="B67" s="147">
        <f t="shared" si="1"/>
        <v>64</v>
      </c>
      <c r="C67" s="147" t="s">
        <v>1081</v>
      </c>
      <c r="D67" s="147" t="s">
        <v>1082</v>
      </c>
      <c r="E67" s="265">
        <v>9.9574299E7</v>
      </c>
      <c r="F67" s="261" t="s">
        <v>1083</v>
      </c>
      <c r="G67" s="267"/>
      <c r="I67" s="265" t="s">
        <v>1084</v>
      </c>
    </row>
    <row r="68" ht="15.75" customHeight="1">
      <c r="A68" s="260"/>
      <c r="B68" s="147">
        <f t="shared" si="1"/>
        <v>65</v>
      </c>
      <c r="C68" s="147" t="s">
        <v>1085</v>
      </c>
      <c r="D68" s="147" t="s">
        <v>1086</v>
      </c>
      <c r="E68" s="265">
        <v>9.9522053E7</v>
      </c>
      <c r="F68" s="261" t="s">
        <v>1087</v>
      </c>
      <c r="G68" s="267"/>
      <c r="I68" s="265" t="s">
        <v>1088</v>
      </c>
    </row>
    <row r="69" ht="15.75" customHeight="1">
      <c r="A69" s="260"/>
      <c r="B69" s="147">
        <f t="shared" si="1"/>
        <v>66</v>
      </c>
      <c r="C69" s="147" t="s">
        <v>1089</v>
      </c>
      <c r="E69" s="265">
        <v>9.6589249E7</v>
      </c>
      <c r="F69" s="261" t="s">
        <v>1090</v>
      </c>
      <c r="G69" s="261" t="s">
        <v>1091</v>
      </c>
      <c r="I69" s="265"/>
    </row>
    <row r="70" ht="15.75" customHeight="1">
      <c r="A70" s="260"/>
      <c r="B70" s="256">
        <f t="shared" si="1"/>
        <v>67</v>
      </c>
      <c r="C70" s="147" t="s">
        <v>1092</v>
      </c>
      <c r="D70" s="147" t="s">
        <v>1093</v>
      </c>
      <c r="E70" s="265" t="s">
        <v>1094</v>
      </c>
      <c r="F70" s="261" t="s">
        <v>1095</v>
      </c>
      <c r="G70" s="261" t="s">
        <v>1096</v>
      </c>
      <c r="I70" s="265" t="s">
        <v>1097</v>
      </c>
    </row>
    <row r="71" ht="15.75" customHeight="1">
      <c r="A71" s="260"/>
      <c r="B71" s="147">
        <f t="shared" si="1"/>
        <v>68</v>
      </c>
      <c r="C71" s="147" t="s">
        <v>1098</v>
      </c>
      <c r="D71" s="147" t="s">
        <v>1099</v>
      </c>
      <c r="E71" s="265">
        <v>2.2621468E7</v>
      </c>
      <c r="F71" s="261" t="s">
        <v>1100</v>
      </c>
      <c r="G71" s="261" t="s">
        <v>1101</v>
      </c>
      <c r="I71" s="265" t="s">
        <v>1102</v>
      </c>
    </row>
    <row r="72" ht="15.75" customHeight="1">
      <c r="A72" s="260"/>
      <c r="B72" s="147">
        <f t="shared" si="1"/>
        <v>69</v>
      </c>
      <c r="C72" s="147" t="s">
        <v>1103</v>
      </c>
      <c r="D72" s="147" t="s">
        <v>1104</v>
      </c>
      <c r="E72" s="265">
        <v>2.2376966E7</v>
      </c>
      <c r="F72" s="261" t="s">
        <v>1105</v>
      </c>
      <c r="G72" s="147" t="s">
        <v>1106</v>
      </c>
      <c r="I72" s="265" t="s">
        <v>1107</v>
      </c>
    </row>
    <row r="73" ht="15.75" customHeight="1">
      <c r="A73" s="260"/>
      <c r="B73" s="147">
        <f t="shared" si="1"/>
        <v>70</v>
      </c>
      <c r="C73" s="147" t="s">
        <v>1108</v>
      </c>
      <c r="D73" s="147" t="s">
        <v>1109</v>
      </c>
      <c r="E73" s="265">
        <v>2.2516435E7</v>
      </c>
      <c r="F73" s="261" t="s">
        <v>1110</v>
      </c>
      <c r="G73" s="261" t="s">
        <v>1111</v>
      </c>
      <c r="I73" s="265" t="s">
        <v>1112</v>
      </c>
    </row>
    <row r="74" ht="15.75" customHeight="1">
      <c r="A74" s="260"/>
      <c r="B74" s="256">
        <f t="shared" si="1"/>
        <v>71</v>
      </c>
      <c r="C74" s="147" t="s">
        <v>1113</v>
      </c>
      <c r="D74" s="147" t="s">
        <v>1114</v>
      </c>
      <c r="E74" s="265">
        <v>9.9485557E7</v>
      </c>
      <c r="F74" s="261" t="s">
        <v>1115</v>
      </c>
      <c r="G74" s="261" t="s">
        <v>1116</v>
      </c>
      <c r="I74" s="265" t="s">
        <v>1117</v>
      </c>
      <c r="J74" s="256" t="s">
        <v>1118</v>
      </c>
    </row>
    <row r="75" ht="15.75" customHeight="1">
      <c r="A75" s="260"/>
      <c r="B75" s="147">
        <f t="shared" si="1"/>
        <v>72</v>
      </c>
      <c r="C75" s="147" t="s">
        <v>1119</v>
      </c>
      <c r="D75" s="147" t="s">
        <v>1120</v>
      </c>
      <c r="E75" s="147" t="s">
        <v>1121</v>
      </c>
      <c r="F75" s="147" t="s">
        <v>1122</v>
      </c>
      <c r="G75" s="261" t="s">
        <v>1123</v>
      </c>
    </row>
    <row r="76" ht="15.75" customHeight="1">
      <c r="A76" s="260"/>
      <c r="B76" s="256">
        <f t="shared" si="1"/>
        <v>73</v>
      </c>
      <c r="C76" s="256" t="s">
        <v>1124</v>
      </c>
      <c r="D76" s="256" t="s">
        <v>1125</v>
      </c>
      <c r="E76" s="256" t="s">
        <v>1126</v>
      </c>
      <c r="F76" s="259" t="s">
        <v>1127</v>
      </c>
      <c r="G76" s="259" t="s">
        <v>1128</v>
      </c>
      <c r="H76" s="256"/>
      <c r="I76" s="257" t="s">
        <v>1129</v>
      </c>
      <c r="J76" s="256" t="s">
        <v>1130</v>
      </c>
    </row>
    <row r="77" ht="15.75" customHeight="1">
      <c r="A77" s="260"/>
      <c r="B77" s="256">
        <f t="shared" si="1"/>
        <v>74</v>
      </c>
      <c r="C77" s="256" t="s">
        <v>1131</v>
      </c>
      <c r="D77" s="256" t="s">
        <v>1132</v>
      </c>
      <c r="E77" s="256" t="s">
        <v>1133</v>
      </c>
      <c r="F77" s="256" t="s">
        <v>1134</v>
      </c>
      <c r="G77" s="272" t="s">
        <v>1135</v>
      </c>
      <c r="H77" s="256"/>
      <c r="I77" s="256" t="s">
        <v>1136</v>
      </c>
      <c r="J77" s="256" t="s">
        <v>1137</v>
      </c>
    </row>
    <row r="78" ht="15.75" customHeight="1">
      <c r="A78" s="260"/>
      <c r="B78" s="262">
        <f t="shared" si="1"/>
        <v>75</v>
      </c>
      <c r="C78" s="262" t="s">
        <v>1138</v>
      </c>
      <c r="D78" s="262" t="s">
        <v>1139</v>
      </c>
      <c r="E78" s="271">
        <v>9.9042307E7</v>
      </c>
      <c r="F78" s="263" t="s">
        <v>1140</v>
      </c>
      <c r="G78" s="263" t="s">
        <v>1141</v>
      </c>
      <c r="H78" s="262"/>
      <c r="I78" s="262"/>
      <c r="J78" s="262" t="s">
        <v>1142</v>
      </c>
    </row>
    <row r="79" ht="15.75" customHeight="1">
      <c r="A79" s="260"/>
      <c r="B79" s="262">
        <f t="shared" si="1"/>
        <v>76</v>
      </c>
      <c r="C79" s="262" t="s">
        <v>1143</v>
      </c>
      <c r="D79" s="262" t="s">
        <v>1144</v>
      </c>
      <c r="E79" s="271">
        <v>9.9721615E7</v>
      </c>
      <c r="F79" s="263" t="s">
        <v>1145</v>
      </c>
      <c r="G79" s="273"/>
      <c r="H79" s="262"/>
      <c r="I79" s="262" t="s">
        <v>1146</v>
      </c>
      <c r="J79" s="262" t="s">
        <v>1147</v>
      </c>
    </row>
    <row r="80" ht="15.75" customHeight="1">
      <c r="A80" s="260"/>
      <c r="B80" s="256">
        <f t="shared" si="1"/>
        <v>77</v>
      </c>
      <c r="C80" s="147" t="s">
        <v>1148</v>
      </c>
      <c r="D80" s="147" t="s">
        <v>1149</v>
      </c>
      <c r="E80" s="265">
        <v>9.9943601E7</v>
      </c>
      <c r="F80" s="261" t="s">
        <v>1150</v>
      </c>
      <c r="G80" s="261" t="s">
        <v>1151</v>
      </c>
      <c r="I80" s="147" t="s">
        <v>1152</v>
      </c>
      <c r="J80" s="256" t="s">
        <v>1153</v>
      </c>
    </row>
    <row r="81" ht="15.75" customHeight="1">
      <c r="A81" s="260"/>
      <c r="B81" s="256">
        <f t="shared" si="1"/>
        <v>78</v>
      </c>
      <c r="C81" s="147" t="s">
        <v>1154</v>
      </c>
      <c r="D81" s="147" t="s">
        <v>1155</v>
      </c>
      <c r="E81" s="265">
        <v>2.232554E7</v>
      </c>
      <c r="F81" s="261" t="s">
        <v>1156</v>
      </c>
      <c r="G81" s="261" t="s">
        <v>1157</v>
      </c>
      <c r="I81" s="147" t="s">
        <v>1158</v>
      </c>
      <c r="J81" s="147" t="s">
        <v>1159</v>
      </c>
    </row>
    <row r="82" ht="15.75" customHeight="1">
      <c r="A82" s="260"/>
      <c r="B82" s="256">
        <f t="shared" si="1"/>
        <v>79</v>
      </c>
      <c r="C82" s="147" t="s">
        <v>1160</v>
      </c>
      <c r="D82" s="275" t="s">
        <v>1161</v>
      </c>
      <c r="E82" s="265" t="s">
        <v>1162</v>
      </c>
      <c r="F82" s="276" t="s">
        <v>1163</v>
      </c>
      <c r="G82" s="261" t="s">
        <v>1164</v>
      </c>
      <c r="I82" s="147" t="s">
        <v>1165</v>
      </c>
      <c r="J82" s="256" t="s">
        <v>1166</v>
      </c>
    </row>
    <row r="83" ht="15.75" customHeight="1">
      <c r="A83" s="260"/>
      <c r="B83" s="262">
        <f t="shared" si="1"/>
        <v>80</v>
      </c>
      <c r="C83" s="262" t="s">
        <v>1167</v>
      </c>
      <c r="D83" s="262" t="s">
        <v>1168</v>
      </c>
      <c r="E83" s="271">
        <v>9.9902752E7</v>
      </c>
      <c r="F83" s="263" t="s">
        <v>1169</v>
      </c>
      <c r="G83" s="263" t="s">
        <v>1170</v>
      </c>
      <c r="H83" s="262"/>
      <c r="I83" s="262" t="s">
        <v>1171</v>
      </c>
      <c r="J83" s="262" t="s">
        <v>1172</v>
      </c>
    </row>
    <row r="84" ht="15.75" customHeight="1">
      <c r="A84" s="260"/>
      <c r="B84" s="262">
        <f t="shared" si="1"/>
        <v>81</v>
      </c>
      <c r="C84" s="262" t="s">
        <v>1173</v>
      </c>
      <c r="D84" s="262"/>
      <c r="E84" s="262" t="s">
        <v>1174</v>
      </c>
      <c r="F84" s="263" t="s">
        <v>1175</v>
      </c>
      <c r="G84" s="263" t="s">
        <v>1176</v>
      </c>
      <c r="H84" s="262"/>
      <c r="I84" s="262" t="s">
        <v>1177</v>
      </c>
      <c r="J84" s="262" t="s">
        <v>1178</v>
      </c>
    </row>
    <row r="85" ht="15.75" customHeight="1">
      <c r="A85" s="260"/>
      <c r="B85" s="147">
        <f t="shared" si="1"/>
        <v>82</v>
      </c>
      <c r="C85" s="147" t="s">
        <v>1179</v>
      </c>
      <c r="D85" s="147" t="s">
        <v>1180</v>
      </c>
      <c r="E85" s="265" t="s">
        <v>1181</v>
      </c>
      <c r="F85" s="261" t="s">
        <v>1182</v>
      </c>
      <c r="G85" s="261" t="s">
        <v>1183</v>
      </c>
    </row>
    <row r="86" ht="15.75" customHeight="1">
      <c r="A86" s="260"/>
      <c r="B86" s="256">
        <f t="shared" si="1"/>
        <v>83</v>
      </c>
      <c r="C86" s="147" t="s">
        <v>1184</v>
      </c>
      <c r="E86" s="265" t="s">
        <v>1185</v>
      </c>
      <c r="F86" s="261" t="s">
        <v>1186</v>
      </c>
      <c r="G86" s="261" t="s">
        <v>1187</v>
      </c>
      <c r="I86" s="147" t="s">
        <v>1188</v>
      </c>
      <c r="J86" s="256" t="s">
        <v>1189</v>
      </c>
    </row>
    <row r="87" ht="15.75" customHeight="1">
      <c r="A87" s="260"/>
      <c r="B87" s="256">
        <f t="shared" si="1"/>
        <v>84</v>
      </c>
      <c r="C87" s="256" t="s">
        <v>1190</v>
      </c>
      <c r="D87" s="256" t="s">
        <v>1191</v>
      </c>
      <c r="E87" s="257">
        <v>9.9073291E7</v>
      </c>
      <c r="F87" s="259" t="s">
        <v>1192</v>
      </c>
      <c r="G87" s="272"/>
      <c r="H87" s="256"/>
      <c r="I87" s="256"/>
      <c r="J87" s="256" t="s">
        <v>1193</v>
      </c>
    </row>
    <row r="88" ht="15.75" customHeight="1">
      <c r="A88" s="260"/>
      <c r="B88" s="256">
        <f t="shared" si="1"/>
        <v>85</v>
      </c>
      <c r="C88" s="147" t="s">
        <v>1194</v>
      </c>
      <c r="D88" s="147" t="s">
        <v>1195</v>
      </c>
      <c r="E88" s="265">
        <v>9.9522214E7</v>
      </c>
      <c r="F88" s="261" t="s">
        <v>1196</v>
      </c>
      <c r="G88" s="267"/>
      <c r="J88" s="256" t="s">
        <v>1197</v>
      </c>
    </row>
    <row r="89" ht="15.75" customHeight="1">
      <c r="A89" s="260"/>
      <c r="B89" s="256">
        <f t="shared" si="1"/>
        <v>86</v>
      </c>
      <c r="C89" s="147" t="s">
        <v>1198</v>
      </c>
      <c r="D89" s="147" t="s">
        <v>1199</v>
      </c>
      <c r="E89" s="265">
        <v>9.6663113E7</v>
      </c>
      <c r="F89" s="261" t="s">
        <v>1200</v>
      </c>
      <c r="G89" s="261" t="s">
        <v>1201</v>
      </c>
      <c r="I89" s="147" t="s">
        <v>1202</v>
      </c>
      <c r="J89" s="277" t="s">
        <v>1203</v>
      </c>
    </row>
    <row r="90" ht="15.75" customHeight="1">
      <c r="A90" s="260"/>
      <c r="B90" s="256">
        <f t="shared" si="1"/>
        <v>87</v>
      </c>
      <c r="C90" s="256" t="s">
        <v>1204</v>
      </c>
      <c r="D90" s="256" t="s">
        <v>1205</v>
      </c>
      <c r="E90" s="257">
        <v>9.6551333E7</v>
      </c>
      <c r="F90" s="259" t="s">
        <v>1206</v>
      </c>
      <c r="G90" s="272"/>
      <c r="H90" s="256"/>
      <c r="I90" s="256" t="s">
        <v>1207</v>
      </c>
      <c r="J90" s="256" t="s">
        <v>1208</v>
      </c>
    </row>
    <row r="91" ht="15.75" customHeight="1">
      <c r="A91" s="260"/>
      <c r="B91" s="256">
        <f t="shared" si="1"/>
        <v>88</v>
      </c>
      <c r="C91" s="256" t="s">
        <v>1209</v>
      </c>
      <c r="D91" s="256" t="s">
        <v>1210</v>
      </c>
      <c r="E91" s="257">
        <v>9.9677278E7</v>
      </c>
      <c r="F91" s="259" t="s">
        <v>1211</v>
      </c>
      <c r="G91" s="259" t="s">
        <v>1212</v>
      </c>
      <c r="H91" s="256"/>
      <c r="I91" s="256" t="s">
        <v>1213</v>
      </c>
      <c r="J91" s="256" t="s">
        <v>1214</v>
      </c>
    </row>
    <row r="92" ht="15.75" customHeight="1">
      <c r="A92" s="260"/>
      <c r="B92" s="147">
        <f t="shared" si="1"/>
        <v>89</v>
      </c>
      <c r="C92" s="147" t="s">
        <v>1215</v>
      </c>
      <c r="D92" s="147" t="s">
        <v>1216</v>
      </c>
      <c r="E92" s="265" t="s">
        <v>1217</v>
      </c>
      <c r="F92" s="261" t="s">
        <v>1218</v>
      </c>
      <c r="G92" s="261" t="s">
        <v>1219</v>
      </c>
      <c r="I92" s="147" t="s">
        <v>1220</v>
      </c>
      <c r="J92" s="147" t="s">
        <v>1221</v>
      </c>
    </row>
    <row r="93" ht="15.75" customHeight="1">
      <c r="A93" s="260"/>
      <c r="B93" s="147" t="str">
        <f t="shared" si="1"/>
        <v/>
      </c>
      <c r="E93" s="265"/>
      <c r="F93" s="267"/>
      <c r="G93" s="267"/>
    </row>
    <row r="94" ht="15.75" customHeight="1">
      <c r="A94" s="260"/>
      <c r="B94" s="147" t="str">
        <f t="shared" si="1"/>
        <v/>
      </c>
      <c r="E94" s="265"/>
      <c r="F94" s="267"/>
      <c r="G94" s="267"/>
    </row>
    <row r="95" ht="15.75" customHeight="1">
      <c r="A95" s="260"/>
      <c r="B95" s="147" t="str">
        <f t="shared" si="1"/>
        <v/>
      </c>
      <c r="E95" s="265"/>
      <c r="F95" s="267"/>
      <c r="G95" s="267"/>
    </row>
    <row r="96" ht="15.75" customHeight="1">
      <c r="A96" s="260"/>
      <c r="B96" s="147" t="str">
        <f t="shared" si="1"/>
        <v/>
      </c>
    </row>
    <row r="97" ht="15.75" customHeight="1">
      <c r="A97" s="278" t="s">
        <v>1222</v>
      </c>
      <c r="B97" s="256">
        <f t="shared" si="1"/>
        <v>90</v>
      </c>
      <c r="C97" s="256" t="s">
        <v>1223</v>
      </c>
      <c r="D97" s="256" t="s">
        <v>1224</v>
      </c>
      <c r="E97" s="256" t="s">
        <v>1225</v>
      </c>
      <c r="F97" s="256" t="s">
        <v>1226</v>
      </c>
      <c r="G97" s="256"/>
      <c r="H97" s="256" t="s">
        <v>1227</v>
      </c>
      <c r="I97" s="256"/>
      <c r="J97" s="256" t="s">
        <v>772</v>
      </c>
    </row>
    <row r="98" ht="15.75" customHeight="1">
      <c r="A98" s="260"/>
      <c r="B98" s="256">
        <f t="shared" si="1"/>
        <v>91</v>
      </c>
      <c r="C98" s="256" t="s">
        <v>1228</v>
      </c>
      <c r="D98" s="256" t="s">
        <v>1229</v>
      </c>
      <c r="E98" s="256" t="s">
        <v>1230</v>
      </c>
      <c r="F98" s="256" t="s">
        <v>1231</v>
      </c>
      <c r="G98" s="256" t="s">
        <v>1232</v>
      </c>
      <c r="H98" s="256" t="s">
        <v>740</v>
      </c>
      <c r="I98" s="256" t="s">
        <v>1233</v>
      </c>
      <c r="J98" s="256" t="s">
        <v>1234</v>
      </c>
    </row>
    <row r="99" ht="15.75" customHeight="1">
      <c r="A99" s="260"/>
      <c r="B99" s="262">
        <f t="shared" si="1"/>
        <v>92</v>
      </c>
      <c r="C99" s="262" t="s">
        <v>1235</v>
      </c>
      <c r="D99" s="262" t="s">
        <v>1236</v>
      </c>
      <c r="E99" s="262" t="s">
        <v>1237</v>
      </c>
      <c r="F99" s="262" t="s">
        <v>1238</v>
      </c>
      <c r="G99" s="263" t="s">
        <v>1239</v>
      </c>
      <c r="H99" s="262" t="s">
        <v>740</v>
      </c>
      <c r="I99" s="262" t="s">
        <v>1240</v>
      </c>
      <c r="J99" s="262" t="s">
        <v>1241</v>
      </c>
    </row>
    <row r="100" ht="15.75" customHeight="1">
      <c r="A100" s="260"/>
      <c r="B100" s="256">
        <f t="shared" si="1"/>
        <v>93</v>
      </c>
      <c r="C100" s="256" t="s">
        <v>1242</v>
      </c>
      <c r="D100" s="256" t="s">
        <v>1243</v>
      </c>
      <c r="E100" s="256" t="s">
        <v>1244</v>
      </c>
      <c r="F100" s="256" t="s">
        <v>1245</v>
      </c>
      <c r="G100" s="259" t="s">
        <v>1246</v>
      </c>
      <c r="H100" s="256" t="s">
        <v>740</v>
      </c>
      <c r="I100" s="256" t="s">
        <v>1247</v>
      </c>
      <c r="J100" s="256" t="s">
        <v>765</v>
      </c>
    </row>
    <row r="101" ht="15.75" customHeight="1">
      <c r="A101" s="260"/>
      <c r="B101" s="256">
        <f t="shared" si="1"/>
        <v>94</v>
      </c>
      <c r="C101" s="256" t="s">
        <v>1248</v>
      </c>
      <c r="D101" s="256" t="s">
        <v>1249</v>
      </c>
      <c r="E101" s="257" t="s">
        <v>1250</v>
      </c>
      <c r="F101" s="256" t="s">
        <v>1251</v>
      </c>
      <c r="G101" s="259" t="s">
        <v>1252</v>
      </c>
      <c r="H101" s="256" t="s">
        <v>740</v>
      </c>
      <c r="I101" s="256" t="s">
        <v>1253</v>
      </c>
      <c r="J101" s="256" t="s">
        <v>1254</v>
      </c>
    </row>
    <row r="102" ht="15.75" customHeight="1">
      <c r="A102" s="260"/>
      <c r="B102" s="256">
        <f t="shared" si="1"/>
        <v>95</v>
      </c>
      <c r="C102" s="256" t="s">
        <v>1255</v>
      </c>
      <c r="D102" s="256" t="s">
        <v>1256</v>
      </c>
      <c r="E102" s="256" t="s">
        <v>1257</v>
      </c>
      <c r="F102" s="256" t="s">
        <v>1258</v>
      </c>
      <c r="G102" s="259" t="s">
        <v>1259</v>
      </c>
      <c r="H102" s="256" t="s">
        <v>1260</v>
      </c>
      <c r="I102" s="256"/>
      <c r="J102" s="256" t="s">
        <v>1261</v>
      </c>
    </row>
    <row r="103" ht="15.75" customHeight="1">
      <c r="A103" s="260"/>
      <c r="B103" s="256">
        <f t="shared" si="1"/>
        <v>96</v>
      </c>
      <c r="C103" s="256" t="s">
        <v>1262</v>
      </c>
      <c r="D103" s="256" t="s">
        <v>1263</v>
      </c>
      <c r="E103" s="256" t="s">
        <v>1264</v>
      </c>
      <c r="F103" s="256" t="s">
        <v>1265</v>
      </c>
      <c r="G103" s="259" t="s">
        <v>1266</v>
      </c>
      <c r="H103" s="256" t="s">
        <v>740</v>
      </c>
      <c r="I103" s="256" t="s">
        <v>1267</v>
      </c>
      <c r="J103" s="256" t="s">
        <v>772</v>
      </c>
    </row>
    <row r="104" ht="15.75" customHeight="1">
      <c r="A104" s="260"/>
      <c r="B104" s="256">
        <f t="shared" si="1"/>
        <v>97</v>
      </c>
      <c r="C104" s="256" t="s">
        <v>1268</v>
      </c>
      <c r="D104" s="256" t="s">
        <v>1269</v>
      </c>
      <c r="E104" s="257">
        <v>7.0009955E7</v>
      </c>
      <c r="F104" s="256" t="s">
        <v>1270</v>
      </c>
      <c r="G104" s="259" t="s">
        <v>1271</v>
      </c>
      <c r="H104" s="256" t="s">
        <v>740</v>
      </c>
      <c r="I104" s="256" t="s">
        <v>1272</v>
      </c>
      <c r="J104" s="256" t="s">
        <v>1261</v>
      </c>
    </row>
    <row r="105" ht="15.75" customHeight="1">
      <c r="A105" s="260"/>
      <c r="B105" s="256">
        <f t="shared" si="1"/>
        <v>98</v>
      </c>
      <c r="C105" s="256" t="s">
        <v>1273</v>
      </c>
      <c r="D105" s="256" t="s">
        <v>1274</v>
      </c>
      <c r="E105" s="257" t="s">
        <v>1275</v>
      </c>
      <c r="F105" s="256" t="s">
        <v>1276</v>
      </c>
      <c r="G105" s="256" t="s">
        <v>1277</v>
      </c>
      <c r="H105" s="256" t="s">
        <v>740</v>
      </c>
      <c r="I105" s="256" t="s">
        <v>1278</v>
      </c>
      <c r="J105" s="256" t="s">
        <v>772</v>
      </c>
    </row>
    <row r="106" ht="15.75" customHeight="1">
      <c r="A106" s="260"/>
      <c r="B106" s="256">
        <f t="shared" si="1"/>
        <v>99</v>
      </c>
      <c r="C106" s="256" t="s">
        <v>1279</v>
      </c>
      <c r="D106" s="256" t="s">
        <v>1280</v>
      </c>
      <c r="E106" s="256" t="s">
        <v>1281</v>
      </c>
      <c r="F106" s="256" t="s">
        <v>1282</v>
      </c>
      <c r="G106" s="256"/>
      <c r="H106" s="256" t="s">
        <v>740</v>
      </c>
      <c r="I106" s="256"/>
      <c r="J106" s="256" t="s">
        <v>1283</v>
      </c>
    </row>
    <row r="107" ht="15.75" customHeight="1">
      <c r="A107" s="260"/>
      <c r="B107" s="256">
        <f t="shared" si="1"/>
        <v>100</v>
      </c>
      <c r="C107" s="256" t="s">
        <v>1284</v>
      </c>
      <c r="D107" s="256" t="s">
        <v>1285</v>
      </c>
      <c r="E107" s="256" t="s">
        <v>1286</v>
      </c>
      <c r="F107" s="256" t="s">
        <v>1287</v>
      </c>
      <c r="G107" s="256" t="s">
        <v>1288</v>
      </c>
      <c r="H107" s="256" t="s">
        <v>740</v>
      </c>
      <c r="I107" s="256" t="s">
        <v>1289</v>
      </c>
      <c r="J107" s="262" t="s">
        <v>1290</v>
      </c>
    </row>
    <row r="108" ht="15.75" customHeight="1">
      <c r="A108" s="260"/>
      <c r="B108" s="256">
        <f t="shared" si="1"/>
        <v>101</v>
      </c>
      <c r="C108" s="147" t="s">
        <v>1291</v>
      </c>
      <c r="D108" s="147" t="s">
        <v>1292</v>
      </c>
      <c r="E108" s="147" t="s">
        <v>1293</v>
      </c>
      <c r="F108" s="147" t="s">
        <v>1294</v>
      </c>
      <c r="G108" s="261" t="s">
        <v>1295</v>
      </c>
      <c r="H108" s="147" t="s">
        <v>740</v>
      </c>
      <c r="J108" s="256" t="s">
        <v>1296</v>
      </c>
    </row>
    <row r="109" ht="15.75" customHeight="1">
      <c r="A109" s="260"/>
      <c r="B109" s="256">
        <f t="shared" si="1"/>
        <v>102</v>
      </c>
      <c r="C109" s="256" t="s">
        <v>1297</v>
      </c>
      <c r="D109" s="256" t="s">
        <v>1298</v>
      </c>
      <c r="E109" s="256" t="s">
        <v>1299</v>
      </c>
      <c r="F109" s="256" t="s">
        <v>1300</v>
      </c>
      <c r="G109" s="259" t="s">
        <v>1301</v>
      </c>
      <c r="H109" s="256" t="s">
        <v>740</v>
      </c>
      <c r="I109" s="256"/>
      <c r="J109" s="256" t="s">
        <v>1302</v>
      </c>
    </row>
    <row r="110" ht="15.75" customHeight="1">
      <c r="A110" s="260"/>
      <c r="B110" s="279" t="str">
        <f t="shared" si="1"/>
        <v/>
      </c>
      <c r="C110" s="279"/>
    </row>
    <row r="111" ht="16.5" customHeight="1">
      <c r="A111" s="260"/>
      <c r="B111" s="147">
        <f t="shared" si="1"/>
        <v>103</v>
      </c>
      <c r="C111" s="147" t="s">
        <v>1303</v>
      </c>
      <c r="D111" s="275" t="s">
        <v>1304</v>
      </c>
      <c r="E111" s="265" t="s">
        <v>1305</v>
      </c>
      <c r="F111" s="147" t="s">
        <v>1306</v>
      </c>
      <c r="G111" s="261" t="s">
        <v>1307</v>
      </c>
      <c r="I111" s="147" t="s">
        <v>1308</v>
      </c>
      <c r="J111" s="147" t="s">
        <v>1076</v>
      </c>
    </row>
    <row r="112" ht="15.75" customHeight="1">
      <c r="A112" s="260"/>
      <c r="B112" s="262">
        <f t="shared" si="1"/>
        <v>104</v>
      </c>
      <c r="C112" s="262" t="s">
        <v>1309</v>
      </c>
      <c r="D112" s="262" t="s">
        <v>1310</v>
      </c>
      <c r="E112" s="271">
        <v>2.5352748E7</v>
      </c>
      <c r="F112" s="262" t="s">
        <v>1311</v>
      </c>
      <c r="G112" s="263" t="s">
        <v>1312</v>
      </c>
      <c r="H112" s="262"/>
      <c r="I112" s="262"/>
      <c r="J112" s="262" t="s">
        <v>1313</v>
      </c>
    </row>
    <row r="113" ht="15.75" customHeight="1">
      <c r="A113" s="260"/>
      <c r="B113" s="262">
        <f t="shared" si="1"/>
        <v>105</v>
      </c>
      <c r="C113" s="262" t="s">
        <v>1314</v>
      </c>
      <c r="D113" s="262" t="s">
        <v>1315</v>
      </c>
      <c r="E113" s="271">
        <v>2.5818822E7</v>
      </c>
      <c r="F113" s="262" t="s">
        <v>1316</v>
      </c>
      <c r="G113" s="263" t="s">
        <v>1317</v>
      </c>
      <c r="H113" s="262"/>
      <c r="I113" s="262" t="s">
        <v>1318</v>
      </c>
      <c r="J113" s="262" t="s">
        <v>1319</v>
      </c>
    </row>
    <row r="114" ht="15.75" customHeight="1">
      <c r="A114" s="260"/>
      <c r="B114" s="147">
        <f t="shared" si="1"/>
        <v>106</v>
      </c>
      <c r="C114" s="147" t="s">
        <v>1320</v>
      </c>
      <c r="D114" s="147" t="s">
        <v>1321</v>
      </c>
      <c r="E114" s="265" t="s">
        <v>1322</v>
      </c>
      <c r="F114" s="147" t="s">
        <v>1323</v>
      </c>
      <c r="G114" s="147" t="s">
        <v>1324</v>
      </c>
      <c r="J114" s="262" t="s">
        <v>1325</v>
      </c>
    </row>
    <row r="115" ht="15.75" customHeight="1">
      <c r="A115" s="260"/>
      <c r="B115" s="256">
        <f t="shared" si="1"/>
        <v>107</v>
      </c>
      <c r="C115" s="256" t="s">
        <v>1326</v>
      </c>
      <c r="D115" s="256" t="s">
        <v>1327</v>
      </c>
      <c r="E115" s="257" t="s">
        <v>1328</v>
      </c>
      <c r="F115" s="256" t="s">
        <v>1329</v>
      </c>
      <c r="G115" s="259" t="s">
        <v>1330</v>
      </c>
      <c r="H115" s="256"/>
      <c r="I115" s="256" t="s">
        <v>1331</v>
      </c>
      <c r="J115" s="256" t="s">
        <v>1332</v>
      </c>
    </row>
    <row r="116" ht="15.75" customHeight="1">
      <c r="A116" s="260"/>
      <c r="B116" s="256">
        <f t="shared" si="1"/>
        <v>108</v>
      </c>
      <c r="C116" s="256" t="s">
        <v>1333</v>
      </c>
      <c r="D116" s="256" t="s">
        <v>1334</v>
      </c>
      <c r="E116" s="257">
        <v>9.9303134E7</v>
      </c>
      <c r="F116" s="259" t="s">
        <v>1335</v>
      </c>
      <c r="G116" s="272" t="s">
        <v>1336</v>
      </c>
      <c r="H116" s="256"/>
      <c r="I116" s="256" t="s">
        <v>1337</v>
      </c>
      <c r="J116" s="256" t="s">
        <v>1338</v>
      </c>
    </row>
    <row r="117" ht="15.75" customHeight="1">
      <c r="A117" s="260"/>
      <c r="B117" s="256">
        <f t="shared" si="1"/>
        <v>109</v>
      </c>
      <c r="C117" s="147" t="s">
        <v>1339</v>
      </c>
      <c r="D117" s="147" t="s">
        <v>1340</v>
      </c>
      <c r="E117" s="265">
        <v>9.6033677E7</v>
      </c>
      <c r="F117" s="147" t="s">
        <v>1341</v>
      </c>
      <c r="G117" s="147" t="s">
        <v>1342</v>
      </c>
      <c r="I117" s="147" t="s">
        <v>1343</v>
      </c>
      <c r="J117" s="256" t="s">
        <v>1344</v>
      </c>
    </row>
    <row r="118" ht="15.75" customHeight="1">
      <c r="A118" s="260"/>
      <c r="B118" s="262">
        <f t="shared" si="1"/>
        <v>110</v>
      </c>
      <c r="C118" s="262" t="s">
        <v>1345</v>
      </c>
      <c r="D118" s="262" t="s">
        <v>1346</v>
      </c>
      <c r="E118" s="271">
        <v>9.9446523E7</v>
      </c>
      <c r="F118" s="262"/>
      <c r="G118" s="262"/>
      <c r="H118" s="262"/>
      <c r="I118" s="262" t="s">
        <v>1347</v>
      </c>
      <c r="J118" s="262"/>
    </row>
    <row r="119" ht="15.75" customHeight="1">
      <c r="A119" s="260"/>
      <c r="B119" s="256">
        <f t="shared" si="1"/>
        <v>111</v>
      </c>
      <c r="C119" s="147" t="s">
        <v>1348</v>
      </c>
      <c r="D119" s="147" t="s">
        <v>1349</v>
      </c>
      <c r="E119" s="265" t="s">
        <v>1350</v>
      </c>
      <c r="F119" s="147" t="s">
        <v>1351</v>
      </c>
      <c r="G119" s="261" t="s">
        <v>1352</v>
      </c>
      <c r="I119" s="147" t="s">
        <v>1353</v>
      </c>
      <c r="J119" s="256" t="s">
        <v>1354</v>
      </c>
    </row>
    <row r="120" ht="18.75" customHeight="1">
      <c r="A120" s="260"/>
      <c r="B120" s="256">
        <f t="shared" si="1"/>
        <v>112</v>
      </c>
      <c r="C120" s="256" t="s">
        <v>1355</v>
      </c>
      <c r="D120" s="280" t="s">
        <v>1356</v>
      </c>
      <c r="E120" s="257" t="s">
        <v>1357</v>
      </c>
      <c r="F120" s="259" t="s">
        <v>1358</v>
      </c>
      <c r="G120" s="259" t="s">
        <v>1359</v>
      </c>
      <c r="H120" s="256"/>
      <c r="I120" s="256" t="s">
        <v>1360</v>
      </c>
      <c r="J120" s="256" t="s">
        <v>1361</v>
      </c>
    </row>
    <row r="121" ht="15.75" customHeight="1">
      <c r="A121" s="260"/>
      <c r="B121" s="256">
        <f t="shared" si="1"/>
        <v>113</v>
      </c>
      <c r="C121" s="256" t="s">
        <v>1362</v>
      </c>
      <c r="D121" s="256" t="s">
        <v>1363</v>
      </c>
      <c r="E121" s="257" t="s">
        <v>1364</v>
      </c>
      <c r="F121" s="259" t="s">
        <v>1365</v>
      </c>
      <c r="G121" s="259" t="s">
        <v>1366</v>
      </c>
      <c r="H121" s="256"/>
      <c r="I121" s="256" t="s">
        <v>1367</v>
      </c>
      <c r="J121" s="256" t="s">
        <v>1368</v>
      </c>
    </row>
    <row r="122" ht="15.75" customHeight="1">
      <c r="A122" s="260"/>
      <c r="B122" s="256">
        <f t="shared" si="1"/>
        <v>114</v>
      </c>
      <c r="C122" s="256" t="s">
        <v>1369</v>
      </c>
      <c r="D122" s="256" t="s">
        <v>1370</v>
      </c>
      <c r="E122" s="257" t="s">
        <v>1371</v>
      </c>
      <c r="F122" s="256" t="s">
        <v>1372</v>
      </c>
      <c r="G122" s="256" t="s">
        <v>1373</v>
      </c>
      <c r="H122" s="256"/>
      <c r="I122" s="256" t="s">
        <v>1374</v>
      </c>
      <c r="J122" s="256" t="s">
        <v>1261</v>
      </c>
    </row>
    <row r="123" ht="15.75" customHeight="1">
      <c r="A123" s="260"/>
      <c r="B123" s="256">
        <f t="shared" si="1"/>
        <v>115</v>
      </c>
      <c r="C123" s="147" t="s">
        <v>1375</v>
      </c>
      <c r="D123" s="147" t="s">
        <v>1376</v>
      </c>
      <c r="E123" s="265">
        <v>9.6450506E7</v>
      </c>
      <c r="F123" s="147" t="s">
        <v>1377</v>
      </c>
      <c r="G123" s="261" t="s">
        <v>1378</v>
      </c>
      <c r="I123" s="147" t="s">
        <v>1379</v>
      </c>
      <c r="J123" s="256" t="s">
        <v>1380</v>
      </c>
    </row>
    <row r="124" ht="15.75" customHeight="1">
      <c r="A124" s="260"/>
      <c r="B124" s="256">
        <f t="shared" si="1"/>
        <v>116</v>
      </c>
      <c r="C124" s="147" t="s">
        <v>1381</v>
      </c>
      <c r="D124" s="147" t="s">
        <v>1382</v>
      </c>
      <c r="E124" s="265">
        <v>9.9685508E7</v>
      </c>
      <c r="F124" s="261" t="s">
        <v>1383</v>
      </c>
      <c r="I124" s="147" t="s">
        <v>1384</v>
      </c>
      <c r="J124" s="256" t="s">
        <v>1385</v>
      </c>
    </row>
    <row r="125" ht="15.75" customHeight="1">
      <c r="A125" s="260"/>
      <c r="B125" s="256">
        <f t="shared" si="1"/>
        <v>117</v>
      </c>
      <c r="C125" s="147" t="s">
        <v>1386</v>
      </c>
      <c r="D125" s="147" t="s">
        <v>1387</v>
      </c>
      <c r="E125" s="265" t="s">
        <v>1388</v>
      </c>
      <c r="F125" s="261" t="s">
        <v>1389</v>
      </c>
      <c r="G125" s="261" t="s">
        <v>1390</v>
      </c>
      <c r="I125" s="147" t="s">
        <v>1391</v>
      </c>
      <c r="J125" s="256" t="s">
        <v>1392</v>
      </c>
    </row>
    <row r="126" ht="15.75" customHeight="1">
      <c r="A126" s="260"/>
      <c r="B126" s="262">
        <f t="shared" si="1"/>
        <v>118</v>
      </c>
      <c r="C126" s="262" t="s">
        <v>1393</v>
      </c>
      <c r="D126" s="262" t="s">
        <v>1394</v>
      </c>
      <c r="E126" s="281">
        <v>9.9082334E7</v>
      </c>
      <c r="F126" s="263" t="s">
        <v>1395</v>
      </c>
      <c r="G126" s="262"/>
      <c r="H126" s="262"/>
      <c r="I126" s="262" t="s">
        <v>1396</v>
      </c>
      <c r="J126" s="262" t="s">
        <v>1397</v>
      </c>
    </row>
    <row r="127" ht="15.75" customHeight="1">
      <c r="A127" s="260"/>
      <c r="B127" s="256">
        <f t="shared" si="1"/>
        <v>119</v>
      </c>
      <c r="C127" s="256" t="s">
        <v>1398</v>
      </c>
      <c r="D127" s="256" t="s">
        <v>1399</v>
      </c>
      <c r="E127" s="257">
        <v>9.687736E7</v>
      </c>
      <c r="F127" s="259" t="s">
        <v>1400</v>
      </c>
      <c r="G127" s="272"/>
      <c r="H127" s="256"/>
      <c r="I127" s="256"/>
      <c r="J127" s="256" t="s">
        <v>1401</v>
      </c>
    </row>
    <row r="128" ht="15.75" customHeight="1">
      <c r="A128" s="260"/>
      <c r="B128" s="256">
        <f t="shared" si="1"/>
        <v>120</v>
      </c>
      <c r="C128" s="256" t="s">
        <v>1402</v>
      </c>
      <c r="D128" s="256" t="s">
        <v>1403</v>
      </c>
      <c r="E128" s="257" t="s">
        <v>1404</v>
      </c>
      <c r="F128" s="259" t="s">
        <v>1405</v>
      </c>
      <c r="G128" s="272" t="s">
        <v>1406</v>
      </c>
      <c r="H128" s="256"/>
      <c r="I128" s="256" t="s">
        <v>1407</v>
      </c>
      <c r="J128" s="256" t="s">
        <v>1408</v>
      </c>
    </row>
    <row r="129" ht="15.75" customHeight="1">
      <c r="A129" s="260"/>
      <c r="B129" s="147">
        <f t="shared" si="1"/>
        <v>121</v>
      </c>
      <c r="C129" s="147" t="s">
        <v>1409</v>
      </c>
      <c r="D129" s="147" t="s">
        <v>1410</v>
      </c>
      <c r="E129" s="265">
        <v>2.5733738E7</v>
      </c>
      <c r="F129" s="261" t="s">
        <v>1411</v>
      </c>
      <c r="G129" s="261" t="s">
        <v>1412</v>
      </c>
    </row>
    <row r="130" ht="15.75" customHeight="1">
      <c r="A130" s="260"/>
      <c r="B130" s="147">
        <f t="shared" si="1"/>
        <v>122</v>
      </c>
      <c r="C130" s="147" t="s">
        <v>1413</v>
      </c>
      <c r="D130" s="147" t="s">
        <v>1414</v>
      </c>
      <c r="E130" s="265">
        <v>9.9352783E7</v>
      </c>
      <c r="F130" s="261" t="s">
        <v>1415</v>
      </c>
      <c r="G130" s="267"/>
      <c r="I130" s="147" t="s">
        <v>1416</v>
      </c>
      <c r="J130" s="147" t="s">
        <v>1417</v>
      </c>
    </row>
    <row r="131" ht="15.75" customHeight="1">
      <c r="A131" s="260"/>
      <c r="B131" s="268">
        <f t="shared" si="1"/>
        <v>123</v>
      </c>
      <c r="C131" s="268" t="s">
        <v>1418</v>
      </c>
      <c r="D131" s="268" t="s">
        <v>1419</v>
      </c>
      <c r="E131" s="269" t="s">
        <v>1420</v>
      </c>
      <c r="F131" s="282" t="s">
        <v>1421</v>
      </c>
      <c r="G131" s="270"/>
      <c r="H131" s="268"/>
      <c r="I131" s="268" t="s">
        <v>1422</v>
      </c>
      <c r="J131" s="268" t="s">
        <v>1423</v>
      </c>
    </row>
    <row r="132" ht="15.75" customHeight="1">
      <c r="A132" s="260"/>
      <c r="B132" s="256">
        <f t="shared" si="1"/>
        <v>124</v>
      </c>
      <c r="C132" s="147" t="s">
        <v>1424</v>
      </c>
      <c r="D132" s="147" t="s">
        <v>1425</v>
      </c>
      <c r="E132" s="265" t="s">
        <v>1426</v>
      </c>
      <c r="F132" s="261" t="s">
        <v>1427</v>
      </c>
      <c r="G132" s="261" t="s">
        <v>1428</v>
      </c>
      <c r="I132" s="147" t="s">
        <v>1429</v>
      </c>
      <c r="J132" s="147" t="s">
        <v>1430</v>
      </c>
    </row>
    <row r="133" ht="15.75" customHeight="1">
      <c r="A133" s="260"/>
      <c r="B133" s="256">
        <f t="shared" si="1"/>
        <v>125</v>
      </c>
      <c r="C133" s="147" t="s">
        <v>1431</v>
      </c>
      <c r="D133" s="147" t="s">
        <v>1432</v>
      </c>
      <c r="E133" s="265">
        <v>9.9717909E7</v>
      </c>
      <c r="F133" s="261" t="s">
        <v>1433</v>
      </c>
      <c r="G133" s="261" t="s">
        <v>1434</v>
      </c>
      <c r="I133" s="147" t="s">
        <v>1435</v>
      </c>
      <c r="J133" s="147" t="s">
        <v>1436</v>
      </c>
    </row>
    <row r="134" ht="15.75" customHeight="1">
      <c r="A134" s="260"/>
      <c r="B134" s="256">
        <f t="shared" si="1"/>
        <v>126</v>
      </c>
      <c r="C134" s="256" t="s">
        <v>1437</v>
      </c>
      <c r="D134" s="256" t="s">
        <v>1438</v>
      </c>
      <c r="E134" s="257">
        <v>9.9918736E7</v>
      </c>
      <c r="F134" s="259" t="s">
        <v>1439</v>
      </c>
      <c r="G134" s="272"/>
      <c r="H134" s="256"/>
      <c r="I134" s="256"/>
      <c r="J134" s="256" t="s">
        <v>1440</v>
      </c>
    </row>
    <row r="135" ht="15.75" customHeight="1">
      <c r="A135" s="260"/>
      <c r="B135" s="256">
        <f t="shared" si="1"/>
        <v>127</v>
      </c>
      <c r="C135" s="147" t="s">
        <v>1441</v>
      </c>
      <c r="D135" s="147" t="s">
        <v>1442</v>
      </c>
      <c r="E135" s="265" t="s">
        <v>1443</v>
      </c>
      <c r="F135" s="261" t="s">
        <v>1444</v>
      </c>
      <c r="G135" s="261" t="s">
        <v>1445</v>
      </c>
      <c r="I135" s="147" t="s">
        <v>1446</v>
      </c>
      <c r="J135" s="256" t="s">
        <v>1447</v>
      </c>
    </row>
    <row r="136" ht="15.75" customHeight="1">
      <c r="A136" s="260"/>
      <c r="B136" s="256">
        <f t="shared" si="1"/>
        <v>128</v>
      </c>
      <c r="C136" s="147" t="s">
        <v>1448</v>
      </c>
      <c r="D136" s="147" t="s">
        <v>1449</v>
      </c>
      <c r="E136" s="265">
        <v>9.997834E7</v>
      </c>
      <c r="F136" s="261" t="s">
        <v>1450</v>
      </c>
      <c r="G136" s="261" t="s">
        <v>1451</v>
      </c>
      <c r="I136" s="147" t="s">
        <v>1452</v>
      </c>
      <c r="J136" s="256" t="s">
        <v>1447</v>
      </c>
    </row>
    <row r="137" ht="15.75" customHeight="1">
      <c r="A137" s="260"/>
      <c r="B137" s="256">
        <f t="shared" si="1"/>
        <v>129</v>
      </c>
      <c r="C137" s="256" t="s">
        <v>1453</v>
      </c>
      <c r="D137" s="256" t="s">
        <v>1454</v>
      </c>
      <c r="E137" s="257" t="s">
        <v>1455</v>
      </c>
      <c r="F137" s="259" t="s">
        <v>1456</v>
      </c>
      <c r="G137" s="272" t="s">
        <v>1457</v>
      </c>
      <c r="H137" s="256"/>
      <c r="I137" s="256" t="s">
        <v>1458</v>
      </c>
      <c r="J137" s="256" t="s">
        <v>1459</v>
      </c>
    </row>
    <row r="138" ht="15.75" customHeight="1">
      <c r="A138" s="260"/>
      <c r="B138" s="256">
        <f t="shared" si="1"/>
        <v>130</v>
      </c>
      <c r="C138" s="256" t="s">
        <v>1460</v>
      </c>
      <c r="D138" s="256" t="s">
        <v>1461</v>
      </c>
      <c r="E138" s="257" t="s">
        <v>1462</v>
      </c>
      <c r="F138" s="259" t="s">
        <v>1463</v>
      </c>
      <c r="G138" s="272" t="s">
        <v>1464</v>
      </c>
      <c r="H138" s="256"/>
      <c r="I138" s="256" t="s">
        <v>1465</v>
      </c>
      <c r="J138" s="256" t="s">
        <v>1466</v>
      </c>
    </row>
    <row r="139" ht="15.75" customHeight="1">
      <c r="A139" s="260"/>
      <c r="B139" s="256">
        <f t="shared" si="1"/>
        <v>131</v>
      </c>
      <c r="C139" s="147" t="s">
        <v>1467</v>
      </c>
      <c r="D139" s="147" t="s">
        <v>1468</v>
      </c>
      <c r="E139" s="265">
        <v>9.933115E7</v>
      </c>
      <c r="F139" s="261" t="s">
        <v>1469</v>
      </c>
      <c r="G139" s="267"/>
      <c r="I139" s="147" t="s">
        <v>1470</v>
      </c>
      <c r="J139" s="256" t="s">
        <v>1471</v>
      </c>
    </row>
    <row r="140" ht="15.75" customHeight="1">
      <c r="A140" s="260"/>
      <c r="B140" s="256">
        <f t="shared" si="1"/>
        <v>132</v>
      </c>
      <c r="C140" s="147" t="s">
        <v>1472</v>
      </c>
      <c r="D140" s="147" t="s">
        <v>1473</v>
      </c>
      <c r="E140" s="265">
        <v>9.667561E7</v>
      </c>
      <c r="F140" s="261" t="s">
        <v>1474</v>
      </c>
      <c r="G140" s="267"/>
      <c r="J140" s="256" t="s">
        <v>1475</v>
      </c>
    </row>
    <row r="141" ht="15.75" customHeight="1">
      <c r="A141" s="260"/>
      <c r="B141" s="256">
        <f t="shared" si="1"/>
        <v>133</v>
      </c>
      <c r="C141" s="147" t="s">
        <v>1476</v>
      </c>
      <c r="D141" s="147" t="s">
        <v>1477</v>
      </c>
      <c r="E141" s="265">
        <v>9.9762054E7</v>
      </c>
      <c r="F141" s="261" t="s">
        <v>1478</v>
      </c>
      <c r="I141" s="147" t="s">
        <v>1479</v>
      </c>
      <c r="J141" s="256" t="s">
        <v>1480</v>
      </c>
    </row>
    <row r="142" ht="15.75" customHeight="1">
      <c r="A142" s="260"/>
      <c r="B142" s="262">
        <f t="shared" si="1"/>
        <v>134</v>
      </c>
      <c r="C142" s="262" t="s">
        <v>1481</v>
      </c>
      <c r="D142" s="262" t="s">
        <v>1482</v>
      </c>
      <c r="E142" s="271">
        <v>9.9911553E7</v>
      </c>
      <c r="F142" s="263" t="s">
        <v>1483</v>
      </c>
      <c r="G142" s="262"/>
      <c r="H142" s="262"/>
      <c r="I142" s="262"/>
      <c r="J142" s="262" t="s">
        <v>1484</v>
      </c>
    </row>
    <row r="143" ht="15.75" customHeight="1">
      <c r="A143" s="260"/>
      <c r="B143" s="256">
        <f t="shared" si="1"/>
        <v>135</v>
      </c>
      <c r="C143" s="147" t="s">
        <v>1485</v>
      </c>
      <c r="D143" s="147" t="s">
        <v>1486</v>
      </c>
      <c r="E143" s="265">
        <v>9.9752161E7</v>
      </c>
      <c r="F143" s="261" t="s">
        <v>1487</v>
      </c>
      <c r="I143" s="147" t="s">
        <v>1488</v>
      </c>
      <c r="J143" s="256" t="s">
        <v>1489</v>
      </c>
    </row>
    <row r="144" ht="15.75" customHeight="1">
      <c r="A144" s="260"/>
      <c r="B144" s="147" t="str">
        <f t="shared" si="1"/>
        <v/>
      </c>
    </row>
    <row r="145" ht="15.75" customHeight="1">
      <c r="A145" s="260"/>
      <c r="B145" s="147" t="str">
        <f t="shared" si="1"/>
        <v/>
      </c>
    </row>
    <row r="146" ht="15.75" customHeight="1">
      <c r="A146" s="260"/>
      <c r="B146" s="147" t="str">
        <f t="shared" si="1"/>
        <v/>
      </c>
    </row>
    <row r="147" ht="15.75" customHeight="1">
      <c r="A147" s="260"/>
      <c r="B147" s="147" t="str">
        <f t="shared" si="1"/>
        <v/>
      </c>
    </row>
    <row r="148" ht="15.75" customHeight="1">
      <c r="A148" s="260"/>
      <c r="B148" s="147" t="str">
        <f t="shared" si="1"/>
        <v/>
      </c>
    </row>
    <row r="149" ht="15.75" customHeight="1">
      <c r="A149" s="260"/>
      <c r="B149" s="147" t="str">
        <f t="shared" si="1"/>
        <v/>
      </c>
    </row>
    <row r="150" ht="15.75" customHeight="1">
      <c r="A150" s="260"/>
      <c r="B150" s="147" t="str">
        <f t="shared" si="1"/>
        <v/>
      </c>
    </row>
    <row r="151" ht="15.75" customHeight="1">
      <c r="A151" s="260"/>
      <c r="B151" s="147" t="str">
        <f t="shared" si="1"/>
        <v/>
      </c>
    </row>
    <row r="152" ht="15.0" customHeight="1">
      <c r="A152" s="283" t="s">
        <v>1490</v>
      </c>
      <c r="B152" s="147">
        <f t="shared" si="1"/>
        <v>136</v>
      </c>
      <c r="C152" s="147" t="s">
        <v>1491</v>
      </c>
      <c r="D152" s="147" t="s">
        <v>1492</v>
      </c>
      <c r="E152" s="147" t="s">
        <v>1493</v>
      </c>
      <c r="F152" s="147" t="s">
        <v>1494</v>
      </c>
      <c r="G152" s="147" t="s">
        <v>1495</v>
      </c>
      <c r="H152" s="147" t="s">
        <v>740</v>
      </c>
      <c r="I152" s="147" t="s">
        <v>1496</v>
      </c>
    </row>
    <row r="153" ht="15.75" customHeight="1">
      <c r="A153" s="260"/>
      <c r="B153" s="147">
        <f t="shared" si="1"/>
        <v>137</v>
      </c>
      <c r="C153" s="147" t="s">
        <v>1497</v>
      </c>
      <c r="D153" s="147" t="s">
        <v>1498</v>
      </c>
      <c r="E153" s="147" t="s">
        <v>1499</v>
      </c>
      <c r="F153" s="147" t="s">
        <v>1500</v>
      </c>
      <c r="G153" s="261" t="s">
        <v>1501</v>
      </c>
      <c r="H153" s="147" t="s">
        <v>740</v>
      </c>
    </row>
    <row r="154" ht="15.75" customHeight="1">
      <c r="A154" s="260"/>
      <c r="B154" s="256">
        <f t="shared" si="1"/>
        <v>138</v>
      </c>
      <c r="C154" s="256" t="s">
        <v>1502</v>
      </c>
      <c r="D154" s="256" t="s">
        <v>1503</v>
      </c>
      <c r="E154" s="257">
        <v>9.9450901E7</v>
      </c>
      <c r="F154" s="256" t="s">
        <v>1504</v>
      </c>
      <c r="G154" s="259" t="s">
        <v>1505</v>
      </c>
      <c r="H154" s="256" t="s">
        <v>740</v>
      </c>
      <c r="I154" s="256" t="s">
        <v>1506</v>
      </c>
      <c r="J154" s="256" t="s">
        <v>1507</v>
      </c>
    </row>
    <row r="155" ht="15.75" customHeight="1">
      <c r="A155" s="260"/>
      <c r="B155" s="256">
        <f t="shared" si="1"/>
        <v>139</v>
      </c>
      <c r="C155" s="147" t="s">
        <v>1508</v>
      </c>
      <c r="D155" s="147" t="s">
        <v>1509</v>
      </c>
      <c r="E155" s="147" t="s">
        <v>1510</v>
      </c>
      <c r="F155" s="147" t="s">
        <v>1511</v>
      </c>
      <c r="G155" s="147" t="s">
        <v>1512</v>
      </c>
      <c r="H155" s="147" t="s">
        <v>1260</v>
      </c>
      <c r="I155" s="147" t="s">
        <v>1513</v>
      </c>
      <c r="J155" s="147" t="s">
        <v>1514</v>
      </c>
    </row>
    <row r="156" ht="15.75" customHeight="1">
      <c r="A156" s="260"/>
      <c r="B156" s="147">
        <f t="shared" si="1"/>
        <v>140</v>
      </c>
      <c r="C156" s="147" t="s">
        <v>1515</v>
      </c>
      <c r="D156" s="147" t="s">
        <v>1516</v>
      </c>
      <c r="E156" s="265">
        <v>2.482166E7</v>
      </c>
      <c r="F156" s="147" t="s">
        <v>1517</v>
      </c>
      <c r="G156" s="261" t="s">
        <v>1518</v>
      </c>
      <c r="H156" s="147" t="s">
        <v>740</v>
      </c>
    </row>
    <row r="157" ht="15.75" customHeight="1">
      <c r="A157" s="260"/>
      <c r="B157" s="256">
        <f t="shared" si="1"/>
        <v>141</v>
      </c>
      <c r="C157" s="256" t="s">
        <v>1519</v>
      </c>
      <c r="D157" s="256" t="s">
        <v>1520</v>
      </c>
      <c r="E157" s="256" t="s">
        <v>1521</v>
      </c>
      <c r="F157" s="256" t="s">
        <v>1522</v>
      </c>
      <c r="G157" s="259" t="s">
        <v>1523</v>
      </c>
      <c r="H157" s="256" t="s">
        <v>740</v>
      </c>
      <c r="I157" s="256" t="s">
        <v>1524</v>
      </c>
      <c r="J157" s="256" t="s">
        <v>1507</v>
      </c>
    </row>
    <row r="158" ht="15.75" customHeight="1">
      <c r="A158" s="260"/>
      <c r="B158" s="256">
        <f t="shared" si="1"/>
        <v>142</v>
      </c>
      <c r="C158" s="147" t="s">
        <v>1525</v>
      </c>
      <c r="D158" s="147" t="s">
        <v>1526</v>
      </c>
      <c r="E158" s="265">
        <v>7.0000379E7</v>
      </c>
      <c r="F158" s="147" t="s">
        <v>1527</v>
      </c>
      <c r="G158" s="261" t="s">
        <v>1528</v>
      </c>
      <c r="H158" s="147" t="s">
        <v>740</v>
      </c>
      <c r="I158" s="147" t="s">
        <v>1529</v>
      </c>
      <c r="J158" s="256" t="s">
        <v>1530</v>
      </c>
    </row>
    <row r="159" ht="15.75" customHeight="1">
      <c r="A159" s="260"/>
      <c r="B159" s="256">
        <f t="shared" si="1"/>
        <v>143</v>
      </c>
      <c r="C159" s="256" t="s">
        <v>1531</v>
      </c>
      <c r="D159" s="256" t="s">
        <v>1532</v>
      </c>
      <c r="E159" s="256" t="s">
        <v>1533</v>
      </c>
      <c r="F159" s="256" t="s">
        <v>1534</v>
      </c>
      <c r="G159" s="256"/>
      <c r="H159" s="256" t="s">
        <v>758</v>
      </c>
      <c r="I159" s="256" t="s">
        <v>1535</v>
      </c>
      <c r="J159" s="256" t="s">
        <v>1536</v>
      </c>
    </row>
    <row r="160" ht="15.75" customHeight="1">
      <c r="A160" s="260"/>
      <c r="B160" s="147">
        <f t="shared" si="1"/>
        <v>144</v>
      </c>
      <c r="C160" s="147" t="s">
        <v>1537</v>
      </c>
      <c r="D160" s="147" t="s">
        <v>1538</v>
      </c>
      <c r="E160" s="147" t="s">
        <v>1539</v>
      </c>
      <c r="F160" s="147" t="s">
        <v>1540</v>
      </c>
      <c r="G160" s="261" t="s">
        <v>1541</v>
      </c>
      <c r="H160" s="147" t="s">
        <v>740</v>
      </c>
    </row>
    <row r="161" ht="15.75" customHeight="1">
      <c r="A161" s="260"/>
      <c r="B161" s="284"/>
      <c r="C161" s="284"/>
    </row>
    <row r="162" ht="15.0" customHeight="1">
      <c r="A162" s="260"/>
      <c r="B162" s="147">
        <f t="shared" ref="B162:B192" si="2">IF(C162="","",COUNTA($C$3:C162))</f>
        <v>145</v>
      </c>
      <c r="C162" s="147" t="s">
        <v>1542</v>
      </c>
      <c r="D162" s="275" t="s">
        <v>1543</v>
      </c>
      <c r="E162" s="265">
        <v>2.4822688E7</v>
      </c>
    </row>
    <row r="163" ht="15.0" customHeight="1">
      <c r="A163" s="260"/>
      <c r="B163" s="262">
        <f t="shared" si="2"/>
        <v>146</v>
      </c>
      <c r="C163" s="262" t="s">
        <v>1544</v>
      </c>
      <c r="D163" s="285" t="s">
        <v>1545</v>
      </c>
      <c r="E163" s="271" t="s">
        <v>1546</v>
      </c>
      <c r="F163" s="262" t="s">
        <v>1547</v>
      </c>
      <c r="G163" s="263" t="s">
        <v>1548</v>
      </c>
      <c r="H163" s="262"/>
      <c r="I163" s="262" t="s">
        <v>1549</v>
      </c>
      <c r="J163" s="262" t="s">
        <v>1550</v>
      </c>
    </row>
    <row r="164" ht="15.0" customHeight="1">
      <c r="A164" s="260"/>
      <c r="B164" s="262">
        <f t="shared" si="2"/>
        <v>147</v>
      </c>
      <c r="C164" s="262" t="s">
        <v>1551</v>
      </c>
      <c r="D164" s="285" t="s">
        <v>1552</v>
      </c>
      <c r="E164" s="271" t="s">
        <v>1553</v>
      </c>
      <c r="F164" s="262" t="s">
        <v>1554</v>
      </c>
      <c r="G164" s="263" t="s">
        <v>1555</v>
      </c>
      <c r="H164" s="262"/>
      <c r="I164" s="262" t="s">
        <v>1556</v>
      </c>
      <c r="J164" s="262" t="s">
        <v>1550</v>
      </c>
    </row>
    <row r="165" ht="15.0" customHeight="1">
      <c r="A165" s="260"/>
      <c r="B165" s="147">
        <f t="shared" si="2"/>
        <v>148</v>
      </c>
      <c r="C165" s="147" t="s">
        <v>1557</v>
      </c>
      <c r="D165" s="275" t="s">
        <v>1558</v>
      </c>
      <c r="E165" s="265">
        <v>9.9984832E7</v>
      </c>
      <c r="F165" s="147" t="s">
        <v>1559</v>
      </c>
      <c r="G165" s="261" t="s">
        <v>1560</v>
      </c>
      <c r="I165" s="147" t="s">
        <v>1561</v>
      </c>
    </row>
    <row r="166" ht="18.0" customHeight="1">
      <c r="A166" s="260"/>
      <c r="B166" s="147">
        <f t="shared" si="2"/>
        <v>149</v>
      </c>
      <c r="C166" s="147" t="s">
        <v>1562</v>
      </c>
      <c r="D166" s="147" t="s">
        <v>1563</v>
      </c>
      <c r="E166" s="265">
        <v>9.9844773E7</v>
      </c>
      <c r="F166" s="147" t="s">
        <v>1564</v>
      </c>
      <c r="G166" s="267"/>
    </row>
    <row r="167" ht="15.0" customHeight="1">
      <c r="A167" s="260"/>
      <c r="B167" s="262">
        <f t="shared" si="2"/>
        <v>150</v>
      </c>
      <c r="C167" s="262" t="s">
        <v>1565</v>
      </c>
      <c r="D167" s="285" t="s">
        <v>1566</v>
      </c>
      <c r="E167" s="271" t="s">
        <v>1567</v>
      </c>
      <c r="F167" s="262"/>
      <c r="G167" s="273"/>
      <c r="H167" s="262"/>
      <c r="I167" s="262" t="s">
        <v>1568</v>
      </c>
      <c r="J167" s="262" t="s">
        <v>1569</v>
      </c>
    </row>
    <row r="168" ht="15.0" customHeight="1">
      <c r="A168" s="260"/>
      <c r="B168" s="262">
        <f t="shared" si="2"/>
        <v>151</v>
      </c>
      <c r="C168" s="262" t="s">
        <v>1570</v>
      </c>
      <c r="D168" s="285" t="s">
        <v>1571</v>
      </c>
      <c r="E168" s="271" t="s">
        <v>1572</v>
      </c>
      <c r="F168" s="262" t="s">
        <v>1573</v>
      </c>
      <c r="G168" s="262"/>
      <c r="H168" s="262"/>
      <c r="I168" s="262" t="s">
        <v>1574</v>
      </c>
      <c r="J168" s="262"/>
    </row>
    <row r="169" ht="15.0" customHeight="1">
      <c r="A169" s="260"/>
      <c r="B169" s="256">
        <f t="shared" si="2"/>
        <v>152</v>
      </c>
      <c r="C169" s="147" t="s">
        <v>1575</v>
      </c>
      <c r="D169" s="275" t="s">
        <v>1576</v>
      </c>
      <c r="E169" s="265">
        <v>9.9483962E7</v>
      </c>
      <c r="F169" s="147" t="s">
        <v>1577</v>
      </c>
      <c r="I169" s="147" t="s">
        <v>1578</v>
      </c>
      <c r="J169" s="256" t="s">
        <v>1579</v>
      </c>
    </row>
    <row r="170" ht="15.0" customHeight="1">
      <c r="A170" s="260"/>
      <c r="B170" s="256">
        <f t="shared" si="2"/>
        <v>153</v>
      </c>
      <c r="C170" s="147" t="s">
        <v>1580</v>
      </c>
      <c r="D170" s="275" t="s">
        <v>1581</v>
      </c>
      <c r="E170" s="265">
        <v>9.6688182E7</v>
      </c>
      <c r="F170" s="147" t="s">
        <v>1582</v>
      </c>
      <c r="G170" s="147" t="s">
        <v>1583</v>
      </c>
      <c r="I170" s="147" t="s">
        <v>1584</v>
      </c>
      <c r="J170" s="256" t="s">
        <v>1585</v>
      </c>
    </row>
    <row r="171" ht="15.0" customHeight="1">
      <c r="A171" s="260"/>
      <c r="B171" s="256">
        <f t="shared" si="2"/>
        <v>154</v>
      </c>
      <c r="C171" s="147" t="s">
        <v>1586</v>
      </c>
      <c r="D171" s="275" t="s">
        <v>1587</v>
      </c>
      <c r="E171" s="265">
        <v>9.9526092E7</v>
      </c>
      <c r="F171" s="147" t="s">
        <v>1588</v>
      </c>
      <c r="I171" s="147" t="s">
        <v>1589</v>
      </c>
      <c r="J171" s="256" t="s">
        <v>1590</v>
      </c>
    </row>
    <row r="172" ht="15.0" customHeight="1">
      <c r="A172" s="260"/>
      <c r="B172" s="147">
        <f t="shared" si="2"/>
        <v>155</v>
      </c>
      <c r="C172" s="147" t="s">
        <v>1591</v>
      </c>
      <c r="D172" s="286" t="s">
        <v>1592</v>
      </c>
      <c r="E172" s="265">
        <v>9.9651133E7</v>
      </c>
      <c r="F172" s="261" t="s">
        <v>1593</v>
      </c>
      <c r="J172" s="147" t="s">
        <v>1594</v>
      </c>
    </row>
    <row r="173" ht="15.0" customHeight="1">
      <c r="A173" s="260"/>
      <c r="B173" s="256">
        <f t="shared" si="2"/>
        <v>156</v>
      </c>
      <c r="C173" s="147" t="s">
        <v>1595</v>
      </c>
      <c r="D173" s="275" t="s">
        <v>1596</v>
      </c>
      <c r="E173" s="265" t="s">
        <v>1597</v>
      </c>
      <c r="F173" s="147" t="s">
        <v>1598</v>
      </c>
      <c r="G173" s="147" t="s">
        <v>1599</v>
      </c>
      <c r="I173" s="147" t="s">
        <v>1600</v>
      </c>
      <c r="J173" s="256" t="s">
        <v>1601</v>
      </c>
    </row>
    <row r="174" ht="15.0" customHeight="1">
      <c r="A174" s="260"/>
      <c r="B174" s="147">
        <f t="shared" si="2"/>
        <v>157</v>
      </c>
      <c r="C174" s="147" t="s">
        <v>1602</v>
      </c>
      <c r="D174" s="275" t="s">
        <v>1603</v>
      </c>
      <c r="E174" s="265" t="s">
        <v>1604</v>
      </c>
      <c r="F174" s="147" t="s">
        <v>1605</v>
      </c>
      <c r="G174" s="147" t="s">
        <v>1606</v>
      </c>
      <c r="I174" s="147" t="s">
        <v>1607</v>
      </c>
    </row>
    <row r="175" ht="15.0" customHeight="1">
      <c r="A175" s="260"/>
      <c r="B175" s="147">
        <f t="shared" si="2"/>
        <v>158</v>
      </c>
      <c r="C175" s="147" t="s">
        <v>1608</v>
      </c>
      <c r="D175" s="275" t="s">
        <v>1609</v>
      </c>
      <c r="E175" s="265">
        <v>9.9426701E7</v>
      </c>
      <c r="F175" s="147" t="s">
        <v>1610</v>
      </c>
    </row>
    <row r="176" ht="15.0" customHeight="1">
      <c r="A176" s="260"/>
      <c r="B176" s="256">
        <f t="shared" si="2"/>
        <v>159</v>
      </c>
      <c r="C176" s="147" t="s">
        <v>1611</v>
      </c>
      <c r="D176" s="275" t="s">
        <v>1612</v>
      </c>
      <c r="E176" s="265">
        <v>9.9742571E7</v>
      </c>
      <c r="F176" s="147" t="s">
        <v>1613</v>
      </c>
      <c r="G176" s="261" t="s">
        <v>1614</v>
      </c>
      <c r="I176" s="147" t="s">
        <v>1615</v>
      </c>
    </row>
    <row r="177" ht="15.0" customHeight="1">
      <c r="A177" s="260"/>
      <c r="B177" s="262">
        <f t="shared" si="2"/>
        <v>160</v>
      </c>
      <c r="C177" s="262" t="s">
        <v>1616</v>
      </c>
      <c r="D177" s="285" t="s">
        <v>1617</v>
      </c>
      <c r="E177" s="271">
        <v>9.9515686E7</v>
      </c>
      <c r="F177" s="263" t="s">
        <v>1618</v>
      </c>
      <c r="G177" s="262"/>
      <c r="H177" s="262"/>
      <c r="I177" s="262" t="s">
        <v>1619</v>
      </c>
      <c r="J177" s="262" t="s">
        <v>1620</v>
      </c>
    </row>
    <row r="178" ht="15.0" customHeight="1">
      <c r="A178" s="260"/>
      <c r="B178" s="256">
        <f t="shared" si="2"/>
        <v>161</v>
      </c>
      <c r="C178" s="147" t="s">
        <v>1621</v>
      </c>
      <c r="D178" s="275" t="s">
        <v>1622</v>
      </c>
      <c r="E178" s="265">
        <v>9.9535109E7</v>
      </c>
      <c r="F178" s="147" t="s">
        <v>1623</v>
      </c>
      <c r="I178" s="147" t="s">
        <v>1624</v>
      </c>
      <c r="J178" s="256" t="s">
        <v>1625</v>
      </c>
    </row>
    <row r="179" ht="15.0" customHeight="1">
      <c r="A179" s="260"/>
      <c r="B179" s="256">
        <f t="shared" si="2"/>
        <v>162</v>
      </c>
      <c r="C179" s="147" t="s">
        <v>1626</v>
      </c>
      <c r="D179" s="275" t="s">
        <v>1627</v>
      </c>
      <c r="E179" s="265" t="s">
        <v>1628</v>
      </c>
      <c r="F179" s="261" t="s">
        <v>1629</v>
      </c>
      <c r="I179" s="147" t="s">
        <v>1630</v>
      </c>
      <c r="J179" s="256" t="s">
        <v>1631</v>
      </c>
    </row>
    <row r="180" ht="15.0" customHeight="1">
      <c r="A180" s="260"/>
      <c r="B180" s="256">
        <f t="shared" si="2"/>
        <v>163</v>
      </c>
      <c r="C180" s="147" t="s">
        <v>1632</v>
      </c>
      <c r="D180" s="275" t="s">
        <v>1633</v>
      </c>
      <c r="E180" s="265">
        <v>9.5121383E7</v>
      </c>
      <c r="F180" s="261" t="s">
        <v>1634</v>
      </c>
      <c r="G180" s="261" t="s">
        <v>1635</v>
      </c>
      <c r="I180" s="147" t="s">
        <v>1636</v>
      </c>
      <c r="J180" s="256" t="s">
        <v>1637</v>
      </c>
    </row>
    <row r="181" ht="15.0" customHeight="1">
      <c r="A181" s="260"/>
      <c r="B181" s="256">
        <f t="shared" si="2"/>
        <v>164</v>
      </c>
      <c r="C181" s="147" t="s">
        <v>1638</v>
      </c>
      <c r="D181" s="275" t="s">
        <v>1639</v>
      </c>
      <c r="E181" s="265">
        <v>9.9477024E7</v>
      </c>
      <c r="F181" s="261" t="s">
        <v>1640</v>
      </c>
      <c r="G181" s="261" t="s">
        <v>1641</v>
      </c>
      <c r="I181" s="147" t="s">
        <v>1642</v>
      </c>
      <c r="J181" s="256" t="s">
        <v>1643</v>
      </c>
    </row>
    <row r="182" ht="15.0" customHeight="1">
      <c r="A182" s="260"/>
      <c r="B182" s="256">
        <f t="shared" si="2"/>
        <v>165</v>
      </c>
      <c r="C182" s="147" t="s">
        <v>1644</v>
      </c>
      <c r="D182" s="275" t="s">
        <v>1645</v>
      </c>
      <c r="E182" s="265" t="s">
        <v>1646</v>
      </c>
      <c r="F182" s="267" t="s">
        <v>1647</v>
      </c>
      <c r="G182" s="261" t="s">
        <v>1648</v>
      </c>
      <c r="I182" s="147" t="s">
        <v>1649</v>
      </c>
      <c r="J182" s="256" t="s">
        <v>1650</v>
      </c>
    </row>
    <row r="183" ht="15.75" customHeight="1">
      <c r="A183" s="260"/>
      <c r="B183" s="256">
        <f t="shared" si="2"/>
        <v>166</v>
      </c>
      <c r="C183" s="147" t="s">
        <v>1651</v>
      </c>
      <c r="D183" s="147" t="s">
        <v>1652</v>
      </c>
      <c r="E183" s="265" t="s">
        <v>1653</v>
      </c>
      <c r="F183" s="261" t="s">
        <v>1654</v>
      </c>
      <c r="G183" s="261" t="s">
        <v>1655</v>
      </c>
      <c r="J183" s="256" t="s">
        <v>1656</v>
      </c>
    </row>
    <row r="184" ht="15.75" customHeight="1">
      <c r="A184" s="260"/>
      <c r="B184" s="147" t="str">
        <f t="shared" si="2"/>
        <v/>
      </c>
      <c r="D184" s="275"/>
      <c r="E184" s="265"/>
      <c r="F184" s="267"/>
      <c r="G184" s="267"/>
    </row>
    <row r="185" ht="15.75" customHeight="1">
      <c r="A185" s="260"/>
      <c r="B185" s="147" t="str">
        <f t="shared" si="2"/>
        <v/>
      </c>
      <c r="D185" s="275"/>
      <c r="E185" s="265"/>
    </row>
    <row r="186" ht="15.75" customHeight="1">
      <c r="A186" s="260"/>
      <c r="B186" s="147" t="str">
        <f t="shared" si="2"/>
        <v/>
      </c>
    </row>
    <row r="187" ht="15.75" customHeight="1">
      <c r="A187" s="287" t="s">
        <v>1657</v>
      </c>
      <c r="B187" s="147">
        <f t="shared" si="2"/>
        <v>167</v>
      </c>
      <c r="C187" s="147" t="s">
        <v>1658</v>
      </c>
      <c r="D187" s="147" t="s">
        <v>1659</v>
      </c>
      <c r="E187" s="265" t="s">
        <v>1660</v>
      </c>
      <c r="F187" s="266" t="s">
        <v>1661</v>
      </c>
      <c r="G187" s="261" t="s">
        <v>1662</v>
      </c>
      <c r="H187" s="147" t="s">
        <v>740</v>
      </c>
      <c r="I187" s="147" t="s">
        <v>1663</v>
      </c>
      <c r="J187" s="147" t="s">
        <v>1664</v>
      </c>
    </row>
    <row r="188" ht="15.0" customHeight="1">
      <c r="A188" s="260"/>
      <c r="B188" s="262">
        <f t="shared" si="2"/>
        <v>168</v>
      </c>
      <c r="C188" s="262" t="s">
        <v>1665</v>
      </c>
      <c r="D188" s="262" t="s">
        <v>1666</v>
      </c>
      <c r="E188" s="262" t="s">
        <v>1667</v>
      </c>
      <c r="F188" s="262" t="s">
        <v>1668</v>
      </c>
      <c r="G188" s="263" t="s">
        <v>1669</v>
      </c>
      <c r="H188" s="262" t="s">
        <v>740</v>
      </c>
      <c r="I188" s="262" t="s">
        <v>1670</v>
      </c>
      <c r="J188" s="262" t="s">
        <v>1671</v>
      </c>
    </row>
    <row r="189" ht="15.0" customHeight="1">
      <c r="A189" s="260"/>
      <c r="B189" s="277">
        <f t="shared" si="2"/>
        <v>169</v>
      </c>
      <c r="C189" s="277" t="s">
        <v>1672</v>
      </c>
      <c r="D189" s="277" t="s">
        <v>1673</v>
      </c>
      <c r="E189" s="277" t="s">
        <v>1674</v>
      </c>
      <c r="F189" s="277" t="s">
        <v>1675</v>
      </c>
      <c r="G189" s="277"/>
      <c r="H189" s="277" t="s">
        <v>740</v>
      </c>
      <c r="I189" s="277"/>
      <c r="J189" s="277" t="s">
        <v>1676</v>
      </c>
    </row>
    <row r="190" ht="15.0" customHeight="1">
      <c r="A190" s="260"/>
      <c r="B190" s="147">
        <f t="shared" si="2"/>
        <v>170</v>
      </c>
      <c r="C190" s="147" t="s">
        <v>1677</v>
      </c>
      <c r="D190" s="147" t="s">
        <v>1678</v>
      </c>
      <c r="E190" s="265" t="s">
        <v>1679</v>
      </c>
      <c r="F190" s="266" t="s">
        <v>1680</v>
      </c>
      <c r="G190" s="147" t="s">
        <v>1681</v>
      </c>
      <c r="H190" s="147" t="s">
        <v>740</v>
      </c>
      <c r="I190" s="276" t="s">
        <v>1682</v>
      </c>
    </row>
    <row r="191" ht="15.0" customHeight="1">
      <c r="A191" s="260"/>
      <c r="B191" s="262">
        <f t="shared" si="2"/>
        <v>171</v>
      </c>
      <c r="C191" s="262" t="s">
        <v>1683</v>
      </c>
      <c r="D191" s="262" t="s">
        <v>1684</v>
      </c>
      <c r="E191" s="262" t="s">
        <v>1685</v>
      </c>
      <c r="F191" s="262" t="s">
        <v>1686</v>
      </c>
      <c r="G191" s="262"/>
      <c r="H191" s="262" t="s">
        <v>740</v>
      </c>
      <c r="I191" s="262"/>
      <c r="J191" s="262" t="s">
        <v>1687</v>
      </c>
    </row>
    <row r="192" ht="15.0" customHeight="1">
      <c r="A192" s="260"/>
      <c r="B192" s="147">
        <f t="shared" si="2"/>
        <v>172</v>
      </c>
      <c r="C192" s="147" t="s">
        <v>1688</v>
      </c>
      <c r="D192" s="147" t="s">
        <v>1689</v>
      </c>
      <c r="E192" s="147" t="s">
        <v>1690</v>
      </c>
      <c r="F192" s="261" t="s">
        <v>1691</v>
      </c>
      <c r="G192" s="147" t="s">
        <v>1692</v>
      </c>
      <c r="H192" s="147" t="s">
        <v>740</v>
      </c>
      <c r="I192" s="265" t="s">
        <v>1693</v>
      </c>
      <c r="K192" s="256"/>
    </row>
    <row r="193" ht="15.75" customHeight="1">
      <c r="A193" s="260"/>
      <c r="B193" s="288"/>
      <c r="C193" s="288"/>
      <c r="F193" s="267"/>
    </row>
    <row r="194" ht="15.0" customHeight="1">
      <c r="A194" s="260"/>
      <c r="B194" s="262">
        <f t="shared" ref="B194:B226" si="3">IF(C194="","",COUNTA($C$3:C194))</f>
        <v>173</v>
      </c>
      <c r="C194" s="262" t="s">
        <v>1694</v>
      </c>
      <c r="D194" s="262" t="s">
        <v>1695</v>
      </c>
      <c r="E194" s="271">
        <v>2.69129E7</v>
      </c>
      <c r="F194" s="262" t="s">
        <v>1696</v>
      </c>
      <c r="G194" s="262"/>
      <c r="H194" s="262"/>
      <c r="I194" s="262" t="s">
        <v>1697</v>
      </c>
      <c r="J194" s="262" t="s">
        <v>1698</v>
      </c>
    </row>
    <row r="195" ht="15.0" customHeight="1">
      <c r="A195" s="260"/>
      <c r="B195" s="262">
        <f t="shared" si="3"/>
        <v>174</v>
      </c>
      <c r="C195" s="262" t="s">
        <v>1699</v>
      </c>
      <c r="D195" s="262" t="s">
        <v>1700</v>
      </c>
      <c r="E195" s="271">
        <v>9.9768568E7</v>
      </c>
      <c r="F195" s="262" t="s">
        <v>1701</v>
      </c>
      <c r="G195" s="262" t="s">
        <v>1702</v>
      </c>
      <c r="H195" s="262"/>
      <c r="I195" s="262" t="s">
        <v>1703</v>
      </c>
      <c r="J195" s="262" t="s">
        <v>1704</v>
      </c>
    </row>
    <row r="196" ht="15.75" customHeight="1">
      <c r="A196" s="260"/>
      <c r="B196" s="256">
        <f t="shared" si="3"/>
        <v>175</v>
      </c>
      <c r="C196" s="147" t="s">
        <v>1705</v>
      </c>
      <c r="D196" s="147" t="s">
        <v>1706</v>
      </c>
      <c r="E196" s="265" t="s">
        <v>1707</v>
      </c>
      <c r="F196" s="147" t="s">
        <v>1708</v>
      </c>
      <c r="G196" s="147" t="s">
        <v>1709</v>
      </c>
      <c r="I196" s="147" t="s">
        <v>1710</v>
      </c>
      <c r="J196" s="256" t="s">
        <v>1711</v>
      </c>
    </row>
    <row r="197" ht="15.75" customHeight="1">
      <c r="A197" s="260"/>
      <c r="B197" s="262">
        <f t="shared" si="3"/>
        <v>176</v>
      </c>
      <c r="C197" s="262" t="s">
        <v>1712</v>
      </c>
      <c r="D197" s="262" t="s">
        <v>1713</v>
      </c>
      <c r="E197" s="271" t="s">
        <v>1714</v>
      </c>
      <c r="F197" s="262" t="s">
        <v>1715</v>
      </c>
      <c r="G197" s="262"/>
      <c r="H197" s="262"/>
      <c r="I197" s="262" t="s">
        <v>1716</v>
      </c>
      <c r="J197" s="262" t="s">
        <v>1717</v>
      </c>
    </row>
    <row r="198" ht="15.75" customHeight="1">
      <c r="A198" s="260"/>
      <c r="B198" s="256">
        <f t="shared" si="3"/>
        <v>177</v>
      </c>
      <c r="C198" s="147" t="s">
        <v>1718</v>
      </c>
      <c r="D198" s="147" t="s">
        <v>1719</v>
      </c>
      <c r="E198" s="265">
        <v>9.9683915E7</v>
      </c>
      <c r="F198" s="261" t="s">
        <v>1720</v>
      </c>
      <c r="G198" s="261" t="s">
        <v>1721</v>
      </c>
      <c r="I198" s="147" t="s">
        <v>1722</v>
      </c>
      <c r="J198" s="256" t="s">
        <v>1723</v>
      </c>
    </row>
    <row r="199" ht="15.75" customHeight="1">
      <c r="A199" s="260"/>
      <c r="B199" s="147">
        <f t="shared" si="3"/>
        <v>178</v>
      </c>
      <c r="C199" s="147" t="s">
        <v>1724</v>
      </c>
      <c r="D199" s="147" t="s">
        <v>1725</v>
      </c>
      <c r="E199" s="265" t="s">
        <v>1726</v>
      </c>
      <c r="F199" s="261" t="s">
        <v>1727</v>
      </c>
      <c r="G199" s="147" t="s">
        <v>1728</v>
      </c>
      <c r="I199" s="147" t="s">
        <v>1729</v>
      </c>
    </row>
    <row r="200" ht="15.75" customHeight="1">
      <c r="A200" s="260"/>
      <c r="B200" s="147">
        <f t="shared" si="3"/>
        <v>179</v>
      </c>
      <c r="C200" s="147" t="s">
        <v>1730</v>
      </c>
      <c r="D200" s="147" t="s">
        <v>1731</v>
      </c>
      <c r="E200" s="265" t="s">
        <v>1732</v>
      </c>
      <c r="F200" s="147" t="s">
        <v>1733</v>
      </c>
      <c r="G200" s="147" t="s">
        <v>1734</v>
      </c>
      <c r="I200" s="147" t="s">
        <v>1735</v>
      </c>
      <c r="J200" s="147" t="s">
        <v>1076</v>
      </c>
    </row>
    <row r="201" ht="15.75" customHeight="1">
      <c r="A201" s="260"/>
      <c r="B201" s="256">
        <f t="shared" si="3"/>
        <v>180</v>
      </c>
      <c r="C201" s="147" t="s">
        <v>1736</v>
      </c>
      <c r="D201" s="147" t="s">
        <v>1737</v>
      </c>
      <c r="E201" s="265">
        <v>9.9982868E7</v>
      </c>
      <c r="F201" s="261" t="s">
        <v>1738</v>
      </c>
      <c r="G201" s="147" t="s">
        <v>1739</v>
      </c>
      <c r="I201" s="147" t="s">
        <v>1740</v>
      </c>
      <c r="J201" s="256" t="s">
        <v>1741</v>
      </c>
    </row>
    <row r="202" ht="15.75" customHeight="1">
      <c r="A202" s="260"/>
      <c r="B202" s="256">
        <f t="shared" si="3"/>
        <v>181</v>
      </c>
      <c r="C202" s="147" t="s">
        <v>1742</v>
      </c>
      <c r="D202" s="147" t="s">
        <v>1743</v>
      </c>
      <c r="E202" s="265" t="s">
        <v>1744</v>
      </c>
      <c r="F202" s="147" t="s">
        <v>1745</v>
      </c>
      <c r="J202" s="256" t="s">
        <v>1746</v>
      </c>
    </row>
    <row r="203" ht="15.75" customHeight="1">
      <c r="A203" s="260"/>
      <c r="B203" s="256">
        <f t="shared" si="3"/>
        <v>182</v>
      </c>
      <c r="C203" s="256" t="s">
        <v>1747</v>
      </c>
      <c r="D203" s="256" t="s">
        <v>1748</v>
      </c>
      <c r="E203" s="257">
        <v>9.941262E7</v>
      </c>
      <c r="F203" s="256" t="s">
        <v>1749</v>
      </c>
      <c r="G203" s="256"/>
      <c r="H203" s="256"/>
      <c r="I203" s="256"/>
      <c r="J203" s="256" t="s">
        <v>1750</v>
      </c>
    </row>
    <row r="204" ht="15.75" customHeight="1">
      <c r="A204" s="260"/>
      <c r="B204" s="147">
        <f t="shared" si="3"/>
        <v>183</v>
      </c>
      <c r="C204" s="147" t="s">
        <v>1751</v>
      </c>
      <c r="D204" s="147" t="s">
        <v>1752</v>
      </c>
      <c r="E204" s="265">
        <v>9.6700566E7</v>
      </c>
      <c r="F204" s="147" t="s">
        <v>1753</v>
      </c>
      <c r="G204" s="147" t="s">
        <v>1754</v>
      </c>
      <c r="I204" s="147" t="s">
        <v>1755</v>
      </c>
    </row>
    <row r="205" ht="15.75" customHeight="1">
      <c r="A205" s="260"/>
      <c r="B205" s="256">
        <f t="shared" si="3"/>
        <v>184</v>
      </c>
      <c r="C205" s="147" t="s">
        <v>1756</v>
      </c>
      <c r="D205" s="147" t="s">
        <v>1757</v>
      </c>
      <c r="E205" s="265">
        <v>2.6822929E7</v>
      </c>
      <c r="F205" s="261" t="s">
        <v>1758</v>
      </c>
      <c r="G205" s="261" t="s">
        <v>1759</v>
      </c>
      <c r="I205" s="147" t="s">
        <v>1760</v>
      </c>
      <c r="J205" s="256" t="s">
        <v>1746</v>
      </c>
    </row>
    <row r="206" ht="15.75" customHeight="1">
      <c r="A206" s="260"/>
      <c r="B206" s="256">
        <f t="shared" si="3"/>
        <v>185</v>
      </c>
      <c r="C206" s="147" t="s">
        <v>1761</v>
      </c>
      <c r="D206" s="147" t="s">
        <v>1762</v>
      </c>
      <c r="E206" s="265">
        <v>9.6316165E7</v>
      </c>
      <c r="F206" s="261" t="s">
        <v>1763</v>
      </c>
      <c r="G206" s="261" t="s">
        <v>1764</v>
      </c>
      <c r="I206" s="147" t="s">
        <v>1765</v>
      </c>
      <c r="J206" s="256" t="s">
        <v>1766</v>
      </c>
    </row>
    <row r="207" ht="15.75" customHeight="1">
      <c r="A207" s="260"/>
      <c r="B207" s="262">
        <f t="shared" si="3"/>
        <v>186</v>
      </c>
      <c r="C207" s="262" t="s">
        <v>1767</v>
      </c>
      <c r="D207" s="262" t="s">
        <v>1768</v>
      </c>
      <c r="E207" s="271" t="s">
        <v>1769</v>
      </c>
      <c r="F207" s="263" t="s">
        <v>1770</v>
      </c>
      <c r="G207" s="263" t="s">
        <v>1771</v>
      </c>
      <c r="H207" s="262"/>
      <c r="I207" s="262" t="s">
        <v>1772</v>
      </c>
      <c r="J207" s="262" t="s">
        <v>1704</v>
      </c>
    </row>
    <row r="208" ht="15.75" customHeight="1">
      <c r="A208" s="260"/>
      <c r="B208" s="147">
        <f t="shared" si="3"/>
        <v>187</v>
      </c>
      <c r="C208" s="147" t="s">
        <v>1773</v>
      </c>
      <c r="D208" s="147" t="s">
        <v>1774</v>
      </c>
      <c r="E208" s="265" t="s">
        <v>1775</v>
      </c>
      <c r="F208" s="261" t="s">
        <v>1776</v>
      </c>
      <c r="G208" s="261" t="s">
        <v>1777</v>
      </c>
      <c r="I208" s="147" t="s">
        <v>1778</v>
      </c>
    </row>
    <row r="209" ht="16.5" customHeight="1">
      <c r="A209" s="260"/>
      <c r="B209" s="147">
        <f t="shared" si="3"/>
        <v>188</v>
      </c>
      <c r="C209" s="147" t="s">
        <v>1779</v>
      </c>
      <c r="D209" s="147" t="s">
        <v>1780</v>
      </c>
      <c r="E209" s="265" t="s">
        <v>1781</v>
      </c>
      <c r="F209" s="289" t="s">
        <v>1782</v>
      </c>
      <c r="G209" s="261" t="s">
        <v>1783</v>
      </c>
      <c r="I209" s="147" t="s">
        <v>1784</v>
      </c>
    </row>
    <row r="210" ht="15.75" customHeight="1">
      <c r="A210" s="260"/>
      <c r="B210" s="147">
        <f t="shared" si="3"/>
        <v>189</v>
      </c>
      <c r="C210" s="147" t="s">
        <v>1785</v>
      </c>
      <c r="D210" s="147" t="s">
        <v>1786</v>
      </c>
      <c r="E210" s="265">
        <v>9.9908899E7</v>
      </c>
      <c r="F210" s="290" t="s">
        <v>1787</v>
      </c>
      <c r="G210" s="261" t="s">
        <v>1788</v>
      </c>
    </row>
    <row r="211" ht="17.25" customHeight="1">
      <c r="A211" s="260"/>
      <c r="B211" s="256">
        <f t="shared" si="3"/>
        <v>190</v>
      </c>
      <c r="C211" s="147" t="s">
        <v>1789</v>
      </c>
      <c r="D211" s="147" t="s">
        <v>1790</v>
      </c>
      <c r="E211" s="265" t="s">
        <v>1791</v>
      </c>
      <c r="F211" s="291" t="s">
        <v>1792</v>
      </c>
      <c r="G211" s="261" t="s">
        <v>1793</v>
      </c>
      <c r="I211" s="256" t="s">
        <v>1794</v>
      </c>
    </row>
    <row r="212" ht="17.25" customHeight="1">
      <c r="A212" s="260"/>
      <c r="B212" s="147">
        <f t="shared" si="3"/>
        <v>191</v>
      </c>
      <c r="C212" s="147" t="s">
        <v>1795</v>
      </c>
      <c r="D212" s="147" t="s">
        <v>1796</v>
      </c>
      <c r="E212" s="265" t="s">
        <v>1797</v>
      </c>
      <c r="F212" s="292" t="s">
        <v>1798</v>
      </c>
      <c r="G212" s="261" t="s">
        <v>1799</v>
      </c>
      <c r="I212" s="147" t="s">
        <v>1800</v>
      </c>
    </row>
    <row r="213" ht="17.25" customHeight="1">
      <c r="A213" s="260"/>
      <c r="B213" s="277">
        <f t="shared" si="3"/>
        <v>192</v>
      </c>
      <c r="C213" s="277" t="s">
        <v>1801</v>
      </c>
      <c r="D213" s="277" t="s">
        <v>1802</v>
      </c>
      <c r="E213" s="293">
        <v>9.9349495E7</v>
      </c>
      <c r="F213" s="294" t="s">
        <v>1803</v>
      </c>
      <c r="G213" s="295"/>
      <c r="H213" s="277"/>
      <c r="I213" s="277"/>
      <c r="J213" s="277" t="s">
        <v>1804</v>
      </c>
    </row>
    <row r="214" ht="17.25" customHeight="1">
      <c r="A214" s="260"/>
      <c r="B214" s="256">
        <f t="shared" si="3"/>
        <v>193</v>
      </c>
      <c r="C214" s="147" t="s">
        <v>1805</v>
      </c>
      <c r="D214" s="147" t="s">
        <v>1806</v>
      </c>
      <c r="E214" s="265">
        <v>9.6262611E7</v>
      </c>
      <c r="F214" s="292" t="s">
        <v>1807</v>
      </c>
      <c r="G214" s="267"/>
      <c r="I214" s="147" t="s">
        <v>1808</v>
      </c>
      <c r="J214" s="256" t="s">
        <v>1809</v>
      </c>
    </row>
    <row r="215" ht="17.25" customHeight="1">
      <c r="A215" s="260"/>
      <c r="B215" s="256">
        <f t="shared" si="3"/>
        <v>194</v>
      </c>
      <c r="C215" s="256" t="s">
        <v>1810</v>
      </c>
      <c r="D215" s="256" t="s">
        <v>1811</v>
      </c>
      <c r="E215" s="257" t="s">
        <v>1812</v>
      </c>
      <c r="F215" s="296" t="s">
        <v>1813</v>
      </c>
      <c r="G215" s="259" t="s">
        <v>1814</v>
      </c>
      <c r="H215" s="256"/>
      <c r="I215" s="256" t="s">
        <v>1815</v>
      </c>
      <c r="J215" s="256" t="s">
        <v>1816</v>
      </c>
    </row>
    <row r="216" ht="17.25" customHeight="1">
      <c r="A216" s="260"/>
      <c r="B216" s="256">
        <f t="shared" si="3"/>
        <v>195</v>
      </c>
      <c r="C216" s="147" t="s">
        <v>1817</v>
      </c>
      <c r="D216" s="147" t="s">
        <v>1818</v>
      </c>
      <c r="E216" s="265" t="s">
        <v>1819</v>
      </c>
      <c r="F216" s="292" t="s">
        <v>1820</v>
      </c>
      <c r="G216" s="261" t="s">
        <v>1821</v>
      </c>
      <c r="I216" s="147" t="s">
        <v>1822</v>
      </c>
      <c r="J216" s="256" t="s">
        <v>1823</v>
      </c>
    </row>
    <row r="217" ht="17.25" customHeight="1">
      <c r="A217" s="260"/>
      <c r="B217" s="147">
        <f t="shared" si="3"/>
        <v>196</v>
      </c>
      <c r="C217" s="147" t="s">
        <v>1824</v>
      </c>
      <c r="D217" s="147" t="s">
        <v>1825</v>
      </c>
      <c r="E217" s="265" t="s">
        <v>1826</v>
      </c>
      <c r="F217" s="297" t="s">
        <v>1827</v>
      </c>
      <c r="G217" s="261" t="s">
        <v>1662</v>
      </c>
      <c r="I217" s="147" t="s">
        <v>1828</v>
      </c>
    </row>
    <row r="218" ht="17.25" customHeight="1">
      <c r="A218" s="260"/>
      <c r="B218" s="256">
        <f t="shared" si="3"/>
        <v>197</v>
      </c>
      <c r="C218" s="147" t="s">
        <v>1829</v>
      </c>
      <c r="D218" s="147" t="s">
        <v>1830</v>
      </c>
      <c r="E218" s="265">
        <v>9.7515028E7</v>
      </c>
      <c r="F218" s="261" t="s">
        <v>1831</v>
      </c>
      <c r="G218" s="267"/>
      <c r="I218" s="147" t="s">
        <v>1832</v>
      </c>
      <c r="J218" s="256" t="s">
        <v>1833</v>
      </c>
    </row>
    <row r="219" ht="17.25" customHeight="1">
      <c r="A219" s="260"/>
      <c r="B219" s="256">
        <f t="shared" si="3"/>
        <v>198</v>
      </c>
      <c r="C219" s="147" t="s">
        <v>1834</v>
      </c>
      <c r="D219" s="147" t="s">
        <v>1835</v>
      </c>
      <c r="E219" s="265">
        <v>9.6625798E7</v>
      </c>
      <c r="F219" s="292" t="s">
        <v>1836</v>
      </c>
      <c r="G219" s="267"/>
      <c r="J219" s="147" t="s">
        <v>1837</v>
      </c>
    </row>
    <row r="220" ht="17.25" customHeight="1">
      <c r="A220" s="260"/>
      <c r="B220" s="262">
        <f t="shared" si="3"/>
        <v>199</v>
      </c>
      <c r="C220" s="262" t="s">
        <v>1838</v>
      </c>
      <c r="D220" s="262" t="s">
        <v>1839</v>
      </c>
      <c r="E220" s="271">
        <v>9.9415808E7</v>
      </c>
      <c r="F220" s="298" t="s">
        <v>1840</v>
      </c>
      <c r="G220" s="273"/>
      <c r="H220" s="262"/>
      <c r="I220" s="262"/>
      <c r="J220" s="262" t="s">
        <v>1841</v>
      </c>
    </row>
    <row r="221" ht="15.75" customHeight="1">
      <c r="A221" s="260"/>
      <c r="B221" s="147">
        <f t="shared" si="3"/>
        <v>200</v>
      </c>
      <c r="C221" s="147" t="s">
        <v>1842</v>
      </c>
      <c r="D221" s="147" t="s">
        <v>1843</v>
      </c>
      <c r="E221" s="265" t="s">
        <v>1844</v>
      </c>
      <c r="F221" s="261" t="s">
        <v>1845</v>
      </c>
      <c r="G221" s="267"/>
    </row>
    <row r="222" ht="15.75" customHeight="1">
      <c r="A222" s="260"/>
      <c r="B222" s="256">
        <f t="shared" si="3"/>
        <v>201</v>
      </c>
      <c r="C222" s="147" t="s">
        <v>1846</v>
      </c>
      <c r="D222" s="147" t="s">
        <v>1847</v>
      </c>
      <c r="E222" s="147" t="s">
        <v>1848</v>
      </c>
      <c r="F222" s="261" t="s">
        <v>1849</v>
      </c>
      <c r="J222" s="277" t="s">
        <v>1850</v>
      </c>
    </row>
    <row r="223" ht="17.25" customHeight="1">
      <c r="A223" s="260"/>
      <c r="B223" s="277">
        <f t="shared" si="3"/>
        <v>202</v>
      </c>
      <c r="C223" s="277" t="s">
        <v>1851</v>
      </c>
      <c r="D223" s="277" t="s">
        <v>1852</v>
      </c>
      <c r="E223" s="293">
        <v>9.9886849E7</v>
      </c>
      <c r="F223" s="294" t="s">
        <v>1853</v>
      </c>
      <c r="G223" s="295"/>
      <c r="H223" s="277"/>
      <c r="I223" s="277"/>
      <c r="J223" s="277" t="s">
        <v>1854</v>
      </c>
    </row>
    <row r="224" ht="15.75" customHeight="1">
      <c r="A224" s="260"/>
      <c r="B224" s="147" t="str">
        <f t="shared" si="3"/>
        <v/>
      </c>
      <c r="F224" s="267"/>
      <c r="G224" s="267"/>
    </row>
    <row r="225" ht="15.75" customHeight="1">
      <c r="A225" s="260"/>
      <c r="B225" s="147" t="str">
        <f t="shared" si="3"/>
        <v/>
      </c>
    </row>
    <row r="226" ht="15.75" customHeight="1">
      <c r="A226" s="299" t="s">
        <v>1855</v>
      </c>
      <c r="B226" s="147">
        <f t="shared" si="3"/>
        <v>203</v>
      </c>
      <c r="C226" s="147" t="s">
        <v>1856</v>
      </c>
      <c r="D226" s="147" t="s">
        <v>1857</v>
      </c>
      <c r="E226" s="265">
        <v>9.9005944E7</v>
      </c>
      <c r="F226" s="147" t="s">
        <v>1858</v>
      </c>
      <c r="G226" s="261" t="s">
        <v>1859</v>
      </c>
      <c r="H226" s="147" t="s">
        <v>740</v>
      </c>
      <c r="I226" s="147" t="s">
        <v>1860</v>
      </c>
    </row>
    <row r="227" ht="15.75" customHeight="1">
      <c r="A227" s="260"/>
      <c r="B227" s="300"/>
      <c r="C227" s="300"/>
      <c r="E227" s="265"/>
      <c r="G227" s="267"/>
    </row>
    <row r="228" ht="15.75" customHeight="1">
      <c r="A228" s="260"/>
      <c r="B228" s="147">
        <f t="shared" ref="B228:B258" si="4">IF(C228="","",COUNTA($C$3:C228))</f>
        <v>204</v>
      </c>
      <c r="C228" s="147" t="s">
        <v>1861</v>
      </c>
      <c r="D228" s="147" t="s">
        <v>1862</v>
      </c>
      <c r="E228" s="147" t="s">
        <v>1863</v>
      </c>
      <c r="F228" s="147" t="s">
        <v>1864</v>
      </c>
      <c r="G228" s="261" t="s">
        <v>1865</v>
      </c>
    </row>
    <row r="229" ht="15.75" customHeight="1">
      <c r="A229" s="260"/>
      <c r="B229" s="147">
        <f t="shared" si="4"/>
        <v>205</v>
      </c>
      <c r="C229" s="147" t="s">
        <v>1866</v>
      </c>
      <c r="D229" s="147" t="s">
        <v>1867</v>
      </c>
      <c r="E229" s="147" t="s">
        <v>1868</v>
      </c>
      <c r="F229" s="147" t="s">
        <v>1869</v>
      </c>
      <c r="G229" s="147" t="s">
        <v>1870</v>
      </c>
    </row>
    <row r="230" ht="15.75" customHeight="1">
      <c r="A230" s="260"/>
      <c r="B230" s="147">
        <f t="shared" si="4"/>
        <v>206</v>
      </c>
      <c r="C230" s="147" t="s">
        <v>1871</v>
      </c>
      <c r="D230" s="147" t="s">
        <v>1872</v>
      </c>
      <c r="E230" s="265">
        <v>9.9420924E7</v>
      </c>
      <c r="F230" s="147" t="s">
        <v>1873</v>
      </c>
    </row>
    <row r="231" ht="15.75" customHeight="1">
      <c r="A231" s="260"/>
      <c r="B231" s="147">
        <f t="shared" si="4"/>
        <v>207</v>
      </c>
      <c r="C231" s="147" t="s">
        <v>1874</v>
      </c>
      <c r="D231" s="147" t="s">
        <v>1875</v>
      </c>
      <c r="E231" s="265">
        <v>9.9622143E7</v>
      </c>
      <c r="F231" s="147" t="s">
        <v>1876</v>
      </c>
      <c r="G231" s="147" t="s">
        <v>1877</v>
      </c>
      <c r="I231" s="265" t="s">
        <v>1878</v>
      </c>
    </row>
    <row r="232" ht="15.75" customHeight="1">
      <c r="A232" s="260"/>
      <c r="B232" s="147">
        <f t="shared" si="4"/>
        <v>208</v>
      </c>
      <c r="C232" s="147" t="s">
        <v>1879</v>
      </c>
      <c r="D232" s="147" t="s">
        <v>1880</v>
      </c>
      <c r="E232" s="265" t="s">
        <v>1881</v>
      </c>
      <c r="F232" s="147" t="s">
        <v>1882</v>
      </c>
      <c r="G232" s="261" t="s">
        <v>1883</v>
      </c>
      <c r="I232" s="265"/>
    </row>
    <row r="233" ht="15.75" customHeight="1">
      <c r="A233" s="260"/>
      <c r="B233" s="147">
        <f t="shared" si="4"/>
        <v>209</v>
      </c>
      <c r="C233" s="147" t="s">
        <v>1884</v>
      </c>
      <c r="D233" s="147" t="s">
        <v>1885</v>
      </c>
      <c r="E233" s="265" t="s">
        <v>1886</v>
      </c>
      <c r="F233" s="261" t="s">
        <v>1887</v>
      </c>
      <c r="I233" s="265" t="s">
        <v>1888</v>
      </c>
    </row>
    <row r="234" ht="15.75" customHeight="1">
      <c r="A234" s="260"/>
      <c r="B234" s="147">
        <f t="shared" si="4"/>
        <v>210</v>
      </c>
      <c r="C234" s="147" t="s">
        <v>1889</v>
      </c>
      <c r="D234" s="147" t="s">
        <v>1890</v>
      </c>
      <c r="E234" s="265">
        <v>9.9370128E7</v>
      </c>
      <c r="F234" s="261" t="s">
        <v>1891</v>
      </c>
      <c r="I234" s="147" t="s">
        <v>1892</v>
      </c>
    </row>
    <row r="235" ht="15.75" customHeight="1">
      <c r="A235" s="260"/>
      <c r="B235" s="147" t="str">
        <f t="shared" si="4"/>
        <v/>
      </c>
    </row>
    <row r="236" ht="15.75" customHeight="1">
      <c r="A236" s="260"/>
      <c r="B236" s="147" t="str">
        <f t="shared" si="4"/>
        <v/>
      </c>
    </row>
    <row r="237" ht="15.75" customHeight="1">
      <c r="A237" s="260"/>
      <c r="B237" s="147" t="str">
        <f t="shared" si="4"/>
        <v/>
      </c>
    </row>
    <row r="238" ht="15.75" customHeight="1">
      <c r="A238" s="260"/>
      <c r="B238" s="147" t="str">
        <f t="shared" si="4"/>
        <v/>
      </c>
    </row>
    <row r="239" ht="15.75" customHeight="1">
      <c r="B239" s="147" t="str">
        <f t="shared" si="4"/>
        <v/>
      </c>
    </row>
    <row r="240" ht="15.75" customHeight="1">
      <c r="B240" s="147" t="str">
        <f t="shared" si="4"/>
        <v/>
      </c>
    </row>
    <row r="241" ht="15.75" customHeight="1">
      <c r="B241" s="147" t="str">
        <f t="shared" si="4"/>
        <v/>
      </c>
    </row>
    <row r="242" ht="15.75" customHeight="1">
      <c r="B242" s="147" t="str">
        <f t="shared" si="4"/>
        <v/>
      </c>
    </row>
    <row r="243" ht="15.75" customHeight="1">
      <c r="B243" s="147" t="str">
        <f t="shared" si="4"/>
        <v/>
      </c>
    </row>
    <row r="244" ht="15.75" customHeight="1">
      <c r="B244" s="147" t="str">
        <f t="shared" si="4"/>
        <v/>
      </c>
    </row>
    <row r="245" ht="15.75" customHeight="1">
      <c r="B245" s="147" t="str">
        <f t="shared" si="4"/>
        <v/>
      </c>
    </row>
    <row r="246" ht="15.75" customHeight="1">
      <c r="B246" s="147" t="str">
        <f t="shared" si="4"/>
        <v/>
      </c>
    </row>
    <row r="247" ht="15.75" customHeight="1">
      <c r="B247" s="147" t="str">
        <f t="shared" si="4"/>
        <v/>
      </c>
    </row>
    <row r="248" ht="15.75" customHeight="1">
      <c r="B248" s="147" t="str">
        <f t="shared" si="4"/>
        <v/>
      </c>
    </row>
    <row r="249" ht="15.75" customHeight="1">
      <c r="B249" s="147" t="str">
        <f t="shared" si="4"/>
        <v/>
      </c>
    </row>
    <row r="250" ht="15.75" customHeight="1">
      <c r="B250" s="147" t="str">
        <f t="shared" si="4"/>
        <v/>
      </c>
    </row>
    <row r="251" ht="15.75" customHeight="1">
      <c r="B251" s="147" t="str">
        <f t="shared" si="4"/>
        <v/>
      </c>
    </row>
    <row r="252" ht="15.75" customHeight="1">
      <c r="B252" s="147" t="str">
        <f t="shared" si="4"/>
        <v/>
      </c>
    </row>
    <row r="253" ht="15.75" customHeight="1">
      <c r="B253" s="147" t="str">
        <f t="shared" si="4"/>
        <v/>
      </c>
    </row>
    <row r="254" ht="15.75" customHeight="1">
      <c r="B254" s="147" t="str">
        <f t="shared" si="4"/>
        <v/>
      </c>
    </row>
    <row r="255" ht="15.75" customHeight="1">
      <c r="B255" s="147" t="str">
        <f t="shared" si="4"/>
        <v/>
      </c>
    </row>
    <row r="256" ht="15.75" customHeight="1">
      <c r="B256" s="147" t="str">
        <f t="shared" si="4"/>
        <v/>
      </c>
    </row>
    <row r="257" ht="15.75" customHeight="1">
      <c r="B257" s="147" t="str">
        <f t="shared" si="4"/>
        <v/>
      </c>
    </row>
    <row r="258" ht="15.75" customHeight="1">
      <c r="B258" s="147" t="str">
        <f t="shared" si="4"/>
        <v/>
      </c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A96"/>
    <mergeCell ref="A97:A151"/>
    <mergeCell ref="A152:A186"/>
    <mergeCell ref="A187:A225"/>
    <mergeCell ref="A226:A238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F10"/>
    <hyperlink r:id="rId9" ref="G10"/>
    <hyperlink r:id="rId10" ref="G11"/>
    <hyperlink r:id="rId11" ref="G12"/>
    <hyperlink r:id="rId12" ref="G14"/>
    <hyperlink r:id="rId13" ref="G16"/>
    <hyperlink r:id="rId14" ref="G18"/>
    <hyperlink r:id="rId15" ref="G19"/>
    <hyperlink r:id="rId16" ref="G20"/>
    <hyperlink r:id="rId17" ref="G21"/>
    <hyperlink r:id="rId18" ref="G22"/>
    <hyperlink r:id="rId19" ref="G23"/>
    <hyperlink r:id="rId20" ref="G25"/>
    <hyperlink r:id="rId21" ref="G27"/>
    <hyperlink r:id="rId22" ref="G31"/>
    <hyperlink r:id="rId23" ref="G35"/>
    <hyperlink r:id="rId24" ref="G39"/>
    <hyperlink r:id="rId25" ref="F41"/>
    <hyperlink r:id="rId26" ref="G44"/>
    <hyperlink r:id="rId27" ref="F46"/>
    <hyperlink r:id="rId28" ref="F53"/>
    <hyperlink r:id="rId29" ref="G53"/>
    <hyperlink r:id="rId30" ref="F56"/>
    <hyperlink r:id="rId31" ref="G56"/>
    <hyperlink r:id="rId32" ref="F58"/>
    <hyperlink r:id="rId33" ref="G58"/>
    <hyperlink r:id="rId34" ref="F59"/>
    <hyperlink r:id="rId35" ref="G59"/>
    <hyperlink r:id="rId36" ref="F60"/>
    <hyperlink r:id="rId37" ref="F61"/>
    <hyperlink r:id="rId38" ref="G61"/>
    <hyperlink r:id="rId39" ref="F62"/>
    <hyperlink r:id="rId40" ref="F63"/>
    <hyperlink r:id="rId41" ref="G63"/>
    <hyperlink r:id="rId42" ref="F64"/>
    <hyperlink r:id="rId43" ref="F65"/>
    <hyperlink r:id="rId44" ref="G65"/>
    <hyperlink r:id="rId45" ref="F66"/>
    <hyperlink r:id="rId46" ref="F67"/>
    <hyperlink r:id="rId47" ref="F68"/>
    <hyperlink r:id="rId48" ref="F69"/>
    <hyperlink r:id="rId49" ref="G69"/>
    <hyperlink r:id="rId50" ref="F70"/>
    <hyperlink r:id="rId51" ref="G70"/>
    <hyperlink r:id="rId52" ref="F71"/>
    <hyperlink r:id="rId53" ref="G71"/>
    <hyperlink r:id="rId54" ref="F72"/>
    <hyperlink r:id="rId55" ref="F73"/>
    <hyperlink r:id="rId56" ref="G73"/>
    <hyperlink r:id="rId57" ref="F74"/>
    <hyperlink r:id="rId58" ref="G74"/>
    <hyperlink r:id="rId59" ref="G75"/>
    <hyperlink r:id="rId60" ref="F76"/>
    <hyperlink r:id="rId61" ref="G76"/>
    <hyperlink r:id="rId62" ref="F78"/>
    <hyperlink r:id="rId63" ref="G78"/>
    <hyperlink r:id="rId64" ref="F79"/>
    <hyperlink r:id="rId65" ref="F80"/>
    <hyperlink r:id="rId66" ref="G80"/>
    <hyperlink r:id="rId67" ref="F81"/>
    <hyperlink r:id="rId68" ref="G81"/>
    <hyperlink r:id="rId69" ref="G82"/>
    <hyperlink r:id="rId70" ref="F83"/>
    <hyperlink r:id="rId71" ref="G83"/>
    <hyperlink r:id="rId72" ref="F84"/>
    <hyperlink r:id="rId73" ref="G84"/>
    <hyperlink r:id="rId74" ref="F85"/>
    <hyperlink r:id="rId75" ref="G85"/>
    <hyperlink r:id="rId76" ref="F86"/>
    <hyperlink r:id="rId77" ref="G86"/>
    <hyperlink r:id="rId78" ref="F87"/>
    <hyperlink r:id="rId79" ref="F88"/>
    <hyperlink r:id="rId80" ref="F89"/>
    <hyperlink r:id="rId81" ref="G89"/>
    <hyperlink r:id="rId82" ref="F90"/>
    <hyperlink r:id="rId83" ref="F91"/>
    <hyperlink r:id="rId84" ref="G91"/>
    <hyperlink r:id="rId85" ref="F92"/>
    <hyperlink r:id="rId86" ref="G92"/>
    <hyperlink r:id="rId87" ref="G99"/>
    <hyperlink r:id="rId88" ref="G100"/>
    <hyperlink r:id="rId89" ref="G101"/>
    <hyperlink r:id="rId90" ref="G102"/>
    <hyperlink r:id="rId91" ref="G103"/>
    <hyperlink r:id="rId92" ref="G104"/>
    <hyperlink r:id="rId93" ref="G108"/>
    <hyperlink r:id="rId94" ref="G109"/>
    <hyperlink r:id="rId95" ref="G111"/>
    <hyperlink r:id="rId96" ref="G112"/>
    <hyperlink r:id="rId97" ref="G113"/>
    <hyperlink r:id="rId98" ref="G115"/>
    <hyperlink r:id="rId99" ref="F116"/>
    <hyperlink r:id="rId100" ref="G119"/>
    <hyperlink r:id="rId101" ref="F120"/>
    <hyperlink r:id="rId102" ref="G120"/>
    <hyperlink r:id="rId103" ref="F121"/>
    <hyperlink r:id="rId104" ref="G121"/>
    <hyperlink r:id="rId105" ref="G123"/>
    <hyperlink r:id="rId106" ref="F124"/>
    <hyperlink r:id="rId107" ref="F125"/>
    <hyperlink r:id="rId108" ref="G125"/>
    <hyperlink r:id="rId109" ref="E126"/>
    <hyperlink r:id="rId110" ref="F126"/>
    <hyperlink r:id="rId111" ref="F127"/>
    <hyperlink r:id="rId112" ref="F128"/>
    <hyperlink r:id="rId113" ref="F129"/>
    <hyperlink r:id="rId114" ref="G129"/>
    <hyperlink r:id="rId115" ref="F130"/>
    <hyperlink r:id="rId116" ref="F131"/>
    <hyperlink r:id="rId117" ref="F132"/>
    <hyperlink r:id="rId118" ref="G132"/>
    <hyperlink r:id="rId119" ref="F133"/>
    <hyperlink r:id="rId120" ref="G133"/>
    <hyperlink r:id="rId121" ref="F134"/>
    <hyperlink r:id="rId122" ref="F135"/>
    <hyperlink r:id="rId123" ref="G135"/>
    <hyperlink r:id="rId124" ref="F136"/>
    <hyperlink r:id="rId125" ref="G136"/>
    <hyperlink r:id="rId126" ref="F137"/>
    <hyperlink r:id="rId127" ref="F138"/>
    <hyperlink r:id="rId128" ref="F139"/>
    <hyperlink r:id="rId129" ref="F140"/>
    <hyperlink r:id="rId130" ref="F141"/>
    <hyperlink r:id="rId131" ref="F142"/>
    <hyperlink r:id="rId132" ref="F143"/>
    <hyperlink r:id="rId133" ref="G153"/>
    <hyperlink r:id="rId134" ref="G154"/>
    <hyperlink r:id="rId135" ref="G156"/>
    <hyperlink r:id="rId136" ref="G157"/>
    <hyperlink r:id="rId137" ref="G158"/>
    <hyperlink r:id="rId138" ref="G160"/>
    <hyperlink r:id="rId139" ref="G163"/>
    <hyperlink r:id="rId140" ref="G164"/>
    <hyperlink r:id="rId141" ref="G165"/>
    <hyperlink r:id="rId142" ref="F172"/>
    <hyperlink r:id="rId143" ref="G176"/>
    <hyperlink r:id="rId144" ref="F177"/>
    <hyperlink r:id="rId145" ref="F179"/>
    <hyperlink r:id="rId146" ref="F180"/>
    <hyperlink r:id="rId147" ref="G180"/>
    <hyperlink r:id="rId148" ref="F181"/>
    <hyperlink r:id="rId149" ref="G181"/>
    <hyperlink r:id="rId150" ref="G182"/>
    <hyperlink r:id="rId151" ref="F183"/>
    <hyperlink r:id="rId152" ref="G183"/>
    <hyperlink r:id="rId153" ref="G187"/>
    <hyperlink r:id="rId154" ref="G188"/>
    <hyperlink r:id="rId155" ref="F192"/>
    <hyperlink r:id="rId156" ref="F198"/>
    <hyperlink r:id="rId157" ref="G198"/>
    <hyperlink r:id="rId158" ref="F199"/>
    <hyperlink r:id="rId159" ref="F201"/>
    <hyperlink r:id="rId160" ref="F205"/>
    <hyperlink r:id="rId161" ref="G205"/>
    <hyperlink r:id="rId162" ref="F206"/>
    <hyperlink r:id="rId163" ref="G206"/>
    <hyperlink r:id="rId164" ref="F207"/>
    <hyperlink r:id="rId165" ref="G207"/>
    <hyperlink r:id="rId166" ref="F208"/>
    <hyperlink r:id="rId167" ref="G208"/>
    <hyperlink r:id="rId168" ref="G209"/>
    <hyperlink r:id="rId169" ref="F210"/>
    <hyperlink r:id="rId170" ref="G210"/>
    <hyperlink r:id="rId171" ref="G211"/>
    <hyperlink r:id="rId172" ref="F212"/>
    <hyperlink r:id="rId173" ref="G212"/>
    <hyperlink r:id="rId174" ref="F213"/>
    <hyperlink r:id="rId175" ref="F214"/>
    <hyperlink r:id="rId176" ref="F215"/>
    <hyperlink r:id="rId177" ref="G215"/>
    <hyperlink r:id="rId178" ref="F216"/>
    <hyperlink r:id="rId179" ref="G216"/>
    <hyperlink r:id="rId180" ref="F217"/>
    <hyperlink r:id="rId181" ref="G217"/>
    <hyperlink r:id="rId182" ref="F218"/>
    <hyperlink r:id="rId183" ref="F219"/>
    <hyperlink r:id="rId184" ref="F220"/>
    <hyperlink r:id="rId185" ref="F221"/>
    <hyperlink r:id="rId186" ref="F222"/>
    <hyperlink r:id="rId187" ref="F223"/>
    <hyperlink r:id="rId188" ref="G226"/>
    <hyperlink r:id="rId189" ref="G228"/>
    <hyperlink r:id="rId190" ref="G232"/>
    <hyperlink r:id="rId191" ref="F233"/>
    <hyperlink r:id="rId192" ref="F234"/>
  </hyperlinks>
  <printOptions gridLines="1"/>
  <pageMargins bottom="0.7480314960629921" footer="0.0" header="0.0" left="0.2362204724409449" right="0.2362204724409449" top="0.7480314960629921"/>
  <pageSetup fitToHeight="0" paperSize="9" orientation="portrait"/>
  <drawing r:id="rId19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6" width="8.6"/>
    <col customWidth="1" min="7" max="26" width="12.6"/>
  </cols>
  <sheetData>
    <row r="1">
      <c r="A1" s="301" t="s">
        <v>1893</v>
      </c>
    </row>
    <row r="2">
      <c r="A2" s="147" t="s">
        <v>1894</v>
      </c>
    </row>
    <row r="4">
      <c r="A4" s="147" t="s">
        <v>1895</v>
      </c>
    </row>
    <row r="6">
      <c r="A6" s="256" t="s">
        <v>1896</v>
      </c>
      <c r="B6" s="256"/>
    </row>
    <row r="8">
      <c r="A8" s="301" t="s">
        <v>1897</v>
      </c>
    </row>
    <row r="9">
      <c r="A9" s="147" t="s">
        <v>1898</v>
      </c>
      <c r="B9" s="147" t="s">
        <v>1899</v>
      </c>
      <c r="C9" s="302" t="s">
        <v>1900</v>
      </c>
    </row>
    <row r="10">
      <c r="A10" s="147" t="s">
        <v>1901</v>
      </c>
      <c r="B10" s="147" t="s">
        <v>1902</v>
      </c>
    </row>
    <row r="12">
      <c r="A12" s="147" t="s">
        <v>1901</v>
      </c>
      <c r="B12" s="147" t="s">
        <v>1903</v>
      </c>
    </row>
    <row r="14">
      <c r="A14" s="147" t="s">
        <v>1904</v>
      </c>
    </row>
    <row r="16">
      <c r="A16" s="256" t="s">
        <v>1905</v>
      </c>
    </row>
    <row r="17">
      <c r="A17" s="147" t="s">
        <v>1906</v>
      </c>
    </row>
    <row r="19">
      <c r="A19" s="301" t="s">
        <v>1907</v>
      </c>
    </row>
    <row r="20">
      <c r="A20" s="147" t="s">
        <v>1898</v>
      </c>
      <c r="B20" s="147" t="s">
        <v>1908</v>
      </c>
      <c r="C20" s="147" t="s">
        <v>1909</v>
      </c>
    </row>
    <row r="21" ht="15.75" customHeight="1">
      <c r="A21" s="147" t="s">
        <v>1901</v>
      </c>
      <c r="B21" s="147" t="s">
        <v>1910</v>
      </c>
      <c r="C21" s="147" t="s">
        <v>1911</v>
      </c>
    </row>
    <row r="22" ht="15.75" customHeight="1">
      <c r="A22" s="147" t="s">
        <v>1901</v>
      </c>
      <c r="B22" s="147" t="s">
        <v>1912</v>
      </c>
      <c r="C22" s="147" t="s">
        <v>1913</v>
      </c>
    </row>
    <row r="23" ht="15.75" customHeight="1"/>
    <row r="24" ht="15.75" customHeight="1"/>
    <row r="25" ht="15.75" customHeight="1">
      <c r="A25" s="301" t="s">
        <v>1914</v>
      </c>
    </row>
    <row r="26" ht="15.75" customHeight="1">
      <c r="A26" s="147" t="s">
        <v>1915</v>
      </c>
    </row>
    <row r="27" ht="15.75" customHeight="1">
      <c r="A27" s="147" t="s">
        <v>1916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9:E10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0" width="8.6"/>
    <col customWidth="1" min="11" max="11" width="14.4"/>
    <col customWidth="1" min="12" max="26" width="12.6"/>
  </cols>
  <sheetData>
    <row r="1">
      <c r="A1" s="147" t="s">
        <v>1917</v>
      </c>
    </row>
    <row r="2">
      <c r="A2" s="303"/>
      <c r="B2" s="304" t="s">
        <v>1918</v>
      </c>
      <c r="C2" s="305"/>
      <c r="D2" s="305"/>
      <c r="E2" s="304" t="s">
        <v>1919</v>
      </c>
      <c r="F2" s="305"/>
      <c r="G2" s="305"/>
      <c r="H2" s="304" t="s">
        <v>1920</v>
      </c>
      <c r="I2" s="305"/>
      <c r="J2" s="305"/>
      <c r="K2" s="306"/>
    </row>
    <row r="3">
      <c r="A3" s="307" t="s">
        <v>1921</v>
      </c>
      <c r="B3" s="308">
        <f>B8/K4</f>
        <v>0.2</v>
      </c>
      <c r="C3" s="309"/>
      <c r="D3" s="309"/>
      <c r="E3" s="308">
        <f>E8/K4</f>
        <v>0.35</v>
      </c>
      <c r="F3" s="309"/>
      <c r="G3" s="309"/>
      <c r="H3" s="308">
        <f>H8/K4</f>
        <v>0.45</v>
      </c>
      <c r="I3" s="309"/>
      <c r="J3" s="309"/>
      <c r="K3" s="310" t="s">
        <v>1922</v>
      </c>
    </row>
    <row r="4">
      <c r="A4" s="311" t="s">
        <v>1923</v>
      </c>
      <c r="B4" s="312">
        <v>20000.0</v>
      </c>
      <c r="C4" s="313">
        <v>40000.0</v>
      </c>
      <c r="D4" s="313">
        <v>60000.0</v>
      </c>
      <c r="E4" s="313">
        <v>70000.0</v>
      </c>
      <c r="F4" s="313">
        <v>40000.0</v>
      </c>
      <c r="G4" s="313">
        <v>100000.0</v>
      </c>
      <c r="H4" s="313">
        <v>100000.0</v>
      </c>
      <c r="I4" s="313">
        <v>90000.0</v>
      </c>
      <c r="J4" s="313">
        <v>80000.0</v>
      </c>
      <c r="K4" s="314">
        <f>SUM(B4:J4)</f>
        <v>600000</v>
      </c>
    </row>
    <row r="5">
      <c r="A5" s="311" t="s">
        <v>1924</v>
      </c>
      <c r="B5" s="315">
        <v>0.125</v>
      </c>
      <c r="C5" s="315">
        <v>0.125</v>
      </c>
      <c r="D5" s="315">
        <v>0.125</v>
      </c>
      <c r="E5" s="315">
        <v>0.125</v>
      </c>
      <c r="F5" s="315">
        <v>0.125</v>
      </c>
      <c r="G5" s="315">
        <v>0.125</v>
      </c>
      <c r="H5" s="315">
        <v>0.125</v>
      </c>
      <c r="I5" s="315">
        <v>0.125</v>
      </c>
      <c r="J5" s="315">
        <v>0.125</v>
      </c>
      <c r="K5" s="316">
        <v>0.125</v>
      </c>
    </row>
    <row r="6">
      <c r="A6" s="311" t="s">
        <v>1925</v>
      </c>
      <c r="B6" s="317">
        <f t="shared" ref="B6:J6" si="1">B4*B5</f>
        <v>2500</v>
      </c>
      <c r="C6" s="318">
        <f t="shared" si="1"/>
        <v>5000</v>
      </c>
      <c r="D6" s="318">
        <f t="shared" si="1"/>
        <v>7500</v>
      </c>
      <c r="E6" s="318">
        <f t="shared" si="1"/>
        <v>8750</v>
      </c>
      <c r="F6" s="318">
        <f t="shared" si="1"/>
        <v>5000</v>
      </c>
      <c r="G6" s="318">
        <f t="shared" si="1"/>
        <v>12500</v>
      </c>
      <c r="H6" s="318">
        <f t="shared" si="1"/>
        <v>12500</v>
      </c>
      <c r="I6" s="318">
        <f t="shared" si="1"/>
        <v>11250</v>
      </c>
      <c r="J6" s="318">
        <f t="shared" si="1"/>
        <v>10000</v>
      </c>
      <c r="K6" s="319">
        <f t="shared" ref="K6:K7" si="2">SUM(B6:J6)</f>
        <v>75000</v>
      </c>
    </row>
    <row r="7">
      <c r="A7" s="311" t="s">
        <v>1926</v>
      </c>
      <c r="B7" s="320">
        <f>SUM(B6:D6)</f>
        <v>15000</v>
      </c>
      <c r="C7" s="66"/>
      <c r="D7" s="67"/>
      <c r="E7" s="321">
        <f>SUM(E6:G6)</f>
        <v>26250</v>
      </c>
      <c r="F7" s="66"/>
      <c r="G7" s="67"/>
      <c r="H7" s="321">
        <f>SUM(H6:J6)</f>
        <v>33750</v>
      </c>
      <c r="I7" s="66"/>
      <c r="J7" s="67"/>
      <c r="K7" s="322">
        <f t="shared" si="2"/>
        <v>75000</v>
      </c>
    </row>
    <row r="8">
      <c r="A8" s="323"/>
      <c r="B8" s="324">
        <f>SUM(B4:D4)</f>
        <v>120000</v>
      </c>
      <c r="C8" s="325"/>
      <c r="D8" s="325"/>
      <c r="E8" s="324">
        <f>SUM(E4:G4)</f>
        <v>210000</v>
      </c>
      <c r="F8" s="325"/>
      <c r="G8" s="325"/>
      <c r="H8" s="324">
        <f>SUM(H4:J4)</f>
        <v>270000</v>
      </c>
      <c r="I8" s="325"/>
      <c r="J8" s="325"/>
      <c r="K8" s="3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7:G7"/>
    <mergeCell ref="H7:J7"/>
    <mergeCell ref="B8:D8"/>
    <mergeCell ref="E8:G8"/>
    <mergeCell ref="H8:J8"/>
    <mergeCell ref="B2:D2"/>
    <mergeCell ref="E2:G2"/>
    <mergeCell ref="H2:J2"/>
    <mergeCell ref="B3:D3"/>
    <mergeCell ref="E3:G3"/>
    <mergeCell ref="H3:J3"/>
    <mergeCell ref="B7:D7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7.9"/>
    <col customWidth="1" min="2" max="2" width="19.9"/>
    <col customWidth="1" min="3" max="3" width="8.7"/>
    <col customWidth="1" min="4" max="4" width="15.2"/>
    <col customWidth="1" min="5" max="6" width="8.6"/>
    <col customWidth="1" min="7" max="26" width="12.6"/>
  </cols>
  <sheetData>
    <row r="1">
      <c r="A1" s="327" t="s">
        <v>1927</v>
      </c>
      <c r="B1" s="327"/>
      <c r="C1" s="327"/>
      <c r="D1" s="327"/>
    </row>
    <row r="2">
      <c r="A2" s="328" t="s">
        <v>1928</v>
      </c>
      <c r="B2" s="328">
        <v>2024.0</v>
      </c>
      <c r="C2" s="328">
        <v>2024.0</v>
      </c>
      <c r="D2" s="328">
        <v>2024.0</v>
      </c>
    </row>
    <row r="3">
      <c r="A3" s="329" t="s">
        <v>7</v>
      </c>
      <c r="B3" s="329" t="s">
        <v>1929</v>
      </c>
      <c r="C3" s="329" t="s">
        <v>1930</v>
      </c>
      <c r="D3" s="329" t="s">
        <v>1931</v>
      </c>
    </row>
    <row r="4">
      <c r="A4" s="330" t="s">
        <v>1932</v>
      </c>
      <c r="B4" s="331">
        <v>90000.0</v>
      </c>
      <c r="C4" s="332">
        <v>0.125</v>
      </c>
      <c r="D4" s="333">
        <v>11250.0</v>
      </c>
    </row>
    <row r="5">
      <c r="A5" s="330" t="s">
        <v>1933</v>
      </c>
      <c r="B5" s="331">
        <v>90000.0</v>
      </c>
      <c r="C5" s="332">
        <v>0.125</v>
      </c>
      <c r="D5" s="333">
        <v>11250.0</v>
      </c>
    </row>
    <row r="6">
      <c r="A6" s="330" t="s">
        <v>1934</v>
      </c>
      <c r="B6" s="331">
        <v>456000.0</v>
      </c>
      <c r="C6" s="332">
        <v>0.125</v>
      </c>
      <c r="D6" s="333">
        <v>57000.0</v>
      </c>
    </row>
    <row r="7">
      <c r="A7" s="334" t="s">
        <v>1935</v>
      </c>
      <c r="B7" s="331">
        <v>240000.0</v>
      </c>
      <c r="C7" s="332">
        <v>0.125</v>
      </c>
      <c r="D7" s="335">
        <v>30000.0</v>
      </c>
    </row>
    <row r="8">
      <c r="A8" s="334" t="s">
        <v>1936</v>
      </c>
      <c r="B8" s="331">
        <v>240000.0</v>
      </c>
      <c r="C8" s="332">
        <v>0.125</v>
      </c>
      <c r="D8" s="335">
        <v>30000.0</v>
      </c>
    </row>
    <row r="9">
      <c r="A9" s="334" t="s">
        <v>1937</v>
      </c>
      <c r="B9" s="331">
        <v>136080.0</v>
      </c>
      <c r="C9" s="332">
        <v>0.125</v>
      </c>
      <c r="D9" s="335">
        <v>17010.0</v>
      </c>
    </row>
    <row r="10">
      <c r="A10" s="334" t="s">
        <v>1938</v>
      </c>
      <c r="B10" s="331">
        <v>136080.0</v>
      </c>
      <c r="C10" s="332">
        <v>0.125</v>
      </c>
      <c r="D10" s="335">
        <v>17010.0</v>
      </c>
    </row>
    <row r="11">
      <c r="A11" s="334" t="s">
        <v>104</v>
      </c>
      <c r="B11" s="331">
        <v>100800.0</v>
      </c>
      <c r="C11" s="332">
        <v>0.125</v>
      </c>
      <c r="D11" s="335">
        <v>12600.0</v>
      </c>
    </row>
    <row r="12">
      <c r="A12" s="336"/>
      <c r="B12" s="337"/>
      <c r="C12" s="338"/>
      <c r="D12" s="339"/>
    </row>
    <row r="13">
      <c r="A13" s="336" t="s">
        <v>1939</v>
      </c>
      <c r="B13" s="340">
        <f>SUM(B4:B11)</f>
        <v>1488960</v>
      </c>
      <c r="D13" s="341">
        <f>SUM(D4:D11)</f>
        <v>186120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8.1"/>
    <col customWidth="1" min="2" max="5" width="8.6"/>
    <col customWidth="1" min="6" max="6" width="22.6"/>
    <col customWidth="1" min="7" max="26" width="12.6"/>
  </cols>
  <sheetData>
    <row r="1">
      <c r="A1" s="336" t="s">
        <v>1940</v>
      </c>
    </row>
    <row r="2">
      <c r="A2" s="336" t="s">
        <v>1941</v>
      </c>
      <c r="B2" s="336" t="s">
        <v>1942</v>
      </c>
      <c r="C2" s="336" t="s">
        <v>1918</v>
      </c>
      <c r="D2" s="336" t="s">
        <v>1919</v>
      </c>
      <c r="E2" s="336" t="s">
        <v>1920</v>
      </c>
    </row>
    <row r="3">
      <c r="A3" s="147" t="s">
        <v>1943</v>
      </c>
      <c r="E3" s="147" t="s">
        <v>1944</v>
      </c>
    </row>
    <row r="4">
      <c r="A4" s="147" t="s">
        <v>1945</v>
      </c>
      <c r="B4" s="147" t="s">
        <v>1944</v>
      </c>
      <c r="D4" s="147" t="s">
        <v>1944</v>
      </c>
      <c r="E4" s="147" t="s">
        <v>1944</v>
      </c>
    </row>
    <row r="5">
      <c r="A5" s="147" t="s">
        <v>1946</v>
      </c>
      <c r="C5" s="147" t="s">
        <v>1944</v>
      </c>
      <c r="D5" s="147" t="s">
        <v>1944</v>
      </c>
      <c r="E5" s="147" t="s">
        <v>1944</v>
      </c>
    </row>
    <row r="6">
      <c r="A6" s="147" t="s">
        <v>1947</v>
      </c>
    </row>
    <row r="7">
      <c r="A7" s="147" t="s">
        <v>1948</v>
      </c>
      <c r="D7" s="147" t="s">
        <v>1944</v>
      </c>
      <c r="E7" s="147" t="s">
        <v>1944</v>
      </c>
    </row>
    <row r="8">
      <c r="A8" s="147" t="s">
        <v>1949</v>
      </c>
      <c r="B8" s="147" t="s">
        <v>1944</v>
      </c>
      <c r="C8" s="147" t="s">
        <v>1944</v>
      </c>
      <c r="D8" s="147" t="s">
        <v>1944</v>
      </c>
      <c r="E8" s="147" t="s">
        <v>1944</v>
      </c>
    </row>
    <row r="9">
      <c r="A9" s="147" t="s">
        <v>1950</v>
      </c>
    </row>
    <row r="10">
      <c r="A10" s="147" t="s">
        <v>1951</v>
      </c>
      <c r="B10" s="147" t="s">
        <v>1944</v>
      </c>
      <c r="C10" s="147" t="s">
        <v>1944</v>
      </c>
      <c r="D10" s="147" t="s">
        <v>1944</v>
      </c>
      <c r="E10" s="147" t="s">
        <v>1944</v>
      </c>
    </row>
    <row r="11">
      <c r="A11" s="147" t="s">
        <v>574</v>
      </c>
    </row>
    <row r="12">
      <c r="A12" s="147" t="s">
        <v>1952</v>
      </c>
      <c r="B12" s="147" t="s">
        <v>1944</v>
      </c>
      <c r="C12" s="147" t="s">
        <v>1944</v>
      </c>
      <c r="D12" s="147" t="s">
        <v>1944</v>
      </c>
      <c r="E12" s="147" t="s">
        <v>1944</v>
      </c>
    </row>
    <row r="13">
      <c r="A13" s="147" t="s">
        <v>1953</v>
      </c>
    </row>
    <row r="14">
      <c r="A14" s="147" t="s">
        <v>1954</v>
      </c>
    </row>
    <row r="15">
      <c r="A15" s="147" t="s">
        <v>1955</v>
      </c>
      <c r="B15" s="147" t="s">
        <v>1944</v>
      </c>
      <c r="C15" s="147" t="s">
        <v>1944</v>
      </c>
      <c r="D15" s="147" t="s">
        <v>1944</v>
      </c>
      <c r="E15" s="147" t="s">
        <v>1944</v>
      </c>
    </row>
    <row r="16">
      <c r="A16" s="147" t="s">
        <v>1956</v>
      </c>
      <c r="D16" s="147" t="s">
        <v>1944</v>
      </c>
      <c r="E16" s="147" t="s">
        <v>1944</v>
      </c>
    </row>
    <row r="17">
      <c r="A17" s="147" t="s">
        <v>1957</v>
      </c>
    </row>
    <row r="18">
      <c r="A18" s="147" t="s">
        <v>1958</v>
      </c>
      <c r="B18" s="147" t="s">
        <v>1944</v>
      </c>
      <c r="C18" s="147" t="s">
        <v>1944</v>
      </c>
      <c r="D18" s="147" t="s">
        <v>1944</v>
      </c>
      <c r="E18" s="147" t="s">
        <v>1944</v>
      </c>
    </row>
    <row r="19">
      <c r="A19" s="147" t="s">
        <v>1959</v>
      </c>
    </row>
    <row r="20">
      <c r="A20" s="147" t="s">
        <v>1960</v>
      </c>
      <c r="B20" s="147" t="s">
        <v>1944</v>
      </c>
      <c r="C20" s="147" t="s">
        <v>1944</v>
      </c>
      <c r="D20" s="147" t="s">
        <v>1944</v>
      </c>
      <c r="E20" s="147" t="s">
        <v>1944</v>
      </c>
    </row>
    <row r="21" ht="15.75" customHeight="1">
      <c r="A21" s="147" t="s">
        <v>1961</v>
      </c>
      <c r="B21" s="147" t="s">
        <v>1944</v>
      </c>
      <c r="C21" s="147" t="s">
        <v>1944</v>
      </c>
      <c r="D21" s="147" t="s">
        <v>1944</v>
      </c>
      <c r="E21" s="147" t="s">
        <v>1944</v>
      </c>
    </row>
    <row r="22" ht="15.75" customHeight="1">
      <c r="A22" s="147" t="s">
        <v>1962</v>
      </c>
      <c r="B22" s="147" t="s">
        <v>1944</v>
      </c>
      <c r="C22" s="147" t="s">
        <v>1944</v>
      </c>
      <c r="D22" s="147" t="s">
        <v>1944</v>
      </c>
      <c r="E22" s="147" t="s">
        <v>1944</v>
      </c>
    </row>
    <row r="23" ht="15.75" customHeight="1">
      <c r="A23" s="147" t="s">
        <v>1963</v>
      </c>
      <c r="B23" s="147" t="s">
        <v>1944</v>
      </c>
      <c r="C23" s="147" t="s">
        <v>1944</v>
      </c>
      <c r="D23" s="147" t="s">
        <v>1944</v>
      </c>
      <c r="E23" s="147" t="s">
        <v>1944</v>
      </c>
    </row>
    <row r="24" ht="15.75" customHeight="1">
      <c r="A24" s="147" t="s">
        <v>1964</v>
      </c>
      <c r="C24" s="147" t="s">
        <v>1944</v>
      </c>
      <c r="E24" s="147" t="s">
        <v>1944</v>
      </c>
    </row>
    <row r="25" ht="15.75" customHeight="1">
      <c r="A25" s="147" t="s">
        <v>1965</v>
      </c>
    </row>
    <row r="26" ht="15.75" customHeight="1">
      <c r="A26" s="147" t="s">
        <v>1966</v>
      </c>
    </row>
    <row r="27" ht="15.75" customHeight="1">
      <c r="A27" s="147" t="s">
        <v>1967</v>
      </c>
      <c r="B27" s="147" t="s">
        <v>1944</v>
      </c>
      <c r="C27" s="147" t="s">
        <v>1944</v>
      </c>
      <c r="D27" s="147" t="s">
        <v>1944</v>
      </c>
      <c r="E27" s="147" t="s">
        <v>1944</v>
      </c>
    </row>
    <row r="28" ht="15.75" customHeight="1">
      <c r="A28" s="147" t="s">
        <v>1968</v>
      </c>
      <c r="C28" s="147" t="s">
        <v>1944</v>
      </c>
      <c r="D28" s="147" t="s">
        <v>1944</v>
      </c>
      <c r="E28" s="147" t="s">
        <v>1944</v>
      </c>
    </row>
    <row r="29" ht="15.75" customHeight="1">
      <c r="A29" s="147" t="s">
        <v>1969</v>
      </c>
      <c r="B29" s="147" t="s">
        <v>1944</v>
      </c>
      <c r="C29" s="147" t="s">
        <v>1944</v>
      </c>
      <c r="D29" s="147" t="s">
        <v>1944</v>
      </c>
      <c r="E29" s="147" t="s">
        <v>1944</v>
      </c>
    </row>
    <row r="30" ht="15.75" customHeight="1">
      <c r="A30" s="147" t="s">
        <v>1970</v>
      </c>
      <c r="B30" s="147" t="s">
        <v>1944</v>
      </c>
      <c r="C30" s="147" t="s">
        <v>1944</v>
      </c>
      <c r="D30" s="147" t="s">
        <v>1944</v>
      </c>
      <c r="E30" s="147" t="s">
        <v>1944</v>
      </c>
    </row>
    <row r="31" ht="15.75" customHeight="1">
      <c r="A31" s="147" t="s">
        <v>1971</v>
      </c>
      <c r="B31" s="147" t="s">
        <v>1944</v>
      </c>
      <c r="C31" s="147" t="s">
        <v>1944</v>
      </c>
      <c r="D31" s="147" t="s">
        <v>1944</v>
      </c>
      <c r="E31" s="147" t="s">
        <v>1944</v>
      </c>
    </row>
    <row r="32" ht="15.75" customHeight="1">
      <c r="A32" s="147" t="s">
        <v>1972</v>
      </c>
    </row>
    <row r="33" ht="15.75" customHeight="1">
      <c r="A33" s="147" t="s">
        <v>1973</v>
      </c>
      <c r="C33" s="147" t="s">
        <v>1944</v>
      </c>
      <c r="D33" s="147" t="s">
        <v>1944</v>
      </c>
      <c r="E33" s="147" t="s">
        <v>1944</v>
      </c>
    </row>
    <row r="34" ht="15.75" customHeight="1">
      <c r="A34" s="147" t="s">
        <v>1974</v>
      </c>
    </row>
    <row r="35" ht="15.75" customHeight="1">
      <c r="A35" s="147" t="s">
        <v>1975</v>
      </c>
    </row>
    <row r="36" ht="15.75" customHeight="1">
      <c r="A36" s="147" t="s">
        <v>99</v>
      </c>
      <c r="B36" s="147" t="s">
        <v>1944</v>
      </c>
      <c r="C36" s="147" t="s">
        <v>1944</v>
      </c>
      <c r="D36" s="147" t="s">
        <v>1944</v>
      </c>
      <c r="E36" s="147" t="s">
        <v>1944</v>
      </c>
    </row>
    <row r="37" ht="15.75" customHeight="1">
      <c r="A37" s="147" t="s">
        <v>1976</v>
      </c>
      <c r="B37" s="147" t="s">
        <v>1944</v>
      </c>
      <c r="C37" s="147" t="s">
        <v>1944</v>
      </c>
      <c r="D37" s="147" t="s">
        <v>1944</v>
      </c>
      <c r="E37" s="147" t="s">
        <v>1944</v>
      </c>
    </row>
    <row r="38" ht="15.75" customHeight="1">
      <c r="A38" s="147" t="s">
        <v>1977</v>
      </c>
      <c r="B38" s="147" t="s">
        <v>1944</v>
      </c>
      <c r="C38" s="147" t="s">
        <v>1944</v>
      </c>
      <c r="D38" s="147" t="s">
        <v>1944</v>
      </c>
      <c r="E38" s="147" t="s">
        <v>1944</v>
      </c>
    </row>
    <row r="39" ht="15.75" customHeight="1">
      <c r="A39" s="147" t="s">
        <v>1978</v>
      </c>
      <c r="B39" s="147" t="s">
        <v>1944</v>
      </c>
      <c r="C39" s="147" t="s">
        <v>1944</v>
      </c>
      <c r="D39" s="147" t="s">
        <v>1944</v>
      </c>
      <c r="E39" s="147" t="s">
        <v>1944</v>
      </c>
    </row>
    <row r="40" ht="15.75" customHeight="1">
      <c r="A40" s="147" t="s">
        <v>1979</v>
      </c>
      <c r="B40" s="147" t="s">
        <v>1944</v>
      </c>
      <c r="C40" s="147" t="s">
        <v>1944</v>
      </c>
      <c r="D40" s="147" t="s">
        <v>1944</v>
      </c>
    </row>
    <row r="41" ht="15.75" customHeight="1">
      <c r="A41" s="147" t="s">
        <v>1980</v>
      </c>
      <c r="B41" s="147" t="s">
        <v>1944</v>
      </c>
      <c r="C41" s="147" t="s">
        <v>1944</v>
      </c>
      <c r="D41" s="147" t="s">
        <v>1944</v>
      </c>
      <c r="E41" s="147" t="s">
        <v>1944</v>
      </c>
    </row>
    <row r="42" ht="15.75" customHeight="1">
      <c r="A42" s="147" t="s">
        <v>1981</v>
      </c>
    </row>
    <row r="43" ht="15.75" customHeight="1">
      <c r="A43" s="147" t="s">
        <v>1982</v>
      </c>
      <c r="B43" s="147" t="s">
        <v>1944</v>
      </c>
      <c r="C43" s="147" t="s">
        <v>1944</v>
      </c>
      <c r="D43" s="147" t="s">
        <v>1944</v>
      </c>
      <c r="E43" s="147" t="s">
        <v>1944</v>
      </c>
    </row>
    <row r="44" ht="15.75" customHeight="1">
      <c r="A44" s="147" t="s">
        <v>1983</v>
      </c>
      <c r="B44" s="147" t="s">
        <v>1944</v>
      </c>
      <c r="C44" s="147" t="s">
        <v>1944</v>
      </c>
      <c r="D44" s="147" t="s">
        <v>1944</v>
      </c>
      <c r="E44" s="147" t="s">
        <v>1944</v>
      </c>
    </row>
    <row r="45" ht="15.75" customHeight="1">
      <c r="A45" s="147" t="s">
        <v>1984</v>
      </c>
      <c r="B45" s="147" t="s">
        <v>1944</v>
      </c>
      <c r="C45" s="147" t="s">
        <v>1944</v>
      </c>
      <c r="D45" s="147" t="s">
        <v>1944</v>
      </c>
      <c r="E45" s="147" t="s">
        <v>1944</v>
      </c>
    </row>
    <row r="46" ht="15.75" customHeight="1">
      <c r="A46" s="147" t="s">
        <v>1985</v>
      </c>
    </row>
    <row r="47" ht="15.75" customHeight="1">
      <c r="A47" s="147" t="s">
        <v>1986</v>
      </c>
    </row>
    <row r="48" ht="15.75" customHeight="1">
      <c r="A48" s="147" t="s">
        <v>1987</v>
      </c>
      <c r="B48" s="147" t="s">
        <v>1944</v>
      </c>
      <c r="C48" s="147" t="s">
        <v>1944</v>
      </c>
      <c r="D48" s="147" t="s">
        <v>1944</v>
      </c>
      <c r="E48" s="147" t="s">
        <v>1944</v>
      </c>
    </row>
    <row r="49" ht="15.75" customHeight="1">
      <c r="A49" s="147" t="s">
        <v>1988</v>
      </c>
    </row>
    <row r="50" ht="15.75" customHeight="1">
      <c r="A50" s="147" t="s">
        <v>1989</v>
      </c>
    </row>
    <row r="51" ht="15.75" customHeight="1">
      <c r="A51" s="147" t="s">
        <v>1990</v>
      </c>
    </row>
    <row r="52" ht="15.75" customHeight="1">
      <c r="A52" s="147" t="s">
        <v>1991</v>
      </c>
      <c r="B52" s="147" t="s">
        <v>1944</v>
      </c>
      <c r="C52" s="147" t="s">
        <v>1944</v>
      </c>
      <c r="D52" s="147" t="s">
        <v>1944</v>
      </c>
      <c r="E52" s="147" t="s">
        <v>1944</v>
      </c>
    </row>
    <row r="53" ht="15.75" customHeight="1">
      <c r="A53" s="147" t="s">
        <v>1992</v>
      </c>
      <c r="B53" s="147" t="s">
        <v>1944</v>
      </c>
      <c r="C53" s="147" t="s">
        <v>1944</v>
      </c>
      <c r="D53" s="147" t="s">
        <v>1944</v>
      </c>
      <c r="E53" s="147" t="s">
        <v>1944</v>
      </c>
    </row>
    <row r="54" ht="15.75" customHeight="1">
      <c r="A54" s="147" t="s">
        <v>1993</v>
      </c>
    </row>
    <row r="55" ht="15.75" customHeight="1">
      <c r="A55" s="147" t="s">
        <v>1994</v>
      </c>
      <c r="B55" s="147" t="s">
        <v>1944</v>
      </c>
      <c r="C55" s="147" t="s">
        <v>1944</v>
      </c>
      <c r="D55" s="147" t="s">
        <v>1944</v>
      </c>
      <c r="E55" s="147" t="s">
        <v>1944</v>
      </c>
    </row>
    <row r="56" ht="15.75" customHeight="1">
      <c r="A56" s="147" t="s">
        <v>1995</v>
      </c>
    </row>
    <row r="57" ht="15.75" customHeight="1">
      <c r="A57" s="147" t="s">
        <v>1996</v>
      </c>
      <c r="D57" s="147" t="s">
        <v>1944</v>
      </c>
    </row>
    <row r="58" ht="15.75" customHeight="1">
      <c r="A58" s="147" t="s">
        <v>1997</v>
      </c>
      <c r="B58" s="147" t="s">
        <v>1944</v>
      </c>
      <c r="C58" s="147" t="s">
        <v>1944</v>
      </c>
      <c r="D58" s="147" t="s">
        <v>1944</v>
      </c>
      <c r="E58" s="147" t="s">
        <v>1944</v>
      </c>
    </row>
    <row r="59" ht="15.75" customHeight="1">
      <c r="A59" s="147" t="s">
        <v>1998</v>
      </c>
      <c r="B59" s="147" t="s">
        <v>1944</v>
      </c>
      <c r="C59" s="147" t="s">
        <v>1944</v>
      </c>
      <c r="D59" s="147" t="s">
        <v>1944</v>
      </c>
      <c r="E59" s="147" t="s">
        <v>1944</v>
      </c>
    </row>
    <row r="60" ht="15.75" customHeight="1">
      <c r="A60" s="147" t="s">
        <v>1999</v>
      </c>
    </row>
    <row r="61" ht="15.75" customHeight="1">
      <c r="A61" s="147" t="s">
        <v>2000</v>
      </c>
      <c r="B61" s="147" t="s">
        <v>1944</v>
      </c>
      <c r="C61" s="147" t="s">
        <v>1944</v>
      </c>
    </row>
    <row r="62" ht="15.75" customHeight="1">
      <c r="A62" s="147" t="s">
        <v>2001</v>
      </c>
    </row>
    <row r="63" ht="15.75" customHeight="1">
      <c r="A63" s="147" t="s">
        <v>2002</v>
      </c>
      <c r="C63" s="147" t="s">
        <v>1944</v>
      </c>
      <c r="D63" s="147" t="s">
        <v>1944</v>
      </c>
      <c r="E63" s="147" t="s">
        <v>1944</v>
      </c>
    </row>
    <row r="64" ht="15.75" customHeight="1">
      <c r="A64" s="147" t="s">
        <v>2003</v>
      </c>
      <c r="B64" s="147" t="s">
        <v>1944</v>
      </c>
      <c r="C64" s="147" t="s">
        <v>1944</v>
      </c>
      <c r="D64" s="147" t="s">
        <v>1944</v>
      </c>
      <c r="E64" s="147" t="s">
        <v>1944</v>
      </c>
    </row>
    <row r="65" ht="15.75" customHeight="1">
      <c r="A65" s="147" t="s">
        <v>2004</v>
      </c>
      <c r="D65" s="147" t="s">
        <v>1944</v>
      </c>
      <c r="E65" s="147" t="s">
        <v>1944</v>
      </c>
    </row>
    <row r="66" ht="15.75" customHeight="1">
      <c r="A66" s="147" t="s">
        <v>2005</v>
      </c>
    </row>
    <row r="67" ht="15.75" customHeight="1">
      <c r="A67" s="147" t="s">
        <v>2006</v>
      </c>
      <c r="B67" s="147" t="s">
        <v>1944</v>
      </c>
      <c r="C67" s="147" t="s">
        <v>1944</v>
      </c>
      <c r="D67" s="147" t="s">
        <v>1944</v>
      </c>
      <c r="E67" s="147" t="s">
        <v>1944</v>
      </c>
    </row>
    <row r="68" ht="15.75" customHeight="1">
      <c r="A68" s="147" t="s">
        <v>2007</v>
      </c>
      <c r="B68" s="147" t="s">
        <v>1944</v>
      </c>
      <c r="C68" s="147" t="s">
        <v>1944</v>
      </c>
      <c r="D68" s="147" t="s">
        <v>1944</v>
      </c>
      <c r="E68" s="147" t="s">
        <v>1944</v>
      </c>
    </row>
    <row r="69" ht="15.75" customHeight="1">
      <c r="A69" s="147" t="s">
        <v>2008</v>
      </c>
    </row>
    <row r="70" ht="15.75" customHeight="1">
      <c r="A70" s="147" t="s">
        <v>2009</v>
      </c>
    </row>
    <row r="71" ht="15.75" customHeight="1">
      <c r="A71" s="147" t="s">
        <v>704</v>
      </c>
      <c r="B71" s="147" t="s">
        <v>1944</v>
      </c>
      <c r="C71" s="147" t="s">
        <v>1944</v>
      </c>
      <c r="D71" s="147" t="s">
        <v>1944</v>
      </c>
      <c r="E71" s="147" t="s">
        <v>1944</v>
      </c>
    </row>
    <row r="72" ht="15.75" customHeight="1">
      <c r="A72" s="147" t="s">
        <v>104</v>
      </c>
      <c r="B72" s="147" t="s">
        <v>1944</v>
      </c>
      <c r="C72" s="147" t="s">
        <v>1944</v>
      </c>
      <c r="D72" s="147" t="s">
        <v>1944</v>
      </c>
      <c r="E72" s="147" t="s">
        <v>1944</v>
      </c>
    </row>
    <row r="73" ht="15.75" customHeight="1">
      <c r="A73" s="147" t="s">
        <v>2010</v>
      </c>
    </row>
    <row r="74" ht="15.75" customHeight="1">
      <c r="A74" s="147" t="s">
        <v>2011</v>
      </c>
      <c r="B74" s="147" t="s">
        <v>1944</v>
      </c>
      <c r="C74" s="147" t="s">
        <v>1944</v>
      </c>
      <c r="D74" s="147" t="s">
        <v>1944</v>
      </c>
      <c r="E74" s="147" t="s">
        <v>1944</v>
      </c>
    </row>
    <row r="75" ht="15.75" customHeight="1">
      <c r="A75" s="147" t="s">
        <v>2012</v>
      </c>
    </row>
    <row r="76" ht="15.75" customHeight="1">
      <c r="A76" s="147" t="s">
        <v>2013</v>
      </c>
    </row>
    <row r="77" ht="15.75" customHeight="1">
      <c r="A77" s="147" t="s">
        <v>2014</v>
      </c>
      <c r="B77" s="147" t="s">
        <v>1944</v>
      </c>
      <c r="C77" s="147" t="s">
        <v>1944</v>
      </c>
      <c r="D77" s="147" t="s">
        <v>1944</v>
      </c>
    </row>
    <row r="78" ht="15.75" customHeight="1">
      <c r="A78" s="147" t="s">
        <v>2015</v>
      </c>
      <c r="B78" s="147" t="s">
        <v>1944</v>
      </c>
      <c r="C78" s="147" t="s">
        <v>1944</v>
      </c>
      <c r="D78" s="147" t="s">
        <v>1944</v>
      </c>
    </row>
    <row r="79" ht="15.75" customHeight="1">
      <c r="A79" s="147" t="s">
        <v>2016</v>
      </c>
      <c r="B79" s="147" t="s">
        <v>1944</v>
      </c>
      <c r="C79" s="147" t="s">
        <v>1944</v>
      </c>
      <c r="D79" s="147" t="s">
        <v>1944</v>
      </c>
      <c r="E79" s="147" t="s">
        <v>1944</v>
      </c>
    </row>
    <row r="80" ht="15.75" customHeight="1">
      <c r="A80" s="147" t="s">
        <v>2017</v>
      </c>
      <c r="B80" s="147" t="s">
        <v>1944</v>
      </c>
      <c r="C80" s="147" t="s">
        <v>1944</v>
      </c>
      <c r="D80" s="147" t="s">
        <v>1944</v>
      </c>
      <c r="E80" s="147" t="s">
        <v>1944</v>
      </c>
    </row>
    <row r="81" ht="15.75" customHeight="1"/>
    <row r="82" ht="15.75" customHeight="1"/>
    <row r="83" ht="15.75" customHeight="1">
      <c r="A83" s="342" t="s">
        <v>2018</v>
      </c>
    </row>
    <row r="84" ht="15.75" customHeight="1">
      <c r="A84" s="343" t="s">
        <v>2019</v>
      </c>
      <c r="B84" s="344" t="s">
        <v>2020</v>
      </c>
      <c r="C84" s="344" t="s">
        <v>2021</v>
      </c>
      <c r="D84" s="344" t="s">
        <v>80</v>
      </c>
      <c r="E84" s="344" t="s">
        <v>2022</v>
      </c>
      <c r="F84" s="344" t="s">
        <v>2023</v>
      </c>
    </row>
    <row r="85" ht="15.75" customHeight="1">
      <c r="A85" s="345">
        <v>1.0</v>
      </c>
      <c r="B85" s="345" t="s">
        <v>2024</v>
      </c>
      <c r="C85" s="346" t="s">
        <v>2025</v>
      </c>
      <c r="D85" s="345" t="s">
        <v>2026</v>
      </c>
      <c r="E85" s="345" t="s">
        <v>2027</v>
      </c>
      <c r="F85" s="345" t="s">
        <v>2028</v>
      </c>
    </row>
    <row r="86" ht="15.75" customHeight="1">
      <c r="A86" s="347">
        <v>2.0</v>
      </c>
      <c r="B86" s="347" t="s">
        <v>2029</v>
      </c>
      <c r="C86" s="348" t="s">
        <v>2030</v>
      </c>
      <c r="D86" s="347" t="s">
        <v>2031</v>
      </c>
      <c r="E86" s="347" t="s">
        <v>2032</v>
      </c>
      <c r="F86" s="347" t="s">
        <v>2033</v>
      </c>
    </row>
    <row r="87" ht="15.75" customHeight="1">
      <c r="A87" s="345">
        <v>4.0</v>
      </c>
      <c r="B87" s="345" t="s">
        <v>2034</v>
      </c>
      <c r="C87" s="346" t="s">
        <v>1935</v>
      </c>
      <c r="D87" s="345" t="s">
        <v>2035</v>
      </c>
      <c r="E87" s="345" t="s">
        <v>2036</v>
      </c>
      <c r="F87" s="345" t="s">
        <v>2037</v>
      </c>
    </row>
    <row r="88" ht="15.75" customHeight="1">
      <c r="A88" s="347">
        <v>3.0</v>
      </c>
      <c r="B88" s="347" t="s">
        <v>2038</v>
      </c>
      <c r="C88" s="348" t="s">
        <v>513</v>
      </c>
      <c r="D88" s="347" t="s">
        <v>2039</v>
      </c>
      <c r="E88" s="347" t="s">
        <v>2040</v>
      </c>
      <c r="F88" s="347" t="s">
        <v>2041</v>
      </c>
    </row>
    <row r="89" ht="15.75" customHeight="1">
      <c r="A89" s="345">
        <v>5.0</v>
      </c>
      <c r="B89" s="345" t="s">
        <v>2042</v>
      </c>
      <c r="C89" s="346" t="s">
        <v>2043</v>
      </c>
      <c r="D89" s="345" t="s">
        <v>2044</v>
      </c>
      <c r="E89" s="345" t="s">
        <v>2036</v>
      </c>
      <c r="F89" s="345" t="s">
        <v>2045</v>
      </c>
    </row>
    <row r="90" ht="15.75" customHeight="1">
      <c r="A90" s="347">
        <v>6.0</v>
      </c>
      <c r="B90" s="347" t="s">
        <v>2046</v>
      </c>
      <c r="C90" s="348" t="s">
        <v>2047</v>
      </c>
      <c r="D90" s="347" t="s">
        <v>2048</v>
      </c>
      <c r="E90" s="347" t="s">
        <v>2049</v>
      </c>
      <c r="F90" s="347" t="s">
        <v>2050</v>
      </c>
    </row>
    <row r="91" ht="46.5" customHeight="1">
      <c r="A91" s="345">
        <v>7.0</v>
      </c>
      <c r="B91" s="345" t="s">
        <v>2051</v>
      </c>
      <c r="C91" s="346" t="s">
        <v>2052</v>
      </c>
      <c r="D91" s="345" t="s">
        <v>2053</v>
      </c>
      <c r="E91" s="345" t="s">
        <v>2036</v>
      </c>
      <c r="F91" s="345" t="s">
        <v>2054</v>
      </c>
    </row>
    <row r="92" ht="15.75" customHeight="1">
      <c r="A92" s="347">
        <v>8.0</v>
      </c>
      <c r="B92" s="347" t="s">
        <v>2055</v>
      </c>
      <c r="C92" s="348" t="s">
        <v>2056</v>
      </c>
      <c r="D92" s="347" t="s">
        <v>2057</v>
      </c>
      <c r="E92" s="347" t="s">
        <v>2036</v>
      </c>
      <c r="F92" s="347" t="s">
        <v>2058</v>
      </c>
    </row>
    <row r="93" ht="15.75" customHeight="1">
      <c r="A93" s="345">
        <v>9.0</v>
      </c>
      <c r="B93" s="345" t="s">
        <v>2059</v>
      </c>
      <c r="C93" s="346" t="s">
        <v>2060</v>
      </c>
      <c r="D93" s="345" t="s">
        <v>2061</v>
      </c>
      <c r="E93" s="345" t="s">
        <v>2062</v>
      </c>
      <c r="F93" s="345" t="s">
        <v>2063</v>
      </c>
    </row>
    <row r="94" ht="15.75" customHeight="1">
      <c r="A94" s="347">
        <v>10.0</v>
      </c>
      <c r="B94" s="347" t="s">
        <v>2055</v>
      </c>
      <c r="C94" s="348" t="s">
        <v>1934</v>
      </c>
      <c r="D94" s="347" t="s">
        <v>2064</v>
      </c>
      <c r="E94" s="347" t="s">
        <v>2062</v>
      </c>
      <c r="F94" s="347" t="s">
        <v>2065</v>
      </c>
    </row>
    <row r="95" ht="15.75" customHeight="1">
      <c r="A95" s="349" t="s">
        <v>2066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2023-12-20T09:34:10Z</dcterms:created>
  <dc:creator>BDM Green Energy Solutions Joseph Deignan</dc:creator>
</cp:coreProperties>
</file>