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3.2MWp + BESS EPC" sheetId="1" state="visible" r:id="rId1"/>
    <sheet xmlns:r="http://schemas.openxmlformats.org/officeDocument/2006/relationships" name="Yield simulation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i val="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58" customWidth="1" min="3" max="3"/>
    <col width="8" customWidth="1" min="4" max="4"/>
    <col width="12" customWidth="1" min="5" max="5"/>
    <col width="36" customWidth="1" min="6" max="6"/>
    <col width="16" customWidth="1" min="7" max="7"/>
    <col width="22" customWidth="1" min="8" max="8"/>
    <col width="12" customWidth="1" min="9" max="9"/>
    <col width="14" customWidth="1" min="10" max="10"/>
  </cols>
  <sheetData>
    <row r="1">
      <c r="A1" s="1" t="inlineStr">
        <is>
          <t>A/A</t>
        </is>
      </c>
      <c r="B1" s="1" t="inlineStr">
        <is>
          <t>Equipment</t>
        </is>
      </c>
      <c r="C1" s="1" t="inlineStr">
        <is>
          <t>Description</t>
        </is>
      </c>
      <c r="D1" s="1" t="inlineStr">
        <is>
          <t>Qty</t>
        </is>
      </c>
      <c r="E1" s="1" t="inlineStr">
        <is>
          <t>Unit buy €</t>
        </is>
      </c>
      <c r="F1" s="1" t="inlineStr">
        <is>
          <t>Price basis</t>
        </is>
      </c>
      <c r="G1" s="1" t="inlineStr">
        <is>
          <t>Extended buy €</t>
        </is>
      </c>
      <c r="H1" s="1" t="inlineStr">
        <is>
          <t>Margin on sell</t>
        </is>
      </c>
      <c r="I1" s="1" t="inlineStr">
        <is>
          <t>Unit client €</t>
        </is>
      </c>
      <c r="J1" s="1" t="inlineStr">
        <is>
          <t>Line client €</t>
        </is>
      </c>
    </row>
    <row r="2">
      <c r="A2" s="2" t="n">
        <v>1</v>
      </c>
      <c r="B2" s="2" t="inlineStr">
        <is>
          <t>PV modules</t>
        </is>
      </c>
      <c r="C2" s="2" t="inlineStr">
        <is>
          <t>AE Solar Meteor AE630CMER-132BDS 630W TopCon bifacial GG, EXW Rotterdam. Nameplate 3.2004 MWp = 5080×630W.</t>
        </is>
      </c>
      <c r="D2" s="2" t="n">
        <v>5080</v>
      </c>
      <c r="E2" s="2" t="n">
        <v>69.3</v>
      </c>
      <c r="F2" s="2" t="inlineStr">
        <is>
          <t>AE Solar — EXW €/module</t>
        </is>
      </c>
      <c r="G2" s="2" t="n">
        <v>352044</v>
      </c>
      <c r="H2" s="2" t="inlineStr">
        <is>
          <t>0% (pass-through)</t>
        </is>
      </c>
      <c r="I2" s="2" t="n">
        <v>69.3</v>
      </c>
      <c r="J2" s="2" t="n">
        <v>352044</v>
      </c>
    </row>
    <row r="3">
      <c r="A3" s="2" t="n">
        <v>2</v>
      </c>
      <c r="B3" s="2" t="inlineStr">
        <is>
          <t>String inverters (on-grid M2)</t>
        </is>
      </c>
      <c r="C3" s="2" t="inlineStr">
        <is>
          <t>Huawei SUN2000-115KTL-M2, 115 kWac, 10 MPPT. Closest M2 to 150kW; 24 units → 2.76 MWac, DC/AC 1.160. Pallet (3p) €3661.36/unit.</t>
        </is>
      </c>
      <c r="D3" s="2" t="n">
        <v>24</v>
      </c>
      <c r="E3" s="2" t="n">
        <v>3661.36</v>
      </c>
      <c r="F3" s="2" t="inlineStr">
        <is>
          <t>Trikkis 01-03-2026 — pallet (3p)</t>
        </is>
      </c>
      <c r="G3" s="2" t="n">
        <v>87872.64</v>
      </c>
      <c r="H3" s="2" t="inlineStr">
        <is>
          <t>+20%</t>
        </is>
      </c>
      <c r="I3" s="2" t="n">
        <v>4393.632</v>
      </c>
      <c r="J3" s="2" t="n">
        <v>105447.17</v>
      </c>
    </row>
    <row r="4">
      <c r="A4" s="2" t="n">
        <v>2</v>
      </c>
      <c r="B4" s="2" t="inlineStr">
        <is>
          <t>Plant controller</t>
        </is>
      </c>
      <c r="C4" s="2" t="inlineStr">
        <is>
          <t>Huawei SmartLogger 3000A03EU — wholesale vs list.</t>
        </is>
      </c>
      <c r="D4" s="2" t="n">
        <v>1</v>
      </c>
      <c r="E4" s="2" t="n">
        <v>839.3</v>
      </c>
      <c r="F4" s="2" t="inlineStr">
        <is>
          <t>Trikkis A8 wholesale</t>
        </is>
      </c>
      <c r="G4" s="2" t="n">
        <v>839.3</v>
      </c>
      <c r="H4" s="2" t="inlineStr">
        <is>
          <t>+20%</t>
        </is>
      </c>
      <c r="I4" s="2" t="n">
        <v>1007.16</v>
      </c>
      <c r="J4" s="2" t="n">
        <v>1007.16</v>
      </c>
    </row>
    <row r="5">
      <c r="A5" s="2" t="n">
        <v>3</v>
      </c>
      <c r="B5" s="2" t="inlineStr">
        <is>
          <t>Mounting (ground)</t>
        </is>
      </c>
      <c r="C5" s="2" t="inlineStr">
        <is>
          <t>Helios 1 pole 2× portrait steel; 2540 tables (5080÷2). Wholesale €/table.</t>
        </is>
      </c>
      <c r="D5" s="2" t="n">
        <v>2540</v>
      </c>
      <c r="E5" s="2" t="n">
        <v>40</v>
      </c>
      <c r="F5" s="2" t="inlineStr">
        <is>
          <t>Trikkis Helios — wholesale</t>
        </is>
      </c>
      <c r="G5" s="2" t="n">
        <v>101600</v>
      </c>
      <c r="H5" s="2" t="inlineStr">
        <is>
          <t>+20%</t>
        </is>
      </c>
      <c r="I5" s="2" t="n">
        <v>48</v>
      </c>
      <c r="J5" s="2" t="n">
        <v>121920</v>
      </c>
    </row>
    <row r="6">
      <c r="A6" s="2" t="n">
        <v>4</v>
      </c>
      <c r="B6" s="2" t="inlineStr">
        <is>
          <t>DC cabling</t>
        </is>
      </c>
      <c r="C6" s="2" t="inlineStr">
        <is>
          <t>PV DC (~33 km BOQ × module ratio).</t>
        </is>
      </c>
      <c r="D6" s="2" t="n">
        <v>32238</v>
      </c>
      <c r="E6" s="2" t="n">
        <v>0.85</v>
      </c>
      <c r="F6" s="2" t="inlineStr">
        <is>
          <t>Typical €/m</t>
        </is>
      </c>
      <c r="G6" s="2" t="n">
        <v>27402.3</v>
      </c>
      <c r="H6" s="2" t="inlineStr">
        <is>
          <t>+20%</t>
        </is>
      </c>
      <c r="I6" s="2" t="n">
        <v>1.02</v>
      </c>
      <c r="J6" s="2" t="n">
        <v>32882.76</v>
      </c>
    </row>
    <row r="7">
      <c r="A7" s="2" t="n">
        <v>5</v>
      </c>
      <c r="B7" s="2" t="inlineStr">
        <is>
          <t>AC cabling</t>
        </is>
      </c>
      <c r="C7" s="2" t="inlineStr">
        <is>
          <t>AC LV ~8 km BOQ.</t>
        </is>
      </c>
      <c r="D7" s="2" t="n">
        <v>8000</v>
      </c>
      <c r="E7" s="2" t="n">
        <v>3</v>
      </c>
      <c r="F7" s="2" t="inlineStr">
        <is>
          <t>Typical €/m</t>
        </is>
      </c>
      <c r="G7" s="2" t="n">
        <v>24000</v>
      </c>
      <c r="H7" s="2" t="inlineStr">
        <is>
          <t>+20%</t>
        </is>
      </c>
      <c r="I7" s="2" t="n">
        <v>3.6</v>
      </c>
      <c r="J7" s="2" t="n">
        <v>28800</v>
      </c>
    </row>
    <row r="8">
      <c r="A8" s="2" t="n">
        <v>6</v>
      </c>
      <c r="B8" s="2" t="inlineStr">
        <is>
          <t>BOS / trays / aux</t>
        </is>
      </c>
      <c r="C8" s="2" t="inlineStr">
        <is>
          <t>Lump placeholder.</t>
        </is>
      </c>
      <c r="D8" s="2" t="n">
        <v>1</v>
      </c>
      <c r="E8" s="2" t="n">
        <v>25000</v>
      </c>
      <c r="F8" s="2" t="inlineStr">
        <is>
          <t>Typical placeholder</t>
        </is>
      </c>
      <c r="G8" s="2" t="n">
        <v>25000</v>
      </c>
      <c r="H8" s="2" t="inlineStr">
        <is>
          <t>+20%</t>
        </is>
      </c>
      <c r="I8" s="2" t="n">
        <v>30000</v>
      </c>
      <c r="J8" s="2" t="n">
        <v>30000</v>
      </c>
    </row>
    <row r="9">
      <c r="A9" s="2" t="n">
        <v>7</v>
      </c>
      <c r="B9" s="2" t="inlineStr">
        <is>
          <t>Main LV DB + SCADA tie-in</t>
        </is>
      </c>
      <c r="C9" s="2" t="inlineStr">
        <is>
          <t>Lump placeholder.</t>
        </is>
      </c>
      <c r="D9" s="2" t="n">
        <v>1</v>
      </c>
      <c r="E9" s="2" t="n">
        <v>45000</v>
      </c>
      <c r="F9" s="2" t="inlineStr">
        <is>
          <t>Typical placeholder</t>
        </is>
      </c>
      <c r="G9" s="2" t="n">
        <v>45000</v>
      </c>
      <c r="H9" s="2" t="inlineStr">
        <is>
          <t>+20%</t>
        </is>
      </c>
      <c r="I9" s="2" t="n">
        <v>54000</v>
      </c>
      <c r="J9" s="2" t="n">
        <v>54000</v>
      </c>
    </row>
    <row r="10">
      <c r="A10" s="2" t="n">
        <v>8</v>
      </c>
      <c r="B10" s="2" t="inlineStr">
        <is>
          <t>Earthing &amp; lightning (PV field)</t>
        </is>
      </c>
      <c r="C10" s="2" t="inlineStr">
        <is>
          <t>Materials placeholder.</t>
        </is>
      </c>
      <c r="D10" s="2" t="n">
        <v>1</v>
      </c>
      <c r="E10" s="2" t="n">
        <v>15000</v>
      </c>
      <c r="F10" s="2" t="inlineStr">
        <is>
          <t>Typical placeholder</t>
        </is>
      </c>
      <c r="G10" s="2" t="n">
        <v>15000</v>
      </c>
      <c r="H10" s="2" t="inlineStr">
        <is>
          <t>+20%</t>
        </is>
      </c>
      <c r="I10" s="2" t="n">
        <v>18000</v>
      </c>
      <c r="J10" s="2" t="n">
        <v>18000</v>
      </c>
    </row>
    <row r="11">
      <c r="A11" s="2" t="n">
        <v>9</v>
      </c>
      <c r="B11" s="2" t="inlineStr">
        <is>
          <t>Fire fighting (PV site)</t>
        </is>
      </c>
      <c r="C11" s="2" t="inlineStr">
        <is>
          <t>~3 MWp class.</t>
        </is>
      </c>
      <c r="D11" s="2" t="n">
        <v>1</v>
      </c>
      <c r="E11" s="2" t="n">
        <v>28000</v>
      </c>
      <c r="F11" s="2" t="inlineStr">
        <is>
          <t>Typical benchmark</t>
        </is>
      </c>
      <c r="G11" s="2" t="n">
        <v>28000</v>
      </c>
      <c r="H11" s="2" t="inlineStr">
        <is>
          <t>+20%</t>
        </is>
      </c>
      <c r="I11" s="2" t="n">
        <v>33600</v>
      </c>
      <c r="J11" s="2" t="n">
        <v>33600</v>
      </c>
    </row>
    <row r="12">
      <c r="A12" s="2" t="n">
        <v>10</v>
      </c>
      <c r="B12" s="2" t="inlineStr">
        <is>
          <t>CCTV &amp; perimeter security</t>
        </is>
      </c>
      <c r="C12" s="2" t="inlineStr">
        <is>
          <t>Typical.</t>
        </is>
      </c>
      <c r="D12" s="2" t="n">
        <v>1</v>
      </c>
      <c r="E12" s="2" t="n">
        <v>18000</v>
      </c>
      <c r="F12" s="2" t="inlineStr">
        <is>
          <t>Typical benchmark</t>
        </is>
      </c>
      <c r="G12" s="2" t="n">
        <v>18000</v>
      </c>
      <c r="H12" s="2" t="inlineStr">
        <is>
          <t>+20%</t>
        </is>
      </c>
      <c r="I12" s="2" t="n">
        <v>21600</v>
      </c>
      <c r="J12" s="2" t="n">
        <v>21600</v>
      </c>
    </row>
    <row r="13">
      <c r="A13" s="2" t="n">
        <v>11</v>
      </c>
      <c r="B13" s="2" t="inlineStr">
        <is>
          <t>PV land civils</t>
        </is>
      </c>
      <c r="C13" s="2" t="inlineStr">
        <is>
          <t>Typical.</t>
        </is>
      </c>
      <c r="D13" s="2" t="n">
        <v>1</v>
      </c>
      <c r="E13" s="2" t="n">
        <v>65000</v>
      </c>
      <c r="F13" s="2" t="inlineStr">
        <is>
          <t>Typical benchmark</t>
        </is>
      </c>
      <c r="G13" s="2" t="n">
        <v>65000</v>
      </c>
      <c r="H13" s="2" t="inlineStr">
        <is>
          <t>+20%</t>
        </is>
      </c>
      <c r="I13" s="2" t="n">
        <v>78000</v>
      </c>
      <c r="J13" s="2" t="n">
        <v>78000</v>
      </c>
    </row>
    <row r="14">
      <c r="A14" s="2" t="n">
        <v>12</v>
      </c>
      <c r="B14" s="2" t="inlineStr">
        <is>
          <t>PV commissioning &amp; EAC</t>
        </is>
      </c>
      <c r="C14" s="2" t="inlineStr">
        <is>
          <t>Typical.</t>
        </is>
      </c>
      <c r="D14" s="2" t="n">
        <v>1</v>
      </c>
      <c r="E14" s="2" t="n">
        <v>40000</v>
      </c>
      <c r="F14" s="2" t="inlineStr">
        <is>
          <t>Typical benchmark</t>
        </is>
      </c>
      <c r="G14" s="2" t="n">
        <v>40000</v>
      </c>
      <c r="H14" s="2" t="inlineStr">
        <is>
          <t>+20%</t>
        </is>
      </c>
      <c r="I14" s="2" t="n">
        <v>48000</v>
      </c>
      <c r="J14" s="2" t="n">
        <v>48000</v>
      </c>
    </row>
    <row r="15">
      <c r="A15" s="3" t="n"/>
      <c r="B15" s="3" t="inlineStr">
        <is>
          <t>SECTION B — BESS EPC only (1 MW / 4 MWh, 2×20ft + MV skid)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2" t="inlineStr">
        <is>
          <t>B1</t>
        </is>
      </c>
      <c r="B16" s="2" t="inlineStr">
        <is>
          <t>BESS — concrete platforms &amp; pads</t>
        </is>
      </c>
      <c r="C16" s="2" t="inlineStr">
        <is>
          <t>2×20ft + MV skid pads.</t>
        </is>
      </c>
      <c r="D16" s="2" t="n">
        <v>1</v>
      </c>
      <c r="E16" s="2" t="n">
        <v>52000</v>
      </c>
      <c r="F16" s="2" t="inlineStr">
        <is>
          <t>Internal benchmark</t>
        </is>
      </c>
      <c r="G16" s="2" t="n">
        <v>52000</v>
      </c>
      <c r="H16" s="2" t="inlineStr">
        <is>
          <t>+20%</t>
        </is>
      </c>
      <c r="I16" s="2" t="n">
        <v>62400</v>
      </c>
      <c r="J16" s="2" t="n">
        <v>62400</v>
      </c>
    </row>
    <row r="17">
      <c r="A17" s="2" t="inlineStr">
        <is>
          <t>B2</t>
        </is>
      </c>
      <c r="B17" s="2" t="inlineStr">
        <is>
          <t>BESS — port, customs, heavy haul</t>
        </is>
      </c>
      <c r="C17" s="2" t="inlineStr">
        <is>
          <t>2×20ft.</t>
        </is>
      </c>
      <c r="D17" s="2" t="n">
        <v>1</v>
      </c>
      <c r="E17" s="2" t="n">
        <v>5690</v>
      </c>
      <c r="F17" s="2" t="inlineStr">
        <is>
          <t>Training guide scaled</t>
        </is>
      </c>
      <c r="G17" s="2" t="n">
        <v>5690</v>
      </c>
      <c r="H17" s="2" t="inlineStr">
        <is>
          <t>+20%</t>
        </is>
      </c>
      <c r="I17" s="2" t="n">
        <v>6828</v>
      </c>
      <c r="J17" s="2" t="n">
        <v>6828</v>
      </c>
    </row>
    <row r="18">
      <c r="A18" s="2" t="inlineStr">
        <is>
          <t>B3</t>
        </is>
      </c>
      <c r="B18" s="2" t="inlineStr">
        <is>
          <t>BESS — LV cabling &amp; aux tray</t>
        </is>
      </c>
      <c r="C18" s="2" t="inlineStr"/>
      <c r="D18" s="2" t="n">
        <v>1</v>
      </c>
      <c r="E18" s="2" t="n">
        <v>6500</v>
      </c>
      <c r="F18" s="2" t="inlineStr">
        <is>
          <t>Adder scaled</t>
        </is>
      </c>
      <c r="G18" s="2" t="n">
        <v>6500</v>
      </c>
      <c r="H18" s="2" t="inlineStr">
        <is>
          <t>+20%</t>
        </is>
      </c>
      <c r="I18" s="2" t="n">
        <v>7800</v>
      </c>
      <c r="J18" s="2" t="n">
        <v>7800</v>
      </c>
    </row>
    <row r="19">
      <c r="A19" s="2" t="inlineStr">
        <is>
          <t>B4</t>
        </is>
      </c>
      <c r="B19" s="2" t="inlineStr">
        <is>
          <t>BESS — MV cabling + terminations</t>
        </is>
      </c>
      <c r="C19" s="2" t="inlineStr"/>
      <c r="D19" s="2" t="n">
        <v>1</v>
      </c>
      <c r="E19" s="2" t="n">
        <v>5700</v>
      </c>
      <c r="F19" s="2" t="inlineStr">
        <is>
          <t>Template adders</t>
        </is>
      </c>
      <c r="G19" s="2" t="n">
        <v>5700</v>
      </c>
      <c r="H19" s="2" t="inlineStr">
        <is>
          <t>+20%</t>
        </is>
      </c>
      <c r="I19" s="2" t="n">
        <v>6840</v>
      </c>
      <c r="J19" s="2" t="n">
        <v>6840</v>
      </c>
    </row>
    <row r="20">
      <c r="A20" s="2" t="inlineStr">
        <is>
          <t>B5</t>
        </is>
      </c>
      <c r="B20" s="2" t="inlineStr">
        <is>
          <t>BESS — protection engineering</t>
        </is>
      </c>
      <c r="C20" s="2" t="inlineStr"/>
      <c r="D20" s="2" t="n">
        <v>1</v>
      </c>
      <c r="E20" s="2" t="n">
        <v>5500</v>
      </c>
      <c r="F20" s="2" t="inlineStr">
        <is>
          <t>Typical</t>
        </is>
      </c>
      <c r="G20" s="2" t="n">
        <v>5500</v>
      </c>
      <c r="H20" s="2" t="inlineStr">
        <is>
          <t>+20%</t>
        </is>
      </c>
      <c r="I20" s="2" t="n">
        <v>6600</v>
      </c>
      <c r="J20" s="2" t="n">
        <v>6600</v>
      </c>
    </row>
    <row r="21">
      <c r="A21" s="2" t="inlineStr">
        <is>
          <t>B6</t>
        </is>
      </c>
      <c r="B21" s="2" t="inlineStr">
        <is>
          <t>BESS — remote trip + UPS/aux</t>
        </is>
      </c>
      <c r="C21" s="2" t="inlineStr"/>
      <c r="D21" s="2" t="n">
        <v>1</v>
      </c>
      <c r="E21" s="2" t="n">
        <v>5300</v>
      </c>
      <c r="F21" s="2" t="inlineStr">
        <is>
          <t>Template</t>
        </is>
      </c>
      <c r="G21" s="2" t="n">
        <v>5300</v>
      </c>
      <c r="H21" s="2" t="inlineStr">
        <is>
          <t>+20%</t>
        </is>
      </c>
      <c r="I21" s="2" t="n">
        <v>6360</v>
      </c>
      <c r="J21" s="2" t="n">
        <v>6360</v>
      </c>
    </row>
    <row r="22">
      <c r="A22" s="2" t="inlineStr">
        <is>
          <t>B7</t>
        </is>
      </c>
      <c r="B22" s="2" t="inlineStr">
        <is>
          <t>BESS — LPS, SPD, earthing</t>
        </is>
      </c>
      <c r="C22" s="2" t="inlineStr"/>
      <c r="D22" s="2" t="n">
        <v>1</v>
      </c>
      <c r="E22" s="2" t="n">
        <v>28000</v>
      </c>
      <c r="F22" s="2" t="inlineStr">
        <is>
          <t>Subcontract lump</t>
        </is>
      </c>
      <c r="G22" s="2" t="n">
        <v>28000</v>
      </c>
      <c r="H22" s="2" t="inlineStr">
        <is>
          <t>+20%</t>
        </is>
      </c>
      <c r="I22" s="2" t="n">
        <v>33600</v>
      </c>
      <c r="J22" s="2" t="n">
        <v>33600</v>
      </c>
    </row>
    <row r="23">
      <c r="A23" s="2" t="inlineStr">
        <is>
          <t>B8</t>
        </is>
      </c>
      <c r="B23" s="2" t="inlineStr">
        <is>
          <t>BESS — EPC commissioning support</t>
        </is>
      </c>
      <c r="C23" s="2" t="inlineStr"/>
      <c r="D23" s="2" t="n">
        <v>1</v>
      </c>
      <c r="E23" s="2" t="n">
        <v>18000</v>
      </c>
      <c r="F23" s="2" t="inlineStr">
        <is>
          <t>Typical</t>
        </is>
      </c>
      <c r="G23" s="2" t="n">
        <v>18000</v>
      </c>
      <c r="H23" s="2" t="inlineStr">
        <is>
          <t>+20%</t>
        </is>
      </c>
      <c r="I23" s="2" t="n">
        <v>21600</v>
      </c>
      <c r="J23" s="2" t="n">
        <v>21600</v>
      </c>
    </row>
    <row r="24">
      <c r="F24" s="4" t="inlineStr">
        <is>
          <t>TOTALS</t>
        </is>
      </c>
      <c r="G24" s="4">
        <f>SUM(G2:G23)</f>
        <v/>
      </c>
      <c r="J24" s="4">
        <f>SUM(J2:J23)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50" customWidth="1" min="4" max="4"/>
  </cols>
  <sheetData>
    <row r="1">
      <c r="A1" s="5" t="inlineStr">
        <is>
          <t>Parameter</t>
        </is>
      </c>
      <c r="B1" s="5" t="inlineStr">
        <is>
          <t>Value</t>
        </is>
      </c>
      <c r="C1" s="5" t="inlineStr">
        <is>
          <t>Unit</t>
        </is>
      </c>
      <c r="D1" s="5" t="inlineStr">
        <is>
          <t>Notes</t>
        </is>
      </c>
    </row>
    <row r="2">
      <c r="A2" s="5" t="inlineStr">
        <is>
          <t>Module model</t>
        </is>
      </c>
      <c r="B2" s="5" t="inlineStr">
        <is>
          <t>AE Solar Meteor AE630CMER-132BDS</t>
        </is>
      </c>
      <c r="C2" s="5" t="inlineStr"/>
      <c r="D2" s="5" t="inlineStr">
        <is>
          <t>Quoted EXW Rotterdam</t>
        </is>
      </c>
    </row>
    <row r="3">
      <c r="A3" s="5" t="inlineStr">
        <is>
          <t>Module power (STC)</t>
        </is>
      </c>
      <c r="B3" s="5" t="n">
        <v>630</v>
      </c>
      <c r="C3" s="5" t="inlineStr">
        <is>
          <t>Wp</t>
        </is>
      </c>
      <c r="D3" s="5" t="inlineStr"/>
    </row>
    <row r="4">
      <c r="A4" s="5" t="inlineStr">
        <is>
          <t>Module count</t>
        </is>
      </c>
      <c r="B4" s="5" t="n">
        <v>5080</v>
      </c>
      <c r="C4" s="5" t="inlineStr">
        <is>
          <t>pcs</t>
        </is>
      </c>
      <c r="D4" s="5" t="inlineStr">
        <is>
          <t>Target ~3.2 MWp nameplate</t>
        </is>
      </c>
    </row>
    <row r="5">
      <c r="A5" s="5" t="inlineStr">
        <is>
          <t>DC nameplate</t>
        </is>
      </c>
      <c r="B5" s="5" t="n">
        <v>3.2004</v>
      </c>
      <c r="C5" s="5" t="inlineStr">
        <is>
          <t>MWp</t>
        </is>
      </c>
      <c r="D5" s="5" t="inlineStr">
        <is>
          <t>5080×630W</t>
        </is>
      </c>
    </row>
    <row r="6">
      <c r="A6" s="5" t="inlineStr">
        <is>
          <t>Inverter</t>
        </is>
      </c>
      <c r="B6" s="5" t="inlineStr">
        <is>
          <t>SUN2000-115KTL-M2</t>
        </is>
      </c>
      <c r="C6" s="5" t="inlineStr"/>
      <c r="D6" s="5" t="inlineStr">
        <is>
          <t>24×115kWac on-grid M2</t>
        </is>
      </c>
    </row>
    <row r="7">
      <c r="A7" s="5" t="inlineStr">
        <is>
          <t>AC capacity</t>
        </is>
      </c>
      <c r="B7" s="5" t="n">
        <v>2.76</v>
      </c>
      <c r="C7" s="5" t="inlineStr">
        <is>
          <t>MWac</t>
        </is>
      </c>
      <c r="D7" s="5" t="inlineStr"/>
    </row>
    <row r="8">
      <c r="A8" s="5" t="inlineStr">
        <is>
          <t>DC/AC ratio</t>
        </is>
      </c>
      <c r="B8" s="5" t="n">
        <v>1.16</v>
      </c>
      <c r="C8" s="5" t="inlineStr">
        <is>
          <t>-</t>
        </is>
      </c>
      <c r="D8" s="5" t="inlineStr">
        <is>
          <t>Preliminary; refine with PVSyst</t>
        </is>
      </c>
    </row>
    <row r="9">
      <c r="A9" s="5" t="inlineStr">
        <is>
          <t>Mount</t>
        </is>
      </c>
      <c r="B9" s="5" t="inlineStr">
        <is>
          <t>Fixed tilt 25° south</t>
        </is>
      </c>
      <c r="C9" s="5" t="inlineStr"/>
      <c r="D9" s="5" t="inlineStr">
        <is>
          <t>Cyprus; bifacial rear sees sky + ground</t>
        </is>
      </c>
    </row>
    <row r="10">
      <c r="A10" s="5" t="inlineStr">
        <is>
          <t>Albedo (high case)</t>
        </is>
      </c>
      <c r="B10" s="5" t="n">
        <v>0.7</v>
      </c>
      <c r="C10" s="5" t="inlineStr">
        <is>
          <t>-</t>
        </is>
      </c>
      <c r="D10" s="5" t="inlineStr">
        <is>
          <t>White stone / prepared pad</t>
        </is>
      </c>
    </row>
    <row r="11">
      <c r="A11" s="5" t="inlineStr">
        <is>
          <t>Albedo (low case)</t>
        </is>
      </c>
      <c r="B11" s="5" t="n">
        <v>0.25</v>
      </c>
      <c r="C11" s="5" t="inlineStr">
        <is>
          <t>-</t>
        </is>
      </c>
      <c r="D11" s="5" t="inlineStr">
        <is>
          <t>Soil / sparse vegetation</t>
        </is>
      </c>
    </row>
    <row r="12">
      <c r="A12" s="5" t="inlineStr">
        <is>
          <t>Bifaciality (assumed)</t>
        </is>
      </c>
      <c r="B12" s="5" t="n">
        <v>0.75</v>
      </c>
      <c r="C12" s="5" t="inlineStr">
        <is>
          <t>-</t>
        </is>
      </c>
      <c r="D12" s="5" t="inlineStr">
        <is>
          <t>TopCon class; confirm on AE datasheet</t>
        </is>
      </c>
    </row>
    <row r="13">
      <c r="A13" s="5" t="inlineStr">
        <is>
          <t>Specific yield (high)</t>
        </is>
      </c>
      <c r="B13" s="5" t="n">
        <v>2150</v>
      </c>
      <c r="C13" s="5" t="inlineStr">
        <is>
          <t>kWh/kWp/yr</t>
        </is>
      </c>
      <c r="D13" s="5" t="inlineStr">
        <is>
          <t>solarpark-epc.md §7.1</t>
        </is>
      </c>
    </row>
    <row r="14">
      <c r="A14" s="5" t="inlineStr">
        <is>
          <t>Specific yield (low)</t>
        </is>
      </c>
      <c r="B14" s="5" t="n">
        <v>2030</v>
      </c>
      <c r="C14" s="5" t="inlineStr">
        <is>
          <t>kWh/kWp/yr</t>
        </is>
      </c>
      <c r="D14" s="5" t="inlineStr">
        <is>
          <t>Soil albedo row</t>
        </is>
      </c>
    </row>
    <row r="15">
      <c r="A15" s="5" t="inlineStr">
        <is>
          <t>Annual energy (high)</t>
        </is>
      </c>
      <c r="B15" s="5" t="n">
        <v>6881</v>
      </c>
      <c r="C15" s="5" t="inlineStr">
        <is>
          <t>MWh/yr</t>
        </is>
      </c>
      <c r="D15" s="5" t="inlineStr">
        <is>
          <t>Pdc_MWp × kWh/kWp</t>
        </is>
      </c>
    </row>
    <row r="16">
      <c r="A16" s="5" t="inlineStr">
        <is>
          <t>Annual energy (low)</t>
        </is>
      </c>
      <c r="B16" s="5" t="n">
        <v>6497</v>
      </c>
      <c r="C16" s="5" t="inlineStr">
        <is>
          <t>MWh/yr</t>
        </is>
      </c>
      <c r="D16" s="5" t="inlineStr"/>
    </row>
    <row r="17">
      <c r="A17" s="5" t="inlineStr">
        <is>
          <t>Annual energy (high)</t>
        </is>
      </c>
      <c r="B17" s="5" t="n">
        <v>6.881</v>
      </c>
      <c r="C17" s="5" t="inlineStr">
        <is>
          <t>GWh/yr</t>
        </is>
      </c>
      <c r="D17" s="5" t="inlineStr"/>
    </row>
    <row r="19">
      <c r="A19" t="inlineStr">
        <is>
          <t>Datasheet</t>
        </is>
      </c>
      <c r="B19" t="inlineStr">
        <is>
          <t>AE_CMER_132_BDS_610_W_630_W Ver26.1.1</t>
        </is>
      </c>
      <c r="D19" t="inlineStr">
        <is>
          <t>docs/quotations/AEsolar/...</t>
        </is>
      </c>
    </row>
    <row r="20">
      <c r="A20" t="inlineStr">
        <is>
          <t>Bifaciality (datasheet)</t>
        </is>
      </c>
      <c r="B20" t="inlineStr">
        <is>
          <t>80 ± 5 %</t>
        </is>
      </c>
      <c r="D20" t="inlineStr">
        <is>
          <t>Higher than 75% Agios placeholder — yield uplift ~few % vs internal model</t>
        </is>
      </c>
    </row>
    <row r="21">
      <c r="A21" t="inlineStr">
        <is>
          <t>630W STC (extracted)</t>
        </is>
      </c>
      <c r="B21" t="inlineStr">
        <is>
          <t>Vmpp 42.0 V, Impp 15.00 A</t>
        </is>
      </c>
      <c r="D21" t="inlineStr">
        <is>
          <t>42×15=630 W; Voc/Isc columns in PDF text order ambiguous — verify on PDF table</t>
        </is>
      </c>
    </row>
    <row r="22">
      <c r="A22" t="inlineStr">
        <is>
          <t>630W bifacial equiv (datasheet)</t>
        </is>
      </c>
      <c r="B22" t="inlineStr">
        <is>
          <t>641 W @ 5% gain; 671 W @ 10% gain</t>
        </is>
      </c>
      <c r="D22" t="inlineStr">
        <is>
          <t>Backside power gain scenarios vs front STC</t>
        </is>
      </c>
    </row>
    <row r="23">
      <c r="A23" t="inlineStr">
        <is>
          <t>Max system voltage / fuse</t>
        </is>
      </c>
      <c r="B23" t="inlineStr">
        <is>
          <t>1500 V; 30 A (per PDF extract)</t>
        </is>
      </c>
      <c r="D23" t="inlineStr">
        <is>
          <t>Confirm in PDF electrical table</t>
        </is>
      </c>
    </row>
    <row r="24">
      <c r="A24" t="inlineStr">
        <is>
          <t>Specific yield (revised ballpark)</t>
        </is>
      </c>
      <c r="B24" t="inlineStr">
        <is>
          <t>~2165</t>
        </is>
      </c>
      <c r="C24" t="inlineStr">
        <is>
          <t>kWh/kWp/yr</t>
        </is>
      </c>
      <c r="D24" t="inlineStr">
        <is>
          <t>Scaled from 2150: bifaciality 80/75 on bifacial increment only; PVSyst required</t>
        </is>
      </c>
    </row>
    <row r="25">
      <c r="A25" t="inlineStr">
        <is>
          <t>Annual energy (revised ballpark)</t>
        </is>
      </c>
      <c r="B25" t="n">
        <v>6929</v>
      </c>
      <c r="C25" t="inlineStr">
        <is>
          <t>MWh/yr</t>
        </is>
      </c>
      <c r="D25" t="inlineStr">
        <is>
          <t>3.2004 MWp × 2165 kWh/kWp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3.2 MWp target: 5080×630 W = 3.2004 MWp. Inverters: 24×SUN2000-115KTL-M2 = 2.76 MWac, DC/AC ≈ 1.16.</t>
        </is>
      </c>
    </row>
    <row r="2">
      <c r="A2" t="inlineStr">
        <is>
          <t>Closest M2 to former 150kW MGO: 115KTL-M2 (then 100KTL-M2). MGO line is different series (7 MPPT).</t>
        </is>
      </c>
    </row>
    <row r="3">
      <c r="A3" t="inlineStr">
        <is>
          <t>Alt DC/AC: 25×115k→1.11; 28×100k→1.14; 23×115k→1.21; 32×100k→1.00 (clip).</t>
        </is>
      </c>
    </row>
    <row r="4">
      <c r="A4" t="inlineStr">
        <is>
          <t>AE datasheet CMER-132BDS Ver26.1.1: bifaciality 80±5%; 2383×1133×30 mm; 720 pcs/40HQ; 630W bifacial equiv 641W (5%) / 671W (10%) rear gain scenarios.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2026-04-14T13:06:20Z</dcterms:created>
  <dcterms:modified xmlns:dcterms="http://purl.org/dc/terms/" xmlns:xsi="http://www.w3.org/2001/XMLSchema-instance" xsi:type="dcterms:W3CDTF">2026-04-14T13:08:35Z</dcterms:modified>
</cp:coreProperties>
</file>